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BRIDGE" sheetId="3" state="visible" r:id="rId5"/>
    <sheet name="TAX ESTIMATE" sheetId="4" state="visible" r:id="rId6"/>
    <sheet name="ROTH LADDER" sheetId="5" state="visible" r:id="rId7"/>
    <sheet name="POST-59.5" sheetId="6" state="visible" r:id="rId8"/>
    <sheet name="MONTE CARLO" sheetId="7" state="visible" r:id="rId9"/>
    <sheet name="RISK FLAGS" sheetId="8" state="visible" r:id="rId10"/>
    <sheet name="REBALANC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<sst xmlns="http://schemas.openxmlformats.org/spreadsheetml/2006/main" count="232" uniqueCount="226">
  <si>
    <t xml:space="preserve">BridgeToRetired</t>
  </si>
  <si>
    <t xml:space="preserve">PRO RETIREMENT BRIDGE PLANNER</t>
  </si>
  <si>
    <t xml:space="preserve">Version 3.1  ·  2026 Tax Year  ·  bridgetoretired.com</t>
  </si>
  <si>
    <t xml:space="preserve">WHAT'S INSIDE</t>
  </si>
  <si>
    <t xml:space="preserve">  INPUTS</t>
  </si>
  <si>
    <t xml:space="preserve">Ages, balances, spending, state, filing status — single entry point for all sheets</t>
  </si>
  <si>
    <t xml:space="preserve">  BRIDGE</t>
  </si>
  <si>
    <t xml:space="preserve">Year-by-year funding plan retirement → 59½ with Taxable → Roth → 401k cascade</t>
  </si>
  <si>
    <t xml:space="preserve">  TAX ESTIMATE</t>
  </si>
  <si>
    <t xml:space="preserve">Federal tax per bridge year — MFJ or Single brackets switchable in INPUTS</t>
  </si>
  <si>
    <t xml:space="preserve">  ROTH LADDER</t>
  </si>
  <si>
    <t xml:space="preserve">Optimal Roth conversions with 12% bracket space and ACA cliff cross-check per year</t>
  </si>
  <si>
    <t xml:space="preserve">  POST-59.5</t>
  </si>
  <si>
    <t xml:space="preserve">Portfolio projection 59½ → life expectancy with Social Security income modeled</t>
  </si>
  <si>
    <t xml:space="preserve">  MONTE CARLO</t>
  </si>
  <si>
    <t xml:space="preserve">200-scenario simulator — plan success rate across randomized return sequences</t>
  </si>
  <si>
    <t xml:space="preserve">  RISK FLAGS</t>
  </si>
  <si>
    <t xml:space="preserve">9 automated checks: withdrawal rate, ACA cliff, IRMAA, SS delay, Monte Carlo</t>
  </si>
  <si>
    <t xml:space="preserve">  REBALANCE</t>
  </si>
  <si>
    <t xml:space="preserve">Annual target vs actual allocation by asset class with drift alerts and signals</t>
  </si>
  <si>
    <t xml:space="preserve">COLOR CODING GUIDE</t>
  </si>
  <si>
    <t xml:space="preserve">  Blue text   = Input cells — change these to your numbers</t>
  </si>
  <si>
    <t xml:space="preserve">  Green text  = Linked from another sheet</t>
  </si>
  <si>
    <t xml:space="preserve">  Black text  = Formula / calculated — do not edit</t>
  </si>
  <si>
    <t xml:space="preserve">  Gold highlight = Key result or flag</t>
  </si>
  <si>
    <t xml:space="preserve">⚠  Not financial advice. For modeling purposes only. Consult a qualified fee-only advisor.</t>
  </si>
  <si>
    <t xml:space="preserve">v3.1 (Aug 2026): 2026 brackets &amp; std deduction · ACA cliff by household size · balances grown to retirement date · retire-at-60+ fix · capacity: 25-yr bridge, 45-yr projection, 60-yr Monte Carlo</t>
  </si>
  <si>
    <t xml:space="preserve">RETIREMENT INPUTS</t>
  </si>
  <si>
    <t xml:space="preserve">Blue cells are inputs. Change any value — every sheet updates automatically.</t>
  </si>
  <si>
    <t xml:space="preserve">  PERSONAL</t>
  </si>
  <si>
    <t xml:space="preserve">PERSONAL</t>
  </si>
  <si>
    <t xml:space="preserve">  Current Age</t>
  </si>
  <si>
    <t xml:space="preserve">  Planned Retirement Age</t>
  </si>
  <si>
    <t xml:space="preserve">  Social Security Claiming Age</t>
  </si>
  <si>
    <t xml:space="preserve">62 / 67 / 70</t>
  </si>
  <si>
    <t xml:space="preserve">  Life Expectancy (planning age)</t>
  </si>
  <si>
    <t xml:space="preserve">Conservative = 90–95</t>
  </si>
  <si>
    <t xml:space="preserve">  Filing Status</t>
  </si>
  <si>
    <t xml:space="preserve">MFJ</t>
  </si>
  <si>
    <t xml:space="preserve">MFJ or Single — drives TAX ESTIMATE brackets</t>
  </si>
  <si>
    <t xml:space="preserve">  State of Residence</t>
  </si>
  <si>
    <t xml:space="preserve">TX</t>
  </si>
  <si>
    <t xml:space="preserve">No-tax states: AK FL NV NH SD TN TX WA WY</t>
  </si>
  <si>
    <t xml:space="preserve">  State Tax Rate (if any)</t>
  </si>
  <si>
    <t xml:space="preserve">0% for the 9 no-tax states; else your flat est.</t>
  </si>
  <si>
    <t xml:space="preserve">  First Projection Year</t>
  </si>
  <si>
    <t xml:space="preserve">  PORTFOLIO BALANCES</t>
  </si>
  <si>
    <t xml:space="preserve">PORTFOLIO BALANCES (TODAY)</t>
  </si>
  <si>
    <t xml:space="preserve">  Taxable Brokerage</t>
  </si>
  <si>
    <t xml:space="preserve">  Traditional 401k / IRA</t>
  </si>
  <si>
    <t xml:space="preserve">  Roth IRA / Roth 401k</t>
  </si>
  <si>
    <t xml:space="preserve">  Cash / Money Market</t>
  </si>
  <si>
    <t xml:space="preserve">Bridge buffer — counted in taxable cascade</t>
  </si>
  <si>
    <t xml:space="preserve">  Total Portfolio (today)</t>
  </si>
  <si>
    <t xml:space="preserve">SPENDING &amp; INCOME</t>
  </si>
  <si>
    <t xml:space="preserve">  Annual Spending (today $)</t>
  </si>
  <si>
    <t xml:space="preserve">  Inflation Rate</t>
  </si>
  <si>
    <t xml:space="preserve">  Other Income ($/yr, today $)</t>
  </si>
  <si>
    <t xml:space="preserve">Pension, rental, part-time — applied every year</t>
  </si>
  <si>
    <t xml:space="preserve">  Estimated Social Security ($/yr today $)</t>
  </si>
  <si>
    <t xml:space="preserve">At claiming age</t>
  </si>
  <si>
    <t xml:space="preserve">  ACA Household Size</t>
  </si>
  <si>
    <t xml:space="preserve">People on your marketplace plan — sets the 400% FPL cliff</t>
  </si>
  <si>
    <t xml:space="preserve">RETURN ASSUMPTIONS</t>
  </si>
  <si>
    <t xml:space="preserve">  Expected Return (nominal)</t>
  </si>
  <si>
    <t xml:space="preserve">Long-run nominal. 60/40 ≈ 6–7%. Also the Monte Carlo mean.</t>
  </si>
  <si>
    <t xml:space="preserve">  Portfolio Volatility (std dev)</t>
  </si>
  <si>
    <t xml:space="preserve">Used by MONTE CARLO. 60/40 ≈ 10–12%</t>
  </si>
  <si>
    <t xml:space="preserve">AUTO-CALCULATED</t>
  </si>
  <si>
    <t xml:space="preserve">  Bridge Length (years)</t>
  </si>
  <si>
    <t xml:space="preserve">  Withdrawal Rate (at retirement)</t>
  </si>
  <si>
    <t xml:space="preserve">  Std Deduction (2026)</t>
  </si>
  <si>
    <t xml:space="preserve">  Portfolio at Retirement (est.)</t>
  </si>
  <si>
    <t xml:space="preserve">Today's balances grown at Expected Return to retirement — excludes new contributions</t>
  </si>
  <si>
    <t xml:space="preserve">BRIDGE FUNDING PLAN  ·  Retirement to Age 59½</t>
  </si>
  <si>
    <t xml:space="preserve">Year</t>
  </si>
  <si>
    <t xml:space="preserve">Age</t>
  </si>
  <si>
    <t xml:space="preserve">Spending (Inflated)</t>
  </si>
  <si>
    <t xml:space="preserve">Other Income</t>
  </si>
  <si>
    <t xml:space="preserve">Net Needed</t>
  </si>
  <si>
    <t xml:space="preserve">Taxable+Cash Start</t>
  </si>
  <si>
    <t xml:space="preserve">Roth Start</t>
  </si>
  <si>
    <t xml:space="preserve">401k Start</t>
  </si>
  <si>
    <t xml:space="preserve">From Taxable</t>
  </si>
  <si>
    <t xml:space="preserve">From Roth</t>
  </si>
  <si>
    <t xml:space="preserve">From 401k</t>
  </si>
  <si>
    <t xml:space="preserve">Taxable End</t>
  </si>
  <si>
    <t xml:space="preserve">Roth End</t>
  </si>
  <si>
    <t xml:space="preserve">401k End</t>
  </si>
  <si>
    <t xml:space="preserve">Total End</t>
  </si>
  <si>
    <t xml:space="preserve">END OF BRIDGE →</t>
  </si>
  <si>
    <t xml:space="preserve">FEDERAL TAX ESTIMATE  ·  Bridge Years</t>
  </si>
  <si>
    <t xml:space="preserve">  2026 BRACKETS (auto-switch via INPUTS Filing Status)</t>
  </si>
  <si>
    <t xml:space="preserve">Rate</t>
  </si>
  <si>
    <t xml:space="preserve">From</t>
  </si>
  <si>
    <t xml:space="preserve">To</t>
  </si>
  <si>
    <t xml:space="preserve">RateΔ</t>
  </si>
  <si>
    <t xml:space="preserve">Source: IRS Rev. Proc. 2025-32 (2026 inflation adjustments). Update annually.</t>
  </si>
  <si>
    <t xml:space="preserve">  ESTIMATED TAX BY BRIDGE YEAR</t>
  </si>
  <si>
    <t xml:space="preserve">Income (401k + conv. + other)</t>
  </si>
  <si>
    <t xml:space="preserve">Std Deduction</t>
  </si>
  <si>
    <t xml:space="preserve">Taxable Income</t>
  </si>
  <si>
    <t xml:space="preserve">Fed Tax</t>
  </si>
  <si>
    <t xml:space="preserve">State Tax</t>
  </si>
  <si>
    <t xml:space="preserve">Note</t>
  </si>
  <si>
    <t xml:space="preserve">ROTH CONVERSION LADDER  ·  5-Year Pipeline</t>
  </si>
  <si>
    <t xml:space="preserve">Suggested conversion = remaining 12% bracket space after bridge income. Each rung unlocks penalty-free after 5 years.</t>
  </si>
  <si>
    <t xml:space="preserve">ACA WARNING: conversions count toward MAGI. The cross-check below flags any year total MAGI exceeds the est. 400% FPL cliff (~$81,760 for 2-person household, 2026).</t>
  </si>
  <si>
    <t xml:space="preserve">ACA 400% FPL cliff (est.) →</t>
  </si>
  <si>
    <t xml:space="preserve">12% Bracket Room (gross)</t>
  </si>
  <si>
    <t xml:space="preserve">Suggested Conversion</t>
  </si>
  <si>
    <t xml:space="preserve">Tax on Conv. (12%)</t>
  </si>
  <si>
    <t xml:space="preserve">MAGI (income+conv.)</t>
  </si>
  <si>
    <t xml:space="preserve">ACA Cliff Check</t>
  </si>
  <si>
    <t xml:space="preserve">Unlocks Penalty-Free</t>
  </si>
  <si>
    <t xml:space="preserve">Suggested Conversion = smaller of 12% bracket space and ACA cliff headroom (cliff − 401k draws − other income). MAGI shown includes conversion + 401k + other income; taxable-account dividends/gains not modeled.</t>
  </si>
  <si>
    <t xml:space="preserve">POST-59½ PROJECTION  ·  To Life Expectancy</t>
  </si>
  <si>
    <t xml:space="preserve">401k+Taxable draws first, Roth preserved. Starts at the later of 59½ or your retirement age. Social Security begins at your claiming age. Balances are pre-tax — 401k withdrawals are taxable, budget a 15–20% gross-up.</t>
  </si>
  <si>
    <t xml:space="preserve">Spending (Infl.)</t>
  </si>
  <si>
    <t xml:space="preserve">SS Income</t>
  </si>
  <si>
    <t xml:space="preserve">Net Withdrawal</t>
  </si>
  <si>
    <t xml:space="preserve">401k+Taxable Bal.</t>
  </si>
  <si>
    <t xml:space="preserve">Roth Bal.</t>
  </si>
  <si>
    <t xml:space="preserve">BALANCE AT LIFE EXPECTANCY →</t>
  </si>
  <si>
    <t xml:space="preserve">MONTE CARLO SIMULATOR  ·  200 Randomized Return Sequences  ·  up to 60 years</t>
  </si>
  <si>
    <t xml:space="preserve">Each row = one possible retirement. Returns drawn from Normal(mean=INPUTS return, sd=INPUTS volatility). Press F9 / Ctrl+Shift+F9 to re-run.</t>
  </si>
  <si>
    <t xml:space="preserve">Net Withdrawal →</t>
  </si>
  <si>
    <t xml:space="preserve">Years active →</t>
  </si>
  <si>
    <t xml:space="preserve">Sim #</t>
  </si>
  <si>
    <t xml:space="preserve">Final Balance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</si>
  <si>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</si>
  <si>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</si>
  <si>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</si>
  <si>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</si>
  <si>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</si>
  <si>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</si>
  <si>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</si>
  <si>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</si>
  <si>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</si>
  <si>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</si>
  <si>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</si>
  <si>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</si>
  <si>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</si>
  <si>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</si>
  <si>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</si>
  <si>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</si>
  <si>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</si>
  <si>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</si>
  <si>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</si>
  <si>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</si>
  <si>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</si>
  <si>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</si>
  <si>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</si>
  <si>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</si>
  <si>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</si>
  <si>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</si>
  <si>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</si>
  <si>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</si>
  <si>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</si>
  <si>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</si>
  <si>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</si>
  <si>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</si>
  <si>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</si>
  <si>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</si>
  <si>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</si>
  <si>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</si>
  <si>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</si>
  <si>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</si>
  <si>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</si>
  <si>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</si>
  <si>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</si>
  <si>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</si>
  <si>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</si>
  <si>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</si>
  <si>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</si>
  <si>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</si>
  <si>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</si>
  <si>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</si>
  <si>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</si>
  <si>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</si>
  <si>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</si>
  <si>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</si>
  <si>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</si>
  <si>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</si>
  <si>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</si>
  <si>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</si>
  <si>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</si>
  <si>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</si>
  <si>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</si>
  <si>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</si>
  <si>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RESULTS</t>
  </si>
  <si>
    <t xml:space="preserve">Success Rate (money lasts to life expectancy)</t>
  </si>
  <si>
    <t xml:space="preserve">Median Final Balance</t>
  </si>
  <si>
    <t xml:space="preserve">10th Percentile (bad luck scenario)</t>
  </si>
  <si>
    <t xml:space="preserve">90th Percentile (good luck scenario)</t>
  </si>
  <si>
    <t xml:space="preserve">Guide: 90%+ success = robust. 75–90% = acceptable with flexibility. Below 75% = revisit spending or retirement age.</t>
  </si>
  <si>
    <t xml:space="preserve">AUTOMATED RISK FLAGS</t>
  </si>
  <si>
    <t xml:space="preserve">All flags pull live from BRIDGE, POST-59.5, ROTH LADDER and MONTE CARLO.</t>
  </si>
  <si>
    <t xml:space="preserve">Risk Check</t>
  </si>
  <si>
    <t xml:space="preserve">Status</t>
  </si>
  <si>
    <t xml:space="preserve">Detail</t>
  </si>
  <si>
    <t xml:space="preserve">  Withdrawal rate ≤ 4%?</t>
  </si>
  <si>
    <t xml:space="preserve">  Taxable funds entire bridge?</t>
  </si>
  <si>
    <t xml:space="preserve">  No 401k draws before 59½?</t>
  </si>
  <si>
    <t xml:space="preserve">  Cash buffer ≥ 1 year?</t>
  </si>
  <si>
    <t xml:space="preserve">  ACA cliff clear in all bridge years?</t>
  </si>
  <si>
    <t xml:space="preserve">  SS delay opportunity</t>
  </si>
  <si>
    <t xml:space="preserve">  IRMAA Medicare trigger?</t>
  </si>
  <si>
    <t xml:space="preserve">  Portfolio survives to life expectancy?</t>
  </si>
  <si>
    <t xml:space="preserve">  Monte Carlo success ≥ 80%?</t>
  </si>
  <si>
    <t xml:space="preserve">ANNUAL REBALANCE TRACKER</t>
  </si>
  <si>
    <t xml:space="preserve">Current Value column links to INPUTS balances — update the split below to match your actual holdings.</t>
  </si>
  <si>
    <t xml:space="preserve">Asset Class</t>
  </si>
  <si>
    <t xml:space="preserve">Target %</t>
  </si>
  <si>
    <t xml:space="preserve">Current Value</t>
  </si>
  <si>
    <t xml:space="preserve">Current %</t>
  </si>
  <si>
    <t xml:space="preserve">Drift</t>
  </si>
  <si>
    <t xml:space="preserve">Action</t>
  </si>
  <si>
    <t xml:space="preserve">  US Total Market</t>
  </si>
  <si>
    <t xml:space="preserve">  International</t>
  </si>
  <si>
    <t xml:space="preserve">  Small Cap Value</t>
  </si>
  <si>
    <t xml:space="preserve">  Bonds (Total)</t>
  </si>
  <si>
    <t xml:space="preserve">  Cash / MM</t>
  </si>
  <si>
    <t xml:space="preserve">  Real Estate (REIT)</t>
  </si>
  <si>
    <t xml:space="preserve">  TOTAL</t>
  </si>
  <si>
    <t xml:space="preserve">The default split is an estimate — overwrite Current Value cells with your real holdings for accurate drift.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</si>
</sst>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"/>
    <numFmt numFmtId="167" formatCode="0"/>
    <numFmt numFmtId="168" formatCode="0.0"/>
    <numFmt numFmtId="169" formatCode="General"/>
    <numFmt numFmtId="170" formatCode="0%"/>
    <numFmt numFmtId="171" formatCode="#,##0"/>
    <numFmt numFmtId="172" formatCode="\+0.0%;\-0.0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22"/>
      <color rgb="FFE8B84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8896A8"/>
      <name val="Calibri"/>
      <family val="0"/>
      <charset val="1"/>
    </font>
    <font>
      <sz val="10"/>
      <color rgb="FFC9A84C"/>
      <name val="Calibri"/>
      <family val="0"/>
      <charset val="1"/>
    </font>
    <font>
      <b val="true"/>
      <sz val="10"/>
      <color rgb="FF2D3D52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1A5FBF"/>
      <name val="Calibri"/>
      <family val="0"/>
      <charset val="1"/>
    </font>
    <font>
      <sz val="9"/>
      <color rgb="FF16A34A"/>
      <name val="Calibri"/>
      <family val="0"/>
      <charset val="1"/>
    </font>
    <font>
      <sz val="9"/>
      <color rgb="FF333333"/>
      <name val="Calibri"/>
      <family val="0"/>
      <charset val="1"/>
    </font>
    <font>
      <sz val="9"/>
      <color rgb="FFC9A84C"/>
      <name val="Calibri"/>
      <family val="0"/>
      <charset val="1"/>
    </font>
    <font>
      <i val="true"/>
      <sz val="9"/>
      <color rgb="FF8896A8"/>
      <name val="Calibri"/>
      <family val="0"/>
      <charset val="1"/>
    </font>
    <font>
      <b val="true"/>
      <sz val="10"/>
      <color rgb="FFC9A84C"/>
      <name val="Calibri"/>
      <family val="0"/>
      <charset val="1"/>
    </font>
    <font>
      <sz val="10"/>
      <color rgb="FF2D3D52"/>
      <name val="Calibri"/>
      <family val="0"/>
      <charset val="1"/>
    </font>
    <font>
      <i val="true"/>
      <sz val="8"/>
      <color rgb="FF8896A8"/>
      <name val="Calibri"/>
      <family val="0"/>
      <charset val="1"/>
    </font>
    <font>
      <b val="true"/>
      <sz val="11"/>
      <color rgb="FF1A5FBF"/>
      <name val="Calibri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name val="Cambria"/>
      <family val="0"/>
      <charset val="1"/>
    </font>
    <font>
      <b val="true"/>
      <sz val="9"/>
      <color rgb="FFC9A84C"/>
      <name val="Calibri"/>
      <family val="0"/>
      <charset val="1"/>
    </font>
    <font>
      <sz val="9"/>
      <color rgb="FFFFFFFF"/>
      <name val="Arial"/>
      <family val="0"/>
      <charset val="1"/>
    </font>
    <font>
      <sz val="9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b val="true"/>
      <sz val="9"/>
      <color rgb="FF2D3D52"/>
      <name val="Calibri"/>
      <family val="0"/>
      <charset val="1"/>
    </font>
    <font>
      <sz val="8"/>
      <color rgb="FFAAAAAA"/>
      <name val="Arial"/>
      <family val="0"/>
      <charset val="1"/>
    </font>
    <font>
      <sz val="8"/>
      <color rgb="FF8896A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FFFFFF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12"/>
      <color rgb="FFC9A84C"/>
      <name val="Calibri"/>
      <family val="0"/>
      <charset val="1"/>
    </font>
    <font>
      <b val="true"/>
      <sz val="14"/>
      <color rgb="FF16A34A"/>
      <name val="Calibri"/>
      <family val="0"/>
      <charset val="1"/>
    </font>
    <font>
      <b val="true"/>
      <sz val="10"/>
      <color rgb="FF0D1420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888888"/>
      <name val="Calibri"/>
      <family val="0"/>
      <charset val="1"/>
    </font>
    <font>
      <sz val="10"/>
      <color rgb="FF444444"/>
      <name val="Calibri"/>
      <family val="0"/>
      <charset val="1"/>
    </font>
    <font>
      <b val="true"/>
      <sz val="10"/>
      <color rgb="FF1A5FBF"/>
      <name val="Calibri"/>
      <family val="0"/>
      <charset val="1"/>
    </font>
    <font>
      <b val="true"/>
      <sz val="9"/>
      <color rgb="FFDC2626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420"/>
        <bgColor rgb="FF0F1A2E"/>
      </patternFill>
    </fill>
    <fill>
      <patternFill patternType="solid">
        <fgColor rgb="FFFFFFFF"/>
        <bgColor rgb="FFF8FAFC"/>
      </patternFill>
    </fill>
    <fill>
      <patternFill patternType="solid">
        <fgColor rgb="FFE8B84B"/>
        <bgColor rgb="FFC9A84C"/>
      </patternFill>
    </fill>
    <fill>
      <patternFill patternType="solid">
        <fgColor rgb="FFF0F4F8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F1A2E"/>
        <bgColor rgb="FF0D1420"/>
      </patternFill>
    </fill>
    <fill>
      <patternFill patternType="solid">
        <fgColor rgb="FF1A2840"/>
        <bgColor rgb="FF1E2A3A"/>
      </patternFill>
    </fill>
    <fill>
      <patternFill patternType="solid">
        <fgColor rgb="FFFFFBF0"/>
        <bgColor rgb="FFFFFBEB"/>
      </patternFill>
    </fill>
    <fill>
      <patternFill patternType="solid">
        <fgColor rgb="FF1E2A3A"/>
        <bgColor rgb="FF1A2840"/>
      </patternFill>
    </fill>
    <fill>
      <patternFill patternType="solid">
        <fgColor rgb="FFFEF3C7"/>
        <bgColor rgb="FFFFF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3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3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DC2626"/>
      </font>
      <fill>
        <patternFill>
          <bgColor rgb="FFFEF2F2"/>
        </patternFill>
      </fill>
    </dxf>
    <dxf>
      <font>
        <name val="Calibri"/>
        <charset val="1"/>
        <family val="0"/>
        <b val="1"/>
        <color rgb="FFD97706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C9A84C"/>
      </font>
      <fill>
        <patternFill>
          <bgColor rgb="FFFFFBEB"/>
        </patternFill>
      </fill>
    </dxf>
    <dxf>
      <font>
        <name val="Calibri"/>
        <charset val="1"/>
        <family val="0"/>
        <b val="1"/>
        <color rgb="FF16A34A"/>
      </font>
      <fill>
        <patternFill>
          <bgColor rgb="FFF0FDF4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D1420"/>
      <rgbColor rgb="FF808000"/>
      <rgbColor rgb="FF800080"/>
      <rgbColor rgb="FF008080"/>
      <rgbColor rgb="FFAAAAAA"/>
      <rgbColor rgb="FF888888"/>
      <rgbColor rgb="FF818CF8"/>
      <rgbColor rgb="FF444444"/>
      <rgbColor rgb="FFFEF3C7"/>
      <rgbColor rgb="FFF0FDF4"/>
      <rgbColor rgb="FF660066"/>
      <rgbColor rgb="FFF87171"/>
      <rgbColor rgb="FF1A5FBF"/>
      <rgbColor rgb="FFD1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ADE80"/>
      <rgbColor rgb="FFF0F4F8"/>
      <rgbColor rgb="FFF8FAFC"/>
      <rgbColor rgb="FFFFFBEB"/>
      <rgbColor rgb="FFFFFBF0"/>
      <rgbColor rgb="FFFF99CC"/>
      <rgbColor rgb="FFCC99FF"/>
      <rgbColor rgb="FFFEF2F2"/>
      <rgbColor rgb="FF3366FF"/>
      <rgbColor rgb="FF2DD4BF"/>
      <rgbColor rgb="FF99CC00"/>
      <rgbColor rgb="FFE8B84B"/>
      <rgbColor rgb="FFC9A84C"/>
      <rgbColor rgb="FFD97706"/>
      <rgbColor rgb="FF666666"/>
      <rgbColor rgb="FF8896A8"/>
      <rgbColor rgb="FF1A2840"/>
      <rgbColor rgb="FF16A34A"/>
      <rgbColor rgb="FF0F1A2E"/>
      <rgbColor rgb="FF1E2A3A"/>
      <rgbColor rgb="FF92400E"/>
      <rgbColor rgb="FF993366"/>
      <rgbColor rgb="FF2D3D5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60"/>
    <col collapsed="false" customWidth="true" hidden="false" outlineLevel="0" max="8" min="4" style="1" width="3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3"/>
      <c r="G1" s="4"/>
      <c r="H1" s="4"/>
    </row>
    <row r="2" customFormat="false" ht="9.75" hidden="false" customHeight="true" outlineLevel="0" collapsed="false">
      <c r="A2" s="2"/>
      <c r="B2" s="2"/>
      <c r="C2" s="2"/>
      <c r="D2" s="2"/>
      <c r="E2" s="2"/>
      <c r="F2" s="3"/>
      <c r="G2" s="4"/>
      <c r="H2" s="4"/>
    </row>
    <row r="3" customFormat="false" ht="33.75" hidden="false" customHeight="true" outlineLevel="0" collapsed="false">
      <c r="A3" s="2"/>
      <c r="B3" s="5" t="s">
        <v>0</v>
      </c>
      <c r="C3" s="2"/>
      <c r="D3" s="2"/>
      <c r="E3" s="2"/>
      <c r="F3" s="3"/>
      <c r="G3" s="4"/>
      <c r="H3" s="4"/>
    </row>
    <row r="4" customFormat="false" ht="27.75" hidden="false" customHeight="true" outlineLevel="0" collapsed="false">
      <c r="A4" s="2"/>
      <c r="B4" s="6" t="s">
        <v>1</v>
      </c>
      <c r="C4" s="2"/>
      <c r="D4" s="2"/>
      <c r="E4" s="2"/>
      <c r="F4" s="3"/>
      <c r="G4" s="4"/>
      <c r="H4" s="4"/>
    </row>
    <row r="5" customFormat="false" ht="18" hidden="false" customHeight="true" outlineLevel="0" collapsed="false">
      <c r="A5" s="2"/>
      <c r="B5" s="7" t="s">
        <v>2</v>
      </c>
      <c r="C5" s="2"/>
      <c r="D5" s="2"/>
      <c r="E5" s="2"/>
      <c r="F5" s="3"/>
      <c r="G5" s="4"/>
      <c r="H5" s="4"/>
    </row>
    <row r="6" customFormat="false" ht="7.5" hidden="false" customHeight="true" outlineLevel="0" collapsed="false">
      <c r="A6" s="2"/>
      <c r="B6" s="2"/>
      <c r="C6" s="2"/>
      <c r="D6" s="2"/>
      <c r="E6" s="2"/>
      <c r="F6" s="3"/>
      <c r="G6" s="4"/>
      <c r="H6" s="4"/>
    </row>
    <row r="7" customFormat="false" ht="4.5" hidden="false" customHeight="true" outlineLevel="0" collapsed="false">
      <c r="A7" s="8"/>
      <c r="B7" s="8"/>
      <c r="C7" s="8"/>
      <c r="D7" s="8"/>
      <c r="E7" s="8"/>
      <c r="F7" s="3"/>
      <c r="G7" s="4"/>
      <c r="H7" s="4"/>
    </row>
    <row r="8" customFormat="false" ht="12" hidden="false" customHeight="true" outlineLevel="0" collapsed="false">
      <c r="A8" s="2"/>
      <c r="B8" s="2"/>
      <c r="C8" s="2"/>
      <c r="D8" s="2"/>
      <c r="E8" s="2"/>
      <c r="F8" s="3"/>
      <c r="G8" s="4"/>
      <c r="H8" s="4"/>
    </row>
    <row r="9" customFormat="false" ht="15.75" hidden="false" customHeight="true" outlineLevel="0" collapsed="false">
      <c r="A9" s="3"/>
      <c r="B9" s="3"/>
      <c r="C9" s="3"/>
      <c r="D9" s="3"/>
      <c r="E9" s="3"/>
      <c r="F9" s="3"/>
      <c r="G9" s="4"/>
      <c r="H9" s="4"/>
    </row>
    <row r="10" customFormat="false" ht="27.75" hidden="false" customHeight="true" outlineLevel="0" collapsed="false">
      <c r="A10" s="3"/>
      <c r="B10" s="9" t="s">
        <v>3</v>
      </c>
      <c r="C10" s="3"/>
      <c r="D10" s="3"/>
      <c r="E10" s="3"/>
      <c r="F10" s="3"/>
      <c r="G10" s="4"/>
      <c r="H10" s="4"/>
    </row>
    <row r="11" customFormat="false" ht="21.75" hidden="false" customHeight="true" outlineLevel="0" collapsed="false">
      <c r="A11" s="3"/>
      <c r="B11" s="10" t="s">
        <v>4</v>
      </c>
      <c r="C11" s="11" t="s">
        <v>5</v>
      </c>
      <c r="D11" s="3"/>
      <c r="E11" s="3"/>
      <c r="F11" s="3"/>
      <c r="G11" s="4"/>
      <c r="H11" s="4"/>
    </row>
    <row r="12" customFormat="false" ht="21.75" hidden="false" customHeight="true" outlineLevel="0" collapsed="false">
      <c r="A12" s="3"/>
      <c r="B12" s="10" t="s">
        <v>6</v>
      </c>
      <c r="C12" s="11" t="s">
        <v>7</v>
      </c>
      <c r="D12" s="3"/>
      <c r="E12" s="3"/>
      <c r="F12" s="3"/>
      <c r="G12" s="4"/>
      <c r="H12" s="4"/>
    </row>
    <row r="13" customFormat="false" ht="21.75" hidden="false" customHeight="true" outlineLevel="0" collapsed="false">
      <c r="A13" s="3"/>
      <c r="B13" s="10" t="s">
        <v>8</v>
      </c>
      <c r="C13" s="11" t="s">
        <v>9</v>
      </c>
      <c r="D13" s="3"/>
      <c r="E13" s="3"/>
      <c r="F13" s="3"/>
      <c r="G13" s="4"/>
      <c r="H13" s="4"/>
    </row>
    <row r="14" customFormat="false" ht="21.75" hidden="false" customHeight="true" outlineLevel="0" collapsed="false">
      <c r="A14" s="3"/>
      <c r="B14" s="10" t="s">
        <v>10</v>
      </c>
      <c r="C14" s="11" t="s">
        <v>11</v>
      </c>
      <c r="D14" s="3"/>
      <c r="E14" s="3"/>
      <c r="F14" s="3"/>
      <c r="G14" s="4"/>
      <c r="H14" s="4"/>
    </row>
    <row r="15" customFormat="false" ht="21.75" hidden="false" customHeight="true" outlineLevel="0" collapsed="false">
      <c r="A15" s="3"/>
      <c r="B15" s="10" t="s">
        <v>12</v>
      </c>
      <c r="C15" s="11" t="s">
        <v>13</v>
      </c>
      <c r="D15" s="3"/>
      <c r="E15" s="3"/>
      <c r="F15" s="3"/>
      <c r="G15" s="4"/>
      <c r="H15" s="4"/>
    </row>
    <row r="16" customFormat="false" ht="21.75" hidden="false" customHeight="true" outlineLevel="0" collapsed="false">
      <c r="A16" s="3"/>
      <c r="B16" s="10" t="s">
        <v>14</v>
      </c>
      <c r="C16" s="11" t="s">
        <v>15</v>
      </c>
      <c r="D16" s="3"/>
      <c r="E16" s="3"/>
      <c r="F16" s="3"/>
      <c r="G16" s="4"/>
      <c r="H16" s="4"/>
    </row>
    <row r="17" customFormat="false" ht="21.75" hidden="false" customHeight="true" outlineLevel="0" collapsed="false">
      <c r="A17" s="3"/>
      <c r="B17" s="10" t="s">
        <v>16</v>
      </c>
      <c r="C17" s="11" t="s">
        <v>17</v>
      </c>
      <c r="D17" s="3"/>
      <c r="E17" s="3"/>
      <c r="F17" s="3"/>
      <c r="G17" s="4"/>
      <c r="H17" s="4"/>
    </row>
    <row r="18" customFormat="false" ht="21.75" hidden="false" customHeight="true" outlineLevel="0" collapsed="false">
      <c r="A18" s="3"/>
      <c r="B18" s="10" t="s">
        <v>18</v>
      </c>
      <c r="C18" s="11" t="s">
        <v>19</v>
      </c>
      <c r="D18" s="3"/>
      <c r="E18" s="3"/>
      <c r="F18" s="3"/>
      <c r="G18" s="4"/>
      <c r="H18" s="4"/>
    </row>
    <row r="19" customFormat="false" ht="13.5" hidden="false" customHeight="true" outlineLevel="0" collapsed="false">
      <c r="A19" s="3"/>
      <c r="B19" s="3"/>
      <c r="C19" s="3"/>
      <c r="D19" s="3"/>
      <c r="E19" s="3"/>
      <c r="F19" s="3"/>
      <c r="G19" s="4"/>
      <c r="H19" s="4"/>
    </row>
    <row r="20" customFormat="false" ht="25.5" hidden="false" customHeight="true" outlineLevel="0" collapsed="false">
      <c r="A20" s="3"/>
      <c r="B20" s="9" t="s">
        <v>20</v>
      </c>
      <c r="C20" s="3"/>
      <c r="D20" s="3"/>
      <c r="E20" s="3"/>
      <c r="F20" s="3"/>
      <c r="G20" s="4"/>
      <c r="H20" s="4"/>
    </row>
    <row r="21" customFormat="false" ht="6" hidden="false" customHeight="true" outlineLevel="0" collapsed="false">
      <c r="A21" s="3"/>
      <c r="B21" s="3"/>
      <c r="C21" s="3"/>
      <c r="D21" s="3"/>
      <c r="E21" s="3"/>
      <c r="F21" s="3"/>
      <c r="G21" s="4"/>
      <c r="H21" s="4"/>
    </row>
    <row r="22" customFormat="false" ht="18" hidden="false" customHeight="true" outlineLevel="0" collapsed="false">
      <c r="A22" s="3"/>
      <c r="B22" s="12" t="s">
        <v>21</v>
      </c>
      <c r="C22" s="3"/>
      <c r="D22" s="3"/>
      <c r="E22" s="3"/>
      <c r="F22" s="3"/>
      <c r="G22" s="4"/>
      <c r="H22" s="4"/>
    </row>
    <row r="23" customFormat="false" ht="18" hidden="false" customHeight="true" outlineLevel="0" collapsed="false">
      <c r="A23" s="3"/>
      <c r="B23" s="13" t="s">
        <v>22</v>
      </c>
      <c r="C23" s="3"/>
      <c r="D23" s="3"/>
      <c r="E23" s="3"/>
      <c r="F23" s="3"/>
      <c r="G23" s="4"/>
      <c r="H23" s="4"/>
    </row>
    <row r="24" customFormat="false" ht="18" hidden="false" customHeight="true" outlineLevel="0" collapsed="false">
      <c r="A24" s="3"/>
      <c r="B24" s="14" t="s">
        <v>23</v>
      </c>
      <c r="C24" s="3"/>
      <c r="D24" s="3"/>
      <c r="E24" s="3"/>
      <c r="F24" s="3"/>
      <c r="G24" s="4"/>
      <c r="H24" s="4"/>
    </row>
    <row r="25" customFormat="false" ht="18" hidden="false" customHeight="true" outlineLevel="0" collapsed="false">
      <c r="A25" s="3"/>
      <c r="B25" s="15" t="s">
        <v>24</v>
      </c>
      <c r="C25" s="3"/>
      <c r="D25" s="3"/>
      <c r="E25" s="3"/>
      <c r="F25" s="3"/>
      <c r="G25" s="4"/>
      <c r="H25" s="4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</row>
    <row r="27" customFormat="false" ht="18" hidden="false" customHeight="true" outlineLevel="0" collapsed="false">
      <c r="A27" s="3"/>
      <c r="B27" s="16" t="s">
        <v>25</v>
      </c>
      <c r="C27" s="3"/>
      <c r="D27" s="3"/>
      <c r="E27" s="3"/>
      <c r="F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</row>
    <row r="29" customFormat="false" ht="30" hidden="false" customHeight="true" outlineLevel="0" collapsed="false">
      <c r="A29" s="3"/>
      <c r="B29" s="17" t="s">
        <v>26</v>
      </c>
      <c r="C29" s="3"/>
      <c r="D29" s="3"/>
      <c r="E29" s="3"/>
      <c r="F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420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46"/>
  </cols>
  <sheetData>
    <row r="1" customFormat="false" ht="33.75" hidden="false" customHeight="true" outlineLevel="0" collapsed="false">
      <c r="A1" s="18" t="s">
        <v>27</v>
      </c>
      <c r="B1" s="18"/>
      <c r="C1" s="18"/>
      <c r="D1" s="18"/>
      <c r="E1" s="19"/>
    </row>
    <row r="2" customFormat="false" ht="18" hidden="false" customHeight="true" outlineLevel="0" collapsed="false">
      <c r="A2" s="20" t="s">
        <v>28</v>
      </c>
      <c r="B2" s="21"/>
      <c r="C2" s="21"/>
      <c r="D2" s="21"/>
      <c r="E2" s="19"/>
    </row>
    <row r="3" customFormat="false" ht="24" hidden="false" customHeight="true" outlineLevel="0" collapsed="false">
      <c r="A3" s="22" t="s">
        <v>29</v>
      </c>
      <c r="B3" s="23"/>
      <c r="C3" s="23"/>
      <c r="D3" s="23"/>
      <c r="E3" s="19"/>
    </row>
    <row r="4" customFormat="false" ht="21.75" hidden="false" customHeight="true" outlineLevel="0" collapsed="false">
      <c r="A4" s="24" t="s">
        <v>30</v>
      </c>
      <c r="B4" s="25"/>
      <c r="C4" s="25"/>
      <c r="D4" s="26"/>
      <c r="E4" s="19"/>
    </row>
    <row r="5" customFormat="false" ht="21.75" hidden="false" customHeight="true" outlineLevel="0" collapsed="false">
      <c r="A5" s="27" t="s">
        <v>31</v>
      </c>
      <c r="B5" s="28" t="n">
        <v>52</v>
      </c>
      <c r="C5" s="29"/>
      <c r="D5" s="30"/>
      <c r="E5" s="19"/>
    </row>
    <row r="6" customFormat="false" ht="21.75" hidden="false" customHeight="true" outlineLevel="0" collapsed="false">
      <c r="A6" s="24" t="s">
        <v>32</v>
      </c>
      <c r="B6" s="28" t="n">
        <v>55</v>
      </c>
      <c r="C6" s="25"/>
      <c r="D6" s="26"/>
      <c r="E6" s="19"/>
    </row>
    <row r="7" customFormat="false" ht="21.75" hidden="false" customHeight="true" outlineLevel="0" collapsed="false">
      <c r="A7" s="27" t="s">
        <v>33</v>
      </c>
      <c r="B7" s="28" t="n">
        <v>67</v>
      </c>
      <c r="C7" s="29"/>
      <c r="D7" s="31" t="s">
        <v>34</v>
      </c>
      <c r="E7" s="19"/>
    </row>
    <row r="8" customFormat="false" ht="21.75" hidden="false" customHeight="true" outlineLevel="0" collapsed="false">
      <c r="A8" s="24" t="s">
        <v>35</v>
      </c>
      <c r="B8" s="28" t="n">
        <v>90</v>
      </c>
      <c r="C8" s="25"/>
      <c r="D8" s="32" t="s">
        <v>36</v>
      </c>
      <c r="E8" s="19"/>
    </row>
    <row r="9" customFormat="false" ht="21.75" hidden="false" customHeight="true" outlineLevel="0" collapsed="false">
      <c r="A9" s="27" t="s">
        <v>37</v>
      </c>
      <c r="B9" s="28" t="s">
        <v>38</v>
      </c>
      <c r="C9" s="29"/>
      <c r="D9" s="31" t="s">
        <v>39</v>
      </c>
      <c r="E9" s="19"/>
    </row>
    <row r="10" customFormat="false" ht="21.75" hidden="false" customHeight="true" outlineLevel="0" collapsed="false">
      <c r="A10" s="24" t="s">
        <v>40</v>
      </c>
      <c r="B10" s="28" t="s">
        <v>41</v>
      </c>
      <c r="C10" s="25"/>
      <c r="D10" s="32" t="s">
        <v>42</v>
      </c>
      <c r="E10" s="19"/>
    </row>
    <row r="11" customFormat="false" ht="21.75" hidden="false" customHeight="true" outlineLevel="0" collapsed="false">
      <c r="A11" s="27" t="s">
        <v>43</v>
      </c>
      <c r="B11" s="33" t="n">
        <v>0</v>
      </c>
      <c r="C11" s="29"/>
      <c r="D11" s="31" t="s">
        <v>44</v>
      </c>
      <c r="E11" s="19"/>
    </row>
    <row r="12" customFormat="false" ht="21.75" hidden="false" customHeight="true" outlineLevel="0" collapsed="false">
      <c r="A12" s="24" t="s">
        <v>45</v>
      </c>
      <c r="B12" s="28" t="n">
        <v>2026</v>
      </c>
      <c r="C12" s="25"/>
      <c r="D12" s="26"/>
      <c r="E12" s="19"/>
    </row>
    <row r="13" customFormat="false" ht="24" hidden="false" customHeight="true" outlineLevel="0" collapsed="false">
      <c r="A13" s="22" t="s">
        <v>46</v>
      </c>
      <c r="B13" s="23"/>
      <c r="C13" s="23"/>
      <c r="D13" s="23"/>
      <c r="E13" s="19"/>
    </row>
    <row r="14" customFormat="false" ht="21.75" hidden="false" customHeight="true" outlineLevel="0" collapsed="false">
      <c r="A14" s="24" t="s">
        <v>47</v>
      </c>
      <c r="B14" s="25"/>
      <c r="C14" s="25"/>
      <c r="D14" s="26"/>
      <c r="E14" s="19"/>
    </row>
    <row r="15" customFormat="false" ht="21.75" hidden="false" customHeight="true" outlineLevel="0" collapsed="false">
      <c r="A15" s="27" t="s">
        <v>48</v>
      </c>
      <c r="B15" s="34" t="n">
        <v>350000</v>
      </c>
      <c r="C15" s="29"/>
      <c r="D15" s="30"/>
      <c r="E15" s="19"/>
    </row>
    <row r="16" customFormat="false" ht="21.75" hidden="false" customHeight="true" outlineLevel="0" collapsed="false">
      <c r="A16" s="24" t="s">
        <v>49</v>
      </c>
      <c r="B16" s="34" t="n">
        <v>650000</v>
      </c>
      <c r="C16" s="25"/>
      <c r="D16" s="26"/>
      <c r="E16" s="19"/>
    </row>
    <row r="17" customFormat="false" ht="21.75" hidden="false" customHeight="true" outlineLevel="0" collapsed="false">
      <c r="A17" s="27" t="s">
        <v>50</v>
      </c>
      <c r="B17" s="34" t="n">
        <v>150000</v>
      </c>
      <c r="C17" s="29"/>
      <c r="D17" s="30"/>
      <c r="E17" s="19"/>
    </row>
    <row r="18" customFormat="false" ht="21.75" hidden="false" customHeight="true" outlineLevel="0" collapsed="false">
      <c r="A18" s="24" t="s">
        <v>51</v>
      </c>
      <c r="B18" s="34" t="n">
        <v>75000</v>
      </c>
      <c r="C18" s="25"/>
      <c r="D18" s="32" t="s">
        <v>52</v>
      </c>
      <c r="E18" s="19"/>
    </row>
    <row r="19" customFormat="false" ht="24" hidden="false" customHeight="true" outlineLevel="0" collapsed="false">
      <c r="A19" s="22" t="s">
        <v>53</v>
      </c>
      <c r="B19" s="35" t="n">
        <f aca="false">B15+B16+B17+B18</f>
        <v>1225000</v>
      </c>
      <c r="C19" s="23"/>
      <c r="D19" s="23"/>
      <c r="E19" s="19"/>
    </row>
    <row r="20" customFormat="false" ht="21.75" hidden="false" customHeight="true" outlineLevel="0" collapsed="false">
      <c r="A20" s="36"/>
      <c r="B20" s="25"/>
      <c r="C20" s="25"/>
      <c r="D20" s="26"/>
      <c r="E20" s="19"/>
    </row>
    <row r="21" customFormat="false" ht="21.75" hidden="false" customHeight="true" outlineLevel="0" collapsed="false">
      <c r="A21" s="27" t="s">
        <v>54</v>
      </c>
      <c r="B21" s="29"/>
      <c r="C21" s="29"/>
      <c r="D21" s="30"/>
      <c r="E21" s="19"/>
    </row>
    <row r="22" customFormat="false" ht="21.75" hidden="false" customHeight="true" outlineLevel="0" collapsed="false">
      <c r="A22" s="24" t="s">
        <v>55</v>
      </c>
      <c r="B22" s="34" t="n">
        <v>55000</v>
      </c>
      <c r="C22" s="25"/>
      <c r="D22" s="26"/>
      <c r="E22" s="19"/>
    </row>
    <row r="23" customFormat="false" ht="21.75" hidden="false" customHeight="true" outlineLevel="0" collapsed="false">
      <c r="A23" s="27" t="s">
        <v>56</v>
      </c>
      <c r="B23" s="33" t="n">
        <v>0.025</v>
      </c>
      <c r="C23" s="29"/>
      <c r="D23" s="30"/>
      <c r="E23" s="19"/>
    </row>
    <row r="24" customFormat="false" ht="21.75" hidden="false" customHeight="true" outlineLevel="0" collapsed="false">
      <c r="A24" s="24" t="s">
        <v>57</v>
      </c>
      <c r="B24" s="34" t="n">
        <v>0</v>
      </c>
      <c r="C24" s="25"/>
      <c r="D24" s="26" t="s">
        <v>58</v>
      </c>
      <c r="E24" s="19"/>
    </row>
    <row r="25" customFormat="false" ht="21.75" hidden="false" customHeight="true" outlineLevel="0" collapsed="false">
      <c r="A25" s="27" t="s">
        <v>59</v>
      </c>
      <c r="B25" s="34" t="n">
        <v>24000</v>
      </c>
      <c r="C25" s="29"/>
      <c r="D25" s="31" t="s">
        <v>60</v>
      </c>
      <c r="E25" s="19"/>
    </row>
    <row r="26" customFormat="false" ht="21.75" hidden="false" customHeight="true" outlineLevel="0" collapsed="false">
      <c r="A26" s="27" t="s">
        <v>61</v>
      </c>
      <c r="B26" s="37" t="n">
        <v>2</v>
      </c>
      <c r="C26" s="29"/>
      <c r="D26" s="30" t="s">
        <v>62</v>
      </c>
      <c r="E26" s="19"/>
    </row>
    <row r="27" customFormat="false" ht="21.75" hidden="false" customHeight="true" outlineLevel="0" collapsed="false">
      <c r="A27" s="27" t="s">
        <v>63</v>
      </c>
      <c r="B27" s="29"/>
      <c r="C27" s="29"/>
      <c r="D27" s="30"/>
      <c r="E27" s="19"/>
    </row>
    <row r="28" customFormat="false" ht="21.75" hidden="false" customHeight="true" outlineLevel="0" collapsed="false">
      <c r="A28" s="24" t="s">
        <v>64</v>
      </c>
      <c r="B28" s="33" t="n">
        <v>0.065</v>
      </c>
      <c r="C28" s="25"/>
      <c r="D28" s="26" t="s">
        <v>65</v>
      </c>
      <c r="E28" s="19"/>
    </row>
    <row r="29" customFormat="false" ht="21.75" hidden="false" customHeight="true" outlineLevel="0" collapsed="false">
      <c r="A29" s="27" t="s">
        <v>66</v>
      </c>
      <c r="B29" s="33" t="n">
        <v>0.12</v>
      </c>
      <c r="C29" s="29"/>
      <c r="D29" s="31" t="s">
        <v>67</v>
      </c>
      <c r="E29" s="19"/>
    </row>
    <row r="30" customFormat="false" ht="21.75" hidden="false" customHeight="true" outlineLevel="0" collapsed="false">
      <c r="A30" s="36"/>
      <c r="B30" s="25"/>
      <c r="C30" s="25"/>
      <c r="D30" s="26"/>
      <c r="E30" s="19"/>
    </row>
    <row r="31" customFormat="false" ht="21.75" hidden="false" customHeight="true" outlineLevel="0" collapsed="false">
      <c r="A31" s="27" t="s">
        <v>68</v>
      </c>
      <c r="B31" s="29"/>
      <c r="C31" s="29"/>
      <c r="D31" s="30"/>
      <c r="E31" s="19"/>
    </row>
    <row r="32" customFormat="false" ht="21.75" hidden="false" customHeight="true" outlineLevel="0" collapsed="false">
      <c r="A32" s="24" t="s">
        <v>69</v>
      </c>
      <c r="B32" s="38" t="n">
        <f aca="false">MAX(0, 59.5 - B6)</f>
        <v>4.5</v>
      </c>
      <c r="C32" s="25"/>
      <c r="D32" s="26"/>
      <c r="E32" s="19"/>
    </row>
    <row r="33" customFormat="false" ht="21.75" hidden="false" customHeight="true" outlineLevel="0" collapsed="false">
      <c r="A33" s="27" t="s">
        <v>70</v>
      </c>
      <c r="B33" s="39" t="n">
        <f aca="false">B22*(1+B23)^MAX(0,B6-B5)/B35</f>
        <v>0.0400266619781687</v>
      </c>
      <c r="C33" s="29"/>
      <c r="D33" s="30"/>
      <c r="E33" s="19"/>
    </row>
    <row r="34" customFormat="false" ht="21.75" hidden="false" customHeight="true" outlineLevel="0" collapsed="false">
      <c r="A34" s="24" t="s">
        <v>71</v>
      </c>
      <c r="B34" s="40" t="n">
        <f aca="false">IF(B9="MFJ",32200,16100)</f>
        <v>32200</v>
      </c>
      <c r="C34" s="25"/>
      <c r="D34" s="26"/>
      <c r="E34" s="19"/>
    </row>
    <row r="35" customFormat="false" ht="21.75" hidden="false" customHeight="true" outlineLevel="0" collapsed="false">
      <c r="A35" s="27" t="s">
        <v>72</v>
      </c>
      <c r="B35" s="41" t="n">
        <f aca="false">B19*(1+B28)^MAX(0,B6-B5)</f>
        <v>1479738.290625</v>
      </c>
      <c r="C35" s="29"/>
      <c r="D35" s="30" t="s">
        <v>73</v>
      </c>
      <c r="E35" s="19"/>
    </row>
    <row r="36" customFormat="false" ht="15" hidden="false" customHeight="true" outlineLevel="0" collapsed="false">
      <c r="A36" s="21"/>
      <c r="B36" s="21"/>
      <c r="C36" s="21"/>
      <c r="D36" s="21"/>
      <c r="E36" s="19"/>
    </row>
  </sheetData>
  <mergeCells count="1">
    <mergeCell ref="A1:D1"/>
  </mergeCells>
  <dataValidations count="2">
    <dataValidation allowBlank="false" errorStyle="stop" operator="between" showDropDown="false" showErrorMessage="false" showInputMessage="false" sqref="B9" type="list">
      <formula1>"MFJ,Single"</formula1>
      <formula2>0</formula2>
    </dataValidation>
    <dataValidation allowBlank="false" errorStyle="stop" operator="between" showDropDown="false" showErrorMessage="false" showInputMessage="false" sqref="B10" type="list">
      <formula1>"AL,AK,AZ,AR,CA,CO,CT,DE,FL,GA,HI,ID,IL,IN,IA,KS,KY,LA,ME,MD,MA,MI,MN,MS,MO,MT,NE,NV,NH,NJ,NM,NY,NC,ND,OH,OK,OR,PA,RI,SC,SD,TN,TX,UT,VT,VA,WA,WV,WI,WY"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A3A"/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5" min="14" style="1" width="16"/>
  </cols>
  <sheetData>
    <row r="1" customFormat="false" ht="30" hidden="false" customHeight="true" outlineLevel="0" collapsed="false">
      <c r="A1" s="42" t="s">
        <v>74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.75" hidden="false" customHeight="true" outlineLevel="0" collapsed="false">
      <c r="A2" s="43" t="str">
        <f aca="false">IF(INPUTS!$B$32=0,"No bridge needed — retiring at or after age 59½. See POST-59.5 for your projection.","Withdrawal cascade: Taxable+Cash first → Roth → 401k. Starting balances = today's balances grown to retirement age.")</f>
        <v>Withdrawal cascade: Taxable+Cash first → Roth → 401k. Starting balances = today's balances grown to retirement age.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customFormat="false" ht="31.5" hidden="false" customHeight="true" outlineLevel="0" collapsed="false">
      <c r="A3" s="44" t="s">
        <v>75</v>
      </c>
      <c r="B3" s="44" t="s">
        <v>76</v>
      </c>
      <c r="C3" s="44" t="s">
        <v>77</v>
      </c>
      <c r="D3" s="44" t="s">
        <v>78</v>
      </c>
      <c r="E3" s="44" t="s">
        <v>79</v>
      </c>
      <c r="F3" s="44" t="s">
        <v>80</v>
      </c>
      <c r="G3" s="44" t="s">
        <v>81</v>
      </c>
      <c r="H3" s="44" t="s">
        <v>82</v>
      </c>
      <c r="I3" s="44" t="s">
        <v>83</v>
      </c>
      <c r="J3" s="44" t="s">
        <v>84</v>
      </c>
      <c r="K3" s="44" t="s">
        <v>85</v>
      </c>
      <c r="L3" s="44" t="s">
        <v>86</v>
      </c>
      <c r="M3" s="44" t="s">
        <v>87</v>
      </c>
      <c r="N3" s="44" t="s">
        <v>88</v>
      </c>
      <c r="O3" s="44" t="s">
        <v>89</v>
      </c>
    </row>
    <row r="4" customFormat="false" ht="18.75" hidden="false" customHeight="true" outlineLevel="0" collapsed="false">
      <c r="A4" s="45" t="n">
        <f aca="false">IF(INPUTS!$B$32=0,"",IF(0&gt;=INPUTS!$B$32,"",INPUTS!$B$12+(INPUTS!$B$6-INPUTS!$B$5)+0))</f>
        <v>2029</v>
      </c>
      <c r="B4" s="45" t="n">
        <f aca="false">IF(INPUTS!$B$32=0,"",IF(0&gt;=INPUTS!$B$32,"",INPUTS!$B$6+0))</f>
        <v>55</v>
      </c>
      <c r="C4" s="46" t="n">
        <f aca="false">IF(INPUTS!$B$32=0,"",IF(0&gt;=INPUTS!$B$32,"",INPUTS!$B$22*(1+INPUTS!$B$23)^(INPUTS!$B$6-INPUTS!$B$5+0)))</f>
        <v>59228.984375</v>
      </c>
      <c r="D4" s="46" t="n">
        <f aca="false">IF(INPUTS!$B$32=0,"",IF(0&gt;=INPUTS!$B$32,"",INPUTS!$B$24))</f>
        <v>0</v>
      </c>
      <c r="E4" s="46" t="n">
        <f aca="false">IF(INPUTS!$B$32=0,"",IF(0&gt;=INPUTS!$B$32,"",MAX(0,C4-D4)))</f>
        <v>59228.984375</v>
      </c>
      <c r="F4" s="46" t="n">
        <f aca="false">IF(INPUTS!$B$32=0,"",IF(0&gt;=INPUTS!$B$32,"",(INPUTS!$B$15+INPUTS!$B$18)*(1+INPUTS!$B$28)^MAX(0,INPUTS!$B$6-INPUTS!$B$5)))</f>
        <v>513378.590625</v>
      </c>
      <c r="G4" s="46" t="n">
        <f aca="false">IF(INPUTS!$B$32=0,"",IF(0&gt;=INPUTS!$B$32,"",INPUTS!$B$17*(1+INPUTS!$B$28)^MAX(0,INPUTS!$B$6-INPUTS!$B$5)))</f>
        <v>181192.44375</v>
      </c>
      <c r="H4" s="46" t="n">
        <f aca="false">IF(INPUTS!$B$32=0,"",IF(0&gt;=INPUTS!$B$32,"",INPUTS!$B$16*(1+INPUTS!$B$28)^MAX(0,INPUTS!$B$6-INPUTS!$B$5)))</f>
        <v>785167.25625</v>
      </c>
      <c r="I4" s="46" t="n">
        <f aca="false">IF(INPUTS!$B$32=0,"",IF(0&gt;=INPUTS!$B$32,"",MIN(E4,F4)))</f>
        <v>59228.984375</v>
      </c>
      <c r="J4" s="46" t="n">
        <f aca="false">IF(INPUTS!$B$32=0,"",IF(0&gt;=INPUTS!$B$32,"",MIN(E4-I4,G4)))</f>
        <v>0</v>
      </c>
      <c r="K4" s="46" t="n">
        <f aca="false">IF(INPUTS!$B$32=0,"",IF(0&gt;=INPUTS!$B$32,"",MIN(E4-I4-J4,H4)))</f>
        <v>0</v>
      </c>
      <c r="L4" s="46" t="n">
        <f aca="false">IF(INPUTS!$B$32=0,"",IF(0&gt;=INPUTS!$B$32,"",(F4-I4)*(1+INPUTS!$B$28)))</f>
        <v>483669.33065625</v>
      </c>
      <c r="M4" s="46" t="n">
        <f aca="false">IF(INPUTS!$B$32=0,"",IF(0&gt;=INPUTS!$B$32,"",(G4-J4)*(1+INPUTS!$B$28)))</f>
        <v>192969.95259375</v>
      </c>
      <c r="N4" s="46" t="n">
        <f aca="false">IF(INPUTS!$B$32=0,"",IF(0&gt;=INPUTS!$B$32,"",(H4-K4)*(1+INPUTS!$B$28)))</f>
        <v>836203.12790625</v>
      </c>
      <c r="O4" s="46" t="n">
        <f aca="false">IF(INPUTS!$B$32=0,"",IF(0&gt;=INPUTS!$B$32,"",L4+M4+N4))</f>
        <v>1512842.41115625</v>
      </c>
    </row>
    <row r="5" customFormat="false" ht="18.75" hidden="false" customHeight="true" outlineLevel="0" collapsed="false">
      <c r="A5" s="47" t="n">
        <f aca="false">IF(INPUTS!$B$32=0,"",IF(1&gt;=INPUTS!$B$32,"",INPUTS!$B$12+(INPUTS!$B$6-INPUTS!$B$5)+1))</f>
        <v>2030</v>
      </c>
      <c r="B5" s="47" t="n">
        <f aca="false">IF(INPUTS!$B$32=0,"",IF(1&gt;=INPUTS!$B$32,"",INPUTS!$B$6+1))</f>
        <v>56</v>
      </c>
      <c r="C5" s="48" t="n">
        <f aca="false">IF(INPUTS!$B$32=0,"",IF(1&gt;=INPUTS!$B$32,"",INPUTS!$B$22*(1+INPUTS!$B$23)^(INPUTS!$B$6-INPUTS!$B$5+1)))</f>
        <v>60709.708984375</v>
      </c>
      <c r="D5" s="48" t="n">
        <f aca="false">IF(INPUTS!$B$32=0,"",IF(1&gt;=INPUTS!$B$32,"",INPUTS!$B$24))</f>
        <v>0</v>
      </c>
      <c r="E5" s="48" t="n">
        <f aca="false">IF(INPUTS!$B$32=0,"",IF(1&gt;=INPUTS!$B$32,"",MAX(0,C5-D5)))</f>
        <v>60709.708984375</v>
      </c>
      <c r="F5" s="48" t="n">
        <f aca="false">IF(INPUTS!$B$32=0,"",IF(1&gt;=INPUTS!$B$32,"",L4))</f>
        <v>483669.33065625</v>
      </c>
      <c r="G5" s="48" t="n">
        <f aca="false">IF(INPUTS!$B$32=0,"",IF(1&gt;=INPUTS!$B$32,"",M4))</f>
        <v>192969.95259375</v>
      </c>
      <c r="H5" s="48" t="n">
        <f aca="false">IF(INPUTS!$B$32=0,"",IF(1&gt;=INPUTS!$B$32,"",N4))</f>
        <v>836203.12790625</v>
      </c>
      <c r="I5" s="48" t="n">
        <f aca="false">IF(INPUTS!$B$32=0,"",IF(1&gt;=INPUTS!$B$32,"",MIN(E5,F5)))</f>
        <v>60709.708984375</v>
      </c>
      <c r="J5" s="48" t="n">
        <f aca="false">IF(INPUTS!$B$32=0,"",IF(1&gt;=INPUTS!$B$32,"",MIN(E5-I5,G5)))</f>
        <v>0</v>
      </c>
      <c r="K5" s="48" t="n">
        <f aca="false">IF(INPUTS!$B$32=0,"",IF(1&gt;=INPUTS!$B$32,"",MIN(E5-I5-J5,H5)))</f>
        <v>0</v>
      </c>
      <c r="L5" s="48" t="n">
        <f aca="false">IF(INPUTS!$B$32=0,"",IF(1&gt;=INPUTS!$B$32,"",(F5-I5)*(1+INPUTS!$B$28)))</f>
        <v>450451.997080547</v>
      </c>
      <c r="M5" s="48" t="n">
        <f aca="false">IF(INPUTS!$B$32=0,"",IF(1&gt;=INPUTS!$B$32,"",(G5-J5)*(1+INPUTS!$B$28)))</f>
        <v>205512.999512344</v>
      </c>
      <c r="N5" s="48" t="n">
        <f aca="false">IF(INPUTS!$B$32=0,"",IF(1&gt;=INPUTS!$B$32,"",(H5-K5)*(1+INPUTS!$B$28)))</f>
        <v>890556.331220156</v>
      </c>
      <c r="O5" s="48" t="n">
        <f aca="false">IF(INPUTS!$B$32=0,"",IF(1&gt;=INPUTS!$B$32,"",L5+M5+N5))</f>
        <v>1546521.32781305</v>
      </c>
    </row>
    <row r="6" customFormat="false" ht="18.75" hidden="false" customHeight="true" outlineLevel="0" collapsed="false">
      <c r="A6" s="45" t="n">
        <f aca="false">IF(INPUTS!$B$32=0,"",IF(2&gt;=INPUTS!$B$32,"",INPUTS!$B$12+(INPUTS!$B$6-INPUTS!$B$5)+2))</f>
        <v>2031</v>
      </c>
      <c r="B6" s="45" t="n">
        <f aca="false">IF(INPUTS!$B$32=0,"",IF(2&gt;=INPUTS!$B$32,"",INPUTS!$B$6+2))</f>
        <v>57</v>
      </c>
      <c r="C6" s="46" t="n">
        <f aca="false">IF(INPUTS!$B$32=0,"",IF(2&gt;=INPUTS!$B$32,"",INPUTS!$B$22*(1+INPUTS!$B$23)^(INPUTS!$B$6-INPUTS!$B$5+2)))</f>
        <v>62227.4517089843</v>
      </c>
      <c r="D6" s="46" t="n">
        <f aca="false">IF(INPUTS!$B$32=0,"",IF(2&gt;=INPUTS!$B$32,"",INPUTS!$B$24))</f>
        <v>0</v>
      </c>
      <c r="E6" s="46" t="n">
        <f aca="false">IF(INPUTS!$B$32=0,"",IF(2&gt;=INPUTS!$B$32,"",MAX(0,C6-D6)))</f>
        <v>62227.4517089843</v>
      </c>
      <c r="F6" s="46" t="n">
        <f aca="false">IF(INPUTS!$B$32=0,"",IF(2&gt;=INPUTS!$B$32,"",L5))</f>
        <v>450451.997080547</v>
      </c>
      <c r="G6" s="46" t="n">
        <f aca="false">IF(INPUTS!$B$32=0,"",IF(2&gt;=INPUTS!$B$32,"",M5))</f>
        <v>205512.999512344</v>
      </c>
      <c r="H6" s="46" t="n">
        <f aca="false">IF(INPUTS!$B$32=0,"",IF(2&gt;=INPUTS!$B$32,"",N5))</f>
        <v>890556.331220156</v>
      </c>
      <c r="I6" s="46" t="n">
        <f aca="false">IF(INPUTS!$B$32=0,"",IF(2&gt;=INPUTS!$B$32,"",MIN(E6,F6)))</f>
        <v>62227.4517089843</v>
      </c>
      <c r="J6" s="46" t="n">
        <f aca="false">IF(INPUTS!$B$32=0,"",IF(2&gt;=INPUTS!$B$32,"",MIN(E6-I6,G6)))</f>
        <v>0</v>
      </c>
      <c r="K6" s="46" t="n">
        <f aca="false">IF(INPUTS!$B$32=0,"",IF(2&gt;=INPUTS!$B$32,"",MIN(E6-I6-J6,H6)))</f>
        <v>0</v>
      </c>
      <c r="L6" s="46" t="n">
        <f aca="false">IF(INPUTS!$B$32=0,"",IF(2&gt;=INPUTS!$B$32,"",(F6-I6)*(1+INPUTS!$B$28)))</f>
        <v>413459.140820714</v>
      </c>
      <c r="M6" s="46" t="n">
        <f aca="false">IF(INPUTS!$B$32=0,"",IF(2&gt;=INPUTS!$B$32,"",(G6-J6)*(1+INPUTS!$B$28)))</f>
        <v>218871.344480646</v>
      </c>
      <c r="N6" s="46" t="n">
        <f aca="false">IF(INPUTS!$B$32=0,"",IF(2&gt;=INPUTS!$B$32,"",(H6-K6)*(1+INPUTS!$B$28)))</f>
        <v>948442.492749466</v>
      </c>
      <c r="O6" s="46" t="n">
        <f aca="false">IF(INPUTS!$B$32=0,"",IF(2&gt;=INPUTS!$B$32,"",L6+M6+N6))</f>
        <v>1580772.97805083</v>
      </c>
    </row>
    <row r="7" customFormat="false" ht="18.75" hidden="false" customHeight="true" outlineLevel="0" collapsed="false">
      <c r="A7" s="47" t="n">
        <f aca="false">IF(INPUTS!$B$32=0,"",IF(3&gt;=INPUTS!$B$32,"",INPUTS!$B$12+(INPUTS!$B$6-INPUTS!$B$5)+3))</f>
        <v>2032</v>
      </c>
      <c r="B7" s="47" t="n">
        <f aca="false">IF(INPUTS!$B$32=0,"",IF(3&gt;=INPUTS!$B$32,"",INPUTS!$B$6+3))</f>
        <v>58</v>
      </c>
      <c r="C7" s="48" t="n">
        <f aca="false">IF(INPUTS!$B$32=0,"",IF(3&gt;=INPUTS!$B$32,"",INPUTS!$B$22*(1+INPUTS!$B$23)^(INPUTS!$B$6-INPUTS!$B$5+3)))</f>
        <v>63783.138001709</v>
      </c>
      <c r="D7" s="48" t="n">
        <f aca="false">IF(INPUTS!$B$32=0,"",IF(3&gt;=INPUTS!$B$32,"",INPUTS!$B$24))</f>
        <v>0</v>
      </c>
      <c r="E7" s="48" t="n">
        <f aca="false">IF(INPUTS!$B$32=0,"",IF(3&gt;=INPUTS!$B$32,"",MAX(0,C7-D7)))</f>
        <v>63783.138001709</v>
      </c>
      <c r="F7" s="48" t="n">
        <f aca="false">IF(INPUTS!$B$32=0,"",IF(3&gt;=INPUTS!$B$32,"",L6))</f>
        <v>413459.140820714</v>
      </c>
      <c r="G7" s="48" t="n">
        <f aca="false">IF(INPUTS!$B$32=0,"",IF(3&gt;=INPUTS!$B$32,"",M6))</f>
        <v>218871.344480646</v>
      </c>
      <c r="H7" s="48" t="n">
        <f aca="false">IF(INPUTS!$B$32=0,"",IF(3&gt;=INPUTS!$B$32,"",N6))</f>
        <v>948442.492749466</v>
      </c>
      <c r="I7" s="48" t="n">
        <f aca="false">IF(INPUTS!$B$32=0,"",IF(3&gt;=INPUTS!$B$32,"",MIN(E7,F7)))</f>
        <v>63783.138001709</v>
      </c>
      <c r="J7" s="48" t="n">
        <f aca="false">IF(INPUTS!$B$32=0,"",IF(3&gt;=INPUTS!$B$32,"",MIN(E7-I7,G7)))</f>
        <v>0</v>
      </c>
      <c r="K7" s="48" t="n">
        <f aca="false">IF(INPUTS!$B$32=0,"",IF(3&gt;=INPUTS!$B$32,"",MIN(E7-I7-J7,H7)))</f>
        <v>0</v>
      </c>
      <c r="L7" s="48" t="n">
        <f aca="false">IF(INPUTS!$B$32=0,"",IF(3&gt;=INPUTS!$B$32,"",(F7-I7)*(1+INPUTS!$B$28)))</f>
        <v>372404.94300224</v>
      </c>
      <c r="M7" s="48" t="n">
        <f aca="false">IF(INPUTS!$B$32=0,"",IF(3&gt;=INPUTS!$B$32,"",(G7-J7)*(1+INPUTS!$B$28)))</f>
        <v>233097.981871888</v>
      </c>
      <c r="N7" s="48" t="n">
        <f aca="false">IF(INPUTS!$B$32=0,"",IF(3&gt;=INPUTS!$B$32,"",(H7-K7)*(1+INPUTS!$B$28)))</f>
        <v>1010091.25477818</v>
      </c>
      <c r="O7" s="48" t="n">
        <f aca="false">IF(INPUTS!$B$32=0,"",IF(3&gt;=INPUTS!$B$32,"",L7+M7+N7))</f>
        <v>1615594.17965231</v>
      </c>
    </row>
    <row r="8" customFormat="false" ht="18.75" hidden="false" customHeight="true" outlineLevel="0" collapsed="false">
      <c r="A8" s="45" t="n">
        <f aca="false">IF(INPUTS!$B$32=0,"",IF(4&gt;=INPUTS!$B$32,"",INPUTS!$B$12+(INPUTS!$B$6-INPUTS!$B$5)+4))</f>
        <v>2033</v>
      </c>
      <c r="B8" s="45" t="n">
        <f aca="false">IF(INPUTS!$B$32=0,"",IF(4&gt;=INPUTS!$B$32,"",INPUTS!$B$6+4))</f>
        <v>59</v>
      </c>
      <c r="C8" s="46" t="n">
        <f aca="false">IF(INPUTS!$B$32=0,"",IF(4&gt;=INPUTS!$B$32,"",INPUTS!$B$22*(1+INPUTS!$B$23)^(INPUTS!$B$6-INPUTS!$B$5+4)))</f>
        <v>65377.7164517517</v>
      </c>
      <c r="D8" s="46" t="n">
        <f aca="false">IF(INPUTS!$B$32=0,"",IF(4&gt;=INPUTS!$B$32,"",INPUTS!$B$24))</f>
        <v>0</v>
      </c>
      <c r="E8" s="46" t="n">
        <f aca="false">IF(INPUTS!$B$32=0,"",IF(4&gt;=INPUTS!$B$32,"",MAX(0,C8-D8)))</f>
        <v>65377.7164517517</v>
      </c>
      <c r="F8" s="46" t="n">
        <f aca="false">IF(INPUTS!$B$32=0,"",IF(4&gt;=INPUTS!$B$32,"",L7))</f>
        <v>372404.94300224</v>
      </c>
      <c r="G8" s="46" t="n">
        <f aca="false">IF(INPUTS!$B$32=0,"",IF(4&gt;=INPUTS!$B$32,"",M7))</f>
        <v>233097.981871888</v>
      </c>
      <c r="H8" s="46" t="n">
        <f aca="false">IF(INPUTS!$B$32=0,"",IF(4&gt;=INPUTS!$B$32,"",N7))</f>
        <v>1010091.25477818</v>
      </c>
      <c r="I8" s="46" t="n">
        <f aca="false">IF(INPUTS!$B$32=0,"",IF(4&gt;=INPUTS!$B$32,"",MIN(E8,F8)))</f>
        <v>65377.7164517517</v>
      </c>
      <c r="J8" s="46" t="n">
        <f aca="false">IF(INPUTS!$B$32=0,"",IF(4&gt;=INPUTS!$B$32,"",MIN(E8-I8,G8)))</f>
        <v>0</v>
      </c>
      <c r="K8" s="46" t="n">
        <f aca="false">IF(INPUTS!$B$32=0,"",IF(4&gt;=INPUTS!$B$32,"",MIN(E8-I8-J8,H8)))</f>
        <v>0</v>
      </c>
      <c r="L8" s="46" t="n">
        <f aca="false">IF(INPUTS!$B$32=0,"",IF(4&gt;=INPUTS!$B$32,"",(F8-I8)*(1+INPUTS!$B$28)))</f>
        <v>326983.996276271</v>
      </c>
      <c r="M8" s="46" t="n">
        <f aca="false">IF(INPUTS!$B$32=0,"",IF(4&gt;=INPUTS!$B$32,"",(G8-J8)*(1+INPUTS!$B$28)))</f>
        <v>248249.350693561</v>
      </c>
      <c r="N8" s="46" t="n">
        <f aca="false">IF(INPUTS!$B$32=0,"",IF(4&gt;=INPUTS!$B$32,"",(H8-K8)*(1+INPUTS!$B$28)))</f>
        <v>1075747.18633876</v>
      </c>
      <c r="O8" s="46" t="n">
        <f aca="false">IF(INPUTS!$B$32=0,"",IF(4&gt;=INPUTS!$B$32,"",L8+M8+N8))</f>
        <v>1650980.53330859</v>
      </c>
    </row>
    <row r="9" customFormat="false" ht="18.75" hidden="false" customHeight="true" outlineLevel="0" collapsed="false">
      <c r="A9" s="47" t="str">
        <f aca="false">IF(INPUTS!$B$32=0,"",IF(5&gt;=INPUTS!$B$32,"",INPUTS!$B$12+(INPUTS!$B$6-INPUTS!$B$5)+5))</f>
        <v/>
      </c>
      <c r="B9" s="47" t="str">
        <f aca="false">IF(INPUTS!$B$32=0,"",IF(5&gt;=INPUTS!$B$32,"",INPUTS!$B$6+5))</f>
        <v/>
      </c>
      <c r="C9" s="48" t="str">
        <f aca="false">IF(INPUTS!$B$32=0,"",IF(5&gt;=INPUTS!$B$32,"",INPUTS!$B$22*(1+INPUTS!$B$23)^(INPUTS!$B$6-INPUTS!$B$5+5)))</f>
        <v/>
      </c>
      <c r="D9" s="48" t="str">
        <f aca="false">IF(INPUTS!$B$32=0,"",IF(5&gt;=INPUTS!$B$32,"",INPUTS!$B$24))</f>
        <v/>
      </c>
      <c r="E9" s="48" t="str">
        <f aca="false">IF(INPUTS!$B$32=0,"",IF(5&gt;=INPUTS!$B$32,"",MAX(0,C9-D9)))</f>
        <v/>
      </c>
      <c r="F9" s="48" t="str">
        <f aca="false">IF(INPUTS!$B$32=0,"",IF(5&gt;=INPUTS!$B$32,"",L8))</f>
        <v/>
      </c>
      <c r="G9" s="48" t="str">
        <f aca="false">IF(INPUTS!$B$32=0,"",IF(5&gt;=INPUTS!$B$32,"",M8))</f>
        <v/>
      </c>
      <c r="H9" s="48" t="str">
        <f aca="false">IF(INPUTS!$B$32=0,"",IF(5&gt;=INPUTS!$B$32,"",N8))</f>
        <v/>
      </c>
      <c r="I9" s="48" t="str">
        <f aca="false">IF(INPUTS!$B$32=0,"",IF(5&gt;=INPUTS!$B$32,"",MIN(E9,F9)))</f>
        <v/>
      </c>
      <c r="J9" s="48" t="str">
        <f aca="false">IF(INPUTS!$B$32=0,"",IF(5&gt;=INPUTS!$B$32,"",MIN(E9-I9,G9)))</f>
        <v/>
      </c>
      <c r="K9" s="48" t="str">
        <f aca="false">IF(INPUTS!$B$32=0,"",IF(5&gt;=INPUTS!$B$32,"",MIN(E9-I9-J9,H9)))</f>
        <v/>
      </c>
      <c r="L9" s="48" t="str">
        <f aca="false">IF(INPUTS!$B$32=0,"",IF(5&gt;=INPUTS!$B$32,"",(F9-I9)*(1+INPUTS!$B$28)))</f>
        <v/>
      </c>
      <c r="M9" s="48" t="str">
        <f aca="false">IF(INPUTS!$B$32=0,"",IF(5&gt;=INPUTS!$B$32,"",(G9-J9)*(1+INPUTS!$B$28)))</f>
        <v/>
      </c>
      <c r="N9" s="48" t="str">
        <f aca="false">IF(INPUTS!$B$32=0,"",IF(5&gt;=INPUTS!$B$32,"",(H9-K9)*(1+INPUTS!$B$28)))</f>
        <v/>
      </c>
      <c r="O9" s="48" t="str">
        <f aca="false">IF(INPUTS!$B$32=0,"",IF(5&gt;=INPUTS!$B$32,"",L9+M9+N9))</f>
        <v/>
      </c>
    </row>
    <row r="10" customFormat="false" ht="18.75" hidden="false" customHeight="true" outlineLevel="0" collapsed="false">
      <c r="A10" s="45" t="str">
        <f aca="false">IF(INPUTS!$B$32=0,"",IF(6&gt;=INPUTS!$B$32,"",INPUTS!$B$12+(INPUTS!$B$6-INPUTS!$B$5)+6))</f>
        <v/>
      </c>
      <c r="B10" s="45" t="str">
        <f aca="false">IF(INPUTS!$B$32=0,"",IF(6&gt;=INPUTS!$B$32,"",INPUTS!$B$6+6))</f>
        <v/>
      </c>
      <c r="C10" s="46" t="str">
        <f aca="false">IF(INPUTS!$B$32=0,"",IF(6&gt;=INPUTS!$B$32,"",INPUTS!$B$22*(1+INPUTS!$B$23)^(INPUTS!$B$6-INPUTS!$B$5+6)))</f>
        <v/>
      </c>
      <c r="D10" s="46" t="str">
        <f aca="false">IF(INPUTS!$B$32=0,"",IF(6&gt;=INPUTS!$B$32,"",INPUTS!$B$24))</f>
        <v/>
      </c>
      <c r="E10" s="46" t="str">
        <f aca="false">IF(INPUTS!$B$32=0,"",IF(6&gt;=INPUTS!$B$32,"",MAX(0,C10-D10)))</f>
        <v/>
      </c>
      <c r="F10" s="46" t="str">
        <f aca="false">IF(INPUTS!$B$32=0,"",IF(6&gt;=INPUTS!$B$32,"",L9))</f>
        <v/>
      </c>
      <c r="G10" s="46" t="str">
        <f aca="false">IF(INPUTS!$B$32=0,"",IF(6&gt;=INPUTS!$B$32,"",M9))</f>
        <v/>
      </c>
      <c r="H10" s="46" t="str">
        <f aca="false">IF(INPUTS!$B$32=0,"",IF(6&gt;=INPUTS!$B$32,"",N9))</f>
        <v/>
      </c>
      <c r="I10" s="46" t="str">
        <f aca="false">IF(INPUTS!$B$32=0,"",IF(6&gt;=INPUTS!$B$32,"",MIN(E10,F10)))</f>
        <v/>
      </c>
      <c r="J10" s="46" t="str">
        <f aca="false">IF(INPUTS!$B$32=0,"",IF(6&gt;=INPUTS!$B$32,"",MIN(E10-I10,G10)))</f>
        <v/>
      </c>
      <c r="K10" s="46" t="str">
        <f aca="false">IF(INPUTS!$B$32=0,"",IF(6&gt;=INPUTS!$B$32,"",MIN(E10-I10-J10,H10)))</f>
        <v/>
      </c>
      <c r="L10" s="46" t="str">
        <f aca="false">IF(INPUTS!$B$32=0,"",IF(6&gt;=INPUTS!$B$32,"",(F10-I10)*(1+INPUTS!$B$28)))</f>
        <v/>
      </c>
      <c r="M10" s="46" t="str">
        <f aca="false">IF(INPUTS!$B$32=0,"",IF(6&gt;=INPUTS!$B$32,"",(G10-J10)*(1+INPUTS!$B$28)))</f>
        <v/>
      </c>
      <c r="N10" s="46" t="str">
        <f aca="false">IF(INPUTS!$B$32=0,"",IF(6&gt;=INPUTS!$B$32,"",(H10-K10)*(1+INPUTS!$B$28)))</f>
        <v/>
      </c>
      <c r="O10" s="46" t="str">
        <f aca="false">IF(INPUTS!$B$32=0,"",IF(6&gt;=INPUTS!$B$32,"",L10+M10+N10))</f>
        <v/>
      </c>
    </row>
    <row r="11" customFormat="false" ht="18.75" hidden="false" customHeight="true" outlineLevel="0" collapsed="false">
      <c r="A11" s="47" t="str">
        <f aca="false">IF(INPUTS!$B$32=0,"",IF(7&gt;=INPUTS!$B$32,"",INPUTS!$B$12+(INPUTS!$B$6-INPUTS!$B$5)+7))</f>
        <v/>
      </c>
      <c r="B11" s="47" t="str">
        <f aca="false">IF(INPUTS!$B$32=0,"",IF(7&gt;=INPUTS!$B$32,"",INPUTS!$B$6+7))</f>
        <v/>
      </c>
      <c r="C11" s="48" t="str">
        <f aca="false">IF(INPUTS!$B$32=0,"",IF(7&gt;=INPUTS!$B$32,"",INPUTS!$B$22*(1+INPUTS!$B$23)^(INPUTS!$B$6-INPUTS!$B$5+7)))</f>
        <v/>
      </c>
      <c r="D11" s="48" t="str">
        <f aca="false">IF(INPUTS!$B$32=0,"",IF(7&gt;=INPUTS!$B$32,"",INPUTS!$B$24))</f>
        <v/>
      </c>
      <c r="E11" s="48" t="str">
        <f aca="false">IF(INPUTS!$B$32=0,"",IF(7&gt;=INPUTS!$B$32,"",MAX(0,C11-D11)))</f>
        <v/>
      </c>
      <c r="F11" s="48" t="str">
        <f aca="false">IF(INPUTS!$B$32=0,"",IF(7&gt;=INPUTS!$B$32,"",L10))</f>
        <v/>
      </c>
      <c r="G11" s="48" t="str">
        <f aca="false">IF(INPUTS!$B$32=0,"",IF(7&gt;=INPUTS!$B$32,"",M10))</f>
        <v/>
      </c>
      <c r="H11" s="48" t="str">
        <f aca="false">IF(INPUTS!$B$32=0,"",IF(7&gt;=INPUTS!$B$32,"",N10))</f>
        <v/>
      </c>
      <c r="I11" s="48" t="str">
        <f aca="false">IF(INPUTS!$B$32=0,"",IF(7&gt;=INPUTS!$B$32,"",MIN(E11,F11)))</f>
        <v/>
      </c>
      <c r="J11" s="48" t="str">
        <f aca="false">IF(INPUTS!$B$32=0,"",IF(7&gt;=INPUTS!$B$32,"",MIN(E11-I11,G11)))</f>
        <v/>
      </c>
      <c r="K11" s="48" t="str">
        <f aca="false">IF(INPUTS!$B$32=0,"",IF(7&gt;=INPUTS!$B$32,"",MIN(E11-I11-J11,H11)))</f>
        <v/>
      </c>
      <c r="L11" s="48" t="str">
        <f aca="false">IF(INPUTS!$B$32=0,"",IF(7&gt;=INPUTS!$B$32,"",(F11-I11)*(1+INPUTS!$B$28)))</f>
        <v/>
      </c>
      <c r="M11" s="48" t="str">
        <f aca="false">IF(INPUTS!$B$32=0,"",IF(7&gt;=INPUTS!$B$32,"",(G11-J11)*(1+INPUTS!$B$28)))</f>
        <v/>
      </c>
      <c r="N11" s="48" t="str">
        <f aca="false">IF(INPUTS!$B$32=0,"",IF(7&gt;=INPUTS!$B$32,"",(H11-K11)*(1+INPUTS!$B$28)))</f>
        <v/>
      </c>
      <c r="O11" s="48" t="str">
        <f aca="false">IF(INPUTS!$B$32=0,"",IF(7&gt;=INPUTS!$B$32,"",L11+M11+N11))</f>
        <v/>
      </c>
    </row>
    <row r="12" customFormat="false" ht="18.75" hidden="false" customHeight="true" outlineLevel="0" collapsed="false">
      <c r="A12" s="45" t="str">
        <f aca="false">IF(INPUTS!$B$32=0,"",IF(8&gt;=INPUTS!$B$32,"",INPUTS!$B$12+(INPUTS!$B$6-INPUTS!$B$5)+8))</f>
        <v/>
      </c>
      <c r="B12" s="45" t="str">
        <f aca="false">IF(INPUTS!$B$32=0,"",IF(8&gt;=INPUTS!$B$32,"",INPUTS!$B$6+8))</f>
        <v/>
      </c>
      <c r="C12" s="46" t="str">
        <f aca="false">IF(INPUTS!$B$32=0,"",IF(8&gt;=INPUTS!$B$32,"",INPUTS!$B$22*(1+INPUTS!$B$23)^(INPUTS!$B$6-INPUTS!$B$5+8)))</f>
        <v/>
      </c>
      <c r="D12" s="46" t="str">
        <f aca="false">IF(INPUTS!$B$32=0,"",IF(8&gt;=INPUTS!$B$32,"",INPUTS!$B$24))</f>
        <v/>
      </c>
      <c r="E12" s="46" t="str">
        <f aca="false">IF(INPUTS!$B$32=0,"",IF(8&gt;=INPUTS!$B$32,"",MAX(0,C12-D12)))</f>
        <v/>
      </c>
      <c r="F12" s="46" t="str">
        <f aca="false">IF(INPUTS!$B$32=0,"",IF(8&gt;=INPUTS!$B$32,"",L11))</f>
        <v/>
      </c>
      <c r="G12" s="46" t="str">
        <f aca="false">IF(INPUTS!$B$32=0,"",IF(8&gt;=INPUTS!$B$32,"",M11))</f>
        <v/>
      </c>
      <c r="H12" s="46" t="str">
        <f aca="false">IF(INPUTS!$B$32=0,"",IF(8&gt;=INPUTS!$B$32,"",N11))</f>
        <v/>
      </c>
      <c r="I12" s="46" t="str">
        <f aca="false">IF(INPUTS!$B$32=0,"",IF(8&gt;=INPUTS!$B$32,"",MIN(E12,F12)))</f>
        <v/>
      </c>
      <c r="J12" s="46" t="str">
        <f aca="false">IF(INPUTS!$B$32=0,"",IF(8&gt;=INPUTS!$B$32,"",MIN(E12-I12,G12)))</f>
        <v/>
      </c>
      <c r="K12" s="46" t="str">
        <f aca="false">IF(INPUTS!$B$32=0,"",IF(8&gt;=INPUTS!$B$32,"",MIN(E12-I12-J12,H12)))</f>
        <v/>
      </c>
      <c r="L12" s="46" t="str">
        <f aca="false">IF(INPUTS!$B$32=0,"",IF(8&gt;=INPUTS!$B$32,"",(F12-I12)*(1+INPUTS!$B$28)))</f>
        <v/>
      </c>
      <c r="M12" s="46" t="str">
        <f aca="false">IF(INPUTS!$B$32=0,"",IF(8&gt;=INPUTS!$B$32,"",(G12-J12)*(1+INPUTS!$B$28)))</f>
        <v/>
      </c>
      <c r="N12" s="46" t="str">
        <f aca="false">IF(INPUTS!$B$32=0,"",IF(8&gt;=INPUTS!$B$32,"",(H12-K12)*(1+INPUTS!$B$28)))</f>
        <v/>
      </c>
      <c r="O12" s="46" t="str">
        <f aca="false">IF(INPUTS!$B$32=0,"",IF(8&gt;=INPUTS!$B$32,"",L12+M12+N12))</f>
        <v/>
      </c>
    </row>
    <row r="13" customFormat="false" ht="18.75" hidden="false" customHeight="true" outlineLevel="0" collapsed="false">
      <c r="A13" s="47" t="str">
        <f aca="false">IF(INPUTS!$B$32=0,"",IF(9&gt;=INPUTS!$B$32,"",INPUTS!$B$12+(INPUTS!$B$6-INPUTS!$B$5)+9))</f>
        <v/>
      </c>
      <c r="B13" s="47" t="str">
        <f aca="false">IF(INPUTS!$B$32=0,"",IF(9&gt;=INPUTS!$B$32,"",INPUTS!$B$6+9))</f>
        <v/>
      </c>
      <c r="C13" s="48" t="str">
        <f aca="false">IF(INPUTS!$B$32=0,"",IF(9&gt;=INPUTS!$B$32,"",INPUTS!$B$22*(1+INPUTS!$B$23)^(INPUTS!$B$6-INPUTS!$B$5+9)))</f>
        <v/>
      </c>
      <c r="D13" s="48" t="str">
        <f aca="false">IF(INPUTS!$B$32=0,"",IF(9&gt;=INPUTS!$B$32,"",INPUTS!$B$24))</f>
        <v/>
      </c>
      <c r="E13" s="48" t="str">
        <f aca="false">IF(INPUTS!$B$32=0,"",IF(9&gt;=INPUTS!$B$32,"",MAX(0,C13-D13)))</f>
        <v/>
      </c>
      <c r="F13" s="48" t="str">
        <f aca="false">IF(INPUTS!$B$32=0,"",IF(9&gt;=INPUTS!$B$32,"",L12))</f>
        <v/>
      </c>
      <c r="G13" s="48" t="str">
        <f aca="false">IF(INPUTS!$B$32=0,"",IF(9&gt;=INPUTS!$B$32,"",M12))</f>
        <v/>
      </c>
      <c r="H13" s="48" t="str">
        <f aca="false">IF(INPUTS!$B$32=0,"",IF(9&gt;=INPUTS!$B$32,"",N12))</f>
        <v/>
      </c>
      <c r="I13" s="48" t="str">
        <f aca="false">IF(INPUTS!$B$32=0,"",IF(9&gt;=INPUTS!$B$32,"",MIN(E13,F13)))</f>
        <v/>
      </c>
      <c r="J13" s="48" t="str">
        <f aca="false">IF(INPUTS!$B$32=0,"",IF(9&gt;=INPUTS!$B$32,"",MIN(E13-I13,G13)))</f>
        <v/>
      </c>
      <c r="K13" s="48" t="str">
        <f aca="false">IF(INPUTS!$B$32=0,"",IF(9&gt;=INPUTS!$B$32,"",MIN(E13-I13-J13,H13)))</f>
        <v/>
      </c>
      <c r="L13" s="48" t="str">
        <f aca="false">IF(INPUTS!$B$32=0,"",IF(9&gt;=INPUTS!$B$32,"",(F13-I13)*(1+INPUTS!$B$28)))</f>
        <v/>
      </c>
      <c r="M13" s="48" t="str">
        <f aca="false">IF(INPUTS!$B$32=0,"",IF(9&gt;=INPUTS!$B$32,"",(G13-J13)*(1+INPUTS!$B$28)))</f>
        <v/>
      </c>
      <c r="N13" s="48" t="str">
        <f aca="false">IF(INPUTS!$B$32=0,"",IF(9&gt;=INPUTS!$B$32,"",(H13-K13)*(1+INPUTS!$B$28)))</f>
        <v/>
      </c>
      <c r="O13" s="48" t="str">
        <f aca="false">IF(INPUTS!$B$32=0,"",IF(9&gt;=INPUTS!$B$32,"",L13+M13+N13))</f>
        <v/>
      </c>
    </row>
    <row r="14" customFormat="false" ht="18.75" hidden="false" customHeight="true" outlineLevel="0" collapsed="false">
      <c r="A14" s="45" t="str">
        <f aca="false">IF(INPUTS!$B$32=0,"",IF(10&gt;=INPUTS!$B$32,"",INPUTS!$B$12+(INPUTS!$B$6-INPUTS!$B$5)+10))</f>
        <v/>
      </c>
      <c r="B14" s="45" t="str">
        <f aca="false">IF(INPUTS!$B$32=0,"",IF(10&gt;=INPUTS!$B$32,"",INPUTS!$B$6+10))</f>
        <v/>
      </c>
      <c r="C14" s="46" t="str">
        <f aca="false">IF(INPUTS!$B$32=0,"",IF(10&gt;=INPUTS!$B$32,"",INPUTS!$B$22*(1+INPUTS!$B$23)^(INPUTS!$B$6-INPUTS!$B$5+10)))</f>
        <v/>
      </c>
      <c r="D14" s="46" t="str">
        <f aca="false">IF(INPUTS!$B$32=0,"",IF(10&gt;=INPUTS!$B$32,"",INPUTS!$B$24))</f>
        <v/>
      </c>
      <c r="E14" s="46" t="str">
        <f aca="false">IF(INPUTS!$B$32=0,"",IF(10&gt;=INPUTS!$B$32,"",MAX(0,C14-D14)))</f>
        <v/>
      </c>
      <c r="F14" s="46" t="str">
        <f aca="false">IF(INPUTS!$B$32=0,"",IF(10&gt;=INPUTS!$B$32,"",L13))</f>
        <v/>
      </c>
      <c r="G14" s="46" t="str">
        <f aca="false">IF(INPUTS!$B$32=0,"",IF(10&gt;=INPUTS!$B$32,"",M13))</f>
        <v/>
      </c>
      <c r="H14" s="46" t="str">
        <f aca="false">IF(INPUTS!$B$32=0,"",IF(10&gt;=INPUTS!$B$32,"",N13))</f>
        <v/>
      </c>
      <c r="I14" s="46" t="str">
        <f aca="false">IF(INPUTS!$B$32=0,"",IF(10&gt;=INPUTS!$B$32,"",MIN(E14,F14)))</f>
        <v/>
      </c>
      <c r="J14" s="46" t="str">
        <f aca="false">IF(INPUTS!$B$32=0,"",IF(10&gt;=INPUTS!$B$32,"",MIN(E14-I14,G14)))</f>
        <v/>
      </c>
      <c r="K14" s="46" t="str">
        <f aca="false">IF(INPUTS!$B$32=0,"",IF(10&gt;=INPUTS!$B$32,"",MIN(E14-I14-J14,H14)))</f>
        <v/>
      </c>
      <c r="L14" s="46" t="str">
        <f aca="false">IF(INPUTS!$B$32=0,"",IF(10&gt;=INPUTS!$B$32,"",(F14-I14)*(1+INPUTS!$B$28)))</f>
        <v/>
      </c>
      <c r="M14" s="46" t="str">
        <f aca="false">IF(INPUTS!$B$32=0,"",IF(10&gt;=INPUTS!$B$32,"",(G14-J14)*(1+INPUTS!$B$28)))</f>
        <v/>
      </c>
      <c r="N14" s="46" t="str">
        <f aca="false">IF(INPUTS!$B$32=0,"",IF(10&gt;=INPUTS!$B$32,"",(H14-K14)*(1+INPUTS!$B$28)))</f>
        <v/>
      </c>
      <c r="O14" s="46" t="str">
        <f aca="false">IF(INPUTS!$B$32=0,"",IF(10&gt;=INPUTS!$B$32,"",L14+M14+N14))</f>
        <v/>
      </c>
    </row>
    <row r="15" customFormat="false" ht="18.75" hidden="false" customHeight="true" outlineLevel="0" collapsed="false">
      <c r="A15" s="47" t="str">
        <f aca="false">IF(INPUTS!$B$32=0,"",IF(11&gt;=INPUTS!$B$32,"",INPUTS!$B$12+(INPUTS!$B$6-INPUTS!$B$5)+11))</f>
        <v/>
      </c>
      <c r="B15" s="47" t="str">
        <f aca="false">IF(INPUTS!$B$32=0,"",IF(11&gt;=INPUTS!$B$32,"",INPUTS!$B$6+11))</f>
        <v/>
      </c>
      <c r="C15" s="48" t="str">
        <f aca="false">IF(INPUTS!$B$32=0,"",IF(11&gt;=INPUTS!$B$32,"",INPUTS!$B$22*(1+INPUTS!$B$23)^(INPUTS!$B$6-INPUTS!$B$5+11)))</f>
        <v/>
      </c>
      <c r="D15" s="48" t="str">
        <f aca="false">IF(INPUTS!$B$32=0,"",IF(11&gt;=INPUTS!$B$32,"",INPUTS!$B$24))</f>
        <v/>
      </c>
      <c r="E15" s="48" t="str">
        <f aca="false">IF(INPUTS!$B$32=0,"",IF(11&gt;=INPUTS!$B$32,"",MAX(0,C15-D15)))</f>
        <v/>
      </c>
      <c r="F15" s="48" t="str">
        <f aca="false">IF(INPUTS!$B$32=0,"",IF(11&gt;=INPUTS!$B$32,"",L14))</f>
        <v/>
      </c>
      <c r="G15" s="48" t="str">
        <f aca="false">IF(INPUTS!$B$32=0,"",IF(11&gt;=INPUTS!$B$32,"",M14))</f>
        <v/>
      </c>
      <c r="H15" s="48" t="str">
        <f aca="false">IF(INPUTS!$B$32=0,"",IF(11&gt;=INPUTS!$B$32,"",N14))</f>
        <v/>
      </c>
      <c r="I15" s="48" t="str">
        <f aca="false">IF(INPUTS!$B$32=0,"",IF(11&gt;=INPUTS!$B$32,"",MIN(E15,F15)))</f>
        <v/>
      </c>
      <c r="J15" s="48" t="str">
        <f aca="false">IF(INPUTS!$B$32=0,"",IF(11&gt;=INPUTS!$B$32,"",MIN(E15-I15,G15)))</f>
        <v/>
      </c>
      <c r="K15" s="48" t="str">
        <f aca="false">IF(INPUTS!$B$32=0,"",IF(11&gt;=INPUTS!$B$32,"",MIN(E15-I15-J15,H15)))</f>
        <v/>
      </c>
      <c r="L15" s="48" t="str">
        <f aca="false">IF(INPUTS!$B$32=0,"",IF(11&gt;=INPUTS!$B$32,"",(F15-I15)*(1+INPUTS!$B$28)))</f>
        <v/>
      </c>
      <c r="M15" s="48" t="str">
        <f aca="false">IF(INPUTS!$B$32=0,"",IF(11&gt;=INPUTS!$B$32,"",(G15-J15)*(1+INPUTS!$B$28)))</f>
        <v/>
      </c>
      <c r="N15" s="48" t="str">
        <f aca="false">IF(INPUTS!$B$32=0,"",IF(11&gt;=INPUTS!$B$32,"",(H15-K15)*(1+INPUTS!$B$28)))</f>
        <v/>
      </c>
      <c r="O15" s="48" t="str">
        <f aca="false">IF(INPUTS!$B$32=0,"",IF(11&gt;=INPUTS!$B$32,"",L15+M15+N15))</f>
        <v/>
      </c>
    </row>
    <row r="16" customFormat="false" ht="18.75" hidden="false" customHeight="true" outlineLevel="0" collapsed="false">
      <c r="A16" s="45" t="str">
        <f aca="false">IF(INPUTS!$B$32=0,"",IF(12&gt;=INPUTS!$B$32,"",INPUTS!$B$12+(INPUTS!$B$6-INPUTS!$B$5)+12))</f>
        <v/>
      </c>
      <c r="B16" s="45" t="str">
        <f aca="false">IF(INPUTS!$B$32=0,"",IF(12&gt;=INPUTS!$B$32,"",INPUTS!$B$6+12))</f>
        <v/>
      </c>
      <c r="C16" s="46" t="str">
        <f aca="false">IF(INPUTS!$B$32=0,"",IF(12&gt;=INPUTS!$B$32,"",INPUTS!$B$22*(1+INPUTS!$B$23)^(INPUTS!$B$6-INPUTS!$B$5+12)))</f>
        <v/>
      </c>
      <c r="D16" s="46" t="str">
        <f aca="false">IF(INPUTS!$B$32=0,"",IF(12&gt;=INPUTS!$B$32,"",INPUTS!$B$24))</f>
        <v/>
      </c>
      <c r="E16" s="46" t="str">
        <f aca="false">IF(INPUTS!$B$32=0,"",IF(12&gt;=INPUTS!$B$32,"",MAX(0,C16-D16)))</f>
        <v/>
      </c>
      <c r="F16" s="46" t="str">
        <f aca="false">IF(INPUTS!$B$32=0,"",IF(12&gt;=INPUTS!$B$32,"",L15))</f>
        <v/>
      </c>
      <c r="G16" s="46" t="str">
        <f aca="false">IF(INPUTS!$B$32=0,"",IF(12&gt;=INPUTS!$B$32,"",M15))</f>
        <v/>
      </c>
      <c r="H16" s="46" t="str">
        <f aca="false">IF(INPUTS!$B$32=0,"",IF(12&gt;=INPUTS!$B$32,"",N15))</f>
        <v/>
      </c>
      <c r="I16" s="46" t="str">
        <f aca="false">IF(INPUTS!$B$32=0,"",IF(12&gt;=INPUTS!$B$32,"",MIN(E16,F16)))</f>
        <v/>
      </c>
      <c r="J16" s="46" t="str">
        <f aca="false">IF(INPUTS!$B$32=0,"",IF(12&gt;=INPUTS!$B$32,"",MIN(E16-I16,G16)))</f>
        <v/>
      </c>
      <c r="K16" s="46" t="str">
        <f aca="false">IF(INPUTS!$B$32=0,"",IF(12&gt;=INPUTS!$B$32,"",MIN(E16-I16-J16,H16)))</f>
        <v/>
      </c>
      <c r="L16" s="46" t="str">
        <f aca="false">IF(INPUTS!$B$32=0,"",IF(12&gt;=INPUTS!$B$32,"",(F16-I16)*(1+INPUTS!$B$28)))</f>
        <v/>
      </c>
      <c r="M16" s="46" t="str">
        <f aca="false">IF(INPUTS!$B$32=0,"",IF(12&gt;=INPUTS!$B$32,"",(G16-J16)*(1+INPUTS!$B$28)))</f>
        <v/>
      </c>
      <c r="N16" s="46" t="str">
        <f aca="false">IF(INPUTS!$B$32=0,"",IF(12&gt;=INPUTS!$B$32,"",(H16-K16)*(1+INPUTS!$B$28)))</f>
        <v/>
      </c>
      <c r="O16" s="46" t="str">
        <f aca="false">IF(INPUTS!$B$32=0,"",IF(12&gt;=INPUTS!$B$32,"",L16+M16+N16))</f>
        <v/>
      </c>
    </row>
    <row r="17" customFormat="false" ht="18.75" hidden="false" customHeight="true" outlineLevel="0" collapsed="false">
      <c r="A17" s="47" t="str">
        <f aca="false">IF(INPUTS!$B$32=0,"",IF(13&gt;=INPUTS!$B$32,"",INPUTS!$B$12+(INPUTS!$B$6-INPUTS!$B$5)+13))</f>
        <v/>
      </c>
      <c r="B17" s="47" t="str">
        <f aca="false">IF(INPUTS!$B$32=0,"",IF(13&gt;=INPUTS!$B$32,"",INPUTS!$B$6+13))</f>
        <v/>
      </c>
      <c r="C17" s="48" t="str">
        <f aca="false">IF(INPUTS!$B$32=0,"",IF(13&gt;=INPUTS!$B$32,"",INPUTS!$B$22*(1+INPUTS!$B$23)^(INPUTS!$B$6-INPUTS!$B$5+13)))</f>
        <v/>
      </c>
      <c r="D17" s="48" t="str">
        <f aca="false">IF(INPUTS!$B$32=0,"",IF(13&gt;=INPUTS!$B$32,"",INPUTS!$B$24))</f>
        <v/>
      </c>
      <c r="E17" s="48" t="str">
        <f aca="false">IF(INPUTS!$B$32=0,"",IF(13&gt;=INPUTS!$B$32,"",MAX(0,C17-D17)))</f>
        <v/>
      </c>
      <c r="F17" s="48" t="str">
        <f aca="false">IF(INPUTS!$B$32=0,"",IF(13&gt;=INPUTS!$B$32,"",L16))</f>
        <v/>
      </c>
      <c r="G17" s="48" t="str">
        <f aca="false">IF(INPUTS!$B$32=0,"",IF(13&gt;=INPUTS!$B$32,"",M16))</f>
        <v/>
      </c>
      <c r="H17" s="48" t="str">
        <f aca="false">IF(INPUTS!$B$32=0,"",IF(13&gt;=INPUTS!$B$32,"",N16))</f>
        <v/>
      </c>
      <c r="I17" s="48" t="str">
        <f aca="false">IF(INPUTS!$B$32=0,"",IF(13&gt;=INPUTS!$B$32,"",MIN(E17,F17)))</f>
        <v/>
      </c>
      <c r="J17" s="48" t="str">
        <f aca="false">IF(INPUTS!$B$32=0,"",IF(13&gt;=INPUTS!$B$32,"",MIN(E17-I17,G17)))</f>
        <v/>
      </c>
      <c r="K17" s="48" t="str">
        <f aca="false">IF(INPUTS!$B$32=0,"",IF(13&gt;=INPUTS!$B$32,"",MIN(E17-I17-J17,H17)))</f>
        <v/>
      </c>
      <c r="L17" s="48" t="str">
        <f aca="false">IF(INPUTS!$B$32=0,"",IF(13&gt;=INPUTS!$B$32,"",(F17-I17)*(1+INPUTS!$B$28)))</f>
        <v/>
      </c>
      <c r="M17" s="48" t="str">
        <f aca="false">IF(INPUTS!$B$32=0,"",IF(13&gt;=INPUTS!$B$32,"",(G17-J17)*(1+INPUTS!$B$28)))</f>
        <v/>
      </c>
      <c r="N17" s="48" t="str">
        <f aca="false">IF(INPUTS!$B$32=0,"",IF(13&gt;=INPUTS!$B$32,"",(H17-K17)*(1+INPUTS!$B$28)))</f>
        <v/>
      </c>
      <c r="O17" s="48" t="str">
        <f aca="false">IF(INPUTS!$B$32=0,"",IF(13&gt;=INPUTS!$B$32,"",L17+M17+N17))</f>
        <v/>
      </c>
    </row>
    <row r="18" customFormat="false" ht="18.75" hidden="false" customHeight="true" outlineLevel="0" collapsed="false">
      <c r="A18" s="45" t="str">
        <f aca="false">IF(INPUTS!$B$32=0,"",IF(14&gt;=INPUTS!$B$32,"",INPUTS!$B$12+(INPUTS!$B$6-INPUTS!$B$5)+14))</f>
        <v/>
      </c>
      <c r="B18" s="45" t="str">
        <f aca="false">IF(INPUTS!$B$32=0,"",IF(14&gt;=INPUTS!$B$32,"",INPUTS!$B$6+14))</f>
        <v/>
      </c>
      <c r="C18" s="46" t="str">
        <f aca="false">IF(INPUTS!$B$32=0,"",IF(14&gt;=INPUTS!$B$32,"",INPUTS!$B$22*(1+INPUTS!$B$23)^(INPUTS!$B$6-INPUTS!$B$5+14)))</f>
        <v/>
      </c>
      <c r="D18" s="46" t="str">
        <f aca="false">IF(INPUTS!$B$32=0,"",IF(14&gt;=INPUTS!$B$32,"",INPUTS!$B$24))</f>
        <v/>
      </c>
      <c r="E18" s="46" t="str">
        <f aca="false">IF(INPUTS!$B$32=0,"",IF(14&gt;=INPUTS!$B$32,"",MAX(0,C18-D18)))</f>
        <v/>
      </c>
      <c r="F18" s="46" t="str">
        <f aca="false">IF(INPUTS!$B$32=0,"",IF(14&gt;=INPUTS!$B$32,"",L17))</f>
        <v/>
      </c>
      <c r="G18" s="46" t="str">
        <f aca="false">IF(INPUTS!$B$32=0,"",IF(14&gt;=INPUTS!$B$32,"",M17))</f>
        <v/>
      </c>
      <c r="H18" s="46" t="str">
        <f aca="false">IF(INPUTS!$B$32=0,"",IF(14&gt;=INPUTS!$B$32,"",N17))</f>
        <v/>
      </c>
      <c r="I18" s="46" t="str">
        <f aca="false">IF(INPUTS!$B$32=0,"",IF(14&gt;=INPUTS!$B$32,"",MIN(E18,F18)))</f>
        <v/>
      </c>
      <c r="J18" s="46" t="str">
        <f aca="false">IF(INPUTS!$B$32=0,"",IF(14&gt;=INPUTS!$B$32,"",MIN(E18-I18,G18)))</f>
        <v/>
      </c>
      <c r="K18" s="46" t="str">
        <f aca="false">IF(INPUTS!$B$32=0,"",IF(14&gt;=INPUTS!$B$32,"",MIN(E18-I18-J18,H18)))</f>
        <v/>
      </c>
      <c r="L18" s="46" t="str">
        <f aca="false">IF(INPUTS!$B$32=0,"",IF(14&gt;=INPUTS!$B$32,"",(F18-I18)*(1+INPUTS!$B$28)))</f>
        <v/>
      </c>
      <c r="M18" s="46" t="str">
        <f aca="false">IF(INPUTS!$B$32=0,"",IF(14&gt;=INPUTS!$B$32,"",(G18-J18)*(1+INPUTS!$B$28)))</f>
        <v/>
      </c>
      <c r="N18" s="46" t="str">
        <f aca="false">IF(INPUTS!$B$32=0,"",IF(14&gt;=INPUTS!$B$32,"",(H18-K18)*(1+INPUTS!$B$28)))</f>
        <v/>
      </c>
      <c r="O18" s="46" t="str">
        <f aca="false">IF(INPUTS!$B$32=0,"",IF(14&gt;=INPUTS!$B$32,"",L18+M18+N18))</f>
        <v/>
      </c>
    </row>
    <row r="19" customFormat="false" ht="18.75" hidden="false" customHeight="true" outlineLevel="0" collapsed="false">
      <c r="A19" s="47" t="str">
        <f aca="false">IF(INPUTS!$B$32=0,"",IF(15&gt;=INPUTS!$B$32,"",INPUTS!$B$12+(INPUTS!$B$6-INPUTS!$B$5)+15))</f>
        <v/>
      </c>
      <c r="B19" s="47" t="str">
        <f aca="false">IF(INPUTS!$B$32=0,"",IF(15&gt;=INPUTS!$B$32,"",INPUTS!$B$6+15))</f>
        <v/>
      </c>
      <c r="C19" s="48" t="str">
        <f aca="false">IF(INPUTS!$B$32=0,"",IF(15&gt;=INPUTS!$B$32,"",INPUTS!$B$22*(1+INPUTS!$B$23)^(INPUTS!$B$6-INPUTS!$B$5+15)))</f>
        <v/>
      </c>
      <c r="D19" s="48" t="str">
        <f aca="false">IF(INPUTS!$B$32=0,"",IF(15&gt;=INPUTS!$B$32,"",INPUTS!$B$24))</f>
        <v/>
      </c>
      <c r="E19" s="48" t="str">
        <f aca="false">IF(INPUTS!$B$32=0,"",IF(15&gt;=INPUTS!$B$32,"",MAX(0,C19-D19)))</f>
        <v/>
      </c>
      <c r="F19" s="48" t="str">
        <f aca="false">IF(INPUTS!$B$32=0,"",IF(15&gt;=INPUTS!$B$32,"",L18))</f>
        <v/>
      </c>
      <c r="G19" s="48" t="str">
        <f aca="false">IF(INPUTS!$B$32=0,"",IF(15&gt;=INPUTS!$B$32,"",M18))</f>
        <v/>
      </c>
      <c r="H19" s="48" t="str">
        <f aca="false">IF(INPUTS!$B$32=0,"",IF(15&gt;=INPUTS!$B$32,"",N18))</f>
        <v/>
      </c>
      <c r="I19" s="48" t="str">
        <f aca="false">IF(INPUTS!$B$32=0,"",IF(15&gt;=INPUTS!$B$32,"",MIN(E19,F19)))</f>
        <v/>
      </c>
      <c r="J19" s="48" t="str">
        <f aca="false">IF(INPUTS!$B$32=0,"",IF(15&gt;=INPUTS!$B$32,"",MIN(E19-I19,G19)))</f>
        <v/>
      </c>
      <c r="K19" s="48" t="str">
        <f aca="false">IF(INPUTS!$B$32=0,"",IF(15&gt;=INPUTS!$B$32,"",MIN(E19-I19-J19,H19)))</f>
        <v/>
      </c>
      <c r="L19" s="48" t="str">
        <f aca="false">IF(INPUTS!$B$32=0,"",IF(15&gt;=INPUTS!$B$32,"",(F19-I19)*(1+INPUTS!$B$28)))</f>
        <v/>
      </c>
      <c r="M19" s="48" t="str">
        <f aca="false">IF(INPUTS!$B$32=0,"",IF(15&gt;=INPUTS!$B$32,"",(G19-J19)*(1+INPUTS!$B$28)))</f>
        <v/>
      </c>
      <c r="N19" s="48" t="str">
        <f aca="false">IF(INPUTS!$B$32=0,"",IF(15&gt;=INPUTS!$B$32,"",(H19-K19)*(1+INPUTS!$B$28)))</f>
        <v/>
      </c>
      <c r="O19" s="48" t="str">
        <f aca="false">IF(INPUTS!$B$32=0,"",IF(15&gt;=INPUTS!$B$32,"",L19+M19+N19))</f>
        <v/>
      </c>
    </row>
    <row r="20" customFormat="false" ht="18.75" hidden="false" customHeight="true" outlineLevel="0" collapsed="false">
      <c r="A20" s="45" t="str">
        <f aca="false">IF(INPUTS!$B$32=0,"",IF(16&gt;=INPUTS!$B$32,"",INPUTS!$B$12+(INPUTS!$B$6-INPUTS!$B$5)+16))</f>
        <v/>
      </c>
      <c r="B20" s="45" t="str">
        <f aca="false">IF(INPUTS!$B$32=0,"",IF(16&gt;=INPUTS!$B$32,"",INPUTS!$B$6+16))</f>
        <v/>
      </c>
      <c r="C20" s="46" t="str">
        <f aca="false">IF(INPUTS!$B$32=0,"",IF(16&gt;=INPUTS!$B$32,"",INPUTS!$B$22*(1+INPUTS!$B$23)^(INPUTS!$B$6-INPUTS!$B$5+16)))</f>
        <v/>
      </c>
      <c r="D20" s="46" t="str">
        <f aca="false">IF(INPUTS!$B$32=0,"",IF(16&gt;=INPUTS!$B$32,"",INPUTS!$B$24))</f>
        <v/>
      </c>
      <c r="E20" s="46" t="str">
        <f aca="false">IF(INPUTS!$B$32=0,"",IF(16&gt;=INPUTS!$B$32,"",MAX(0,C20-D20)))</f>
        <v/>
      </c>
      <c r="F20" s="46" t="str">
        <f aca="false">IF(INPUTS!$B$32=0,"",IF(16&gt;=INPUTS!$B$32,"",L19))</f>
        <v/>
      </c>
      <c r="G20" s="46" t="str">
        <f aca="false">IF(INPUTS!$B$32=0,"",IF(16&gt;=INPUTS!$B$32,"",M19))</f>
        <v/>
      </c>
      <c r="H20" s="46" t="str">
        <f aca="false">IF(INPUTS!$B$32=0,"",IF(16&gt;=INPUTS!$B$32,"",N19))</f>
        <v/>
      </c>
      <c r="I20" s="46" t="str">
        <f aca="false">IF(INPUTS!$B$32=0,"",IF(16&gt;=INPUTS!$B$32,"",MIN(E20,F20)))</f>
        <v/>
      </c>
      <c r="J20" s="46" t="str">
        <f aca="false">IF(INPUTS!$B$32=0,"",IF(16&gt;=INPUTS!$B$32,"",MIN(E20-I20,G20)))</f>
        <v/>
      </c>
      <c r="K20" s="46" t="str">
        <f aca="false">IF(INPUTS!$B$32=0,"",IF(16&gt;=INPUTS!$B$32,"",MIN(E20-I20-J20,H20)))</f>
        <v/>
      </c>
      <c r="L20" s="46" t="str">
        <f aca="false">IF(INPUTS!$B$32=0,"",IF(16&gt;=INPUTS!$B$32,"",(F20-I20)*(1+INPUTS!$B$28)))</f>
        <v/>
      </c>
      <c r="M20" s="46" t="str">
        <f aca="false">IF(INPUTS!$B$32=0,"",IF(16&gt;=INPUTS!$B$32,"",(G20-J20)*(1+INPUTS!$B$28)))</f>
        <v/>
      </c>
      <c r="N20" s="46" t="str">
        <f aca="false">IF(INPUTS!$B$32=0,"",IF(16&gt;=INPUTS!$B$32,"",(H20-K20)*(1+INPUTS!$B$28)))</f>
        <v/>
      </c>
      <c r="O20" s="46" t="str">
        <f aca="false">IF(INPUTS!$B$32=0,"",IF(16&gt;=INPUTS!$B$32,"",L20+M20+N20))</f>
        <v/>
      </c>
    </row>
    <row r="21" customFormat="false" ht="18.75" hidden="false" customHeight="true" outlineLevel="0" collapsed="false">
      <c r="A21" s="47" t="str">
        <f aca="false">IF(INPUTS!$B$32=0,"",IF(17&gt;=INPUTS!$B$32,"",INPUTS!$B$12+(INPUTS!$B$6-INPUTS!$B$5)+17))</f>
        <v/>
      </c>
      <c r="B21" s="47" t="str">
        <f aca="false">IF(INPUTS!$B$32=0,"",IF(17&gt;=INPUTS!$B$32,"",INPUTS!$B$6+17))</f>
        <v/>
      </c>
      <c r="C21" s="48" t="str">
        <f aca="false">IF(INPUTS!$B$32=0,"",IF(17&gt;=INPUTS!$B$32,"",INPUTS!$B$22*(1+INPUTS!$B$23)^(INPUTS!$B$6-INPUTS!$B$5+17)))</f>
        <v/>
      </c>
      <c r="D21" s="48" t="str">
        <f aca="false">IF(INPUTS!$B$32=0,"",IF(17&gt;=INPUTS!$B$32,"",INPUTS!$B$24))</f>
        <v/>
      </c>
      <c r="E21" s="48" t="str">
        <f aca="false">IF(INPUTS!$B$32=0,"",IF(17&gt;=INPUTS!$B$32,"",MAX(0,C21-D21)))</f>
        <v/>
      </c>
      <c r="F21" s="48" t="str">
        <f aca="false">IF(INPUTS!$B$32=0,"",IF(17&gt;=INPUTS!$B$32,"",L20))</f>
        <v/>
      </c>
      <c r="G21" s="48" t="str">
        <f aca="false">IF(INPUTS!$B$32=0,"",IF(17&gt;=INPUTS!$B$32,"",M20))</f>
        <v/>
      </c>
      <c r="H21" s="48" t="str">
        <f aca="false">IF(INPUTS!$B$32=0,"",IF(17&gt;=INPUTS!$B$32,"",N20))</f>
        <v/>
      </c>
      <c r="I21" s="48" t="str">
        <f aca="false">IF(INPUTS!$B$32=0,"",IF(17&gt;=INPUTS!$B$32,"",MIN(E21,F21)))</f>
        <v/>
      </c>
      <c r="J21" s="48" t="str">
        <f aca="false">IF(INPUTS!$B$32=0,"",IF(17&gt;=INPUTS!$B$32,"",MIN(E21-I21,G21)))</f>
        <v/>
      </c>
      <c r="K21" s="48" t="str">
        <f aca="false">IF(INPUTS!$B$32=0,"",IF(17&gt;=INPUTS!$B$32,"",MIN(E21-I21-J21,H21)))</f>
        <v/>
      </c>
      <c r="L21" s="48" t="str">
        <f aca="false">IF(INPUTS!$B$32=0,"",IF(17&gt;=INPUTS!$B$32,"",(F21-I21)*(1+INPUTS!$B$28)))</f>
        <v/>
      </c>
      <c r="M21" s="48" t="str">
        <f aca="false">IF(INPUTS!$B$32=0,"",IF(17&gt;=INPUTS!$B$32,"",(G21-J21)*(1+INPUTS!$B$28)))</f>
        <v/>
      </c>
      <c r="N21" s="48" t="str">
        <f aca="false">IF(INPUTS!$B$32=0,"",IF(17&gt;=INPUTS!$B$32,"",(H21-K21)*(1+INPUTS!$B$28)))</f>
        <v/>
      </c>
      <c r="O21" s="48" t="str">
        <f aca="false">IF(INPUTS!$B$32=0,"",IF(17&gt;=INPUTS!$B$32,"",L21+M21+N21))</f>
        <v/>
      </c>
    </row>
    <row r="22" customFormat="false" ht="18.75" hidden="false" customHeight="true" outlineLevel="0" collapsed="false">
      <c r="A22" s="45" t="str">
        <f aca="false">IF(INPUTS!$B$32=0,"",IF(18&gt;=INPUTS!$B$32,"",INPUTS!$B$12+(INPUTS!$B$6-INPUTS!$B$5)+18))</f>
        <v/>
      </c>
      <c r="B22" s="45" t="str">
        <f aca="false">IF(INPUTS!$B$32=0,"",IF(18&gt;=INPUTS!$B$32,"",INPUTS!$B$6+18))</f>
        <v/>
      </c>
      <c r="C22" s="46" t="str">
        <f aca="false">IF(INPUTS!$B$32=0,"",IF(18&gt;=INPUTS!$B$32,"",INPUTS!$B$22*(1+INPUTS!$B$23)^(INPUTS!$B$6-INPUTS!$B$5+18)))</f>
        <v/>
      </c>
      <c r="D22" s="46" t="str">
        <f aca="false">IF(INPUTS!$B$32=0,"",IF(18&gt;=INPUTS!$B$32,"",INPUTS!$B$24))</f>
        <v/>
      </c>
      <c r="E22" s="46" t="str">
        <f aca="false">IF(INPUTS!$B$32=0,"",IF(18&gt;=INPUTS!$B$32,"",MAX(0,C22-D22)))</f>
        <v/>
      </c>
      <c r="F22" s="46" t="str">
        <f aca="false">IF(INPUTS!$B$32=0,"",IF(18&gt;=INPUTS!$B$32,"",L21))</f>
        <v/>
      </c>
      <c r="G22" s="46" t="str">
        <f aca="false">IF(INPUTS!$B$32=0,"",IF(18&gt;=INPUTS!$B$32,"",M21))</f>
        <v/>
      </c>
      <c r="H22" s="46" t="str">
        <f aca="false">IF(INPUTS!$B$32=0,"",IF(18&gt;=INPUTS!$B$32,"",N21))</f>
        <v/>
      </c>
      <c r="I22" s="46" t="str">
        <f aca="false">IF(INPUTS!$B$32=0,"",IF(18&gt;=INPUTS!$B$32,"",MIN(E22,F22)))</f>
        <v/>
      </c>
      <c r="J22" s="46" t="str">
        <f aca="false">IF(INPUTS!$B$32=0,"",IF(18&gt;=INPUTS!$B$32,"",MIN(E22-I22,G22)))</f>
        <v/>
      </c>
      <c r="K22" s="46" t="str">
        <f aca="false">IF(INPUTS!$B$32=0,"",IF(18&gt;=INPUTS!$B$32,"",MIN(E22-I22-J22,H22)))</f>
        <v/>
      </c>
      <c r="L22" s="46" t="str">
        <f aca="false">IF(INPUTS!$B$32=0,"",IF(18&gt;=INPUTS!$B$32,"",(F22-I22)*(1+INPUTS!$B$28)))</f>
        <v/>
      </c>
      <c r="M22" s="46" t="str">
        <f aca="false">IF(INPUTS!$B$32=0,"",IF(18&gt;=INPUTS!$B$32,"",(G22-J22)*(1+INPUTS!$B$28)))</f>
        <v/>
      </c>
      <c r="N22" s="46" t="str">
        <f aca="false">IF(INPUTS!$B$32=0,"",IF(18&gt;=INPUTS!$B$32,"",(H22-K22)*(1+INPUTS!$B$28)))</f>
        <v/>
      </c>
      <c r="O22" s="46" t="str">
        <f aca="false">IF(INPUTS!$B$32=0,"",IF(18&gt;=INPUTS!$B$32,"",L22+M22+N22))</f>
        <v/>
      </c>
    </row>
    <row r="23" customFormat="false" ht="18.75" hidden="false" customHeight="true" outlineLevel="0" collapsed="false">
      <c r="A23" s="47" t="str">
        <f aca="false">IF(INPUTS!$B$32=0,"",IF(19&gt;=INPUTS!$B$32,"",INPUTS!$B$12+(INPUTS!$B$6-INPUTS!$B$5)+19))</f>
        <v/>
      </c>
      <c r="B23" s="47" t="str">
        <f aca="false">IF(INPUTS!$B$32=0,"",IF(19&gt;=INPUTS!$B$32,"",INPUTS!$B$6+19))</f>
        <v/>
      </c>
      <c r="C23" s="48" t="str">
        <f aca="false">IF(INPUTS!$B$32=0,"",IF(19&gt;=INPUTS!$B$32,"",INPUTS!$B$22*(1+INPUTS!$B$23)^(INPUTS!$B$6-INPUTS!$B$5+19)))</f>
        <v/>
      </c>
      <c r="D23" s="48" t="str">
        <f aca="false">IF(INPUTS!$B$32=0,"",IF(19&gt;=INPUTS!$B$32,"",INPUTS!$B$24))</f>
        <v/>
      </c>
      <c r="E23" s="48" t="str">
        <f aca="false">IF(INPUTS!$B$32=0,"",IF(19&gt;=INPUTS!$B$32,"",MAX(0,C23-D23)))</f>
        <v/>
      </c>
      <c r="F23" s="48" t="str">
        <f aca="false">IF(INPUTS!$B$32=0,"",IF(19&gt;=INPUTS!$B$32,"",L22))</f>
        <v/>
      </c>
      <c r="G23" s="48" t="str">
        <f aca="false">IF(INPUTS!$B$32=0,"",IF(19&gt;=INPUTS!$B$32,"",M22))</f>
        <v/>
      </c>
      <c r="H23" s="48" t="str">
        <f aca="false">IF(INPUTS!$B$32=0,"",IF(19&gt;=INPUTS!$B$32,"",N22))</f>
        <v/>
      </c>
      <c r="I23" s="48" t="str">
        <f aca="false">IF(INPUTS!$B$32=0,"",IF(19&gt;=INPUTS!$B$32,"",MIN(E23,F23)))</f>
        <v/>
      </c>
      <c r="J23" s="48" t="str">
        <f aca="false">IF(INPUTS!$B$32=0,"",IF(19&gt;=INPUTS!$B$32,"",MIN(E23-I23,G23)))</f>
        <v/>
      </c>
      <c r="K23" s="48" t="str">
        <f aca="false">IF(INPUTS!$B$32=0,"",IF(19&gt;=INPUTS!$B$32,"",MIN(E23-I23-J23,H23)))</f>
        <v/>
      </c>
      <c r="L23" s="48" t="str">
        <f aca="false">IF(INPUTS!$B$32=0,"",IF(19&gt;=INPUTS!$B$32,"",(F23-I23)*(1+INPUTS!$B$28)))</f>
        <v/>
      </c>
      <c r="M23" s="48" t="str">
        <f aca="false">IF(INPUTS!$B$32=0,"",IF(19&gt;=INPUTS!$B$32,"",(G23-J23)*(1+INPUTS!$B$28)))</f>
        <v/>
      </c>
      <c r="N23" s="48" t="str">
        <f aca="false">IF(INPUTS!$B$32=0,"",IF(19&gt;=INPUTS!$B$32,"",(H23-K23)*(1+INPUTS!$B$28)))</f>
        <v/>
      </c>
      <c r="O23" s="48" t="str">
        <f aca="false">IF(INPUTS!$B$32=0,"",IF(19&gt;=INPUTS!$B$32,"",L23+M23+N23))</f>
        <v/>
      </c>
    </row>
    <row r="24" customFormat="false" ht="18.75" hidden="false" customHeight="true" outlineLevel="0" collapsed="false">
      <c r="A24" s="45" t="str">
        <f aca="false">IF(INPUTS!$B$32=0,"",IF(20&gt;=INPUTS!$B$32,"",INPUTS!$B$12+(INPUTS!$B$6-INPUTS!$B$5)+20))</f>
        <v/>
      </c>
      <c r="B24" s="45" t="str">
        <f aca="false">IF(INPUTS!$B$32=0,"",IF(20&gt;=INPUTS!$B$32,"",INPUTS!$B$6+20))</f>
        <v/>
      </c>
      <c r="C24" s="46" t="str">
        <f aca="false">IF(INPUTS!$B$32=0,"",IF(20&gt;=INPUTS!$B$32,"",INPUTS!$B$22*(1+INPUTS!$B$23)^(INPUTS!$B$6-INPUTS!$B$5+20)))</f>
        <v/>
      </c>
      <c r="D24" s="46" t="str">
        <f aca="false">IF(INPUTS!$B$32=0,"",IF(20&gt;=INPUTS!$B$32,"",INPUTS!$B$24))</f>
        <v/>
      </c>
      <c r="E24" s="46" t="str">
        <f aca="false">IF(INPUTS!$B$32=0,"",IF(20&gt;=INPUTS!$B$32,"",MAX(0,C24-D24)))</f>
        <v/>
      </c>
      <c r="F24" s="46" t="str">
        <f aca="false">IF(INPUTS!$B$32=0,"",IF(20&gt;=INPUTS!$B$32,"",L23))</f>
        <v/>
      </c>
      <c r="G24" s="46" t="str">
        <f aca="false">IF(INPUTS!$B$32=0,"",IF(20&gt;=INPUTS!$B$32,"",M23))</f>
        <v/>
      </c>
      <c r="H24" s="46" t="str">
        <f aca="false">IF(INPUTS!$B$32=0,"",IF(20&gt;=INPUTS!$B$32,"",N23))</f>
        <v/>
      </c>
      <c r="I24" s="46" t="str">
        <f aca="false">IF(INPUTS!$B$32=0,"",IF(20&gt;=INPUTS!$B$32,"",MIN(E24,F24)))</f>
        <v/>
      </c>
      <c r="J24" s="46" t="str">
        <f aca="false">IF(INPUTS!$B$32=0,"",IF(20&gt;=INPUTS!$B$32,"",MIN(E24-I24,G24)))</f>
        <v/>
      </c>
      <c r="K24" s="46" t="str">
        <f aca="false">IF(INPUTS!$B$32=0,"",IF(20&gt;=INPUTS!$B$32,"",MIN(E24-I24-J24,H24)))</f>
        <v/>
      </c>
      <c r="L24" s="46" t="str">
        <f aca="false">IF(INPUTS!$B$32=0,"",IF(20&gt;=INPUTS!$B$32,"",(F24-I24)*(1+INPUTS!$B$28)))</f>
        <v/>
      </c>
      <c r="M24" s="46" t="str">
        <f aca="false">IF(INPUTS!$B$32=0,"",IF(20&gt;=INPUTS!$B$32,"",(G24-J24)*(1+INPUTS!$B$28)))</f>
        <v/>
      </c>
      <c r="N24" s="46" t="str">
        <f aca="false">IF(INPUTS!$B$32=0,"",IF(20&gt;=INPUTS!$B$32,"",(H24-K24)*(1+INPUTS!$B$28)))</f>
        <v/>
      </c>
      <c r="O24" s="46" t="str">
        <f aca="false">IF(INPUTS!$B$32=0,"",IF(20&gt;=INPUTS!$B$32,"",L24+M24+N24))</f>
        <v/>
      </c>
    </row>
    <row r="25" customFormat="false" ht="18.75" hidden="false" customHeight="true" outlineLevel="0" collapsed="false">
      <c r="A25" s="47" t="str">
        <f aca="false">IF(INPUTS!$B$32=0,"",IF(21&gt;=INPUTS!$B$32,"",INPUTS!$B$12+(INPUTS!$B$6-INPUTS!$B$5)+21))</f>
        <v/>
      </c>
      <c r="B25" s="47" t="str">
        <f aca="false">IF(INPUTS!$B$32=0,"",IF(21&gt;=INPUTS!$B$32,"",INPUTS!$B$6+21))</f>
        <v/>
      </c>
      <c r="C25" s="48" t="str">
        <f aca="false">IF(INPUTS!$B$32=0,"",IF(21&gt;=INPUTS!$B$32,"",INPUTS!$B$22*(1+INPUTS!$B$23)^(INPUTS!$B$6-INPUTS!$B$5+21)))</f>
        <v/>
      </c>
      <c r="D25" s="48" t="str">
        <f aca="false">IF(INPUTS!$B$32=0,"",IF(21&gt;=INPUTS!$B$32,"",INPUTS!$B$24))</f>
        <v/>
      </c>
      <c r="E25" s="48" t="str">
        <f aca="false">IF(INPUTS!$B$32=0,"",IF(21&gt;=INPUTS!$B$32,"",MAX(0,C25-D25)))</f>
        <v/>
      </c>
      <c r="F25" s="48" t="str">
        <f aca="false">IF(INPUTS!$B$32=0,"",IF(21&gt;=INPUTS!$B$32,"",L24))</f>
        <v/>
      </c>
      <c r="G25" s="48" t="str">
        <f aca="false">IF(INPUTS!$B$32=0,"",IF(21&gt;=INPUTS!$B$32,"",M24))</f>
        <v/>
      </c>
      <c r="H25" s="48" t="str">
        <f aca="false">IF(INPUTS!$B$32=0,"",IF(21&gt;=INPUTS!$B$32,"",N24))</f>
        <v/>
      </c>
      <c r="I25" s="48" t="str">
        <f aca="false">IF(INPUTS!$B$32=0,"",IF(21&gt;=INPUTS!$B$32,"",MIN(E25,F25)))</f>
        <v/>
      </c>
      <c r="J25" s="48" t="str">
        <f aca="false">IF(INPUTS!$B$32=0,"",IF(21&gt;=INPUTS!$B$32,"",MIN(E25-I25,G25)))</f>
        <v/>
      </c>
      <c r="K25" s="48" t="str">
        <f aca="false">IF(INPUTS!$B$32=0,"",IF(21&gt;=INPUTS!$B$32,"",MIN(E25-I25-J25,H25)))</f>
        <v/>
      </c>
      <c r="L25" s="48" t="str">
        <f aca="false">IF(INPUTS!$B$32=0,"",IF(21&gt;=INPUTS!$B$32,"",(F25-I25)*(1+INPUTS!$B$28)))</f>
        <v/>
      </c>
      <c r="M25" s="48" t="str">
        <f aca="false">IF(INPUTS!$B$32=0,"",IF(21&gt;=INPUTS!$B$32,"",(G25-J25)*(1+INPUTS!$B$28)))</f>
        <v/>
      </c>
      <c r="N25" s="48" t="str">
        <f aca="false">IF(INPUTS!$B$32=0,"",IF(21&gt;=INPUTS!$B$32,"",(H25-K25)*(1+INPUTS!$B$28)))</f>
        <v/>
      </c>
      <c r="O25" s="48" t="str">
        <f aca="false">IF(INPUTS!$B$32=0,"",IF(21&gt;=INPUTS!$B$32,"",L25+M25+N25))</f>
        <v/>
      </c>
    </row>
    <row r="26" customFormat="false" ht="18.75" hidden="false" customHeight="true" outlineLevel="0" collapsed="false">
      <c r="A26" s="45" t="str">
        <f aca="false">IF(INPUTS!$B$32=0,"",IF(22&gt;=INPUTS!$B$32,"",INPUTS!$B$12+(INPUTS!$B$6-INPUTS!$B$5)+22))</f>
        <v/>
      </c>
      <c r="B26" s="45" t="str">
        <f aca="false">IF(INPUTS!$B$32=0,"",IF(22&gt;=INPUTS!$B$32,"",INPUTS!$B$6+22))</f>
        <v/>
      </c>
      <c r="C26" s="46" t="str">
        <f aca="false">IF(INPUTS!$B$32=0,"",IF(22&gt;=INPUTS!$B$32,"",INPUTS!$B$22*(1+INPUTS!$B$23)^(INPUTS!$B$6-INPUTS!$B$5+22)))</f>
        <v/>
      </c>
      <c r="D26" s="46" t="str">
        <f aca="false">IF(INPUTS!$B$32=0,"",IF(22&gt;=INPUTS!$B$32,"",INPUTS!$B$24))</f>
        <v/>
      </c>
      <c r="E26" s="46" t="str">
        <f aca="false">IF(INPUTS!$B$32=0,"",IF(22&gt;=INPUTS!$B$32,"",MAX(0,C26-D26)))</f>
        <v/>
      </c>
      <c r="F26" s="46" t="str">
        <f aca="false">IF(INPUTS!$B$32=0,"",IF(22&gt;=INPUTS!$B$32,"",L25))</f>
        <v/>
      </c>
      <c r="G26" s="46" t="str">
        <f aca="false">IF(INPUTS!$B$32=0,"",IF(22&gt;=INPUTS!$B$32,"",M25))</f>
        <v/>
      </c>
      <c r="H26" s="46" t="str">
        <f aca="false">IF(INPUTS!$B$32=0,"",IF(22&gt;=INPUTS!$B$32,"",N25))</f>
        <v/>
      </c>
      <c r="I26" s="46" t="str">
        <f aca="false">IF(INPUTS!$B$32=0,"",IF(22&gt;=INPUTS!$B$32,"",MIN(E26,F26)))</f>
        <v/>
      </c>
      <c r="J26" s="46" t="str">
        <f aca="false">IF(INPUTS!$B$32=0,"",IF(22&gt;=INPUTS!$B$32,"",MIN(E26-I26,G26)))</f>
        <v/>
      </c>
      <c r="K26" s="46" t="str">
        <f aca="false">IF(INPUTS!$B$32=0,"",IF(22&gt;=INPUTS!$B$32,"",MIN(E26-I26-J26,H26)))</f>
        <v/>
      </c>
      <c r="L26" s="46" t="str">
        <f aca="false">IF(INPUTS!$B$32=0,"",IF(22&gt;=INPUTS!$B$32,"",(F26-I26)*(1+INPUTS!$B$28)))</f>
        <v/>
      </c>
      <c r="M26" s="46" t="str">
        <f aca="false">IF(INPUTS!$B$32=0,"",IF(22&gt;=INPUTS!$B$32,"",(G26-J26)*(1+INPUTS!$B$28)))</f>
        <v/>
      </c>
      <c r="N26" s="46" t="str">
        <f aca="false">IF(INPUTS!$B$32=0,"",IF(22&gt;=INPUTS!$B$32,"",(H26-K26)*(1+INPUTS!$B$28)))</f>
        <v/>
      </c>
      <c r="O26" s="46" t="str">
        <f aca="false">IF(INPUTS!$B$32=0,"",IF(22&gt;=INPUTS!$B$32,"",L26+M26+N26))</f>
        <v/>
      </c>
    </row>
    <row r="27" customFormat="false" ht="18.75" hidden="false" customHeight="true" outlineLevel="0" collapsed="false">
      <c r="A27" s="47" t="str">
        <f aca="false">IF(INPUTS!$B$32=0,"",IF(23&gt;=INPUTS!$B$32,"",INPUTS!$B$12+(INPUTS!$B$6-INPUTS!$B$5)+23))</f>
        <v/>
      </c>
      <c r="B27" s="47" t="str">
        <f aca="false">IF(INPUTS!$B$32=0,"",IF(23&gt;=INPUTS!$B$32,"",INPUTS!$B$6+23))</f>
        <v/>
      </c>
      <c r="C27" s="48" t="str">
        <f aca="false">IF(INPUTS!$B$32=0,"",IF(23&gt;=INPUTS!$B$32,"",INPUTS!$B$22*(1+INPUTS!$B$23)^(INPUTS!$B$6-INPUTS!$B$5+23)))</f>
        <v/>
      </c>
      <c r="D27" s="48" t="str">
        <f aca="false">IF(INPUTS!$B$32=0,"",IF(23&gt;=INPUTS!$B$32,"",INPUTS!$B$24))</f>
        <v/>
      </c>
      <c r="E27" s="48" t="str">
        <f aca="false">IF(INPUTS!$B$32=0,"",IF(23&gt;=INPUTS!$B$32,"",MAX(0,C27-D27)))</f>
        <v/>
      </c>
      <c r="F27" s="48" t="str">
        <f aca="false">IF(INPUTS!$B$32=0,"",IF(23&gt;=INPUTS!$B$32,"",L26))</f>
        <v/>
      </c>
      <c r="G27" s="48" t="str">
        <f aca="false">IF(INPUTS!$B$32=0,"",IF(23&gt;=INPUTS!$B$32,"",M26))</f>
        <v/>
      </c>
      <c r="H27" s="48" t="str">
        <f aca="false">IF(INPUTS!$B$32=0,"",IF(23&gt;=INPUTS!$B$32,"",N26))</f>
        <v/>
      </c>
      <c r="I27" s="48" t="str">
        <f aca="false">IF(INPUTS!$B$32=0,"",IF(23&gt;=INPUTS!$B$32,"",MIN(E27,F27)))</f>
        <v/>
      </c>
      <c r="J27" s="48" t="str">
        <f aca="false">IF(INPUTS!$B$32=0,"",IF(23&gt;=INPUTS!$B$32,"",MIN(E27-I27,G27)))</f>
        <v/>
      </c>
      <c r="K27" s="48" t="str">
        <f aca="false">IF(INPUTS!$B$32=0,"",IF(23&gt;=INPUTS!$B$32,"",MIN(E27-I27-J27,H27)))</f>
        <v/>
      </c>
      <c r="L27" s="48" t="str">
        <f aca="false">IF(INPUTS!$B$32=0,"",IF(23&gt;=INPUTS!$B$32,"",(F27-I27)*(1+INPUTS!$B$28)))</f>
        <v/>
      </c>
      <c r="M27" s="48" t="str">
        <f aca="false">IF(INPUTS!$B$32=0,"",IF(23&gt;=INPUTS!$B$32,"",(G27-J27)*(1+INPUTS!$B$28)))</f>
        <v/>
      </c>
      <c r="N27" s="48" t="str">
        <f aca="false">IF(INPUTS!$B$32=0,"",IF(23&gt;=INPUTS!$B$32,"",(H27-K27)*(1+INPUTS!$B$28)))</f>
        <v/>
      </c>
      <c r="O27" s="48" t="str">
        <f aca="false">IF(INPUTS!$B$32=0,"",IF(23&gt;=INPUTS!$B$32,"",L27+M27+N27))</f>
        <v/>
      </c>
    </row>
    <row r="28" customFormat="false" ht="18.75" hidden="false" customHeight="true" outlineLevel="0" collapsed="false">
      <c r="A28" s="45" t="str">
        <f aca="false">IF(INPUTS!$B$32=0,"",IF(24&gt;=INPUTS!$B$32,"",INPUTS!$B$12+(INPUTS!$B$6-INPUTS!$B$5)+24))</f>
        <v/>
      </c>
      <c r="B28" s="45" t="str">
        <f aca="false">IF(INPUTS!$B$32=0,"",IF(24&gt;=INPUTS!$B$32,"",INPUTS!$B$6+24))</f>
        <v/>
      </c>
      <c r="C28" s="46" t="str">
        <f aca="false">IF(INPUTS!$B$32=0,"",IF(24&gt;=INPUTS!$B$32,"",INPUTS!$B$22*(1+INPUTS!$B$23)^(INPUTS!$B$6-INPUTS!$B$5+24)))</f>
        <v/>
      </c>
      <c r="D28" s="46" t="str">
        <f aca="false">IF(INPUTS!$B$32=0,"",IF(24&gt;=INPUTS!$B$32,"",INPUTS!$B$24))</f>
        <v/>
      </c>
      <c r="E28" s="46" t="str">
        <f aca="false">IF(INPUTS!$B$32=0,"",IF(24&gt;=INPUTS!$B$32,"",MAX(0,C28-D28)))</f>
        <v/>
      </c>
      <c r="F28" s="46" t="str">
        <f aca="false">IF(INPUTS!$B$32=0,"",IF(24&gt;=INPUTS!$B$32,"",L27))</f>
        <v/>
      </c>
      <c r="G28" s="46" t="str">
        <f aca="false">IF(INPUTS!$B$32=0,"",IF(24&gt;=INPUTS!$B$32,"",M27))</f>
        <v/>
      </c>
      <c r="H28" s="46" t="str">
        <f aca="false">IF(INPUTS!$B$32=0,"",IF(24&gt;=INPUTS!$B$32,"",N27))</f>
        <v/>
      </c>
      <c r="I28" s="46" t="str">
        <f aca="false">IF(INPUTS!$B$32=0,"",IF(24&gt;=INPUTS!$B$32,"",MIN(E28,F28)))</f>
        <v/>
      </c>
      <c r="J28" s="46" t="str">
        <f aca="false">IF(INPUTS!$B$32=0,"",IF(24&gt;=INPUTS!$B$32,"",MIN(E28-I28,G28)))</f>
        <v/>
      </c>
      <c r="K28" s="46" t="str">
        <f aca="false">IF(INPUTS!$B$32=0,"",IF(24&gt;=INPUTS!$B$32,"",MIN(E28-I28-J28,H28)))</f>
        <v/>
      </c>
      <c r="L28" s="46" t="str">
        <f aca="false">IF(INPUTS!$B$32=0,"",IF(24&gt;=INPUTS!$B$32,"",(F28-I28)*(1+INPUTS!$B$28)))</f>
        <v/>
      </c>
      <c r="M28" s="46" t="str">
        <f aca="false">IF(INPUTS!$B$32=0,"",IF(24&gt;=INPUTS!$B$32,"",(G28-J28)*(1+INPUTS!$B$28)))</f>
        <v/>
      </c>
      <c r="N28" s="46" t="str">
        <f aca="false">IF(INPUTS!$B$32=0,"",IF(24&gt;=INPUTS!$B$32,"",(H28-K28)*(1+INPUTS!$B$28)))</f>
        <v/>
      </c>
      <c r="O28" s="46" t="str">
        <f aca="false">IF(INPUTS!$B$32=0,"",IF(24&gt;=INPUTS!$B$32,"",L28+M28+N28))</f>
        <v/>
      </c>
    </row>
    <row r="29" customFormat="false" ht="15" hidden="false" customHeight="false" outlineLevel="0" collapsed="false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customFormat="false" ht="21.75" hidden="false" customHeight="true" outlineLevel="0" collapsed="false">
      <c r="A30" s="50" t="s">
        <v>90</v>
      </c>
      <c r="B30" s="51"/>
      <c r="C30" s="52" t="n">
        <f aca="false">IF(INPUTS!$B$32=0,INPUTS!$B$22,IFERROR(LOOKUP(9.99E+307,C4:C28),INPUTS!$B$22))</f>
        <v>65377.7164517517</v>
      </c>
      <c r="D30" s="51"/>
      <c r="E30" s="51"/>
      <c r="F30" s="51"/>
      <c r="G30" s="51"/>
      <c r="H30" s="51"/>
      <c r="I30" s="51"/>
      <c r="J30" s="51"/>
      <c r="K30" s="51"/>
      <c r="L30" s="52" t="n">
        <f aca="false">IF(INPUTS!$B$32=0,(INPUTS!$B$15+INPUTS!$B$18)*(1+INPUTS!$B$28)^MAX(0,INPUTS!$B$6-INPUTS!$B$5),IFERROR(LOOKUP(9.99E+307,L4:L28),(INPUTS!$B$15+INPUTS!$B$18)*(1+INPUTS!$B$28)^MAX(0,INPUTS!$B$6-INPUTS!$B$5)))</f>
        <v>326983.996276271</v>
      </c>
      <c r="M30" s="52" t="n">
        <f aca="false">IF(INPUTS!$B$32=0,INPUTS!$B$17*(1+INPUTS!$B$28)^MAX(0,INPUTS!$B$6-INPUTS!$B$5),IFERROR(LOOKUP(9.99E+307,M4:M28),INPUTS!$B$17*(1+INPUTS!$B$28)^MAX(0,INPUTS!$B$6-INPUTS!$B$5)))</f>
        <v>248249.350693561</v>
      </c>
      <c r="N30" s="52" t="n">
        <f aca="false">IF(INPUTS!$B$32=0,INPUTS!$B$16*(1+INPUTS!$B$28)^MAX(0,INPUTS!$B$6-INPUTS!$B$5),IFERROR(LOOKUP(9.99E+307,N4:N28),INPUTS!$B$16*(1+INPUTS!$B$28)^MAX(0,INPUTS!$B$6-INPUTS!$B$5)))</f>
        <v>1075747.18633876</v>
      </c>
      <c r="O30" s="51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D52"/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5"/>
    <col collapsed="false" customWidth="true" hidden="false" outlineLevel="0" max="7" min="7" style="1" width="30"/>
  </cols>
  <sheetData>
    <row r="1" customFormat="false" ht="30" hidden="false" customHeight="true" outlineLevel="0" collapsed="false">
      <c r="A1" s="42" t="s">
        <v>91</v>
      </c>
      <c r="B1" s="42"/>
      <c r="C1" s="42"/>
      <c r="D1" s="42"/>
      <c r="E1" s="42"/>
      <c r="F1" s="42"/>
      <c r="G1" s="42"/>
    </row>
    <row r="2" customFormat="false" ht="15.75" hidden="false" customHeight="true" outlineLevel="0" collapsed="false">
      <c r="A2" s="7" t="str">
        <f aca="false">IF(INPUTS!B9="MFJ","Using 2026 MFJ brackets + $32,200 standard deduction.","Using 2026 Single brackets + $16,100 standard deduction.")</f>
        <v>Using 2026 MFJ brackets + $32,200 standard deduction.</v>
      </c>
      <c r="B2" s="53"/>
      <c r="C2" s="53"/>
      <c r="D2" s="53"/>
      <c r="E2" s="53"/>
      <c r="F2" s="53"/>
      <c r="G2" s="53"/>
    </row>
    <row r="3" customFormat="false" ht="15" hidden="false" customHeight="true" outlineLevel="0" collapsed="false">
      <c r="A3" s="53"/>
      <c r="B3" s="53"/>
      <c r="C3" s="53"/>
      <c r="D3" s="53"/>
      <c r="E3" s="53"/>
      <c r="F3" s="53"/>
      <c r="G3" s="53"/>
    </row>
    <row r="4" customFormat="false" ht="21.75" hidden="false" customHeight="true" outlineLevel="0" collapsed="false">
      <c r="A4" s="22" t="s">
        <v>92</v>
      </c>
      <c r="B4" s="53"/>
      <c r="C4" s="53"/>
      <c r="D4" s="53"/>
      <c r="E4" s="53"/>
      <c r="F4" s="53"/>
      <c r="G4" s="53"/>
    </row>
    <row r="5" customFormat="false" ht="27.75" hidden="false" customHeight="true" outlineLevel="0" collapsed="false">
      <c r="A5" s="44" t="s">
        <v>93</v>
      </c>
      <c r="B5" s="44" t="s">
        <v>94</v>
      </c>
      <c r="C5" s="44" t="s">
        <v>95</v>
      </c>
      <c r="D5" s="44" t="s">
        <v>96</v>
      </c>
      <c r="E5" s="53"/>
      <c r="F5" s="53"/>
      <c r="G5" s="53"/>
    </row>
    <row r="6" customFormat="false" ht="18" hidden="false" customHeight="true" outlineLevel="0" collapsed="false">
      <c r="A6" s="54" t="n">
        <v>0.1</v>
      </c>
      <c r="B6" s="55" t="n">
        <f aca="false">IF(INPUTS!$B$9="MFJ",0,0)</f>
        <v>0</v>
      </c>
      <c r="C6" s="55" t="n">
        <f aca="false">IF(INPUTS!$B$9="MFJ",24800,12400)</f>
        <v>24800</v>
      </c>
      <c r="D6" s="54" t="n">
        <v>0.1</v>
      </c>
      <c r="E6" s="53"/>
      <c r="F6" s="53"/>
      <c r="G6" s="53"/>
    </row>
    <row r="7" customFormat="false" ht="18" hidden="false" customHeight="true" outlineLevel="0" collapsed="false">
      <c r="A7" s="56" t="n">
        <v>0.12</v>
      </c>
      <c r="B7" s="57" t="n">
        <f aca="false">IF(INPUTS!$B$9="MFJ",24800,12400)</f>
        <v>24800</v>
      </c>
      <c r="C7" s="57" t="n">
        <f aca="false">IF(INPUTS!$B$9="MFJ",100800,50400)</f>
        <v>100800</v>
      </c>
      <c r="D7" s="56" t="n">
        <v>0.02</v>
      </c>
      <c r="E7" s="53"/>
      <c r="F7" s="53"/>
      <c r="G7" s="53"/>
    </row>
    <row r="8" customFormat="false" ht="18" hidden="false" customHeight="true" outlineLevel="0" collapsed="false">
      <c r="A8" s="54" t="n">
        <v>0.22</v>
      </c>
      <c r="B8" s="55" t="n">
        <f aca="false">IF(INPUTS!$B$9="MFJ",100800,50400)</f>
        <v>100800</v>
      </c>
      <c r="C8" s="55" t="n">
        <f aca="false">IF(INPUTS!$B$9="MFJ",211400,105700)</f>
        <v>211400</v>
      </c>
      <c r="D8" s="54" t="n">
        <v>0.1</v>
      </c>
      <c r="E8" s="53"/>
      <c r="F8" s="53"/>
      <c r="G8" s="53"/>
    </row>
    <row r="9" customFormat="false" ht="18" hidden="false" customHeight="true" outlineLevel="0" collapsed="false">
      <c r="A9" s="56" t="n">
        <v>0.24</v>
      </c>
      <c r="B9" s="57" t="n">
        <f aca="false">IF(INPUTS!$B$9="MFJ",211400,105700)</f>
        <v>211400</v>
      </c>
      <c r="C9" s="57" t="n">
        <f aca="false">IF(INPUTS!$B$9="MFJ",403550,201775)</f>
        <v>403550</v>
      </c>
      <c r="D9" s="56" t="n">
        <v>0.02</v>
      </c>
      <c r="E9" s="53"/>
      <c r="F9" s="53"/>
      <c r="G9" s="53"/>
    </row>
    <row r="10" customFormat="false" ht="18" hidden="false" customHeight="true" outlineLevel="0" collapsed="false">
      <c r="A10" s="54" t="n">
        <v>0.32</v>
      </c>
      <c r="B10" s="55" t="n">
        <f aca="false">IF(INPUTS!$B$9="MFJ",403550,201775)</f>
        <v>403550</v>
      </c>
      <c r="C10" s="55" t="n">
        <f aca="false">IF(INPUTS!$B$9="MFJ",512450,256225)</f>
        <v>512450</v>
      </c>
      <c r="D10" s="54" t="n">
        <v>0.08</v>
      </c>
      <c r="E10" s="53"/>
      <c r="F10" s="53"/>
      <c r="G10" s="53"/>
    </row>
    <row r="11" customFormat="false" ht="18" hidden="false" customHeight="true" outlineLevel="0" collapsed="false">
      <c r="A11" s="56" t="n">
        <v>0.35</v>
      </c>
      <c r="B11" s="57" t="n">
        <f aca="false">IF(INPUTS!$B$9="MFJ",512450,256225)</f>
        <v>512450</v>
      </c>
      <c r="C11" s="57" t="n">
        <f aca="false">IF(INPUTS!$B$9="MFJ",768700,640600)</f>
        <v>768700</v>
      </c>
      <c r="D11" s="56" t="n">
        <v>0.03</v>
      </c>
      <c r="E11" s="53"/>
      <c r="F11" s="53"/>
      <c r="G11" s="53"/>
    </row>
    <row r="12" customFormat="false" ht="18" hidden="false" customHeight="true" outlineLevel="0" collapsed="false">
      <c r="A12" s="54" t="n">
        <v>0.37</v>
      </c>
      <c r="B12" s="55" t="n">
        <f aca="false">IF(INPUTS!$B$9="MFJ",768700,640600)</f>
        <v>768700</v>
      </c>
      <c r="C12" s="55" t="n">
        <f aca="false">IF(INPUTS!$B$9="MFJ",99999999,99999999)</f>
        <v>99999999</v>
      </c>
      <c r="D12" s="54" t="n">
        <v>0.02</v>
      </c>
      <c r="E12" s="53"/>
      <c r="F12" s="53"/>
      <c r="G12" s="53"/>
    </row>
    <row r="13" customFormat="false" ht="9.75" hidden="false" customHeight="true" outlineLevel="0" collapsed="false">
      <c r="A13" s="58" t="s">
        <v>97</v>
      </c>
      <c r="B13" s="59"/>
      <c r="C13" s="59"/>
      <c r="D13" s="59"/>
      <c r="E13" s="59"/>
      <c r="F13" s="59"/>
      <c r="G13" s="59"/>
    </row>
    <row r="14" customFormat="false" ht="24" hidden="false" customHeight="true" outlineLevel="0" collapsed="false">
      <c r="A14" s="60" t="s">
        <v>98</v>
      </c>
      <c r="B14" s="61"/>
      <c r="C14" s="61"/>
      <c r="D14" s="61"/>
      <c r="E14" s="61"/>
      <c r="F14" s="61"/>
      <c r="G14" s="61"/>
    </row>
    <row r="15" customFormat="false" ht="3.75" hidden="false" customHeight="true" outlineLevel="0" collapsed="false">
      <c r="A15" s="62"/>
      <c r="B15" s="63"/>
      <c r="C15" s="63"/>
      <c r="D15" s="63"/>
      <c r="E15" s="63"/>
      <c r="F15" s="63"/>
      <c r="G15" s="61"/>
    </row>
    <row r="16" customFormat="false" ht="21.75" hidden="false" customHeight="true" outlineLevel="0" collapsed="false">
      <c r="A16" s="64" t="s">
        <v>75</v>
      </c>
      <c r="B16" s="65" t="s">
        <v>99</v>
      </c>
      <c r="C16" s="65" t="s">
        <v>100</v>
      </c>
      <c r="D16" s="65" t="s">
        <v>101</v>
      </c>
      <c r="E16" s="65" t="s">
        <v>102</v>
      </c>
      <c r="F16" s="65" t="s">
        <v>103</v>
      </c>
      <c r="G16" s="66" t="s">
        <v>104</v>
      </c>
    </row>
    <row r="17" customFormat="false" ht="18.75" hidden="false" customHeight="true" outlineLevel="0" collapsed="false">
      <c r="A17" s="45" t="n">
        <f aca="false">IF(BRIDGE!A4="","",BRIDGE!A4)</f>
        <v>2029</v>
      </c>
      <c r="B17" s="46" t="n">
        <f aca="false">IF(A17="","",BRIDGE!K4+'ROTH LADDER'!D6+INPUTS!$B$24)</f>
        <v>84600</v>
      </c>
      <c r="C17" s="46" t="n">
        <f aca="false">IF(A17="","",INPUTS!$B$34)</f>
        <v>32200</v>
      </c>
      <c r="D17" s="46" t="n">
        <f aca="false">IF(A17="","",MAX(0,B17-C17))</f>
        <v>52400</v>
      </c>
      <c r="E17" s="46" t="n">
        <f aca="false">IF(A17="","",SUMPRODUCT(((D17-$B$6:$B$12)&gt;0)*(D17-$B$6:$B$12)*$D$6:$D$12))</f>
        <v>5792</v>
      </c>
      <c r="F17" s="46" t="n">
        <f aca="false">IF(A17="","",D17*INPUTS!$B$11)</f>
        <v>0</v>
      </c>
      <c r="G17" s="46" t="str">
        <f aca="false">IF(A17="","",IF(D17=0,"No federal tax",IF(D17&lt;=$C$7,"Inside 12% bracket","⚠ Above 12% bracket")))</f>
        <v>Inside 12% bracket</v>
      </c>
    </row>
    <row r="18" customFormat="false" ht="18.75" hidden="false" customHeight="true" outlineLevel="0" collapsed="false">
      <c r="A18" s="47" t="n">
        <f aca="false">IF(BRIDGE!A5="","",BRIDGE!A5)</f>
        <v>2030</v>
      </c>
      <c r="B18" s="48" t="n">
        <f aca="false">IF(A18="","",BRIDGE!K5+'ROTH LADDER'!D7+INPUTS!$B$24)</f>
        <v>84600</v>
      </c>
      <c r="C18" s="48" t="n">
        <f aca="false">IF(A18="","",INPUTS!$B$34)</f>
        <v>32200</v>
      </c>
      <c r="D18" s="48" t="n">
        <f aca="false">IF(A18="","",MAX(0,B18-C18))</f>
        <v>52400</v>
      </c>
      <c r="E18" s="48" t="n">
        <f aca="false">IF(A18="","",SUMPRODUCT(((D18-$B$6:$B$12)&gt;0)*(D18-$B$6:$B$12)*$D$6:$D$12))</f>
        <v>5792</v>
      </c>
      <c r="F18" s="48" t="n">
        <f aca="false">IF(A18="","",D18*INPUTS!$B$11)</f>
        <v>0</v>
      </c>
      <c r="G18" s="48" t="str">
        <f aca="false">IF(A18="","",IF(D18=0,"No federal tax",IF(D18&lt;=$C$7,"Inside 12% bracket","⚠ Above 12% bracket")))</f>
        <v>Inside 12% bracket</v>
      </c>
    </row>
    <row r="19" customFormat="false" ht="18.75" hidden="false" customHeight="true" outlineLevel="0" collapsed="false">
      <c r="A19" s="45" t="n">
        <f aca="false">IF(BRIDGE!A6="","",BRIDGE!A6)</f>
        <v>2031</v>
      </c>
      <c r="B19" s="46" t="n">
        <f aca="false">IF(A19="","",BRIDGE!K6+'ROTH LADDER'!D8+INPUTS!$B$24)</f>
        <v>84600</v>
      </c>
      <c r="C19" s="46" t="n">
        <f aca="false">IF(A19="","",INPUTS!$B$34)</f>
        <v>32200</v>
      </c>
      <c r="D19" s="46" t="n">
        <f aca="false">IF(A19="","",MAX(0,B19-C19))</f>
        <v>52400</v>
      </c>
      <c r="E19" s="46" t="n">
        <f aca="false">IF(A19="","",SUMPRODUCT(((D19-$B$6:$B$12)&gt;0)*(D19-$B$6:$B$12)*$D$6:$D$12))</f>
        <v>5792</v>
      </c>
      <c r="F19" s="46" t="n">
        <f aca="false">IF(A19="","",D19*INPUTS!$B$11)</f>
        <v>0</v>
      </c>
      <c r="G19" s="46" t="str">
        <f aca="false">IF(A19="","",IF(D19=0,"No federal tax",IF(D19&lt;=$C$7,"Inside 12% bracket","⚠ Above 12% bracket")))</f>
        <v>Inside 12% bracket</v>
      </c>
    </row>
    <row r="20" customFormat="false" ht="18.75" hidden="false" customHeight="true" outlineLevel="0" collapsed="false">
      <c r="A20" s="47" t="n">
        <f aca="false">IF(BRIDGE!A7="","",BRIDGE!A7)</f>
        <v>2032</v>
      </c>
      <c r="B20" s="48" t="n">
        <f aca="false">IF(A20="","",BRIDGE!K7+'ROTH LADDER'!D9+INPUTS!$B$24)</f>
        <v>84600</v>
      </c>
      <c r="C20" s="48" t="n">
        <f aca="false">IF(A20="","",INPUTS!$B$34)</f>
        <v>32200</v>
      </c>
      <c r="D20" s="48" t="n">
        <f aca="false">IF(A20="","",MAX(0,B20-C20))</f>
        <v>52400</v>
      </c>
      <c r="E20" s="48" t="n">
        <f aca="false">IF(A20="","",SUMPRODUCT(((D20-$B$6:$B$12)&gt;0)*(D20-$B$6:$B$12)*$D$6:$D$12))</f>
        <v>5792</v>
      </c>
      <c r="F20" s="48" t="n">
        <f aca="false">IF(A20="","",D20*INPUTS!$B$11)</f>
        <v>0</v>
      </c>
      <c r="G20" s="48" t="str">
        <f aca="false">IF(A20="","",IF(D20=0,"No federal tax",IF(D20&lt;=$C$7,"Inside 12% bracket","⚠ Above 12% bracket")))</f>
        <v>Inside 12% bracket</v>
      </c>
    </row>
    <row r="21" customFormat="false" ht="18.75" hidden="false" customHeight="true" outlineLevel="0" collapsed="false">
      <c r="A21" s="45" t="n">
        <f aca="false">IF(BRIDGE!A8="","",BRIDGE!A8)</f>
        <v>2033</v>
      </c>
      <c r="B21" s="46" t="n">
        <f aca="false">IF(A21="","",BRIDGE!K8+'ROTH LADDER'!D10+INPUTS!$B$24)</f>
        <v>84600</v>
      </c>
      <c r="C21" s="46" t="n">
        <f aca="false">IF(A21="","",INPUTS!$B$34)</f>
        <v>32200</v>
      </c>
      <c r="D21" s="46" t="n">
        <f aca="false">IF(A21="","",MAX(0,B21-C21))</f>
        <v>52400</v>
      </c>
      <c r="E21" s="46" t="n">
        <f aca="false">IF(A21="","",SUMPRODUCT(((D21-$B$6:$B$12)&gt;0)*(D21-$B$6:$B$12)*$D$6:$D$12))</f>
        <v>5792</v>
      </c>
      <c r="F21" s="46" t="n">
        <f aca="false">IF(A21="","",D21*INPUTS!$B$11)</f>
        <v>0</v>
      </c>
      <c r="G21" s="46" t="str">
        <f aca="false">IF(A21="","",IF(D21=0,"No federal tax",IF(D21&lt;=$C$7,"Inside 12% bracket","⚠ Above 12% bracket")))</f>
        <v>Inside 12% bracket</v>
      </c>
    </row>
    <row r="22" customFormat="false" ht="18.75" hidden="false" customHeight="true" outlineLevel="0" collapsed="false">
      <c r="A22" s="47" t="str">
        <f aca="false">IF(BRIDGE!A9="","",BRIDGE!A9)</f>
        <v/>
      </c>
      <c r="B22" s="48" t="str">
        <f aca="false">IF(A22="","",BRIDGE!K9+'ROTH LADDER'!D11+INPUTS!$B$24)</f>
        <v/>
      </c>
      <c r="C22" s="48" t="str">
        <f aca="false">IF(A22="","",INPUTS!$B$34)</f>
        <v/>
      </c>
      <c r="D22" s="48" t="str">
        <f aca="false">IF(A22="","",MAX(0,B22-C22))</f>
        <v/>
      </c>
      <c r="E22" s="48" t="str">
        <f aca="false">IF(A22="","",SUMPRODUCT(((D22-$B$6:$B$12)&gt;0)*(D22-$B$6:$B$12)*$D$6:$D$12))</f>
        <v/>
      </c>
      <c r="F22" s="48" t="str">
        <f aca="false">IF(A22="","",D22*INPUTS!$B$11)</f>
        <v/>
      </c>
      <c r="G22" s="48" t="str">
        <f aca="false">IF(A22="","",IF(D22=0,"No federal tax",IF(D22&lt;=$C$7,"Inside 12% bracket","⚠ Above 12% bracket")))</f>
        <v/>
      </c>
    </row>
    <row r="23" customFormat="false" ht="18.75" hidden="false" customHeight="true" outlineLevel="0" collapsed="false">
      <c r="A23" s="45" t="str">
        <f aca="false">IF(BRIDGE!A10="","",BRIDGE!A10)</f>
        <v/>
      </c>
      <c r="B23" s="46" t="str">
        <f aca="false">IF(A23="","",BRIDGE!K10+'ROTH LADDER'!D12+INPUTS!$B$24)</f>
        <v/>
      </c>
      <c r="C23" s="46" t="str">
        <f aca="false">IF(A23="","",INPUTS!$B$34)</f>
        <v/>
      </c>
      <c r="D23" s="46" t="str">
        <f aca="false">IF(A23="","",MAX(0,B23-C23))</f>
        <v/>
      </c>
      <c r="E23" s="46" t="str">
        <f aca="false">IF(A23="","",SUMPRODUCT(((D23-$B$6:$B$12)&gt;0)*(D23-$B$6:$B$12)*$D$6:$D$12))</f>
        <v/>
      </c>
      <c r="F23" s="46" t="str">
        <f aca="false">IF(A23="","",D23*INPUTS!$B$11)</f>
        <v/>
      </c>
      <c r="G23" s="46" t="str">
        <f aca="false">IF(A23="","",IF(D23=0,"No federal tax",IF(D23&lt;=$C$7,"Inside 12% bracket","⚠ Above 12% bracket")))</f>
        <v/>
      </c>
    </row>
    <row r="24" customFormat="false" ht="18.75" hidden="false" customHeight="true" outlineLevel="0" collapsed="false">
      <c r="A24" s="47" t="str">
        <f aca="false">IF(BRIDGE!A11="","",BRIDGE!A11)</f>
        <v/>
      </c>
      <c r="B24" s="48" t="str">
        <f aca="false">IF(A24="","",BRIDGE!K11+'ROTH LADDER'!D13+INPUTS!$B$24)</f>
        <v/>
      </c>
      <c r="C24" s="48" t="str">
        <f aca="false">IF(A24="","",INPUTS!$B$34)</f>
        <v/>
      </c>
      <c r="D24" s="48" t="str">
        <f aca="false">IF(A24="","",MAX(0,B24-C24))</f>
        <v/>
      </c>
      <c r="E24" s="48" t="str">
        <f aca="false">IF(A24="","",SUMPRODUCT(((D24-$B$6:$B$12)&gt;0)*(D24-$B$6:$B$12)*$D$6:$D$12))</f>
        <v/>
      </c>
      <c r="F24" s="48" t="str">
        <f aca="false">IF(A24="","",D24*INPUTS!$B$11)</f>
        <v/>
      </c>
      <c r="G24" s="48" t="str">
        <f aca="false">IF(A24="","",IF(D24=0,"No federal tax",IF(D24&lt;=$C$7,"Inside 12% bracket","⚠ Above 12% bracket")))</f>
        <v/>
      </c>
    </row>
    <row r="25" customFormat="false" ht="18.75" hidden="false" customHeight="true" outlineLevel="0" collapsed="false">
      <c r="A25" s="45" t="str">
        <f aca="false">IF(BRIDGE!A12="","",BRIDGE!A12)</f>
        <v/>
      </c>
      <c r="B25" s="46" t="str">
        <f aca="false">IF(A25="","",BRIDGE!K12+'ROTH LADDER'!D14+INPUTS!$B$24)</f>
        <v/>
      </c>
      <c r="C25" s="46" t="str">
        <f aca="false">IF(A25="","",INPUTS!$B$34)</f>
        <v/>
      </c>
      <c r="D25" s="46" t="str">
        <f aca="false">IF(A25="","",MAX(0,B25-C25))</f>
        <v/>
      </c>
      <c r="E25" s="46" t="str">
        <f aca="false">IF(A25="","",SUMPRODUCT(((D25-$B$6:$B$12)&gt;0)*(D25-$B$6:$B$12)*$D$6:$D$12))</f>
        <v/>
      </c>
      <c r="F25" s="46" t="str">
        <f aca="false">IF(A25="","",D25*INPUTS!$B$11)</f>
        <v/>
      </c>
      <c r="G25" s="46" t="str">
        <f aca="false">IF(A25="","",IF(D25=0,"No federal tax",IF(D25&lt;=$C$7,"Inside 12% bracket","⚠ Above 12% bracket")))</f>
        <v/>
      </c>
    </row>
    <row r="26" customFormat="false" ht="18.75" hidden="false" customHeight="true" outlineLevel="0" collapsed="false">
      <c r="A26" s="47" t="str">
        <f aca="false">IF(BRIDGE!A13="","",BRIDGE!A13)</f>
        <v/>
      </c>
      <c r="B26" s="48" t="str">
        <f aca="false">IF(A26="","",BRIDGE!K13+'ROTH LADDER'!D15+INPUTS!$B$24)</f>
        <v/>
      </c>
      <c r="C26" s="48" t="str">
        <f aca="false">IF(A26="","",INPUTS!$B$34)</f>
        <v/>
      </c>
      <c r="D26" s="48" t="str">
        <f aca="false">IF(A26="","",MAX(0,B26-C26))</f>
        <v/>
      </c>
      <c r="E26" s="48" t="str">
        <f aca="false">IF(A26="","",SUMPRODUCT(((D26-$B$6:$B$12)&gt;0)*(D26-$B$6:$B$12)*$D$6:$D$12))</f>
        <v/>
      </c>
      <c r="F26" s="48" t="str">
        <f aca="false">IF(A26="","",D26*INPUTS!$B$11)</f>
        <v/>
      </c>
      <c r="G26" s="48" t="str">
        <f aca="false">IF(A26="","",IF(D26=0,"No federal tax",IF(D26&lt;=$C$7,"Inside 12% bracket","⚠ Above 12% bracket")))</f>
        <v/>
      </c>
    </row>
    <row r="27" customFormat="false" ht="18.75" hidden="false" customHeight="true" outlineLevel="0" collapsed="false">
      <c r="A27" s="45" t="str">
        <f aca="false">IF(BRIDGE!A14="","",BRIDGE!A14)</f>
        <v/>
      </c>
      <c r="B27" s="46" t="str">
        <f aca="false">IF(A27="","",BRIDGE!K14+'ROTH LADDER'!D16+INPUTS!$B$24)</f>
        <v/>
      </c>
      <c r="C27" s="46" t="str">
        <f aca="false">IF(A27="","",INPUTS!$B$34)</f>
        <v/>
      </c>
      <c r="D27" s="46" t="str">
        <f aca="false">IF(A27="","",MAX(0,B27-C27))</f>
        <v/>
      </c>
      <c r="E27" s="46" t="str">
        <f aca="false">IF(A27="","",SUMPRODUCT(((D27-$B$6:$B$12)&gt;0)*(D27-$B$6:$B$12)*$D$6:$D$12))</f>
        <v/>
      </c>
      <c r="F27" s="46" t="str">
        <f aca="false">IF(A27="","",D27*INPUTS!$B$11)</f>
        <v/>
      </c>
      <c r="G27" s="46" t="str">
        <f aca="false">IF(A27="","",IF(D27=0,"No federal tax",IF(D27&lt;=$C$7,"Inside 12% bracket","⚠ Above 12% bracket")))</f>
        <v/>
      </c>
    </row>
    <row r="28" customFormat="false" ht="18.75" hidden="false" customHeight="true" outlineLevel="0" collapsed="false">
      <c r="A28" s="47" t="str">
        <f aca="false">IF(BRIDGE!A15="","",BRIDGE!A15)</f>
        <v/>
      </c>
      <c r="B28" s="48" t="str">
        <f aca="false">IF(A28="","",BRIDGE!K15+'ROTH LADDER'!D17+INPUTS!$B$24)</f>
        <v/>
      </c>
      <c r="C28" s="48" t="str">
        <f aca="false">IF(A28="","",INPUTS!$B$34)</f>
        <v/>
      </c>
      <c r="D28" s="48" t="str">
        <f aca="false">IF(A28="","",MAX(0,B28-C28))</f>
        <v/>
      </c>
      <c r="E28" s="48" t="str">
        <f aca="false">IF(A28="","",SUMPRODUCT(((D28-$B$6:$B$12)&gt;0)*(D28-$B$6:$B$12)*$D$6:$D$12))</f>
        <v/>
      </c>
      <c r="F28" s="48" t="str">
        <f aca="false">IF(A28="","",D28*INPUTS!$B$11)</f>
        <v/>
      </c>
      <c r="G28" s="48" t="str">
        <f aca="false">IF(A28="","",IF(D28=0,"No federal tax",IF(D28&lt;=$C$7,"Inside 12% bracket","⚠ Above 12% bracket")))</f>
        <v/>
      </c>
    </row>
    <row r="29" customFormat="false" ht="18.75" hidden="false" customHeight="true" outlineLevel="0" collapsed="false">
      <c r="A29" s="45" t="str">
        <f aca="false">IF(BRIDGE!A16="","",BRIDGE!A16)</f>
        <v/>
      </c>
      <c r="B29" s="46" t="str">
        <f aca="false">IF(A29="","",BRIDGE!K16+'ROTH LADDER'!D18+INPUTS!$B$24)</f>
        <v/>
      </c>
      <c r="C29" s="46" t="str">
        <f aca="false">IF(A29="","",INPUTS!$B$34)</f>
        <v/>
      </c>
      <c r="D29" s="46" t="str">
        <f aca="false">IF(A29="","",MAX(0,B29-C29))</f>
        <v/>
      </c>
      <c r="E29" s="46" t="str">
        <f aca="false">IF(A29="","",SUMPRODUCT(((D29-$B$6:$B$12)&gt;0)*(D29-$B$6:$B$12)*$D$6:$D$12))</f>
        <v/>
      </c>
      <c r="F29" s="46" t="str">
        <f aca="false">IF(A29="","",D29*INPUTS!$B$11)</f>
        <v/>
      </c>
      <c r="G29" s="46" t="str">
        <f aca="false">IF(A29="","",IF(D29=0,"No federal tax",IF(D29&lt;=$C$7,"Inside 12% bracket","⚠ Above 12% bracket")))</f>
        <v/>
      </c>
    </row>
    <row r="30" customFormat="false" ht="18.75" hidden="false" customHeight="true" outlineLevel="0" collapsed="false">
      <c r="A30" s="47" t="str">
        <f aca="false">IF(BRIDGE!A17="","",BRIDGE!A17)</f>
        <v/>
      </c>
      <c r="B30" s="48" t="str">
        <f aca="false">IF(A30="","",BRIDGE!K17+'ROTH LADDER'!D19+INPUTS!$B$24)</f>
        <v/>
      </c>
      <c r="C30" s="48" t="str">
        <f aca="false">IF(A30="","",INPUTS!$B$34)</f>
        <v/>
      </c>
      <c r="D30" s="48" t="str">
        <f aca="false">IF(A30="","",MAX(0,B30-C30))</f>
        <v/>
      </c>
      <c r="E30" s="48" t="str">
        <f aca="false">IF(A30="","",SUMPRODUCT(((D30-$B$6:$B$12)&gt;0)*(D30-$B$6:$B$12)*$D$6:$D$12))</f>
        <v/>
      </c>
      <c r="F30" s="48" t="str">
        <f aca="false">IF(A30="","",D30*INPUTS!$B$11)</f>
        <v/>
      </c>
      <c r="G30" s="48" t="str">
        <f aca="false">IF(A30="","",IF(D30=0,"No federal tax",IF(D30&lt;=$C$7,"Inside 12% bracket","⚠ Above 12% bracket")))</f>
        <v/>
      </c>
    </row>
    <row r="31" customFormat="false" ht="18.75" hidden="false" customHeight="true" outlineLevel="0" collapsed="false">
      <c r="A31" s="45" t="str">
        <f aca="false">IF(BRIDGE!A18="","",BRIDGE!A18)</f>
        <v/>
      </c>
      <c r="B31" s="46" t="str">
        <f aca="false">IF(A31="","",BRIDGE!K18+'ROTH LADDER'!D20+INPUTS!$B$24)</f>
        <v/>
      </c>
      <c r="C31" s="46" t="str">
        <f aca="false">IF(A31="","",INPUTS!$B$34)</f>
        <v/>
      </c>
      <c r="D31" s="46" t="str">
        <f aca="false">IF(A31="","",MAX(0,B31-C31))</f>
        <v/>
      </c>
      <c r="E31" s="46" t="str">
        <f aca="false">IF(A31="","",SUMPRODUCT(((D31-$B$6:$B$12)&gt;0)*(D31-$B$6:$B$12)*$D$6:$D$12))</f>
        <v/>
      </c>
      <c r="F31" s="46" t="str">
        <f aca="false">IF(A31="","",D31*INPUTS!$B$11)</f>
        <v/>
      </c>
      <c r="G31" s="46" t="str">
        <f aca="false">IF(A31="","",IF(D31=0,"No federal tax",IF(D31&lt;=$C$7,"Inside 12% bracket","⚠ Above 12% bracket")))</f>
        <v/>
      </c>
    </row>
    <row r="32" customFormat="false" ht="18.75" hidden="false" customHeight="true" outlineLevel="0" collapsed="false">
      <c r="A32" s="47" t="str">
        <f aca="false">IF(BRIDGE!A19="","",BRIDGE!A19)</f>
        <v/>
      </c>
      <c r="B32" s="48" t="str">
        <f aca="false">IF(A32="","",BRIDGE!K19+'ROTH LADDER'!D21+INPUTS!$B$24)</f>
        <v/>
      </c>
      <c r="C32" s="48" t="str">
        <f aca="false">IF(A32="","",INPUTS!$B$34)</f>
        <v/>
      </c>
      <c r="D32" s="48" t="str">
        <f aca="false">IF(A32="","",MAX(0,B32-C32))</f>
        <v/>
      </c>
      <c r="E32" s="48" t="str">
        <f aca="false">IF(A32="","",SUMPRODUCT(((D32-$B$6:$B$12)&gt;0)*(D32-$B$6:$B$12)*$D$6:$D$12))</f>
        <v/>
      </c>
      <c r="F32" s="48" t="str">
        <f aca="false">IF(A32="","",D32*INPUTS!$B$11)</f>
        <v/>
      </c>
      <c r="G32" s="48" t="str">
        <f aca="false">IF(A32="","",IF(D32=0,"No federal tax",IF(D32&lt;=$C$7,"Inside 12% bracket","⚠ Above 12% bracket")))</f>
        <v/>
      </c>
    </row>
    <row r="33" customFormat="false" ht="18.75" hidden="false" customHeight="true" outlineLevel="0" collapsed="false">
      <c r="A33" s="45" t="str">
        <f aca="false">IF(BRIDGE!A20="","",BRIDGE!A20)</f>
        <v/>
      </c>
      <c r="B33" s="46" t="str">
        <f aca="false">IF(A33="","",BRIDGE!K20+'ROTH LADDER'!D22+INPUTS!$B$24)</f>
        <v/>
      </c>
      <c r="C33" s="46" t="str">
        <f aca="false">IF(A33="","",INPUTS!$B$34)</f>
        <v/>
      </c>
      <c r="D33" s="46" t="str">
        <f aca="false">IF(A33="","",MAX(0,B33-C33))</f>
        <v/>
      </c>
      <c r="E33" s="46" t="str">
        <f aca="false">IF(A33="","",SUMPRODUCT(((D33-$B$6:$B$12)&gt;0)*(D33-$B$6:$B$12)*$D$6:$D$12))</f>
        <v/>
      </c>
      <c r="F33" s="46" t="str">
        <f aca="false">IF(A33="","",D33*INPUTS!$B$11)</f>
        <v/>
      </c>
      <c r="G33" s="46" t="str">
        <f aca="false">IF(A33="","",IF(D33=0,"No federal tax",IF(D33&lt;=$C$7,"Inside 12% bracket","⚠ Above 12% bracket")))</f>
        <v/>
      </c>
    </row>
    <row r="34" customFormat="false" ht="18.75" hidden="false" customHeight="true" outlineLevel="0" collapsed="false">
      <c r="A34" s="47" t="str">
        <f aca="false">IF(BRIDGE!A21="","",BRIDGE!A21)</f>
        <v/>
      </c>
      <c r="B34" s="48" t="str">
        <f aca="false">IF(A34="","",BRIDGE!K21+'ROTH LADDER'!D23+INPUTS!$B$24)</f>
        <v/>
      </c>
      <c r="C34" s="48" t="str">
        <f aca="false">IF(A34="","",INPUTS!$B$34)</f>
        <v/>
      </c>
      <c r="D34" s="48" t="str">
        <f aca="false">IF(A34="","",MAX(0,B34-C34))</f>
        <v/>
      </c>
      <c r="E34" s="48" t="str">
        <f aca="false">IF(A34="","",SUMPRODUCT(((D34-$B$6:$B$12)&gt;0)*(D34-$B$6:$B$12)*$D$6:$D$12))</f>
        <v/>
      </c>
      <c r="F34" s="48" t="str">
        <f aca="false">IF(A34="","",D34*INPUTS!$B$11)</f>
        <v/>
      </c>
      <c r="G34" s="48" t="str">
        <f aca="false">IF(A34="","",IF(D34=0,"No federal tax",IF(D34&lt;=$C$7,"Inside 12% bracket","⚠ Above 12% bracket")))</f>
        <v/>
      </c>
    </row>
    <row r="35" customFormat="false" ht="18.75" hidden="false" customHeight="true" outlineLevel="0" collapsed="false">
      <c r="A35" s="45" t="str">
        <f aca="false">IF(BRIDGE!A22="","",BRIDGE!A22)</f>
        <v/>
      </c>
      <c r="B35" s="46" t="str">
        <f aca="false">IF(A35="","",BRIDGE!K22+'ROTH LADDER'!D24+INPUTS!$B$24)</f>
        <v/>
      </c>
      <c r="C35" s="46" t="str">
        <f aca="false">IF(A35="","",INPUTS!$B$34)</f>
        <v/>
      </c>
      <c r="D35" s="46" t="str">
        <f aca="false">IF(A35="","",MAX(0,B35-C35))</f>
        <v/>
      </c>
      <c r="E35" s="46" t="str">
        <f aca="false">IF(A35="","",SUMPRODUCT(((D35-$B$6:$B$12)&gt;0)*(D35-$B$6:$B$12)*$D$6:$D$12))</f>
        <v/>
      </c>
      <c r="F35" s="46" t="str">
        <f aca="false">IF(A35="","",D35*INPUTS!$B$11)</f>
        <v/>
      </c>
      <c r="G35" s="46" t="str">
        <f aca="false">IF(A35="","",IF(D35=0,"No federal tax",IF(D35&lt;=$C$7,"Inside 12% bracket","⚠ Above 12% bracket")))</f>
        <v/>
      </c>
    </row>
    <row r="36" customFormat="false" ht="18.75" hidden="false" customHeight="true" outlineLevel="0" collapsed="false">
      <c r="A36" s="47" t="str">
        <f aca="false">IF(BRIDGE!A23="","",BRIDGE!A23)</f>
        <v/>
      </c>
      <c r="B36" s="48" t="str">
        <f aca="false">IF(A36="","",BRIDGE!K23+'ROTH LADDER'!D25+INPUTS!$B$24)</f>
        <v/>
      </c>
      <c r="C36" s="48" t="str">
        <f aca="false">IF(A36="","",INPUTS!$B$34)</f>
        <v/>
      </c>
      <c r="D36" s="48" t="str">
        <f aca="false">IF(A36="","",MAX(0,B36-C36))</f>
        <v/>
      </c>
      <c r="E36" s="48" t="str">
        <f aca="false">IF(A36="","",SUMPRODUCT(((D36-$B$6:$B$12)&gt;0)*(D36-$B$6:$B$12)*$D$6:$D$12))</f>
        <v/>
      </c>
      <c r="F36" s="48" t="str">
        <f aca="false">IF(A36="","",D36*INPUTS!$B$11)</f>
        <v/>
      </c>
      <c r="G36" s="48" t="str">
        <f aca="false">IF(A36="","",IF(D36=0,"No federal tax",IF(D36&lt;=$C$7,"Inside 12% bracket","⚠ Above 12% bracket")))</f>
        <v/>
      </c>
    </row>
    <row r="37" customFormat="false" ht="18.75" hidden="false" customHeight="true" outlineLevel="0" collapsed="false">
      <c r="A37" s="45" t="str">
        <f aca="false">IF(BRIDGE!A24="","",BRIDGE!A24)</f>
        <v/>
      </c>
      <c r="B37" s="46" t="str">
        <f aca="false">IF(A37="","",BRIDGE!K24+'ROTH LADDER'!D26+INPUTS!$B$24)</f>
        <v/>
      </c>
      <c r="C37" s="46" t="str">
        <f aca="false">IF(A37="","",INPUTS!$B$34)</f>
        <v/>
      </c>
      <c r="D37" s="46" t="str">
        <f aca="false">IF(A37="","",MAX(0,B37-C37))</f>
        <v/>
      </c>
      <c r="E37" s="46" t="str">
        <f aca="false">IF(A37="","",SUMPRODUCT(((D37-$B$6:$B$12)&gt;0)*(D37-$B$6:$B$12)*$D$6:$D$12))</f>
        <v/>
      </c>
      <c r="F37" s="46" t="str">
        <f aca="false">IF(A37="","",D37*INPUTS!$B$11)</f>
        <v/>
      </c>
      <c r="G37" s="46" t="str">
        <f aca="false">IF(A37="","",IF(D37=0,"No federal tax",IF(D37&lt;=$C$7,"Inside 12% bracket","⚠ Above 12% bracket")))</f>
        <v/>
      </c>
    </row>
    <row r="38" customFormat="false" ht="18.75" hidden="false" customHeight="true" outlineLevel="0" collapsed="false">
      <c r="A38" s="47" t="str">
        <f aca="false">IF(BRIDGE!A25="","",BRIDGE!A25)</f>
        <v/>
      </c>
      <c r="B38" s="48" t="str">
        <f aca="false">IF(A38="","",BRIDGE!K25+'ROTH LADDER'!D27+INPUTS!$B$24)</f>
        <v/>
      </c>
      <c r="C38" s="48" t="str">
        <f aca="false">IF(A38="","",INPUTS!$B$34)</f>
        <v/>
      </c>
      <c r="D38" s="48" t="str">
        <f aca="false">IF(A38="","",MAX(0,B38-C38))</f>
        <v/>
      </c>
      <c r="E38" s="48" t="str">
        <f aca="false">IF(A38="","",SUMPRODUCT(((D38-$B$6:$B$12)&gt;0)*(D38-$B$6:$B$12)*$D$6:$D$12))</f>
        <v/>
      </c>
      <c r="F38" s="48" t="str">
        <f aca="false">IF(A38="","",D38*INPUTS!$B$11)</f>
        <v/>
      </c>
      <c r="G38" s="48" t="str">
        <f aca="false">IF(A38="","",IF(D38=0,"No federal tax",IF(D38&lt;=$C$7,"Inside 12% bracket","⚠ Above 12% bracket")))</f>
        <v/>
      </c>
    </row>
    <row r="39" customFormat="false" ht="18.75" hidden="false" customHeight="true" outlineLevel="0" collapsed="false">
      <c r="A39" s="45" t="str">
        <f aca="false">IF(BRIDGE!A26="","",BRIDGE!A26)</f>
        <v/>
      </c>
      <c r="B39" s="46" t="str">
        <f aca="false">IF(A39="","",BRIDGE!K26+'ROTH LADDER'!D28+INPUTS!$B$24)</f>
        <v/>
      </c>
      <c r="C39" s="46" t="str">
        <f aca="false">IF(A39="","",INPUTS!$B$34)</f>
        <v/>
      </c>
      <c r="D39" s="46" t="str">
        <f aca="false">IF(A39="","",MAX(0,B39-C39))</f>
        <v/>
      </c>
      <c r="E39" s="46" t="str">
        <f aca="false">IF(A39="","",SUMPRODUCT(((D39-$B$6:$B$12)&gt;0)*(D39-$B$6:$B$12)*$D$6:$D$12))</f>
        <v/>
      </c>
      <c r="F39" s="46" t="str">
        <f aca="false">IF(A39="","",D39*INPUTS!$B$11)</f>
        <v/>
      </c>
      <c r="G39" s="46" t="str">
        <f aca="false">IF(A39="","",IF(D39=0,"No federal tax",IF(D39&lt;=$C$7,"Inside 12% bracket","⚠ Above 12% bracket")))</f>
        <v/>
      </c>
    </row>
    <row r="40" customFormat="false" ht="18.75" hidden="false" customHeight="true" outlineLevel="0" collapsed="false">
      <c r="A40" s="47" t="str">
        <f aca="false">IF(BRIDGE!A27="","",BRIDGE!A27)</f>
        <v/>
      </c>
      <c r="B40" s="48" t="str">
        <f aca="false">IF(A40="","",BRIDGE!K27+'ROTH LADDER'!D29+INPUTS!$B$24)</f>
        <v/>
      </c>
      <c r="C40" s="48" t="str">
        <f aca="false">IF(A40="","",INPUTS!$B$34)</f>
        <v/>
      </c>
      <c r="D40" s="48" t="str">
        <f aca="false">IF(A40="","",MAX(0,B40-C40))</f>
        <v/>
      </c>
      <c r="E40" s="48" t="str">
        <f aca="false">IF(A40="","",SUMPRODUCT(((D40-$B$6:$B$12)&gt;0)*(D40-$B$6:$B$12)*$D$6:$D$12))</f>
        <v/>
      </c>
      <c r="F40" s="48" t="str">
        <f aca="false">IF(A40="","",D40*INPUTS!$B$11)</f>
        <v/>
      </c>
      <c r="G40" s="48" t="str">
        <f aca="false">IF(A40="","",IF(D40=0,"No federal tax",IF(D40&lt;=$C$7,"Inside 12% bracket","⚠ Above 12% bracket")))</f>
        <v/>
      </c>
    </row>
    <row r="41" customFormat="false" ht="18.75" hidden="false" customHeight="true" outlineLevel="0" collapsed="false">
      <c r="A41" s="45" t="str">
        <f aca="false">IF(BRIDGE!A28="","",BRIDGE!A28)</f>
        <v/>
      </c>
      <c r="B41" s="46" t="str">
        <f aca="false">IF(A41="","",BRIDGE!K28+'ROTH LADDER'!D30+INPUTS!$B$24)</f>
        <v/>
      </c>
      <c r="C41" s="46" t="str">
        <f aca="false">IF(A41="","",INPUTS!$B$34)</f>
        <v/>
      </c>
      <c r="D41" s="46" t="str">
        <f aca="false">IF(A41="","",MAX(0,B41-C41))</f>
        <v/>
      </c>
      <c r="E41" s="46" t="str">
        <f aca="false">IF(A41="","",SUMPRODUCT(((D41-$B$6:$B$12)&gt;0)*(D41-$B$6:$B$12)*$D$6:$D$12))</f>
        <v/>
      </c>
      <c r="F41" s="46" t="str">
        <f aca="false">IF(A41="","",D41*INPUTS!$B$11)</f>
        <v/>
      </c>
      <c r="G41" s="46" t="str">
        <f aca="false">IF(A41="","",IF(D41=0,"No federal tax",IF(D41&lt;=$C$7,"Inside 12% bracket","⚠ Above 12% bracket")))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8" min="8" style="1" width="22"/>
  </cols>
  <sheetData>
    <row r="1" customFormat="false" ht="30" hidden="false" customHeight="true" outlineLevel="0" collapsed="false">
      <c r="A1" s="42" t="s">
        <v>105</v>
      </c>
      <c r="B1" s="42"/>
      <c r="C1" s="42"/>
      <c r="D1" s="42"/>
      <c r="E1" s="42"/>
      <c r="F1" s="42"/>
      <c r="G1" s="42"/>
      <c r="H1" s="42"/>
    </row>
    <row r="2" customFormat="false" ht="15.75" hidden="false" customHeight="true" outlineLevel="0" collapsed="false">
      <c r="A2" s="20" t="s">
        <v>106</v>
      </c>
      <c r="B2" s="53"/>
      <c r="C2" s="53"/>
      <c r="D2" s="53"/>
      <c r="E2" s="53"/>
      <c r="F2" s="53"/>
      <c r="G2" s="53"/>
      <c r="H2" s="53"/>
    </row>
    <row r="3" customFormat="false" ht="27.75" hidden="false" customHeight="true" outlineLevel="0" collapsed="false">
      <c r="A3" s="67" t="s">
        <v>107</v>
      </c>
      <c r="B3" s="67"/>
      <c r="C3" s="67"/>
      <c r="D3" s="67"/>
      <c r="E3" s="67"/>
      <c r="F3" s="67"/>
      <c r="G3" s="67"/>
      <c r="H3" s="67"/>
    </row>
    <row r="4" customFormat="false" ht="15" hidden="false" customHeight="true" outlineLevel="0" collapsed="false">
      <c r="A4" s="68" t="s">
        <v>108</v>
      </c>
      <c r="B4" s="53"/>
      <c r="C4" s="69" t="n">
        <f aca="false">4*(15650+5500*(MAX(1,INPUTS!$B$26)-1))</f>
        <v>84600</v>
      </c>
      <c r="D4" s="70" t="str">
        <f aca="false">("Household of "&amp;INPUTS!$B$26&amp;" — 2025 HHS guideline, verify annually")</f>
        <v>Household of 2 — 2025 HHS guideline, verify annually</v>
      </c>
      <c r="E4" s="53"/>
      <c r="F4" s="53"/>
      <c r="G4" s="53"/>
      <c r="H4" s="53"/>
    </row>
    <row r="5" customFormat="false" ht="27.75" hidden="false" customHeight="true" outlineLevel="0" collapsed="false">
      <c r="A5" s="44" t="s">
        <v>75</v>
      </c>
      <c r="B5" s="44" t="s">
        <v>76</v>
      </c>
      <c r="C5" s="44" t="s">
        <v>109</v>
      </c>
      <c r="D5" s="44" t="s">
        <v>110</v>
      </c>
      <c r="E5" s="44" t="s">
        <v>111</v>
      </c>
      <c r="F5" s="44" t="s">
        <v>112</v>
      </c>
      <c r="G5" s="44" t="s">
        <v>113</v>
      </c>
      <c r="H5" s="44" t="s">
        <v>114</v>
      </c>
    </row>
    <row r="6" customFormat="false" ht="18.75" hidden="false" customHeight="true" outlineLevel="0" collapsed="false">
      <c r="A6" s="71" t="n">
        <f aca="false">IF(BRIDGE!A4="","",BRIDGE!A4)</f>
        <v>2029</v>
      </c>
      <c r="B6" s="71" t="n">
        <f aca="false">IF(A6="","",BRIDGE!B4)</f>
        <v>55</v>
      </c>
      <c r="C6" s="55" t="n">
        <f aca="false">IF(A6="","",MAX(0,'TAX ESTIMATE'!$C$7+INPUTS!$B$34-BRIDGE!K4-INPUTS!$B$24))</f>
        <v>133000</v>
      </c>
      <c r="D6" s="55" t="n">
        <f aca="false">IF(A6="","",MAX(0,MIN(C6,$C$4-BRIDGE!K4-INPUTS!$B$24)))</f>
        <v>84600</v>
      </c>
      <c r="E6" s="55" t="n">
        <f aca="false">IF(A6="","",D6*0.12)</f>
        <v>10152</v>
      </c>
      <c r="F6" s="55" t="n">
        <f aca="false">IF(A6="","",BRIDGE!K4+D6+INPUTS!$B$24)</f>
        <v>84600</v>
      </c>
      <c r="G6" s="72" t="str">
        <f aca="false">IF(A6="","",IF(F6&gt;$C$4,"⚠ OVER CLIFF — trims subsidy to $0","✓ Under cliff"))</f>
        <v>✓ Under cliff</v>
      </c>
      <c r="H6" s="71" t="str">
        <f aca="false">IF(A6="","",A6+5&amp;" (5-yr rule)")</f>
        <v>2034 (5-yr rule)</v>
      </c>
    </row>
    <row r="7" customFormat="false" ht="18.75" hidden="false" customHeight="true" outlineLevel="0" collapsed="false">
      <c r="A7" s="73" t="n">
        <f aca="false">IF(BRIDGE!A5="","",BRIDGE!A5)</f>
        <v>2030</v>
      </c>
      <c r="B7" s="73" t="n">
        <f aca="false">IF(A7="","",BRIDGE!B5)</f>
        <v>56</v>
      </c>
      <c r="C7" s="57" t="n">
        <f aca="false">IF(A7="","",MAX(0,'TAX ESTIMATE'!$C$7+INPUTS!$B$34-BRIDGE!K5-INPUTS!$B$24))</f>
        <v>133000</v>
      </c>
      <c r="D7" s="57" t="n">
        <f aca="false">IF(A7="","",MAX(0,MIN(C7,$C$4-BRIDGE!K5-INPUTS!$B$24)))</f>
        <v>84600</v>
      </c>
      <c r="E7" s="57" t="n">
        <f aca="false">IF(A7="","",D7*0.12)</f>
        <v>10152</v>
      </c>
      <c r="F7" s="57" t="n">
        <f aca="false">IF(A7="","",BRIDGE!K5+D7+INPUTS!$B$24)</f>
        <v>84600</v>
      </c>
      <c r="G7" s="72" t="str">
        <f aca="false">IF(A7="","",IF(F7&gt;$C$4,"⚠ OVER CLIFF — trims subsidy to $0","✓ Under cliff"))</f>
        <v>✓ Under cliff</v>
      </c>
      <c r="H7" s="73" t="str">
        <f aca="false">IF(A7="","",A7+5&amp;" (5-yr rule)")</f>
        <v>2035 (5-yr rule)</v>
      </c>
    </row>
    <row r="8" customFormat="false" ht="18.75" hidden="false" customHeight="true" outlineLevel="0" collapsed="false">
      <c r="A8" s="71" t="n">
        <f aca="false">IF(BRIDGE!A6="","",BRIDGE!A6)</f>
        <v>2031</v>
      </c>
      <c r="B8" s="71" t="n">
        <f aca="false">IF(A8="","",BRIDGE!B6)</f>
        <v>57</v>
      </c>
      <c r="C8" s="55" t="n">
        <f aca="false">IF(A8="","",MAX(0,'TAX ESTIMATE'!$C$7+INPUTS!$B$34-BRIDGE!K6-INPUTS!$B$24))</f>
        <v>133000</v>
      </c>
      <c r="D8" s="55" t="n">
        <f aca="false">IF(A8="","",MAX(0,MIN(C8,$C$4-BRIDGE!K6-INPUTS!$B$24)))</f>
        <v>84600</v>
      </c>
      <c r="E8" s="55" t="n">
        <f aca="false">IF(A8="","",D8*0.12)</f>
        <v>10152</v>
      </c>
      <c r="F8" s="55" t="n">
        <f aca="false">IF(A8="","",BRIDGE!K6+D8+INPUTS!$B$24)</f>
        <v>84600</v>
      </c>
      <c r="G8" s="72" t="str">
        <f aca="false">IF(A8="","",IF(F8&gt;$C$4,"⚠ OVER CLIFF — trims subsidy to $0","✓ Under cliff"))</f>
        <v>✓ Under cliff</v>
      </c>
      <c r="H8" s="71" t="str">
        <f aca="false">IF(A8="","",A8+5&amp;" (5-yr rule)")</f>
        <v>2036 (5-yr rule)</v>
      </c>
    </row>
    <row r="9" customFormat="false" ht="18.75" hidden="false" customHeight="true" outlineLevel="0" collapsed="false">
      <c r="A9" s="73" t="n">
        <f aca="false">IF(BRIDGE!A7="","",BRIDGE!A7)</f>
        <v>2032</v>
      </c>
      <c r="B9" s="73" t="n">
        <f aca="false">IF(A9="","",BRIDGE!B7)</f>
        <v>58</v>
      </c>
      <c r="C9" s="57" t="n">
        <f aca="false">IF(A9="","",MAX(0,'TAX ESTIMATE'!$C$7+INPUTS!$B$34-BRIDGE!K7-INPUTS!$B$24))</f>
        <v>133000</v>
      </c>
      <c r="D9" s="57" t="n">
        <f aca="false">IF(A9="","",MAX(0,MIN(C9,$C$4-BRIDGE!K7-INPUTS!$B$24)))</f>
        <v>84600</v>
      </c>
      <c r="E9" s="57" t="n">
        <f aca="false">IF(A9="","",D9*0.12)</f>
        <v>10152</v>
      </c>
      <c r="F9" s="57" t="n">
        <f aca="false">IF(A9="","",BRIDGE!K7+D9+INPUTS!$B$24)</f>
        <v>84600</v>
      </c>
      <c r="G9" s="72" t="str">
        <f aca="false">IF(A9="","",IF(F9&gt;$C$4,"⚠ OVER CLIFF — trims subsidy to $0","✓ Under cliff"))</f>
        <v>✓ Under cliff</v>
      </c>
      <c r="H9" s="73" t="str">
        <f aca="false">IF(A9="","",A9+5&amp;" (5-yr rule)")</f>
        <v>2037 (5-yr rule)</v>
      </c>
    </row>
    <row r="10" customFormat="false" ht="18.75" hidden="false" customHeight="true" outlineLevel="0" collapsed="false">
      <c r="A10" s="71" t="n">
        <f aca="false">IF(BRIDGE!A8="","",BRIDGE!A8)</f>
        <v>2033</v>
      </c>
      <c r="B10" s="71" t="n">
        <f aca="false">IF(A10="","",BRIDGE!B8)</f>
        <v>59</v>
      </c>
      <c r="C10" s="55" t="n">
        <f aca="false">IF(A10="","",MAX(0,'TAX ESTIMATE'!$C$7+INPUTS!$B$34-BRIDGE!K8-INPUTS!$B$24))</f>
        <v>133000</v>
      </c>
      <c r="D10" s="55" t="n">
        <f aca="false">IF(A10="","",MAX(0,MIN(C10,$C$4-BRIDGE!K8-INPUTS!$B$24)))</f>
        <v>84600</v>
      </c>
      <c r="E10" s="55" t="n">
        <f aca="false">IF(A10="","",D10*0.12)</f>
        <v>10152</v>
      </c>
      <c r="F10" s="55" t="n">
        <f aca="false">IF(A10="","",BRIDGE!K8+D10+INPUTS!$B$24)</f>
        <v>84600</v>
      </c>
      <c r="G10" s="72" t="str">
        <f aca="false">IF(A10="","",IF(F10&gt;$C$4,"⚠ OVER CLIFF — trims subsidy to $0","✓ Under cliff"))</f>
        <v>✓ Under cliff</v>
      </c>
      <c r="H10" s="71" t="str">
        <f aca="false">IF(A10="","",A10+5&amp;" (5-yr rule)")</f>
        <v>2038 (5-yr rule)</v>
      </c>
    </row>
    <row r="11" customFormat="false" ht="18.75" hidden="false" customHeight="true" outlineLevel="0" collapsed="false">
      <c r="A11" s="73" t="str">
        <f aca="false">IF(BRIDGE!A9="","",BRIDGE!A9)</f>
        <v/>
      </c>
      <c r="B11" s="73" t="str">
        <f aca="false">IF(A11="","",BRIDGE!B9)</f>
        <v/>
      </c>
      <c r="C11" s="57" t="str">
        <f aca="false">IF(A11="","",MAX(0,'TAX ESTIMATE'!$C$7+INPUTS!$B$34-BRIDGE!K9-INPUTS!$B$24))</f>
        <v/>
      </c>
      <c r="D11" s="57" t="str">
        <f aca="false">IF(A11="","",MAX(0,MIN(C11,$C$4-BRIDGE!K9-INPUTS!$B$24)))</f>
        <v/>
      </c>
      <c r="E11" s="57" t="str">
        <f aca="false">IF(A11="","",D11*0.12)</f>
        <v/>
      </c>
      <c r="F11" s="57" t="str">
        <f aca="false">IF(A11="","",BRIDGE!K9+D11+INPUTS!$B$24)</f>
        <v/>
      </c>
      <c r="G11" s="72" t="str">
        <f aca="false">IF(A11="","",IF(F11&gt;$C$4,"⚠ OVER CLIFF — trims subsidy to $0","✓ Under cliff"))</f>
        <v/>
      </c>
      <c r="H11" s="73" t="str">
        <f aca="false">IF(A11="","",A11+5&amp;" (5-yr rule)")</f>
        <v/>
      </c>
    </row>
    <row r="12" customFormat="false" ht="18.75" hidden="false" customHeight="true" outlineLevel="0" collapsed="false">
      <c r="A12" s="71" t="str">
        <f aca="false">IF(BRIDGE!A10="","",BRIDGE!A10)</f>
        <v/>
      </c>
      <c r="B12" s="71" t="str">
        <f aca="false">IF(A12="","",BRIDGE!B10)</f>
        <v/>
      </c>
      <c r="C12" s="55" t="str">
        <f aca="false">IF(A12="","",MAX(0,'TAX ESTIMATE'!$C$7+INPUTS!$B$34-BRIDGE!K10-INPUTS!$B$24))</f>
        <v/>
      </c>
      <c r="D12" s="55" t="str">
        <f aca="false">IF(A12="","",MAX(0,MIN(C12,$C$4-BRIDGE!K10-INPUTS!$B$24)))</f>
        <v/>
      </c>
      <c r="E12" s="55" t="str">
        <f aca="false">IF(A12="","",D12*0.12)</f>
        <v/>
      </c>
      <c r="F12" s="55" t="str">
        <f aca="false">IF(A12="","",BRIDGE!K10+D12+INPUTS!$B$24)</f>
        <v/>
      </c>
      <c r="G12" s="72" t="str">
        <f aca="false">IF(A12="","",IF(F12&gt;$C$4,"⚠ OVER CLIFF — trims subsidy to $0","✓ Under cliff"))</f>
        <v/>
      </c>
      <c r="H12" s="71" t="str">
        <f aca="false">IF(A12="","",A12+5&amp;" (5-yr rule)")</f>
        <v/>
      </c>
    </row>
    <row r="13" customFormat="false" ht="18.75" hidden="false" customHeight="true" outlineLevel="0" collapsed="false">
      <c r="A13" s="73" t="str">
        <f aca="false">IF(BRIDGE!A11="","",BRIDGE!A11)</f>
        <v/>
      </c>
      <c r="B13" s="73" t="str">
        <f aca="false">IF(A13="","",BRIDGE!B11)</f>
        <v/>
      </c>
      <c r="C13" s="57" t="str">
        <f aca="false">IF(A13="","",MAX(0,'TAX ESTIMATE'!$C$7+INPUTS!$B$34-BRIDGE!K11-INPUTS!$B$24))</f>
        <v/>
      </c>
      <c r="D13" s="57" t="str">
        <f aca="false">IF(A13="","",MAX(0,MIN(C13,$C$4-BRIDGE!K11-INPUTS!$B$24)))</f>
        <v/>
      </c>
      <c r="E13" s="57" t="str">
        <f aca="false">IF(A13="","",D13*0.12)</f>
        <v/>
      </c>
      <c r="F13" s="57" t="str">
        <f aca="false">IF(A13="","",BRIDGE!K11+D13+INPUTS!$B$24)</f>
        <v/>
      </c>
      <c r="G13" s="72" t="str">
        <f aca="false">IF(A13="","",IF(F13&gt;$C$4,"⚠ OVER CLIFF — trims subsidy to $0","✓ Under cliff"))</f>
        <v/>
      </c>
      <c r="H13" s="73" t="str">
        <f aca="false">IF(A13="","",A13+5&amp;" (5-yr rule)")</f>
        <v/>
      </c>
    </row>
    <row r="14" customFormat="false" ht="18.75" hidden="false" customHeight="true" outlineLevel="0" collapsed="false">
      <c r="A14" s="71" t="str">
        <f aca="false">IF(BRIDGE!A12="","",BRIDGE!A12)</f>
        <v/>
      </c>
      <c r="B14" s="71" t="str">
        <f aca="false">IF(A14="","",BRIDGE!B12)</f>
        <v/>
      </c>
      <c r="C14" s="55" t="str">
        <f aca="false">IF(A14="","",MAX(0,'TAX ESTIMATE'!$C$7+INPUTS!$B$34-BRIDGE!K12-INPUTS!$B$24))</f>
        <v/>
      </c>
      <c r="D14" s="55" t="str">
        <f aca="false">IF(A14="","",MAX(0,MIN(C14,$C$4-BRIDGE!K12-INPUTS!$B$24)))</f>
        <v/>
      </c>
      <c r="E14" s="55" t="str">
        <f aca="false">IF(A14="","",D14*0.12)</f>
        <v/>
      </c>
      <c r="F14" s="55" t="str">
        <f aca="false">IF(A14="","",BRIDGE!K12+D14+INPUTS!$B$24)</f>
        <v/>
      </c>
      <c r="G14" s="72" t="str">
        <f aca="false">IF(A14="","",IF(F14&gt;$C$4,"⚠ OVER CLIFF — trims subsidy to $0","✓ Under cliff"))</f>
        <v/>
      </c>
      <c r="H14" s="71" t="str">
        <f aca="false">IF(A14="","",A14+5&amp;" (5-yr rule)")</f>
        <v/>
      </c>
    </row>
    <row r="15" customFormat="false" ht="18.75" hidden="false" customHeight="true" outlineLevel="0" collapsed="false">
      <c r="A15" s="73" t="str">
        <f aca="false">IF(BRIDGE!A13="","",BRIDGE!A13)</f>
        <v/>
      </c>
      <c r="B15" s="73" t="str">
        <f aca="false">IF(A15="","",BRIDGE!B13)</f>
        <v/>
      </c>
      <c r="C15" s="57" t="str">
        <f aca="false">IF(A15="","",MAX(0,'TAX ESTIMATE'!$C$7+INPUTS!$B$34-BRIDGE!K13-INPUTS!$B$24))</f>
        <v/>
      </c>
      <c r="D15" s="57" t="str">
        <f aca="false">IF(A15="","",MAX(0,MIN(C15,$C$4-BRIDGE!K13-INPUTS!$B$24)))</f>
        <v/>
      </c>
      <c r="E15" s="57" t="str">
        <f aca="false">IF(A15="","",D15*0.12)</f>
        <v/>
      </c>
      <c r="F15" s="57" t="str">
        <f aca="false">IF(A15="","",BRIDGE!K13+D15+INPUTS!$B$24)</f>
        <v/>
      </c>
      <c r="G15" s="72" t="str">
        <f aca="false">IF(A15="","",IF(F15&gt;$C$4,"⚠ OVER CLIFF — trims subsidy to $0","✓ Under cliff"))</f>
        <v/>
      </c>
      <c r="H15" s="73" t="str">
        <f aca="false">IF(A15="","",A15+5&amp;" (5-yr rule)")</f>
        <v/>
      </c>
    </row>
    <row r="16" customFormat="false" ht="18.75" hidden="false" customHeight="true" outlineLevel="0" collapsed="false">
      <c r="A16" s="71" t="str">
        <f aca="false">IF(BRIDGE!A14="","",BRIDGE!A14)</f>
        <v/>
      </c>
      <c r="B16" s="71" t="str">
        <f aca="false">IF(A16="","",BRIDGE!B14)</f>
        <v/>
      </c>
      <c r="C16" s="55" t="str">
        <f aca="false">IF(A16="","",MAX(0,'TAX ESTIMATE'!$C$7+INPUTS!$B$34-BRIDGE!K14-INPUTS!$B$24))</f>
        <v/>
      </c>
      <c r="D16" s="55" t="str">
        <f aca="false">IF(A16="","",MAX(0,MIN(C16,$C$4-BRIDGE!K14-INPUTS!$B$24)))</f>
        <v/>
      </c>
      <c r="E16" s="55" t="str">
        <f aca="false">IF(A16="","",D16*0.12)</f>
        <v/>
      </c>
      <c r="F16" s="55" t="str">
        <f aca="false">IF(A16="","",BRIDGE!K14+D16+INPUTS!$B$24)</f>
        <v/>
      </c>
      <c r="G16" s="72" t="str">
        <f aca="false">IF(A16="","",IF(F16&gt;$C$4,"⚠ OVER CLIFF — trims subsidy to $0","✓ Under cliff"))</f>
        <v/>
      </c>
      <c r="H16" s="71" t="str">
        <f aca="false">IF(A16="","",A16+5&amp;" (5-yr rule)")</f>
        <v/>
      </c>
    </row>
    <row r="17" customFormat="false" ht="18.75" hidden="false" customHeight="true" outlineLevel="0" collapsed="false">
      <c r="A17" s="73" t="str">
        <f aca="false">IF(BRIDGE!A15="","",BRIDGE!A15)</f>
        <v/>
      </c>
      <c r="B17" s="73" t="str">
        <f aca="false">IF(A17="","",BRIDGE!B15)</f>
        <v/>
      </c>
      <c r="C17" s="57" t="str">
        <f aca="false">IF(A17="","",MAX(0,'TAX ESTIMATE'!$C$7+INPUTS!$B$34-BRIDGE!K15-INPUTS!$B$24))</f>
        <v/>
      </c>
      <c r="D17" s="57" t="str">
        <f aca="false">IF(A17="","",MAX(0,MIN(C17,$C$4-BRIDGE!K15-INPUTS!$B$24)))</f>
        <v/>
      </c>
      <c r="E17" s="57" t="str">
        <f aca="false">IF(A17="","",D17*0.12)</f>
        <v/>
      </c>
      <c r="F17" s="57" t="str">
        <f aca="false">IF(A17="","",BRIDGE!K15+D17+INPUTS!$B$24)</f>
        <v/>
      </c>
      <c r="G17" s="72" t="str">
        <f aca="false">IF(A17="","",IF(F17&gt;$C$4,"⚠ OVER CLIFF — trims subsidy to $0","✓ Under cliff"))</f>
        <v/>
      </c>
      <c r="H17" s="73" t="str">
        <f aca="false">IF(A17="","",A17+5&amp;" (5-yr rule)")</f>
        <v/>
      </c>
    </row>
    <row r="18" customFormat="false" ht="18.75" hidden="false" customHeight="true" outlineLevel="0" collapsed="false">
      <c r="A18" s="71" t="str">
        <f aca="false">IF(BRIDGE!A16="","",BRIDGE!A16)</f>
        <v/>
      </c>
      <c r="B18" s="71" t="str">
        <f aca="false">IF(A18="","",BRIDGE!B16)</f>
        <v/>
      </c>
      <c r="C18" s="55" t="str">
        <f aca="false">IF(A18="","",MAX(0,'TAX ESTIMATE'!$C$7+INPUTS!$B$34-BRIDGE!K16-INPUTS!$B$24))</f>
        <v/>
      </c>
      <c r="D18" s="55" t="str">
        <f aca="false">IF(A18="","",MAX(0,MIN(C18,$C$4-BRIDGE!K16-INPUTS!$B$24)))</f>
        <v/>
      </c>
      <c r="E18" s="55" t="str">
        <f aca="false">IF(A18="","",D18*0.12)</f>
        <v/>
      </c>
      <c r="F18" s="55" t="str">
        <f aca="false">IF(A18="","",BRIDGE!K16+D18+INPUTS!$B$24)</f>
        <v/>
      </c>
      <c r="G18" s="72" t="str">
        <f aca="false">IF(A18="","",IF(F18&gt;$C$4,"⚠ OVER CLIFF — trims subsidy to $0","✓ Under cliff"))</f>
        <v/>
      </c>
      <c r="H18" s="71" t="str">
        <f aca="false">IF(A18="","",A18+5&amp;" (5-yr rule)")</f>
        <v/>
      </c>
    </row>
    <row r="19" customFormat="false" ht="18.75" hidden="false" customHeight="true" outlineLevel="0" collapsed="false">
      <c r="A19" s="73" t="str">
        <f aca="false">IF(BRIDGE!A17="","",BRIDGE!A17)</f>
        <v/>
      </c>
      <c r="B19" s="73" t="str">
        <f aca="false">IF(A19="","",BRIDGE!B17)</f>
        <v/>
      </c>
      <c r="C19" s="57" t="str">
        <f aca="false">IF(A19="","",MAX(0,'TAX ESTIMATE'!$C$7+INPUTS!$B$34-BRIDGE!K17-INPUTS!$B$24))</f>
        <v/>
      </c>
      <c r="D19" s="57" t="str">
        <f aca="false">IF(A19="","",MAX(0,MIN(C19,$C$4-BRIDGE!K17-INPUTS!$B$24)))</f>
        <v/>
      </c>
      <c r="E19" s="57" t="str">
        <f aca="false">IF(A19="","",D19*0.12)</f>
        <v/>
      </c>
      <c r="F19" s="57" t="str">
        <f aca="false">IF(A19="","",BRIDGE!K17+D19+INPUTS!$B$24)</f>
        <v/>
      </c>
      <c r="G19" s="72" t="str">
        <f aca="false">IF(A19="","",IF(F19&gt;$C$4,"⚠ OVER CLIFF — trims subsidy to $0","✓ Under cliff"))</f>
        <v/>
      </c>
      <c r="H19" s="73" t="str">
        <f aca="false">IF(A19="","",A19+5&amp;" (5-yr rule)")</f>
        <v/>
      </c>
    </row>
    <row r="20" customFormat="false" ht="18.75" hidden="false" customHeight="true" outlineLevel="0" collapsed="false">
      <c r="A20" s="71" t="str">
        <f aca="false">IF(BRIDGE!A18="","",BRIDGE!A18)</f>
        <v/>
      </c>
      <c r="B20" s="71" t="str">
        <f aca="false">IF(A20="","",BRIDGE!B18)</f>
        <v/>
      </c>
      <c r="C20" s="55" t="str">
        <f aca="false">IF(A20="","",MAX(0,'TAX ESTIMATE'!$C$7+INPUTS!$B$34-BRIDGE!K18-INPUTS!$B$24))</f>
        <v/>
      </c>
      <c r="D20" s="55" t="str">
        <f aca="false">IF(A20="","",MAX(0,MIN(C20,$C$4-BRIDGE!K18-INPUTS!$B$24)))</f>
        <v/>
      </c>
      <c r="E20" s="55" t="str">
        <f aca="false">IF(A20="","",D20*0.12)</f>
        <v/>
      </c>
      <c r="F20" s="55" t="str">
        <f aca="false">IF(A20="","",BRIDGE!K18+D20+INPUTS!$B$24)</f>
        <v/>
      </c>
      <c r="G20" s="72" t="str">
        <f aca="false">IF(A20="","",IF(F20&gt;$C$4,"⚠ OVER CLIFF — trims subsidy to $0","✓ Under cliff"))</f>
        <v/>
      </c>
      <c r="H20" s="71" t="str">
        <f aca="false">IF(A20="","",A20+5&amp;" (5-yr rule)")</f>
        <v/>
      </c>
    </row>
    <row r="21" customFormat="false" ht="18.75" hidden="false" customHeight="true" outlineLevel="0" collapsed="false">
      <c r="A21" s="73" t="str">
        <f aca="false">IF(BRIDGE!A19="","",BRIDGE!A19)</f>
        <v/>
      </c>
      <c r="B21" s="73" t="str">
        <f aca="false">IF(A21="","",BRIDGE!B19)</f>
        <v/>
      </c>
      <c r="C21" s="57" t="str">
        <f aca="false">IF(A21="","",MAX(0,'TAX ESTIMATE'!$C$7+INPUTS!$B$34-BRIDGE!K19-INPUTS!$B$24))</f>
        <v/>
      </c>
      <c r="D21" s="57" t="str">
        <f aca="false">IF(A21="","",MAX(0,MIN(C21,$C$4-BRIDGE!K19-INPUTS!$B$24)))</f>
        <v/>
      </c>
      <c r="E21" s="57" t="str">
        <f aca="false">IF(A21="","",D21*0.12)</f>
        <v/>
      </c>
      <c r="F21" s="57" t="str">
        <f aca="false">IF(A21="","",BRIDGE!K19+D21+INPUTS!$B$24)</f>
        <v/>
      </c>
      <c r="G21" s="72" t="str">
        <f aca="false">IF(A21="","",IF(F21&gt;$C$4,"⚠ OVER CLIFF — trims subsidy to $0","✓ Under cliff"))</f>
        <v/>
      </c>
      <c r="H21" s="73" t="str">
        <f aca="false">IF(A21="","",A21+5&amp;" (5-yr rule)")</f>
        <v/>
      </c>
    </row>
    <row r="22" customFormat="false" ht="18.75" hidden="false" customHeight="true" outlineLevel="0" collapsed="false">
      <c r="A22" s="71" t="str">
        <f aca="false">IF(BRIDGE!A20="","",BRIDGE!A20)</f>
        <v/>
      </c>
      <c r="B22" s="71" t="str">
        <f aca="false">IF(A22="","",BRIDGE!B20)</f>
        <v/>
      </c>
      <c r="C22" s="55" t="str">
        <f aca="false">IF(A22="","",MAX(0,'TAX ESTIMATE'!$C$7+INPUTS!$B$34-BRIDGE!K20-INPUTS!$B$24))</f>
        <v/>
      </c>
      <c r="D22" s="55" t="str">
        <f aca="false">IF(A22="","",MAX(0,MIN(C22,$C$4-BRIDGE!K20-INPUTS!$B$24)))</f>
        <v/>
      </c>
      <c r="E22" s="55" t="str">
        <f aca="false">IF(A22="","",D22*0.12)</f>
        <v/>
      </c>
      <c r="F22" s="55" t="str">
        <f aca="false">IF(A22="","",BRIDGE!K20+D22+INPUTS!$B$24)</f>
        <v/>
      </c>
      <c r="G22" s="72" t="str">
        <f aca="false">IF(A22="","",IF(F22&gt;$C$4,"⚠ OVER CLIFF — trims subsidy to $0","✓ Under cliff"))</f>
        <v/>
      </c>
      <c r="H22" s="71" t="str">
        <f aca="false">IF(A22="","",A22+5&amp;" (5-yr rule)")</f>
        <v/>
      </c>
    </row>
    <row r="23" customFormat="false" ht="18.75" hidden="false" customHeight="true" outlineLevel="0" collapsed="false">
      <c r="A23" s="73" t="str">
        <f aca="false">IF(BRIDGE!A21="","",BRIDGE!A21)</f>
        <v/>
      </c>
      <c r="B23" s="73" t="str">
        <f aca="false">IF(A23="","",BRIDGE!B21)</f>
        <v/>
      </c>
      <c r="C23" s="57" t="str">
        <f aca="false">IF(A23="","",MAX(0,'TAX ESTIMATE'!$C$7+INPUTS!$B$34-BRIDGE!K21-INPUTS!$B$24))</f>
        <v/>
      </c>
      <c r="D23" s="57" t="str">
        <f aca="false">IF(A23="","",MAX(0,MIN(C23,$C$4-BRIDGE!K21-INPUTS!$B$24)))</f>
        <v/>
      </c>
      <c r="E23" s="57" t="str">
        <f aca="false">IF(A23="","",D23*0.12)</f>
        <v/>
      </c>
      <c r="F23" s="57" t="str">
        <f aca="false">IF(A23="","",BRIDGE!K21+D23+INPUTS!$B$24)</f>
        <v/>
      </c>
      <c r="G23" s="72" t="str">
        <f aca="false">IF(A23="","",IF(F23&gt;$C$4,"⚠ OVER CLIFF — trims subsidy to $0","✓ Under cliff"))</f>
        <v/>
      </c>
      <c r="H23" s="73" t="str">
        <f aca="false">IF(A23="","",A23+5&amp;" (5-yr rule)")</f>
        <v/>
      </c>
    </row>
    <row r="24" customFormat="false" ht="18.75" hidden="false" customHeight="true" outlineLevel="0" collapsed="false">
      <c r="A24" s="71" t="str">
        <f aca="false">IF(BRIDGE!A22="","",BRIDGE!A22)</f>
        <v/>
      </c>
      <c r="B24" s="71" t="str">
        <f aca="false">IF(A24="","",BRIDGE!B22)</f>
        <v/>
      </c>
      <c r="C24" s="55" t="str">
        <f aca="false">IF(A24="","",MAX(0,'TAX ESTIMATE'!$C$7+INPUTS!$B$34-BRIDGE!K22-INPUTS!$B$24))</f>
        <v/>
      </c>
      <c r="D24" s="55" t="str">
        <f aca="false">IF(A24="","",MAX(0,MIN(C24,$C$4-BRIDGE!K22-INPUTS!$B$24)))</f>
        <v/>
      </c>
      <c r="E24" s="55" t="str">
        <f aca="false">IF(A24="","",D24*0.12)</f>
        <v/>
      </c>
      <c r="F24" s="55" t="str">
        <f aca="false">IF(A24="","",BRIDGE!K22+D24+INPUTS!$B$24)</f>
        <v/>
      </c>
      <c r="G24" s="72" t="str">
        <f aca="false">IF(A24="","",IF(F24&gt;$C$4,"⚠ OVER CLIFF — trims subsidy to $0","✓ Under cliff"))</f>
        <v/>
      </c>
      <c r="H24" s="71" t="str">
        <f aca="false">IF(A24="","",A24+5&amp;" (5-yr rule)")</f>
        <v/>
      </c>
    </row>
    <row r="25" customFormat="false" ht="18.75" hidden="false" customHeight="true" outlineLevel="0" collapsed="false">
      <c r="A25" s="73" t="str">
        <f aca="false">IF(BRIDGE!A23="","",BRIDGE!A23)</f>
        <v/>
      </c>
      <c r="B25" s="73" t="str">
        <f aca="false">IF(A25="","",BRIDGE!B23)</f>
        <v/>
      </c>
      <c r="C25" s="57" t="str">
        <f aca="false">IF(A25="","",MAX(0,'TAX ESTIMATE'!$C$7+INPUTS!$B$34-BRIDGE!K23-INPUTS!$B$24))</f>
        <v/>
      </c>
      <c r="D25" s="57" t="str">
        <f aca="false">IF(A25="","",MAX(0,MIN(C25,$C$4-BRIDGE!K23-INPUTS!$B$24)))</f>
        <v/>
      </c>
      <c r="E25" s="57" t="str">
        <f aca="false">IF(A25="","",D25*0.12)</f>
        <v/>
      </c>
      <c r="F25" s="57" t="str">
        <f aca="false">IF(A25="","",BRIDGE!K23+D25+INPUTS!$B$24)</f>
        <v/>
      </c>
      <c r="G25" s="72" t="str">
        <f aca="false">IF(A25="","",IF(F25&gt;$C$4,"⚠ OVER CLIFF — trims subsidy to $0","✓ Under cliff"))</f>
        <v/>
      </c>
      <c r="H25" s="73" t="str">
        <f aca="false">IF(A25="","",A25+5&amp;" (5-yr rule)")</f>
        <v/>
      </c>
    </row>
    <row r="26" customFormat="false" ht="18.75" hidden="false" customHeight="true" outlineLevel="0" collapsed="false">
      <c r="A26" s="71" t="str">
        <f aca="false">IF(BRIDGE!A24="","",BRIDGE!A24)</f>
        <v/>
      </c>
      <c r="B26" s="71" t="str">
        <f aca="false">IF(A26="","",BRIDGE!B24)</f>
        <v/>
      </c>
      <c r="C26" s="55" t="str">
        <f aca="false">IF(A26="","",MAX(0,'TAX ESTIMATE'!$C$7+INPUTS!$B$34-BRIDGE!K24-INPUTS!$B$24))</f>
        <v/>
      </c>
      <c r="D26" s="55" t="str">
        <f aca="false">IF(A26="","",MAX(0,MIN(C26,$C$4-BRIDGE!K24-INPUTS!$B$24)))</f>
        <v/>
      </c>
      <c r="E26" s="55" t="str">
        <f aca="false">IF(A26="","",D26*0.12)</f>
        <v/>
      </c>
      <c r="F26" s="55" t="str">
        <f aca="false">IF(A26="","",BRIDGE!K24+D26+INPUTS!$B$24)</f>
        <v/>
      </c>
      <c r="G26" s="72" t="str">
        <f aca="false">IF(A26="","",IF(F26&gt;$C$4,"⚠ OVER CLIFF — trims subsidy to $0","✓ Under cliff"))</f>
        <v/>
      </c>
      <c r="H26" s="71" t="str">
        <f aca="false">IF(A26="","",A26+5&amp;" (5-yr rule)")</f>
        <v/>
      </c>
    </row>
    <row r="27" customFormat="false" ht="18.75" hidden="false" customHeight="true" outlineLevel="0" collapsed="false">
      <c r="A27" s="73" t="str">
        <f aca="false">IF(BRIDGE!A25="","",BRIDGE!A25)</f>
        <v/>
      </c>
      <c r="B27" s="73" t="str">
        <f aca="false">IF(A27="","",BRIDGE!B25)</f>
        <v/>
      </c>
      <c r="C27" s="57" t="str">
        <f aca="false">IF(A27="","",MAX(0,'TAX ESTIMATE'!$C$7+INPUTS!$B$34-BRIDGE!K25-INPUTS!$B$24))</f>
        <v/>
      </c>
      <c r="D27" s="57" t="str">
        <f aca="false">IF(A27="","",MAX(0,MIN(C27,$C$4-BRIDGE!K25-INPUTS!$B$24)))</f>
        <v/>
      </c>
      <c r="E27" s="57" t="str">
        <f aca="false">IF(A27="","",D27*0.12)</f>
        <v/>
      </c>
      <c r="F27" s="57" t="str">
        <f aca="false">IF(A27="","",BRIDGE!K25+D27+INPUTS!$B$24)</f>
        <v/>
      </c>
      <c r="G27" s="72" t="str">
        <f aca="false">IF(A27="","",IF(F27&gt;$C$4,"⚠ OVER CLIFF — trims subsidy to $0","✓ Under cliff"))</f>
        <v/>
      </c>
      <c r="H27" s="73" t="str">
        <f aca="false">IF(A27="","",A27+5&amp;" (5-yr rule)")</f>
        <v/>
      </c>
    </row>
    <row r="28" customFormat="false" ht="18.75" hidden="false" customHeight="true" outlineLevel="0" collapsed="false">
      <c r="A28" s="71" t="str">
        <f aca="false">IF(BRIDGE!A26="","",BRIDGE!A26)</f>
        <v/>
      </c>
      <c r="B28" s="71" t="str">
        <f aca="false">IF(A28="","",BRIDGE!B26)</f>
        <v/>
      </c>
      <c r="C28" s="55" t="str">
        <f aca="false">IF(A28="","",MAX(0,'TAX ESTIMATE'!$C$7+INPUTS!$B$34-BRIDGE!K26-INPUTS!$B$24))</f>
        <v/>
      </c>
      <c r="D28" s="55" t="str">
        <f aca="false">IF(A28="","",MAX(0,MIN(C28,$C$4-BRIDGE!K26-INPUTS!$B$24)))</f>
        <v/>
      </c>
      <c r="E28" s="55" t="str">
        <f aca="false">IF(A28="","",D28*0.12)</f>
        <v/>
      </c>
      <c r="F28" s="55" t="str">
        <f aca="false">IF(A28="","",BRIDGE!K26+D28+INPUTS!$B$24)</f>
        <v/>
      </c>
      <c r="G28" s="72" t="str">
        <f aca="false">IF(A28="","",IF(F28&gt;$C$4,"⚠ OVER CLIFF — trims subsidy to $0","✓ Under cliff"))</f>
        <v/>
      </c>
      <c r="H28" s="71" t="str">
        <f aca="false">IF(A28="","",A28+5&amp;" (5-yr rule)")</f>
        <v/>
      </c>
    </row>
    <row r="29" customFormat="false" ht="18.75" hidden="false" customHeight="true" outlineLevel="0" collapsed="false">
      <c r="A29" s="73" t="str">
        <f aca="false">IF(BRIDGE!A27="","",BRIDGE!A27)</f>
        <v/>
      </c>
      <c r="B29" s="73" t="str">
        <f aca="false">IF(A29="","",BRIDGE!B27)</f>
        <v/>
      </c>
      <c r="C29" s="57" t="str">
        <f aca="false">IF(A29="","",MAX(0,'TAX ESTIMATE'!$C$7+INPUTS!$B$34-BRIDGE!K27-INPUTS!$B$24))</f>
        <v/>
      </c>
      <c r="D29" s="57" t="str">
        <f aca="false">IF(A29="","",MAX(0,MIN(C29,$C$4-BRIDGE!K27-INPUTS!$B$24)))</f>
        <v/>
      </c>
      <c r="E29" s="57" t="str">
        <f aca="false">IF(A29="","",D29*0.12)</f>
        <v/>
      </c>
      <c r="F29" s="57" t="str">
        <f aca="false">IF(A29="","",BRIDGE!K27+D29+INPUTS!$B$24)</f>
        <v/>
      </c>
      <c r="G29" s="72" t="str">
        <f aca="false">IF(A29="","",IF(F29&gt;$C$4,"⚠ OVER CLIFF — trims subsidy to $0","✓ Under cliff"))</f>
        <v/>
      </c>
      <c r="H29" s="73" t="str">
        <f aca="false">IF(A29="","",A29+5&amp;" (5-yr rule)")</f>
        <v/>
      </c>
    </row>
    <row r="30" customFormat="false" ht="18.75" hidden="false" customHeight="true" outlineLevel="0" collapsed="false">
      <c r="A30" s="71" t="str">
        <f aca="false">IF(BRIDGE!A28="","",BRIDGE!A28)</f>
        <v/>
      </c>
      <c r="B30" s="71" t="str">
        <f aca="false">IF(A30="","",BRIDGE!B28)</f>
        <v/>
      </c>
      <c r="C30" s="55" t="str">
        <f aca="false">IF(A30="","",MAX(0,'TAX ESTIMATE'!$C$7+INPUTS!$B$34-BRIDGE!K28-INPUTS!$B$24))</f>
        <v/>
      </c>
      <c r="D30" s="55" t="str">
        <f aca="false">IF(A30="","",MAX(0,MIN(C30,$C$4-BRIDGE!K28-INPUTS!$B$24)))</f>
        <v/>
      </c>
      <c r="E30" s="55" t="str">
        <f aca="false">IF(A30="","",D30*0.12)</f>
        <v/>
      </c>
      <c r="F30" s="55" t="str">
        <f aca="false">IF(A30="","",BRIDGE!K28+D30+INPUTS!$B$24)</f>
        <v/>
      </c>
      <c r="G30" s="72" t="str">
        <f aca="false">IF(A30="","",IF(F30&gt;$C$4,"⚠ OVER CLIFF — trims subsidy to $0","✓ Under cliff"))</f>
        <v/>
      </c>
      <c r="H30" s="71" t="str">
        <f aca="false">IF(A30="","",A30+5&amp;" (5-yr rule)")</f>
        <v/>
      </c>
    </row>
    <row r="31" customFormat="false" ht="15" hidden="false" customHeight="false" outlineLevel="0" collapsed="false">
      <c r="A31" s="49"/>
      <c r="B31" s="49"/>
      <c r="C31" s="49"/>
      <c r="D31" s="49"/>
      <c r="E31" s="49"/>
      <c r="F31" s="49"/>
      <c r="G31" s="49"/>
      <c r="H31" s="49"/>
    </row>
    <row r="32" customFormat="false" ht="18.75" hidden="false" customHeight="true" outlineLevel="0" collapsed="false">
      <c r="A32" s="71" t="s">
        <v>115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8"/>
    <col collapsed="false" customWidth="true" hidden="false" outlineLevel="0" max="5" min="4" style="1" width="15"/>
    <col collapsed="false" customWidth="true" hidden="false" outlineLevel="0" max="8" min="6" style="1" width="18"/>
  </cols>
  <sheetData>
    <row r="1" customFormat="false" ht="30" hidden="false" customHeight="true" outlineLevel="0" collapsed="false">
      <c r="A1" s="42" t="s">
        <v>116</v>
      </c>
      <c r="B1" s="42"/>
      <c r="C1" s="42"/>
      <c r="D1" s="42"/>
      <c r="E1" s="42"/>
      <c r="F1" s="42"/>
      <c r="G1" s="42"/>
      <c r="H1" s="42"/>
    </row>
    <row r="2" customFormat="false" ht="15.75" hidden="false" customHeight="true" outlineLevel="0" collapsed="false">
      <c r="A2" s="20" t="s">
        <v>117</v>
      </c>
      <c r="B2" s="53"/>
      <c r="C2" s="53"/>
      <c r="D2" s="53"/>
      <c r="E2" s="53"/>
      <c r="F2" s="53"/>
      <c r="G2" s="53"/>
      <c r="H2" s="53"/>
    </row>
    <row r="3" customFormat="false" ht="15" hidden="false" customHeight="true" outlineLevel="0" collapsed="false">
      <c r="A3" s="53"/>
      <c r="B3" s="53"/>
      <c r="C3" s="53"/>
      <c r="D3" s="53"/>
      <c r="E3" s="53"/>
      <c r="F3" s="53"/>
      <c r="G3" s="53"/>
      <c r="H3" s="53"/>
    </row>
    <row r="4" customFormat="false" ht="27.75" hidden="false" customHeight="true" outlineLevel="0" collapsed="false">
      <c r="A4" s="44" t="s">
        <v>75</v>
      </c>
      <c r="B4" s="44" t="s">
        <v>76</v>
      </c>
      <c r="C4" s="44" t="s">
        <v>118</v>
      </c>
      <c r="D4" s="44" t="s">
        <v>119</v>
      </c>
      <c r="E4" s="44" t="s">
        <v>78</v>
      </c>
      <c r="F4" s="44" t="s">
        <v>120</v>
      </c>
      <c r="G4" s="44" t="s">
        <v>121</v>
      </c>
      <c r="H4" s="44" t="s">
        <v>122</v>
      </c>
    </row>
    <row r="5" customFormat="false" ht="18.75" hidden="false" customHeight="true" outlineLevel="0" collapsed="false">
      <c r="A5" s="74" t="n">
        <f aca="false">IF(MAX(59.5,INPUTS!$B$6)+0&gt;INPUTS!$B$8,"",INPUTS!$B$12+(MAX(59.5,INPUTS!$B$6)-INPUTS!$B$5)+0)</f>
        <v>2033.5</v>
      </c>
      <c r="B5" s="75" t="n">
        <f aca="false">IF(A5="","",MAX(59.5,INPUTS!$B$6)+0)</f>
        <v>59.5</v>
      </c>
      <c r="C5" s="48" t="n">
        <f aca="false">IF(A5="","",INPUTS!$B$22*(1+INPUTS!$B$23)^(A5-INPUTS!$B$12))</f>
        <v>66189.8931382789</v>
      </c>
      <c r="D5" s="48" t="n">
        <f aca="false">IF(A5="","",IF(B5&gt;=INPUTS!$B$7,INPUTS!$B$25*(1+INPUTS!$B$23)^(A5-INPUTS!$B$12),0))</f>
        <v>0</v>
      </c>
      <c r="E5" s="48" t="n">
        <f aca="false">IF(A5="","",INPUTS!$B$24)</f>
        <v>0</v>
      </c>
      <c r="F5" s="48" t="n">
        <f aca="false">IF(A5="","",MAX(0,C5-D5-E5))</f>
        <v>66189.8931382789</v>
      </c>
      <c r="G5" s="48" t="n">
        <f aca="false">IF(A5="","",MAX(0,BRIDGE!L30+BRIDGE!N30-F5)*(1+INPUTS!$B$28))</f>
        <v>1423416.47329274</v>
      </c>
      <c r="H5" s="48" t="n">
        <f aca="false">IF(A5="","",MAX(0,BRIDGE!M30-MAX(0,F5-BRIDGE!L30-BRIDGE!N30))*(1+INPUTS!$B$28))</f>
        <v>264385.558488642</v>
      </c>
    </row>
    <row r="6" customFormat="false" ht="18.75" hidden="false" customHeight="true" outlineLevel="0" collapsed="false">
      <c r="A6" s="76" t="n">
        <f aca="false">IF(MAX(59.5,INPUTS!$B$6)+1&gt;INPUTS!$B$8,"",INPUTS!$B$12+(MAX(59.5,INPUTS!$B$6)-INPUTS!$B$5)+1)</f>
        <v>2034.5</v>
      </c>
      <c r="B6" s="77" t="n">
        <f aca="false">IF(A6="","",MAX(59.5,INPUTS!$B$6)+1)</f>
        <v>60.5</v>
      </c>
      <c r="C6" s="46" t="n">
        <f aca="false">IF(A6="","",INPUTS!$B$22*(1+INPUTS!$B$23)^(A6-INPUTS!$B$12))</f>
        <v>67844.6404667359</v>
      </c>
      <c r="D6" s="46" t="n">
        <f aca="false">IF(A6="","",IF(B6&gt;=INPUTS!$B$7,INPUTS!$B$25*(1+INPUTS!$B$23)^(A6-INPUTS!$B$12),0))</f>
        <v>0</v>
      </c>
      <c r="E6" s="46" t="n">
        <f aca="false">IF(A6="","",INPUTS!$B$24)</f>
        <v>0</v>
      </c>
      <c r="F6" s="46" t="n">
        <f aca="false">IF(A6="","",IF(G5+H5=0,0,MAX(0,C6-D6-E6)))</f>
        <v>67844.6404667359</v>
      </c>
      <c r="G6" s="46" t="n">
        <f aca="false">IF(A6="","",MAX(0,G5-F6)*(1+INPUTS!$B$28))</f>
        <v>1443684.0019597</v>
      </c>
      <c r="H6" s="46" t="n">
        <f aca="false">IF(A6="","",MAX(0,H5-MAX(0,F6-G5))*(1+INPUTS!$B$28))</f>
        <v>281570.619790404</v>
      </c>
    </row>
    <row r="7" customFormat="false" ht="18.75" hidden="false" customHeight="true" outlineLevel="0" collapsed="false">
      <c r="A7" s="74" t="n">
        <f aca="false">IF(MAX(59.5,INPUTS!$B$6)+2&gt;INPUTS!$B$8,"",INPUTS!$B$12+(MAX(59.5,INPUTS!$B$6)-INPUTS!$B$5)+2)</f>
        <v>2035.5</v>
      </c>
      <c r="B7" s="75" t="n">
        <f aca="false">IF(A7="","",MAX(59.5,INPUTS!$B$6)+2)</f>
        <v>61.5</v>
      </c>
      <c r="C7" s="48" t="n">
        <f aca="false">IF(A7="","",INPUTS!$B$22*(1+INPUTS!$B$23)^(A7-INPUTS!$B$12))</f>
        <v>69540.7564784043</v>
      </c>
      <c r="D7" s="48" t="n">
        <f aca="false">IF(A7="","",IF(B7&gt;=INPUTS!$B$7,INPUTS!$B$25*(1+INPUTS!$B$23)^(A7-INPUTS!$B$12),0))</f>
        <v>0</v>
      </c>
      <c r="E7" s="48" t="n">
        <f aca="false">IF(A7="","",INPUTS!$B$24)</f>
        <v>0</v>
      </c>
      <c r="F7" s="48" t="n">
        <f aca="false">IF(A7="","",IF(G6+H6=0,0,MAX(0,C7-D7-E7)))</f>
        <v>69540.7564784043</v>
      </c>
      <c r="G7" s="48" t="n">
        <f aca="false">IF(A7="","",MAX(0,G6-F7)*(1+INPUTS!$B$28))</f>
        <v>1463462.55643758</v>
      </c>
      <c r="H7" s="48" t="n">
        <f aca="false">IF(A7="","",MAX(0,H6-MAX(0,F7-G6))*(1+INPUTS!$B$28))</f>
        <v>299872.71007678</v>
      </c>
    </row>
    <row r="8" customFormat="false" ht="18.75" hidden="false" customHeight="true" outlineLevel="0" collapsed="false">
      <c r="A8" s="76" t="n">
        <f aca="false">IF(MAX(59.5,INPUTS!$B$6)+3&gt;INPUTS!$B$8,"",INPUTS!$B$12+(MAX(59.5,INPUTS!$B$6)-INPUTS!$B$5)+3)</f>
        <v>2036.5</v>
      </c>
      <c r="B8" s="77" t="n">
        <f aca="false">IF(A8="","",MAX(59.5,INPUTS!$B$6)+3)</f>
        <v>62.5</v>
      </c>
      <c r="C8" s="46" t="n">
        <f aca="false">IF(A8="","",INPUTS!$B$22*(1+INPUTS!$B$23)^(A8-INPUTS!$B$12))</f>
        <v>71279.2753903644</v>
      </c>
      <c r="D8" s="46" t="n">
        <f aca="false">IF(A8="","",IF(B8&gt;=INPUTS!$B$7,INPUTS!$B$25*(1+INPUTS!$B$23)^(A8-INPUTS!$B$12),0))</f>
        <v>0</v>
      </c>
      <c r="E8" s="46" t="n">
        <f aca="false">IF(A8="","",INPUTS!$B$24)</f>
        <v>0</v>
      </c>
      <c r="F8" s="46" t="n">
        <f aca="false">IF(A8="","",IF(G7+H7=0,0,MAX(0,C8-D8-E8)))</f>
        <v>71279.2753903644</v>
      </c>
      <c r="G8" s="46" t="n">
        <f aca="false">IF(A8="","",MAX(0,G7-F8)*(1+INPUTS!$B$28))</f>
        <v>1482675.19431528</v>
      </c>
      <c r="H8" s="46" t="n">
        <f aca="false">IF(A8="","",MAX(0,H7-MAX(0,F8-G7))*(1+INPUTS!$B$28))</f>
        <v>319364.436231771</v>
      </c>
    </row>
    <row r="9" customFormat="false" ht="18.75" hidden="false" customHeight="true" outlineLevel="0" collapsed="false">
      <c r="A9" s="74" t="n">
        <f aca="false">IF(MAX(59.5,INPUTS!$B$6)+4&gt;INPUTS!$B$8,"",INPUTS!$B$12+(MAX(59.5,INPUTS!$B$6)-INPUTS!$B$5)+4)</f>
        <v>2037.5</v>
      </c>
      <c r="B9" s="75" t="n">
        <f aca="false">IF(A9="","",MAX(59.5,INPUTS!$B$6)+4)</f>
        <v>63.5</v>
      </c>
      <c r="C9" s="48" t="n">
        <f aca="false">IF(A9="","",INPUTS!$B$22*(1+INPUTS!$B$23)^(A9-INPUTS!$B$12))</f>
        <v>73061.2572751235</v>
      </c>
      <c r="D9" s="48" t="n">
        <f aca="false">IF(A9="","",IF(B9&gt;=INPUTS!$B$7,INPUTS!$B$25*(1+INPUTS!$B$23)^(A9-INPUTS!$B$12),0))</f>
        <v>0</v>
      </c>
      <c r="E9" s="48" t="n">
        <f aca="false">IF(A9="","",INPUTS!$B$24)</f>
        <v>0</v>
      </c>
      <c r="F9" s="48" t="n">
        <f aca="false">IF(A9="","",IF(G8+H8=0,0,MAX(0,C9-D9-E9)))</f>
        <v>73061.2572751235</v>
      </c>
      <c r="G9" s="48" t="n">
        <f aca="false">IF(A9="","",MAX(0,G8-F9)*(1+INPUTS!$B$28))</f>
        <v>1501238.84294777</v>
      </c>
      <c r="H9" s="48" t="n">
        <f aca="false">IF(A9="","",MAX(0,H8-MAX(0,F9-G8))*(1+INPUTS!$B$28))</f>
        <v>340123.124586836</v>
      </c>
    </row>
    <row r="10" customFormat="false" ht="18.75" hidden="false" customHeight="true" outlineLevel="0" collapsed="false">
      <c r="A10" s="76" t="n">
        <f aca="false">IF(MAX(59.5,INPUTS!$B$6)+5&gt;INPUTS!$B$8,"",INPUTS!$B$12+(MAX(59.5,INPUTS!$B$6)-INPUTS!$B$5)+5)</f>
        <v>2038.5</v>
      </c>
      <c r="B10" s="77" t="n">
        <f aca="false">IF(A10="","",MAX(59.5,INPUTS!$B$6)+5)</f>
        <v>64.5</v>
      </c>
      <c r="C10" s="46" t="n">
        <f aca="false">IF(A10="","",INPUTS!$B$22*(1+INPUTS!$B$23)^(A10-INPUTS!$B$12))</f>
        <v>74887.7887070016</v>
      </c>
      <c r="D10" s="46" t="n">
        <f aca="false">IF(A10="","",IF(B10&gt;=INPUTS!$B$7,INPUTS!$B$25*(1+INPUTS!$B$23)^(A10-INPUTS!$B$12),0))</f>
        <v>0</v>
      </c>
      <c r="E10" s="46" t="n">
        <f aca="false">IF(A10="","",INPUTS!$B$24)</f>
        <v>0</v>
      </c>
      <c r="F10" s="46" t="n">
        <f aca="false">IF(A10="","",IF(G9+H9=0,0,MAX(0,C10-D10-E10)))</f>
        <v>74887.7887070016</v>
      </c>
      <c r="G10" s="46" t="n">
        <f aca="false">IF(A10="","",MAX(0,G9-F10)*(1+INPUTS!$B$28))</f>
        <v>1519063.87276642</v>
      </c>
      <c r="H10" s="46" t="n">
        <f aca="false">IF(A10="","",MAX(0,H9-MAX(0,F10-G9))*(1+INPUTS!$B$28))</f>
        <v>362231.12768498</v>
      </c>
    </row>
    <row r="11" customFormat="false" ht="18.75" hidden="false" customHeight="true" outlineLevel="0" collapsed="false">
      <c r="A11" s="74" t="n">
        <f aca="false">IF(MAX(59.5,INPUTS!$B$6)+6&gt;INPUTS!$B$8,"",INPUTS!$B$12+(MAX(59.5,INPUTS!$B$6)-INPUTS!$B$5)+6)</f>
        <v>2039.5</v>
      </c>
      <c r="B11" s="75" t="n">
        <f aca="false">IF(A11="","",MAX(59.5,INPUTS!$B$6)+6)</f>
        <v>65.5</v>
      </c>
      <c r="C11" s="48" t="n">
        <f aca="false">IF(A11="","",INPUTS!$B$22*(1+INPUTS!$B$23)^(A11-INPUTS!$B$12))</f>
        <v>76759.9834246766</v>
      </c>
      <c r="D11" s="48" t="n">
        <f aca="false">IF(A11="","",IF(B11&gt;=INPUTS!$B$7,INPUTS!$B$25*(1+INPUTS!$B$23)^(A11-INPUTS!$B$12),0))</f>
        <v>0</v>
      </c>
      <c r="E11" s="48" t="n">
        <f aca="false">IF(A11="","",INPUTS!$B$24)</f>
        <v>0</v>
      </c>
      <c r="F11" s="48" t="n">
        <f aca="false">IF(A11="","",IF(G10+H10=0,0,MAX(0,C11-D11-E11)))</f>
        <v>76759.9834246766</v>
      </c>
      <c r="G11" s="48" t="n">
        <f aca="false">IF(A11="","",MAX(0,G10-F11)*(1+INPUTS!$B$28))</f>
        <v>1536053.64214895</v>
      </c>
      <c r="H11" s="48" t="n">
        <f aca="false">IF(A11="","",MAX(0,H10-MAX(0,F11-G10))*(1+INPUTS!$B$28))</f>
        <v>385776.150984504</v>
      </c>
    </row>
    <row r="12" customFormat="false" ht="18.75" hidden="false" customHeight="true" outlineLevel="0" collapsed="false">
      <c r="A12" s="76" t="n">
        <f aca="false">IF(MAX(59.5,INPUTS!$B$6)+7&gt;INPUTS!$B$8,"",INPUTS!$B$12+(MAX(59.5,INPUTS!$B$6)-INPUTS!$B$5)+7)</f>
        <v>2040.5</v>
      </c>
      <c r="B12" s="77" t="n">
        <f aca="false">IF(A12="","",MAX(59.5,INPUTS!$B$6)+7)</f>
        <v>66.5</v>
      </c>
      <c r="C12" s="46" t="n">
        <f aca="false">IF(A12="","",INPUTS!$B$22*(1+INPUTS!$B$23)^(A12-INPUTS!$B$12))</f>
        <v>78678.9830102935</v>
      </c>
      <c r="D12" s="46" t="n">
        <f aca="false">IF(A12="","",IF(B12&gt;=INPUTS!$B$7,INPUTS!$B$25*(1+INPUTS!$B$23)^(A12-INPUTS!$B$12),0))</f>
        <v>0</v>
      </c>
      <c r="E12" s="46" t="n">
        <f aca="false">IF(A12="","",INPUTS!$B$24)</f>
        <v>0</v>
      </c>
      <c r="F12" s="46" t="n">
        <f aca="false">IF(A12="","",IF(G11+H11=0,0,MAX(0,C12-D12-E12)))</f>
        <v>78678.9830102935</v>
      </c>
      <c r="G12" s="46" t="n">
        <f aca="false">IF(A12="","",MAX(0,G11-F12)*(1+INPUTS!$B$28))</f>
        <v>1552104.01198267</v>
      </c>
      <c r="H12" s="46" t="n">
        <f aca="false">IF(A12="","",MAX(0,H11-MAX(0,F12-G11))*(1+INPUTS!$B$28))</f>
        <v>410851.600798497</v>
      </c>
    </row>
    <row r="13" customFormat="false" ht="18.75" hidden="false" customHeight="true" outlineLevel="0" collapsed="false">
      <c r="A13" s="74" t="n">
        <f aca="false">IF(MAX(59.5,INPUTS!$B$6)+8&gt;INPUTS!$B$8,"",INPUTS!$B$12+(MAX(59.5,INPUTS!$B$6)-INPUTS!$B$5)+8)</f>
        <v>2041.5</v>
      </c>
      <c r="B13" s="75" t="n">
        <f aca="false">IF(A13="","",MAX(59.5,INPUTS!$B$6)+8)</f>
        <v>67.5</v>
      </c>
      <c r="C13" s="48" t="n">
        <f aca="false">IF(A13="","",INPUTS!$B$22*(1+INPUTS!$B$23)^(A13-INPUTS!$B$12))</f>
        <v>80645.9575855508</v>
      </c>
      <c r="D13" s="48" t="n">
        <f aca="false">IF(A13="","",IF(B13&gt;=INPUTS!$B$7,INPUTS!$B$25*(1+INPUTS!$B$23)^(A13-INPUTS!$B$12),0))</f>
        <v>35190.9633100585</v>
      </c>
      <c r="E13" s="48" t="n">
        <f aca="false">IF(A13="","",INPUTS!$B$24)</f>
        <v>0</v>
      </c>
      <c r="F13" s="48" t="n">
        <f aca="false">IF(A13="","",IF(G12+H12=0,0,MAX(0,C13-D13-E13)))</f>
        <v>45454.9942754923</v>
      </c>
      <c r="G13" s="48" t="n">
        <f aca="false">IF(A13="","",MAX(0,G12-F13)*(1+INPUTS!$B$28))</f>
        <v>1604581.20385815</v>
      </c>
      <c r="H13" s="48" t="n">
        <f aca="false">IF(A13="","",MAX(0,H12-MAX(0,F13-G12))*(1+INPUTS!$B$28))</f>
        <v>437556.954850399</v>
      </c>
    </row>
    <row r="14" customFormat="false" ht="18.75" hidden="false" customHeight="true" outlineLevel="0" collapsed="false">
      <c r="A14" s="76" t="n">
        <f aca="false">IF(MAX(59.5,INPUTS!$B$6)+9&gt;INPUTS!$B$8,"",INPUTS!$B$12+(MAX(59.5,INPUTS!$B$6)-INPUTS!$B$5)+9)</f>
        <v>2042.5</v>
      </c>
      <c r="B14" s="77" t="n">
        <f aca="false">IF(A14="","",MAX(59.5,INPUTS!$B$6)+9)</f>
        <v>68.5</v>
      </c>
      <c r="C14" s="46" t="n">
        <f aca="false">IF(A14="","",INPUTS!$B$22*(1+INPUTS!$B$23)^(A14-INPUTS!$B$12))</f>
        <v>82662.1065251896</v>
      </c>
      <c r="D14" s="46" t="n">
        <f aca="false">IF(A14="","",IF(B14&gt;=INPUTS!$B$7,INPUTS!$B$25*(1+INPUTS!$B$23)^(A14-INPUTS!$B$12),0))</f>
        <v>36070.73739281</v>
      </c>
      <c r="E14" s="46" t="n">
        <f aca="false">IF(A14="","",INPUTS!$B$24)</f>
        <v>0</v>
      </c>
      <c r="F14" s="46" t="n">
        <f aca="false">IF(A14="","",IF(G13+H13=0,0,MAX(0,C14-D14-E14)))</f>
        <v>46591.3691323796</v>
      </c>
      <c r="G14" s="46" t="n">
        <f aca="false">IF(A14="","",MAX(0,G13-F14)*(1+INPUTS!$B$28))</f>
        <v>1659259.17398294</v>
      </c>
      <c r="H14" s="46" t="n">
        <f aca="false">IF(A14="","",MAX(0,H13-MAX(0,F14-G13))*(1+INPUTS!$B$28))</f>
        <v>465998.156915675</v>
      </c>
    </row>
    <row r="15" customFormat="false" ht="18.75" hidden="false" customHeight="true" outlineLevel="0" collapsed="false">
      <c r="A15" s="74" t="n">
        <f aca="false">IF(MAX(59.5,INPUTS!$B$6)+10&gt;INPUTS!$B$8,"",INPUTS!$B$12+(MAX(59.5,INPUTS!$B$6)-INPUTS!$B$5)+10)</f>
        <v>2043.5</v>
      </c>
      <c r="B15" s="75" t="n">
        <f aca="false">IF(A15="","",MAX(59.5,INPUTS!$B$6)+10)</f>
        <v>69.5</v>
      </c>
      <c r="C15" s="48" t="n">
        <f aca="false">IF(A15="","",INPUTS!$B$22*(1+INPUTS!$B$23)^(A15-INPUTS!$B$12))</f>
        <v>84728.6591883193</v>
      </c>
      <c r="D15" s="48" t="n">
        <f aca="false">IF(A15="","",IF(B15&gt;=INPUTS!$B$7,INPUTS!$B$25*(1+INPUTS!$B$23)^(A15-INPUTS!$B$12),0))</f>
        <v>36972.5058276302</v>
      </c>
      <c r="E15" s="48" t="n">
        <f aca="false">IF(A15="","",INPUTS!$B$24)</f>
        <v>0</v>
      </c>
      <c r="F15" s="48" t="n">
        <f aca="false">IF(A15="","",IF(G14+H14=0,0,MAX(0,C15-D15-E15)))</f>
        <v>47756.1533606891</v>
      </c>
      <c r="G15" s="48" t="n">
        <f aca="false">IF(A15="","",MAX(0,G14-F15)*(1+INPUTS!$B$28))</f>
        <v>1716250.7169627</v>
      </c>
      <c r="H15" s="48" t="n">
        <f aca="false">IF(A15="","",MAX(0,H14-MAX(0,F15-G14))*(1+INPUTS!$B$28))</f>
        <v>496288.037115194</v>
      </c>
    </row>
    <row r="16" customFormat="false" ht="18.75" hidden="false" customHeight="true" outlineLevel="0" collapsed="false">
      <c r="A16" s="76" t="n">
        <f aca="false">IF(MAX(59.5,INPUTS!$B$6)+11&gt;INPUTS!$B$8,"",INPUTS!$B$12+(MAX(59.5,INPUTS!$B$6)-INPUTS!$B$5)+11)</f>
        <v>2044.5</v>
      </c>
      <c r="B16" s="77" t="n">
        <f aca="false">IF(A16="","",MAX(59.5,INPUTS!$B$6)+11)</f>
        <v>70.5</v>
      </c>
      <c r="C16" s="46" t="n">
        <f aca="false">IF(A16="","",INPUTS!$B$22*(1+INPUTS!$B$23)^(A16-INPUTS!$B$12))</f>
        <v>86846.8756680273</v>
      </c>
      <c r="D16" s="46" t="n">
        <f aca="false">IF(A16="","",IF(B16&gt;=INPUTS!$B$7,INPUTS!$B$25*(1+INPUTS!$B$23)^(A16-INPUTS!$B$12),0))</f>
        <v>37896.818473321</v>
      </c>
      <c r="E16" s="46" t="n">
        <f aca="false">IF(A16="","",INPUTS!$B$24)</f>
        <v>0</v>
      </c>
      <c r="F16" s="46" t="n">
        <f aca="false">IF(A16="","",IF(G15+H15=0,0,MAX(0,C16-D16-E16)))</f>
        <v>48950.0571947063</v>
      </c>
      <c r="G16" s="46" t="n">
        <f aca="false">IF(A16="","",MAX(0,G15-F16)*(1+INPUTS!$B$28))</f>
        <v>1775675.20265291</v>
      </c>
      <c r="H16" s="46" t="n">
        <f aca="false">IF(A16="","",MAX(0,H15-MAX(0,F16-G15))*(1+INPUTS!$B$28))</f>
        <v>528546.759527681</v>
      </c>
    </row>
    <row r="17" customFormat="false" ht="18.75" hidden="false" customHeight="true" outlineLevel="0" collapsed="false">
      <c r="A17" s="74" t="n">
        <f aca="false">IF(MAX(59.5,INPUTS!$B$6)+12&gt;INPUTS!$B$8,"",INPUTS!$B$12+(MAX(59.5,INPUTS!$B$6)-INPUTS!$B$5)+12)</f>
        <v>2045.5</v>
      </c>
      <c r="B17" s="75" t="n">
        <f aca="false">IF(A17="","",MAX(59.5,INPUTS!$B$6)+12)</f>
        <v>71.5</v>
      </c>
      <c r="C17" s="48" t="n">
        <f aca="false">IF(A17="","",INPUTS!$B$22*(1+INPUTS!$B$23)^(A17-INPUTS!$B$12))</f>
        <v>89018.047559728</v>
      </c>
      <c r="D17" s="48" t="n">
        <f aca="false">IF(A17="","",IF(B17&gt;=INPUTS!$B$7,INPUTS!$B$25*(1+INPUTS!$B$23)^(A17-INPUTS!$B$12),0))</f>
        <v>38844.238935154</v>
      </c>
      <c r="E17" s="48" t="n">
        <f aca="false">IF(A17="","",INPUTS!$B$24)</f>
        <v>0</v>
      </c>
      <c r="F17" s="48" t="n">
        <f aca="false">IF(A17="","",IF(G16+H16=0,0,MAX(0,C17-D17-E17)))</f>
        <v>50173.8086245739</v>
      </c>
      <c r="G17" s="48" t="n">
        <f aca="false">IF(A17="","",MAX(0,G16-F17)*(1+INPUTS!$B$28))</f>
        <v>1837658.98464018</v>
      </c>
      <c r="H17" s="48" t="n">
        <f aca="false">IF(A17="","",MAX(0,H16-MAX(0,F17-G16))*(1+INPUTS!$B$28))</f>
        <v>562902.29889698</v>
      </c>
    </row>
    <row r="18" customFormat="false" ht="18.75" hidden="false" customHeight="true" outlineLevel="0" collapsed="false">
      <c r="A18" s="76" t="n">
        <f aca="false">IF(MAX(59.5,INPUTS!$B$6)+13&gt;INPUTS!$B$8,"",INPUTS!$B$12+(MAX(59.5,INPUTS!$B$6)-INPUTS!$B$5)+13)</f>
        <v>2046.5</v>
      </c>
      <c r="B18" s="77" t="n">
        <f aca="false">IF(A18="","",MAX(59.5,INPUTS!$B$6)+13)</f>
        <v>72.5</v>
      </c>
      <c r="C18" s="46" t="n">
        <f aca="false">IF(A18="","",INPUTS!$B$22*(1+INPUTS!$B$23)^(A18-INPUTS!$B$12))</f>
        <v>91243.4987487212</v>
      </c>
      <c r="D18" s="46" t="n">
        <f aca="false">IF(A18="","",IF(B18&gt;=INPUTS!$B$7,INPUTS!$B$25*(1+INPUTS!$B$23)^(A18-INPUTS!$B$12),0))</f>
        <v>39815.3449085329</v>
      </c>
      <c r="E18" s="46" t="n">
        <f aca="false">IF(A18="","",INPUTS!$B$24)</f>
        <v>0</v>
      </c>
      <c r="F18" s="46" t="n">
        <f aca="false">IF(A18="","",IF(G17+H17=0,0,MAX(0,C18-D18-E18)))</f>
        <v>51428.1538401883</v>
      </c>
      <c r="G18" s="46" t="n">
        <f aca="false">IF(A18="","",MAX(0,G17-F18)*(1+INPUTS!$B$28))</f>
        <v>1902335.83480199</v>
      </c>
      <c r="H18" s="46" t="n">
        <f aca="false">IF(A18="","",MAX(0,H17-MAX(0,F18-G17))*(1+INPUTS!$B$28))</f>
        <v>599490.948325284</v>
      </c>
    </row>
    <row r="19" customFormat="false" ht="18.75" hidden="false" customHeight="true" outlineLevel="0" collapsed="false">
      <c r="A19" s="74" t="n">
        <f aca="false">IF(MAX(59.5,INPUTS!$B$6)+14&gt;INPUTS!$B$8,"",INPUTS!$B$12+(MAX(59.5,INPUTS!$B$6)-INPUTS!$B$5)+14)</f>
        <v>2047.5</v>
      </c>
      <c r="B19" s="75" t="n">
        <f aca="false">IF(A19="","",MAX(59.5,INPUTS!$B$6)+14)</f>
        <v>73.5</v>
      </c>
      <c r="C19" s="48" t="n">
        <f aca="false">IF(A19="","",INPUTS!$B$22*(1+INPUTS!$B$23)^(A19-INPUTS!$B$12))</f>
        <v>93524.5862174392</v>
      </c>
      <c r="D19" s="48" t="n">
        <f aca="false">IF(A19="","",IF(B19&gt;=INPUTS!$B$7,INPUTS!$B$25*(1+INPUTS!$B$23)^(A19-INPUTS!$B$12),0))</f>
        <v>40810.7285312462</v>
      </c>
      <c r="E19" s="48" t="n">
        <f aca="false">IF(A19="","",INPUTS!$B$24)</f>
        <v>0</v>
      </c>
      <c r="F19" s="48" t="n">
        <f aca="false">IF(A19="","",IF(G18+H18=0,0,MAX(0,C19-D19-E19)))</f>
        <v>52713.857686193</v>
      </c>
      <c r="G19" s="48" t="n">
        <f aca="false">IF(A19="","",MAX(0,G18-F19)*(1+INPUTS!$B$28))</f>
        <v>1969847.40562833</v>
      </c>
      <c r="H19" s="48" t="n">
        <f aca="false">IF(A19="","",MAX(0,H18-MAX(0,F19-G18))*(1+INPUTS!$B$28))</f>
        <v>638457.859966427</v>
      </c>
    </row>
    <row r="20" customFormat="false" ht="18.75" hidden="false" customHeight="true" outlineLevel="0" collapsed="false">
      <c r="A20" s="76" t="n">
        <f aca="false">IF(MAX(59.5,INPUTS!$B$6)+15&gt;INPUTS!$B$8,"",INPUTS!$B$12+(MAX(59.5,INPUTS!$B$6)-INPUTS!$B$5)+15)</f>
        <v>2048.5</v>
      </c>
      <c r="B20" s="77" t="n">
        <f aca="false">IF(A20="","",MAX(59.5,INPUTS!$B$6)+15)</f>
        <v>74.5</v>
      </c>
      <c r="C20" s="46" t="n">
        <f aca="false">IF(A20="","",INPUTS!$B$22*(1+INPUTS!$B$23)^(A20-INPUTS!$B$12))</f>
        <v>95862.7008728752</v>
      </c>
      <c r="D20" s="46" t="n">
        <f aca="false">IF(A20="","",IF(B20&gt;=INPUTS!$B$7,INPUTS!$B$25*(1+INPUTS!$B$23)^(A20-INPUTS!$B$12),0))</f>
        <v>41830.9967445273</v>
      </c>
      <c r="E20" s="46" t="n">
        <f aca="false">IF(A20="","",INPUTS!$B$24)</f>
        <v>0</v>
      </c>
      <c r="F20" s="46" t="n">
        <f aca="false">IF(A20="","",IF(G19+H19=0,0,MAX(0,C20-D20-E20)))</f>
        <v>54031.7041283478</v>
      </c>
      <c r="G20" s="46" t="n">
        <f aca="false">IF(A20="","",MAX(0,G19-F20)*(1+INPUTS!$B$28))</f>
        <v>2040343.72209748</v>
      </c>
      <c r="H20" s="46" t="n">
        <f aca="false">IF(A20="","",MAX(0,H19-MAX(0,F20-G19))*(1+INPUTS!$B$28))</f>
        <v>679957.620864245</v>
      </c>
    </row>
    <row r="21" customFormat="false" ht="18.75" hidden="false" customHeight="true" outlineLevel="0" collapsed="false">
      <c r="A21" s="74" t="n">
        <f aca="false">IF(MAX(59.5,INPUTS!$B$6)+16&gt;INPUTS!$B$8,"",INPUTS!$B$12+(MAX(59.5,INPUTS!$B$6)-INPUTS!$B$5)+16)</f>
        <v>2049.5</v>
      </c>
      <c r="B21" s="75" t="n">
        <f aca="false">IF(A21="","",MAX(59.5,INPUTS!$B$6)+16)</f>
        <v>75.5</v>
      </c>
      <c r="C21" s="48" t="n">
        <f aca="false">IF(A21="","",INPUTS!$B$22*(1+INPUTS!$B$23)^(A21-INPUTS!$B$12))</f>
        <v>98259.268394697</v>
      </c>
      <c r="D21" s="48" t="n">
        <f aca="false">IF(A21="","",IF(B21&gt;=INPUTS!$B$7,INPUTS!$B$25*(1+INPUTS!$B$23)^(A21-INPUTS!$B$12),0))</f>
        <v>42876.7716631405</v>
      </c>
      <c r="E21" s="48" t="n">
        <f aca="false">IF(A21="","",INPUTS!$B$24)</f>
        <v>0</v>
      </c>
      <c r="F21" s="48" t="n">
        <f aca="false">IF(A21="","",IF(G20+H20=0,0,MAX(0,C21-D21-E21)))</f>
        <v>55382.4967315565</v>
      </c>
      <c r="G21" s="48" t="n">
        <f aca="false">IF(A21="","",MAX(0,G20-F21)*(1+INPUTS!$B$28))</f>
        <v>2113983.70501471</v>
      </c>
      <c r="H21" s="48" t="n">
        <f aca="false">IF(A21="","",MAX(0,H20-MAX(0,F21-G20))*(1+INPUTS!$B$28))</f>
        <v>724154.866220421</v>
      </c>
    </row>
    <row r="22" customFormat="false" ht="18.75" hidden="false" customHeight="true" outlineLevel="0" collapsed="false">
      <c r="A22" s="76" t="n">
        <f aca="false">IF(MAX(59.5,INPUTS!$B$6)+17&gt;INPUTS!$B$8,"",INPUTS!$B$12+(MAX(59.5,INPUTS!$B$6)-INPUTS!$B$5)+17)</f>
        <v>2050.5</v>
      </c>
      <c r="B22" s="77" t="n">
        <f aca="false">IF(A22="","",MAX(59.5,INPUTS!$B$6)+17)</f>
        <v>76.5</v>
      </c>
      <c r="C22" s="46" t="n">
        <f aca="false">IF(A22="","",INPUTS!$B$22*(1+INPUTS!$B$23)^(A22-INPUTS!$B$12))</f>
        <v>100715.750104564</v>
      </c>
      <c r="D22" s="46" t="n">
        <f aca="false">IF(A22="","",IF(B22&gt;=INPUTS!$B$7,INPUTS!$B$25*(1+INPUTS!$B$23)^(A22-INPUTS!$B$12),0))</f>
        <v>43948.690954719</v>
      </c>
      <c r="E22" s="46" t="n">
        <f aca="false">IF(A22="","",INPUTS!$B$24)</f>
        <v>0</v>
      </c>
      <c r="F22" s="46" t="n">
        <f aca="false">IF(A22="","",IF(G21+H21=0,0,MAX(0,C22-D22-E22)))</f>
        <v>56767.0591498454</v>
      </c>
      <c r="G22" s="46" t="n">
        <f aca="false">IF(A22="","",MAX(0,G21-F22)*(1+INPUTS!$B$28))</f>
        <v>2190935.72784608</v>
      </c>
      <c r="H22" s="46" t="n">
        <f aca="false">IF(A22="","",MAX(0,H21-MAX(0,F22-G21))*(1+INPUTS!$B$28))</f>
        <v>771224.932524749</v>
      </c>
    </row>
    <row r="23" customFormat="false" ht="18.75" hidden="false" customHeight="true" outlineLevel="0" collapsed="false">
      <c r="A23" s="74" t="n">
        <f aca="false">IF(MAX(59.5,INPUTS!$B$6)+18&gt;INPUTS!$B$8,"",INPUTS!$B$12+(MAX(59.5,INPUTS!$B$6)-INPUTS!$B$5)+18)</f>
        <v>2051.5</v>
      </c>
      <c r="B23" s="75" t="n">
        <f aca="false">IF(A23="","",MAX(59.5,INPUTS!$B$6)+18)</f>
        <v>77.5</v>
      </c>
      <c r="C23" s="48" t="n">
        <f aca="false">IF(A23="","",INPUTS!$B$22*(1+INPUTS!$B$23)^(A23-INPUTS!$B$12))</f>
        <v>103233.643857179</v>
      </c>
      <c r="D23" s="48" t="n">
        <f aca="false">IF(A23="","",IF(B23&gt;=INPUTS!$B$7,INPUTS!$B$25*(1+INPUTS!$B$23)^(A23-INPUTS!$B$12),0))</f>
        <v>45047.408228587</v>
      </c>
      <c r="E23" s="48" t="n">
        <f aca="false">IF(A23="","",INPUTS!$B$24)</f>
        <v>0</v>
      </c>
      <c r="F23" s="48" t="n">
        <f aca="false">IF(A23="","",IF(G22+H22=0,0,MAX(0,C23-D23-E23)))</f>
        <v>58186.2356285915</v>
      </c>
      <c r="G23" s="48" t="n">
        <f aca="false">IF(A23="","",MAX(0,G22-F23)*(1+INPUTS!$B$28))</f>
        <v>2271378.20921162</v>
      </c>
      <c r="H23" s="48" t="n">
        <f aca="false">IF(A23="","",MAX(0,H22-MAX(0,F23-G22))*(1+INPUTS!$B$28))</f>
        <v>821354.553138857</v>
      </c>
    </row>
    <row r="24" customFormat="false" ht="18.75" hidden="false" customHeight="true" outlineLevel="0" collapsed="false">
      <c r="A24" s="76" t="n">
        <f aca="false">IF(MAX(59.5,INPUTS!$B$6)+19&gt;INPUTS!$B$8,"",INPUTS!$B$12+(MAX(59.5,INPUTS!$B$6)-INPUTS!$B$5)+19)</f>
        <v>2052.5</v>
      </c>
      <c r="B24" s="77" t="n">
        <f aca="false">IF(A24="","",MAX(59.5,INPUTS!$B$6)+19)</f>
        <v>78.5</v>
      </c>
      <c r="C24" s="46" t="n">
        <f aca="false">IF(A24="","",INPUTS!$B$22*(1+INPUTS!$B$23)^(A24-INPUTS!$B$12))</f>
        <v>105814.484953608</v>
      </c>
      <c r="D24" s="46" t="n">
        <f aca="false">IF(A24="","",IF(B24&gt;=INPUTS!$B$7,INPUTS!$B$25*(1+INPUTS!$B$23)^(A24-INPUTS!$B$12),0))</f>
        <v>46173.5934343017</v>
      </c>
      <c r="E24" s="46" t="n">
        <f aca="false">IF(A24="","",INPUTS!$B$24)</f>
        <v>0</v>
      </c>
      <c r="F24" s="46" t="n">
        <f aca="false">IF(A24="","",IF(G23+H23=0,0,MAX(0,C24-D24-E24)))</f>
        <v>59640.8915193063</v>
      </c>
      <c r="G24" s="46" t="n">
        <f aca="false">IF(A24="","",MAX(0,G23-F24)*(1+INPUTS!$B$28))</f>
        <v>2355500.24334232</v>
      </c>
      <c r="H24" s="46" t="n">
        <f aca="false">IF(A24="","",MAX(0,H23-MAX(0,F24-G23))*(1+INPUTS!$B$28))</f>
        <v>874742.599092883</v>
      </c>
    </row>
    <row r="25" customFormat="false" ht="18.75" hidden="false" customHeight="true" outlineLevel="0" collapsed="false">
      <c r="A25" s="74" t="n">
        <f aca="false">IF(MAX(59.5,INPUTS!$B$6)+20&gt;INPUTS!$B$8,"",INPUTS!$B$12+(MAX(59.5,INPUTS!$B$6)-INPUTS!$B$5)+20)</f>
        <v>2053.5</v>
      </c>
      <c r="B25" s="75" t="n">
        <f aca="false">IF(A25="","",MAX(59.5,INPUTS!$B$6)+20)</f>
        <v>79.5</v>
      </c>
      <c r="C25" s="48" t="n">
        <f aca="false">IF(A25="","",INPUTS!$B$22*(1+INPUTS!$B$23)^(A25-INPUTS!$B$12))</f>
        <v>108459.847077448</v>
      </c>
      <c r="D25" s="48" t="n">
        <f aca="false">IF(A25="","",IF(B25&gt;=INPUTS!$B$7,INPUTS!$B$25*(1+INPUTS!$B$23)^(A25-INPUTS!$B$12),0))</f>
        <v>47327.9332701592</v>
      </c>
      <c r="E25" s="48" t="n">
        <f aca="false">IF(A25="","",INPUTS!$B$24)</f>
        <v>0</v>
      </c>
      <c r="F25" s="48" t="n">
        <f aca="false">IF(A25="","",IF(G24+H24=0,0,MAX(0,C25-D25-E25)))</f>
        <v>61131.913807289</v>
      </c>
      <c r="G25" s="48" t="n">
        <f aca="false">IF(A25="","",MAX(0,G24-F25)*(1+INPUTS!$B$28))</f>
        <v>2443502.2709548</v>
      </c>
      <c r="H25" s="48" t="n">
        <f aca="false">IF(A25="","",MAX(0,H24-MAX(0,F25-G24))*(1+INPUTS!$B$28))</f>
        <v>931600.86803392</v>
      </c>
    </row>
    <row r="26" customFormat="false" ht="18.75" hidden="false" customHeight="true" outlineLevel="0" collapsed="false">
      <c r="A26" s="76" t="n">
        <f aca="false">IF(MAX(59.5,INPUTS!$B$6)+21&gt;INPUTS!$B$8,"",INPUTS!$B$12+(MAX(59.5,INPUTS!$B$6)-INPUTS!$B$5)+21)</f>
        <v>2054.5</v>
      </c>
      <c r="B26" s="77" t="n">
        <f aca="false">IF(A26="","",MAX(59.5,INPUTS!$B$6)+21)</f>
        <v>80.5</v>
      </c>
      <c r="C26" s="46" t="n">
        <f aca="false">IF(A26="","",INPUTS!$B$22*(1+INPUTS!$B$23)^(A26-INPUTS!$B$12))</f>
        <v>111171.343254384</v>
      </c>
      <c r="D26" s="46" t="n">
        <f aca="false">IF(A26="","",IF(B26&gt;=INPUTS!$B$7,INPUTS!$B$25*(1+INPUTS!$B$23)^(A26-INPUTS!$B$12),0))</f>
        <v>48511.1316019132</v>
      </c>
      <c r="E26" s="46" t="n">
        <f aca="false">IF(A26="","",INPUTS!$B$24)</f>
        <v>0</v>
      </c>
      <c r="F26" s="46" t="n">
        <f aca="false">IF(A26="","",IF(G25+H25=0,0,MAX(0,C26-D26-E26)))</f>
        <v>62660.2116524712</v>
      </c>
      <c r="G26" s="46" t="n">
        <f aca="false">IF(A26="","",MAX(0,G25-F26)*(1+INPUTS!$B$28))</f>
        <v>2535596.79315698</v>
      </c>
      <c r="H26" s="46" t="n">
        <f aca="false">IF(A26="","",MAX(0,H25-MAX(0,F26-G25))*(1+INPUTS!$B$28))</f>
        <v>992154.924456125</v>
      </c>
    </row>
    <row r="27" customFormat="false" ht="18.75" hidden="false" customHeight="true" outlineLevel="0" collapsed="false">
      <c r="A27" s="74" t="n">
        <f aca="false">IF(MAX(59.5,INPUTS!$B$6)+22&gt;INPUTS!$B$8,"",INPUTS!$B$12+(MAX(59.5,INPUTS!$B$6)-INPUTS!$B$5)+22)</f>
        <v>2055.5</v>
      </c>
      <c r="B27" s="75" t="n">
        <f aca="false">IF(A27="","",MAX(59.5,INPUTS!$B$6)+22)</f>
        <v>81.5</v>
      </c>
      <c r="C27" s="48" t="n">
        <f aca="false">IF(A27="","",INPUTS!$B$22*(1+INPUTS!$B$23)^(A27-INPUTS!$B$12))</f>
        <v>113950.626835744</v>
      </c>
      <c r="D27" s="48" t="n">
        <f aca="false">IF(A27="","",IF(B27&gt;=INPUTS!$B$7,INPUTS!$B$25*(1+INPUTS!$B$23)^(A27-INPUTS!$B$12),0))</f>
        <v>49723.909891961</v>
      </c>
      <c r="E27" s="48" t="n">
        <f aca="false">IF(A27="","",INPUTS!$B$24)</f>
        <v>0</v>
      </c>
      <c r="F27" s="48" t="n">
        <f aca="false">IF(A27="","",IF(G26+H26=0,0,MAX(0,C27-D27-E27)))</f>
        <v>64226.716943783</v>
      </c>
      <c r="G27" s="48" t="n">
        <f aca="false">IF(A27="","",MAX(0,G26-F27)*(1+INPUTS!$B$28))</f>
        <v>2632009.13116706</v>
      </c>
      <c r="H27" s="48" t="n">
        <f aca="false">IF(A27="","",MAX(0,H26-MAX(0,F27-G26))*(1+INPUTS!$B$28))</f>
        <v>1056644.99454577</v>
      </c>
    </row>
    <row r="28" customFormat="false" ht="18.75" hidden="false" customHeight="true" outlineLevel="0" collapsed="false">
      <c r="A28" s="76" t="n">
        <f aca="false">IF(MAX(59.5,INPUTS!$B$6)+23&gt;INPUTS!$B$8,"",INPUTS!$B$12+(MAX(59.5,INPUTS!$B$6)-INPUTS!$B$5)+23)</f>
        <v>2056.5</v>
      </c>
      <c r="B28" s="77" t="n">
        <f aca="false">IF(A28="","",MAX(59.5,INPUTS!$B$6)+23)</f>
        <v>82.5</v>
      </c>
      <c r="C28" s="46" t="n">
        <f aca="false">IF(A28="","",INPUTS!$B$22*(1+INPUTS!$B$23)^(A28-INPUTS!$B$12))</f>
        <v>116799.392506638</v>
      </c>
      <c r="D28" s="46" t="n">
        <f aca="false">IF(A28="","",IF(B28&gt;=INPUTS!$B$7,INPUTS!$B$25*(1+INPUTS!$B$23)^(A28-INPUTS!$B$12),0))</f>
        <v>50967.00763926</v>
      </c>
      <c r="E28" s="46" t="n">
        <f aca="false">IF(A28="","",INPUTS!$B$24)</f>
        <v>0</v>
      </c>
      <c r="F28" s="46" t="n">
        <f aca="false">IF(A28="","",IF(G27+H27=0,0,MAX(0,C28-D28-E28)))</f>
        <v>65832.3848673775</v>
      </c>
      <c r="G28" s="46" t="n">
        <f aca="false">IF(A28="","",MAX(0,G27-F28)*(1+INPUTS!$B$28))</f>
        <v>2732978.23480916</v>
      </c>
      <c r="H28" s="46" t="n">
        <f aca="false">IF(A28="","",MAX(0,H27-MAX(0,F28-G27))*(1+INPUTS!$B$28))</f>
        <v>1125326.91919125</v>
      </c>
    </row>
    <row r="29" customFormat="false" ht="18.75" hidden="false" customHeight="true" outlineLevel="0" collapsed="false">
      <c r="A29" s="74" t="n">
        <f aca="false">IF(MAX(59.5,INPUTS!$B$6)+24&gt;INPUTS!$B$8,"",INPUTS!$B$12+(MAX(59.5,INPUTS!$B$6)-INPUTS!$B$5)+24)</f>
        <v>2057.5</v>
      </c>
      <c r="B29" s="75" t="n">
        <f aca="false">IF(A29="","",MAX(59.5,INPUTS!$B$6)+24)</f>
        <v>83.5</v>
      </c>
      <c r="C29" s="48" t="n">
        <f aca="false">IF(A29="","",INPUTS!$B$22*(1+INPUTS!$B$23)^(A29-INPUTS!$B$12))</f>
        <v>119719.377319304</v>
      </c>
      <c r="D29" s="48" t="n">
        <f aca="false">IF(A29="","",IF(B29&gt;=INPUTS!$B$7,INPUTS!$B$25*(1+INPUTS!$B$23)^(A29-INPUTS!$B$12),0))</f>
        <v>52241.1828302415</v>
      </c>
      <c r="E29" s="48" t="n">
        <f aca="false">IF(A29="","",INPUTS!$B$24)</f>
        <v>0</v>
      </c>
      <c r="F29" s="48" t="n">
        <f aca="false">IF(A29="","",IF(G28+H28=0,0,MAX(0,C29-D29-E29)))</f>
        <v>67478.194489062</v>
      </c>
      <c r="G29" s="48" t="n">
        <f aca="false">IF(A29="","",MAX(0,G28-F29)*(1+INPUTS!$B$28))</f>
        <v>2838757.5429409</v>
      </c>
      <c r="H29" s="48" t="n">
        <f aca="false">IF(A29="","",MAX(0,H28-MAX(0,F29-G28))*(1+INPUTS!$B$28))</f>
        <v>1198473.16893868</v>
      </c>
    </row>
    <row r="30" customFormat="false" ht="18.75" hidden="false" customHeight="true" outlineLevel="0" collapsed="false">
      <c r="A30" s="76" t="n">
        <f aca="false">IF(MAX(59.5,INPUTS!$B$6)+25&gt;INPUTS!$B$8,"",INPUTS!$B$12+(MAX(59.5,INPUTS!$B$6)-INPUTS!$B$5)+25)</f>
        <v>2058.5</v>
      </c>
      <c r="B30" s="77" t="n">
        <f aca="false">IF(A30="","",MAX(59.5,INPUTS!$B$6)+25)</f>
        <v>84.5</v>
      </c>
      <c r="C30" s="46" t="n">
        <f aca="false">IF(A30="","",INPUTS!$B$22*(1+INPUTS!$B$23)^(A30-INPUTS!$B$12))</f>
        <v>122712.361752286</v>
      </c>
      <c r="D30" s="46" t="n">
        <f aca="false">IF(A30="","",IF(B30&gt;=INPUTS!$B$7,INPUTS!$B$25*(1+INPUTS!$B$23)^(A30-INPUTS!$B$12),0))</f>
        <v>53547.2124009976</v>
      </c>
      <c r="E30" s="46" t="n">
        <f aca="false">IF(A30="","",INPUTS!$B$24)</f>
        <v>0</v>
      </c>
      <c r="F30" s="46" t="n">
        <f aca="false">IF(A30="","",IF(G29+H29=0,0,MAX(0,C30-D30-E30)))</f>
        <v>69165.1493512885</v>
      </c>
      <c r="G30" s="46" t="n">
        <f aca="false">IF(A30="","",MAX(0,G29-F30)*(1+INPUTS!$B$28))</f>
        <v>2949615.89917294</v>
      </c>
      <c r="H30" s="46" t="n">
        <f aca="false">IF(A30="","",MAX(0,H29-MAX(0,F30-G29))*(1+INPUTS!$B$28))</f>
        <v>1276373.92491969</v>
      </c>
    </row>
    <row r="31" customFormat="false" ht="18.75" hidden="false" customHeight="true" outlineLevel="0" collapsed="false">
      <c r="A31" s="74" t="n">
        <f aca="false">IF(MAX(59.5,INPUTS!$B$6)+26&gt;INPUTS!$B$8,"",INPUTS!$B$12+(MAX(59.5,INPUTS!$B$6)-INPUTS!$B$5)+26)</f>
        <v>2059.5</v>
      </c>
      <c r="B31" s="75" t="n">
        <f aca="false">IF(A31="","",MAX(59.5,INPUTS!$B$6)+26)</f>
        <v>85.5</v>
      </c>
      <c r="C31" s="48" t="n">
        <f aca="false">IF(A31="","",INPUTS!$B$22*(1+INPUTS!$B$23)^(A31-INPUTS!$B$12))</f>
        <v>125780.170796093</v>
      </c>
      <c r="D31" s="48" t="n">
        <f aca="false">IF(A31="","",IF(B31&gt;=INPUTS!$B$7,INPUTS!$B$25*(1+INPUTS!$B$23)^(A31-INPUTS!$B$12),0))</f>
        <v>54885.8927110225</v>
      </c>
      <c r="E31" s="48" t="n">
        <f aca="false">IF(A31="","",INPUTS!$B$24)</f>
        <v>0</v>
      </c>
      <c r="F31" s="48" t="n">
        <f aca="false">IF(A31="","",IF(G30+H30=0,0,MAX(0,C31-D31-E31)))</f>
        <v>70894.2780850707</v>
      </c>
      <c r="G31" s="48" t="n">
        <f aca="false">IF(A31="","",MAX(0,G30-F31)*(1+INPUTS!$B$28))</f>
        <v>3065838.52645858</v>
      </c>
      <c r="H31" s="48" t="n">
        <f aca="false">IF(A31="","",MAX(0,H30-MAX(0,F31-G30))*(1+INPUTS!$B$28))</f>
        <v>1359338.23003947</v>
      </c>
    </row>
    <row r="32" customFormat="false" ht="18.75" hidden="false" customHeight="true" outlineLevel="0" collapsed="false">
      <c r="A32" s="76" t="n">
        <f aca="false">IF(MAX(59.5,INPUTS!$B$6)+27&gt;INPUTS!$B$8,"",INPUTS!$B$12+(MAX(59.5,INPUTS!$B$6)-INPUTS!$B$5)+27)</f>
        <v>2060.5</v>
      </c>
      <c r="B32" s="77" t="n">
        <f aca="false">IF(A32="","",MAX(59.5,INPUTS!$B$6)+27)</f>
        <v>86.5</v>
      </c>
      <c r="C32" s="46" t="n">
        <f aca="false">IF(A32="","",INPUTS!$B$22*(1+INPUTS!$B$23)^(A32-INPUTS!$B$12))</f>
        <v>128924.675065996</v>
      </c>
      <c r="D32" s="46" t="n">
        <f aca="false">IF(A32="","",IF(B32&gt;=INPUTS!$B$7,INPUTS!$B$25*(1+INPUTS!$B$23)^(A32-INPUTS!$B$12),0))</f>
        <v>56258.040028798</v>
      </c>
      <c r="E32" s="46" t="n">
        <f aca="false">IF(A32="","",INPUTS!$B$24)</f>
        <v>0</v>
      </c>
      <c r="F32" s="46" t="n">
        <f aca="false">IF(A32="","",IF(G31+H31=0,0,MAX(0,C32-D32-E32)))</f>
        <v>72666.6350371975</v>
      </c>
      <c r="G32" s="46" t="n">
        <f aca="false">IF(A32="","",MAX(0,G31-F32)*(1+INPUTS!$B$28))</f>
        <v>3187728.06436377</v>
      </c>
      <c r="H32" s="46" t="n">
        <f aca="false">IF(A32="","",MAX(0,H31-MAX(0,F32-G31))*(1+INPUTS!$B$28))</f>
        <v>1447695.21499204</v>
      </c>
    </row>
    <row r="33" customFormat="false" ht="18.75" hidden="false" customHeight="true" outlineLevel="0" collapsed="false">
      <c r="A33" s="74" t="n">
        <f aca="false">IF(MAX(59.5,INPUTS!$B$6)+28&gt;INPUTS!$B$8,"",INPUTS!$B$12+(MAX(59.5,INPUTS!$B$6)-INPUTS!$B$5)+28)</f>
        <v>2061.5</v>
      </c>
      <c r="B33" s="75" t="n">
        <f aca="false">IF(A33="","",MAX(59.5,INPUTS!$B$6)+28)</f>
        <v>87.5</v>
      </c>
      <c r="C33" s="48" t="n">
        <f aca="false">IF(A33="","",INPUTS!$B$22*(1+INPUTS!$B$23)^(A33-INPUTS!$B$12))</f>
        <v>132147.791942645</v>
      </c>
      <c r="D33" s="48" t="n">
        <f aca="false">IF(A33="","",IF(B33&gt;=INPUTS!$B$7,INPUTS!$B$25*(1+INPUTS!$B$23)^(A33-INPUTS!$B$12),0))</f>
        <v>57664.491029518</v>
      </c>
      <c r="E33" s="48" t="n">
        <f aca="false">IF(A33="","",INPUTS!$B$24)</f>
        <v>0</v>
      </c>
      <c r="F33" s="48" t="n">
        <f aca="false">IF(A33="","",IF(G32+H32=0,0,MAX(0,C33-D33-E33)))</f>
        <v>74483.3009131274</v>
      </c>
      <c r="G33" s="48" t="n">
        <f aca="false">IF(A33="","",MAX(0,G32-F33)*(1+INPUTS!$B$28))</f>
        <v>3315605.67307494</v>
      </c>
      <c r="H33" s="48" t="n">
        <f aca="false">IF(A33="","",MAX(0,H32-MAX(0,F33-G32))*(1+INPUTS!$B$28))</f>
        <v>1541795.40396652</v>
      </c>
    </row>
    <row r="34" customFormat="false" ht="18.75" hidden="false" customHeight="true" outlineLevel="0" collapsed="false">
      <c r="A34" s="76" t="n">
        <f aca="false">IF(MAX(59.5,INPUTS!$B$6)+29&gt;INPUTS!$B$8,"",INPUTS!$B$12+(MAX(59.5,INPUTS!$B$6)-INPUTS!$B$5)+29)</f>
        <v>2062.5</v>
      </c>
      <c r="B34" s="77" t="n">
        <f aca="false">IF(A34="","",MAX(59.5,INPUTS!$B$6)+29)</f>
        <v>88.5</v>
      </c>
      <c r="C34" s="46" t="n">
        <f aca="false">IF(A34="","",INPUTS!$B$22*(1+INPUTS!$B$23)^(A34-INPUTS!$B$12))</f>
        <v>135451.486741212</v>
      </c>
      <c r="D34" s="46" t="n">
        <f aca="false">IF(A34="","",IF(B34&gt;=INPUTS!$B$7,INPUTS!$B$25*(1+INPUTS!$B$23)^(A34-INPUTS!$B$12),0))</f>
        <v>59106.1033052559</v>
      </c>
      <c r="E34" s="46" t="n">
        <f aca="false">IF(A34="","",INPUTS!$B$24)</f>
        <v>0</v>
      </c>
      <c r="F34" s="46" t="n">
        <f aca="false">IF(A34="","",IF(G33+H33=0,0,MAX(0,C34-D34-E34)))</f>
        <v>76345.3834359556</v>
      </c>
      <c r="G34" s="46" t="n">
        <f aca="false">IF(A34="","",MAX(0,G33-F34)*(1+INPUTS!$B$28))</f>
        <v>3449812.20846551</v>
      </c>
      <c r="H34" s="46" t="n">
        <f aca="false">IF(A34="","",MAX(0,H33-MAX(0,F34-G33))*(1+INPUTS!$B$28))</f>
        <v>1642012.10522435</v>
      </c>
    </row>
    <row r="35" customFormat="false" ht="18.75" hidden="false" customHeight="true" outlineLevel="0" collapsed="false">
      <c r="A35" s="74" t="n">
        <f aca="false">IF(MAX(59.5,INPUTS!$B$6)+30&gt;INPUTS!$B$8,"",INPUTS!$B$12+(MAX(59.5,INPUTS!$B$6)-INPUTS!$B$5)+30)</f>
        <v>2063.5</v>
      </c>
      <c r="B35" s="75" t="n">
        <f aca="false">IF(A35="","",MAX(59.5,INPUTS!$B$6)+30)</f>
        <v>89.5</v>
      </c>
      <c r="C35" s="48" t="n">
        <f aca="false">IF(A35="","",INPUTS!$B$22*(1+INPUTS!$B$23)^(A35-INPUTS!$B$12))</f>
        <v>138837.773909742</v>
      </c>
      <c r="D35" s="48" t="n">
        <f aca="false">IF(A35="","",IF(B35&gt;=INPUTS!$B$7,INPUTS!$B$25*(1+INPUTS!$B$23)^(A35-INPUTS!$B$12),0))</f>
        <v>60583.7558878873</v>
      </c>
      <c r="E35" s="48" t="n">
        <f aca="false">IF(A35="","",INPUTS!$B$24)</f>
        <v>0</v>
      </c>
      <c r="F35" s="48" t="n">
        <f aca="false">IF(A35="","",IF(G34+H34=0,0,MAX(0,C35-D35-E35)))</f>
        <v>78254.0180218545</v>
      </c>
      <c r="G35" s="48" t="n">
        <f aca="false">IF(A35="","",MAX(0,G34-F35)*(1+INPUTS!$B$28))</f>
        <v>3590709.4728225</v>
      </c>
      <c r="H35" s="48" t="n">
        <f aca="false">IF(A35="","",MAX(0,H34-MAX(0,F35-G34))*(1+INPUTS!$B$28))</f>
        <v>1748742.89206393</v>
      </c>
    </row>
    <row r="36" customFormat="false" ht="18.75" hidden="false" customHeight="true" outlineLevel="0" collapsed="false">
      <c r="A36" s="76" t="str">
        <f aca="false">IF(MAX(59.5,INPUTS!$B$6)+31&gt;INPUTS!$B$8,"",INPUTS!$B$12+(MAX(59.5,INPUTS!$B$6)-INPUTS!$B$5)+31)</f>
        <v/>
      </c>
      <c r="B36" s="77" t="str">
        <f aca="false">IF(A36="","",MAX(59.5,INPUTS!$B$6)+31)</f>
        <v/>
      </c>
      <c r="C36" s="46" t="str">
        <f aca="false">IF(A36="","",INPUTS!$B$22*(1+INPUTS!$B$23)^(A36-INPUTS!$B$12))</f>
        <v/>
      </c>
      <c r="D36" s="46" t="str">
        <f aca="false">IF(A36="","",IF(B36&gt;=INPUTS!$B$7,INPUTS!$B$25*(1+INPUTS!$B$23)^(A36-INPUTS!$B$12),0))</f>
        <v/>
      </c>
      <c r="E36" s="46" t="str">
        <f aca="false">IF(A36="","",INPUTS!$B$24)</f>
        <v/>
      </c>
      <c r="F36" s="46" t="str">
        <f aca="false">IF(A36="","",IF(G35+H35=0,0,MAX(0,C36-D36-E36)))</f>
        <v/>
      </c>
      <c r="G36" s="46" t="str">
        <f aca="false">IF(A36="","",MAX(0,G35-F36)*(1+INPUTS!$B$28))</f>
        <v/>
      </c>
      <c r="H36" s="46" t="str">
        <f aca="false">IF(A36="","",MAX(0,H35-MAX(0,F36-G35))*(1+INPUTS!$B$28))</f>
        <v/>
      </c>
    </row>
    <row r="37" customFormat="false" ht="18.75" hidden="false" customHeight="true" outlineLevel="0" collapsed="false">
      <c r="A37" s="74" t="str">
        <f aca="false">IF(MAX(59.5,INPUTS!$B$6)+32&gt;INPUTS!$B$8,"",INPUTS!$B$12+(MAX(59.5,INPUTS!$B$6)-INPUTS!$B$5)+32)</f>
        <v/>
      </c>
      <c r="B37" s="75" t="str">
        <f aca="false">IF(A37="","",MAX(59.5,INPUTS!$B$6)+32)</f>
        <v/>
      </c>
      <c r="C37" s="48" t="str">
        <f aca="false">IF(A37="","",INPUTS!$B$22*(1+INPUTS!$B$23)^(A37-INPUTS!$B$12))</f>
        <v/>
      </c>
      <c r="D37" s="48" t="str">
        <f aca="false">IF(A37="","",IF(B37&gt;=INPUTS!$B$7,INPUTS!$B$25*(1+INPUTS!$B$23)^(A37-INPUTS!$B$12),0))</f>
        <v/>
      </c>
      <c r="E37" s="48" t="str">
        <f aca="false">IF(A37="","",INPUTS!$B$24)</f>
        <v/>
      </c>
      <c r="F37" s="48" t="str">
        <f aca="false">IF(A37="","",IF(G36+H36=0,0,MAX(0,C37-D37-E37)))</f>
        <v/>
      </c>
      <c r="G37" s="48" t="str">
        <f aca="false">IF(A37="","",MAX(0,G36-F37)*(1+INPUTS!$B$28))</f>
        <v/>
      </c>
      <c r="H37" s="48" t="str">
        <f aca="false">IF(A37="","",MAX(0,H36-MAX(0,F37-G36))*(1+INPUTS!$B$28))</f>
        <v/>
      </c>
    </row>
    <row r="38" customFormat="false" ht="18.75" hidden="false" customHeight="true" outlineLevel="0" collapsed="false">
      <c r="A38" s="76" t="str">
        <f aca="false">IF(MAX(59.5,INPUTS!$B$6)+33&gt;INPUTS!$B$8,"",INPUTS!$B$12+(MAX(59.5,INPUTS!$B$6)-INPUTS!$B$5)+33)</f>
        <v/>
      </c>
      <c r="B38" s="77" t="str">
        <f aca="false">IF(A38="","",MAX(59.5,INPUTS!$B$6)+33)</f>
        <v/>
      </c>
      <c r="C38" s="46" t="str">
        <f aca="false">IF(A38="","",INPUTS!$B$22*(1+INPUTS!$B$23)^(A38-INPUTS!$B$12))</f>
        <v/>
      </c>
      <c r="D38" s="46" t="str">
        <f aca="false">IF(A38="","",IF(B38&gt;=INPUTS!$B$7,INPUTS!$B$25*(1+INPUTS!$B$23)^(A38-INPUTS!$B$12),0))</f>
        <v/>
      </c>
      <c r="E38" s="46" t="str">
        <f aca="false">IF(A38="","",INPUTS!$B$24)</f>
        <v/>
      </c>
      <c r="F38" s="46" t="str">
        <f aca="false">IF(A38="","",IF(G37+H37=0,0,MAX(0,C38-D38-E38)))</f>
        <v/>
      </c>
      <c r="G38" s="46" t="str">
        <f aca="false">IF(A38="","",MAX(0,G37-F38)*(1+INPUTS!$B$28))</f>
        <v/>
      </c>
      <c r="H38" s="46" t="str">
        <f aca="false">IF(A38="","",MAX(0,H37-MAX(0,F38-G37))*(1+INPUTS!$B$28))</f>
        <v/>
      </c>
    </row>
    <row r="39" customFormat="false" ht="18.75" hidden="false" customHeight="true" outlineLevel="0" collapsed="false">
      <c r="A39" s="74" t="str">
        <f aca="false">IF(MAX(59.5,INPUTS!$B$6)+34&gt;INPUTS!$B$8,"",INPUTS!$B$12+(MAX(59.5,INPUTS!$B$6)-INPUTS!$B$5)+34)</f>
        <v/>
      </c>
      <c r="B39" s="75" t="str">
        <f aca="false">IF(A39="","",MAX(59.5,INPUTS!$B$6)+34)</f>
        <v/>
      </c>
      <c r="C39" s="48" t="str">
        <f aca="false">IF(A39="","",INPUTS!$B$22*(1+INPUTS!$B$23)^(A39-INPUTS!$B$12))</f>
        <v/>
      </c>
      <c r="D39" s="48" t="str">
        <f aca="false">IF(A39="","",IF(B39&gt;=INPUTS!$B$7,INPUTS!$B$25*(1+INPUTS!$B$23)^(A39-INPUTS!$B$12),0))</f>
        <v/>
      </c>
      <c r="E39" s="48" t="str">
        <f aca="false">IF(A39="","",INPUTS!$B$24)</f>
        <v/>
      </c>
      <c r="F39" s="48" t="str">
        <f aca="false">IF(A39="","",IF(G38+H38=0,0,MAX(0,C39-D39-E39)))</f>
        <v/>
      </c>
      <c r="G39" s="48" t="str">
        <f aca="false">IF(A39="","",MAX(0,G38-F39)*(1+INPUTS!$B$28))</f>
        <v/>
      </c>
      <c r="H39" s="48" t="str">
        <f aca="false">IF(A39="","",MAX(0,H38-MAX(0,F39-G38))*(1+INPUTS!$B$28))</f>
        <v/>
      </c>
    </row>
    <row r="40" customFormat="false" ht="18.75" hidden="false" customHeight="true" outlineLevel="0" collapsed="false">
      <c r="A40" s="76" t="str">
        <f aca="false">IF(MAX(59.5,INPUTS!$B$6)+35&gt;INPUTS!$B$8,"",INPUTS!$B$12+(MAX(59.5,INPUTS!$B$6)-INPUTS!$B$5)+35)</f>
        <v/>
      </c>
      <c r="B40" s="77" t="str">
        <f aca="false">IF(A40="","",MAX(59.5,INPUTS!$B$6)+35)</f>
        <v/>
      </c>
      <c r="C40" s="46" t="str">
        <f aca="false">IF(A40="","",INPUTS!$B$22*(1+INPUTS!$B$23)^(A40-INPUTS!$B$12))</f>
        <v/>
      </c>
      <c r="D40" s="46" t="str">
        <f aca="false">IF(A40="","",IF(B40&gt;=INPUTS!$B$7,INPUTS!$B$25*(1+INPUTS!$B$23)^(A40-INPUTS!$B$12),0))</f>
        <v/>
      </c>
      <c r="E40" s="46" t="str">
        <f aca="false">IF(A40="","",INPUTS!$B$24)</f>
        <v/>
      </c>
      <c r="F40" s="46" t="str">
        <f aca="false">IF(A40="","",IF(G39+H39=0,0,MAX(0,C40-D40-E40)))</f>
        <v/>
      </c>
      <c r="G40" s="46" t="str">
        <f aca="false">IF(A40="","",MAX(0,G39-F40)*(1+INPUTS!$B$28))</f>
        <v/>
      </c>
      <c r="H40" s="46" t="str">
        <f aca="false">IF(A40="","",MAX(0,H39-MAX(0,F40-G39))*(1+INPUTS!$B$28))</f>
        <v/>
      </c>
    </row>
    <row r="41" customFormat="false" ht="18.75" hidden="false" customHeight="true" outlineLevel="0" collapsed="false">
      <c r="A41" s="74" t="str">
        <f aca="false">IF(MAX(59.5,INPUTS!$B$6)+36&gt;INPUTS!$B$8,"",INPUTS!$B$12+(MAX(59.5,INPUTS!$B$6)-INPUTS!$B$5)+36)</f>
        <v/>
      </c>
      <c r="B41" s="75" t="str">
        <f aca="false">IF(A41="","",MAX(59.5,INPUTS!$B$6)+36)</f>
        <v/>
      </c>
      <c r="C41" s="48" t="str">
        <f aca="false">IF(A41="","",INPUTS!$B$22*(1+INPUTS!$B$23)^(A41-INPUTS!$B$12))</f>
        <v/>
      </c>
      <c r="D41" s="48" t="str">
        <f aca="false">IF(A41="","",IF(B41&gt;=INPUTS!$B$7,INPUTS!$B$25*(1+INPUTS!$B$23)^(A41-INPUTS!$B$12),0))</f>
        <v/>
      </c>
      <c r="E41" s="48" t="str">
        <f aca="false">IF(A41="","",INPUTS!$B$24)</f>
        <v/>
      </c>
      <c r="F41" s="48" t="str">
        <f aca="false">IF(A41="","",IF(G40+H40=0,0,MAX(0,C41-D41-E41)))</f>
        <v/>
      </c>
      <c r="G41" s="48" t="str">
        <f aca="false">IF(A41="","",MAX(0,G40-F41)*(1+INPUTS!$B$28))</f>
        <v/>
      </c>
      <c r="H41" s="48" t="str">
        <f aca="false">IF(A41="","",MAX(0,H40-MAX(0,F41-G40))*(1+INPUTS!$B$28))</f>
        <v/>
      </c>
    </row>
    <row r="42" customFormat="false" ht="18.75" hidden="false" customHeight="true" outlineLevel="0" collapsed="false">
      <c r="A42" s="76" t="str">
        <f aca="false">IF(MAX(59.5,INPUTS!$B$6)+37&gt;INPUTS!$B$8,"",INPUTS!$B$12+(MAX(59.5,INPUTS!$B$6)-INPUTS!$B$5)+37)</f>
        <v/>
      </c>
      <c r="B42" s="77" t="str">
        <f aca="false">IF(A42="","",MAX(59.5,INPUTS!$B$6)+37)</f>
        <v/>
      </c>
      <c r="C42" s="46" t="str">
        <f aca="false">IF(A42="","",INPUTS!$B$22*(1+INPUTS!$B$23)^(A42-INPUTS!$B$12))</f>
        <v/>
      </c>
      <c r="D42" s="46" t="str">
        <f aca="false">IF(A42="","",IF(B42&gt;=INPUTS!$B$7,INPUTS!$B$25*(1+INPUTS!$B$23)^(A42-INPUTS!$B$12),0))</f>
        <v/>
      </c>
      <c r="E42" s="46" t="str">
        <f aca="false">IF(A42="","",INPUTS!$B$24)</f>
        <v/>
      </c>
      <c r="F42" s="46" t="str">
        <f aca="false">IF(A42="","",IF(G41+H41=0,0,MAX(0,C42-D42-E42)))</f>
        <v/>
      </c>
      <c r="G42" s="46" t="str">
        <f aca="false">IF(A42="","",MAX(0,G41-F42)*(1+INPUTS!$B$28))</f>
        <v/>
      </c>
      <c r="H42" s="46" t="str">
        <f aca="false">IF(A42="","",MAX(0,H41-MAX(0,F42-G41))*(1+INPUTS!$B$28))</f>
        <v/>
      </c>
    </row>
    <row r="43" customFormat="false" ht="18.75" hidden="false" customHeight="true" outlineLevel="0" collapsed="false">
      <c r="A43" s="74" t="str">
        <f aca="false">IF(MAX(59.5,INPUTS!$B$6)+38&gt;INPUTS!$B$8,"",INPUTS!$B$12+(MAX(59.5,INPUTS!$B$6)-INPUTS!$B$5)+38)</f>
        <v/>
      </c>
      <c r="B43" s="75" t="str">
        <f aca="false">IF(A43="","",MAX(59.5,INPUTS!$B$6)+38)</f>
        <v/>
      </c>
      <c r="C43" s="48" t="str">
        <f aca="false">IF(A43="","",INPUTS!$B$22*(1+INPUTS!$B$23)^(A43-INPUTS!$B$12))</f>
        <v/>
      </c>
      <c r="D43" s="48" t="str">
        <f aca="false">IF(A43="","",IF(B43&gt;=INPUTS!$B$7,INPUTS!$B$25*(1+INPUTS!$B$23)^(A43-INPUTS!$B$12),0))</f>
        <v/>
      </c>
      <c r="E43" s="48" t="str">
        <f aca="false">IF(A43="","",INPUTS!$B$24)</f>
        <v/>
      </c>
      <c r="F43" s="48" t="str">
        <f aca="false">IF(A43="","",IF(G42+H42=0,0,MAX(0,C43-D43-E43)))</f>
        <v/>
      </c>
      <c r="G43" s="48" t="str">
        <f aca="false">IF(A43="","",MAX(0,G42-F43)*(1+INPUTS!$B$28))</f>
        <v/>
      </c>
      <c r="H43" s="48" t="str">
        <f aca="false">IF(A43="","",MAX(0,H42-MAX(0,F43-G42))*(1+INPUTS!$B$28))</f>
        <v/>
      </c>
    </row>
    <row r="44" customFormat="false" ht="18.75" hidden="false" customHeight="true" outlineLevel="0" collapsed="false">
      <c r="A44" s="76" t="str">
        <f aca="false">IF(MAX(59.5,INPUTS!$B$6)+39&gt;INPUTS!$B$8,"",INPUTS!$B$12+(MAX(59.5,INPUTS!$B$6)-INPUTS!$B$5)+39)</f>
        <v/>
      </c>
      <c r="B44" s="77" t="str">
        <f aca="false">IF(A44="","",MAX(59.5,INPUTS!$B$6)+39)</f>
        <v/>
      </c>
      <c r="C44" s="46" t="str">
        <f aca="false">IF(A44="","",INPUTS!$B$22*(1+INPUTS!$B$23)^(A44-INPUTS!$B$12))</f>
        <v/>
      </c>
      <c r="D44" s="46" t="str">
        <f aca="false">IF(A44="","",IF(B44&gt;=INPUTS!$B$7,INPUTS!$B$25*(1+INPUTS!$B$23)^(A44-INPUTS!$B$12),0))</f>
        <v/>
      </c>
      <c r="E44" s="46" t="str">
        <f aca="false">IF(A44="","",INPUTS!$B$24)</f>
        <v/>
      </c>
      <c r="F44" s="46" t="str">
        <f aca="false">IF(A44="","",IF(G43+H43=0,0,MAX(0,C44-D44-E44)))</f>
        <v/>
      </c>
      <c r="G44" s="46" t="str">
        <f aca="false">IF(A44="","",MAX(0,G43-F44)*(1+INPUTS!$B$28))</f>
        <v/>
      </c>
      <c r="H44" s="46" t="str">
        <f aca="false">IF(A44="","",MAX(0,H43-MAX(0,F44-G43))*(1+INPUTS!$B$28))</f>
        <v/>
      </c>
    </row>
    <row r="45" customFormat="false" ht="18.75" hidden="false" customHeight="true" outlineLevel="0" collapsed="false">
      <c r="A45" s="74" t="str">
        <f aca="false">IF(MAX(59.5,INPUTS!$B$6)+40&gt;INPUTS!$B$8,"",INPUTS!$B$12+(MAX(59.5,INPUTS!$B$6)-INPUTS!$B$5)+40)</f>
        <v/>
      </c>
      <c r="B45" s="75" t="str">
        <f aca="false">IF(A45="","",MAX(59.5,INPUTS!$B$6)+40)</f>
        <v/>
      </c>
      <c r="C45" s="48" t="str">
        <f aca="false">IF(A45="","",INPUTS!$B$22*(1+INPUTS!$B$23)^(A45-INPUTS!$B$12))</f>
        <v/>
      </c>
      <c r="D45" s="48" t="str">
        <f aca="false">IF(A45="","",IF(B45&gt;=INPUTS!$B$7,INPUTS!$B$25*(1+INPUTS!$B$23)^(A45-INPUTS!$B$12),0))</f>
        <v/>
      </c>
      <c r="E45" s="48" t="str">
        <f aca="false">IF(A45="","",INPUTS!$B$24)</f>
        <v/>
      </c>
      <c r="F45" s="48" t="str">
        <f aca="false">IF(A45="","",IF(G44+H44=0,0,MAX(0,C45-D45-E45)))</f>
        <v/>
      </c>
      <c r="G45" s="48" t="str">
        <f aca="false">IF(A45="","",MAX(0,G44-F45)*(1+INPUTS!$B$28))</f>
        <v/>
      </c>
      <c r="H45" s="48" t="str">
        <f aca="false">IF(A45="","",MAX(0,H44-MAX(0,F45-G44))*(1+INPUTS!$B$28))</f>
        <v/>
      </c>
    </row>
    <row r="46" customFormat="false" ht="18.75" hidden="false" customHeight="true" outlineLevel="0" collapsed="false">
      <c r="A46" s="76" t="str">
        <f aca="false">IF(MAX(59.5,INPUTS!$B$6)+41&gt;INPUTS!$B$8,"",INPUTS!$B$12+(MAX(59.5,INPUTS!$B$6)-INPUTS!$B$5)+41)</f>
        <v/>
      </c>
      <c r="B46" s="77" t="str">
        <f aca="false">IF(A46="","",MAX(59.5,INPUTS!$B$6)+41)</f>
        <v/>
      </c>
      <c r="C46" s="46" t="str">
        <f aca="false">IF(A46="","",INPUTS!$B$22*(1+INPUTS!$B$23)^(A46-INPUTS!$B$12))</f>
        <v/>
      </c>
      <c r="D46" s="46" t="str">
        <f aca="false">IF(A46="","",IF(B46&gt;=INPUTS!$B$7,INPUTS!$B$25*(1+INPUTS!$B$23)^(A46-INPUTS!$B$12),0))</f>
        <v/>
      </c>
      <c r="E46" s="46" t="str">
        <f aca="false">IF(A46="","",INPUTS!$B$24)</f>
        <v/>
      </c>
      <c r="F46" s="46" t="str">
        <f aca="false">IF(A46="","",IF(G45+H45=0,0,MAX(0,C46-D46-E46)))</f>
        <v/>
      </c>
      <c r="G46" s="46" t="str">
        <f aca="false">IF(A46="","",MAX(0,G45-F46)*(1+INPUTS!$B$28))</f>
        <v/>
      </c>
      <c r="H46" s="46" t="str">
        <f aca="false">IF(A46="","",MAX(0,H45-MAX(0,F46-G45))*(1+INPUTS!$B$28))</f>
        <v/>
      </c>
    </row>
    <row r="47" customFormat="false" ht="18.75" hidden="false" customHeight="true" outlineLevel="0" collapsed="false">
      <c r="A47" s="74" t="str">
        <f aca="false">IF(MAX(59.5,INPUTS!$B$6)+42&gt;INPUTS!$B$8,"",INPUTS!$B$12+(MAX(59.5,INPUTS!$B$6)-INPUTS!$B$5)+42)</f>
        <v/>
      </c>
      <c r="B47" s="75" t="str">
        <f aca="false">IF(A47="","",MAX(59.5,INPUTS!$B$6)+42)</f>
        <v/>
      </c>
      <c r="C47" s="48" t="str">
        <f aca="false">IF(A47="","",INPUTS!$B$22*(1+INPUTS!$B$23)^(A47-INPUTS!$B$12))</f>
        <v/>
      </c>
      <c r="D47" s="48" t="str">
        <f aca="false">IF(A47="","",IF(B47&gt;=INPUTS!$B$7,INPUTS!$B$25*(1+INPUTS!$B$23)^(A47-INPUTS!$B$12),0))</f>
        <v/>
      </c>
      <c r="E47" s="48" t="str">
        <f aca="false">IF(A47="","",INPUTS!$B$24)</f>
        <v/>
      </c>
      <c r="F47" s="48" t="str">
        <f aca="false">IF(A47="","",IF(G46+H46=0,0,MAX(0,C47-D47-E47)))</f>
        <v/>
      </c>
      <c r="G47" s="48" t="str">
        <f aca="false">IF(A47="","",MAX(0,G46-F47)*(1+INPUTS!$B$28))</f>
        <v/>
      </c>
      <c r="H47" s="48" t="str">
        <f aca="false">IF(A47="","",MAX(0,H46-MAX(0,F47-G46))*(1+INPUTS!$B$28))</f>
        <v/>
      </c>
    </row>
    <row r="48" customFormat="false" ht="18.75" hidden="false" customHeight="true" outlineLevel="0" collapsed="false">
      <c r="A48" s="76" t="str">
        <f aca="false">IF(MAX(59.5,INPUTS!$B$6)+43&gt;INPUTS!$B$8,"",INPUTS!$B$12+(MAX(59.5,INPUTS!$B$6)-INPUTS!$B$5)+43)</f>
        <v/>
      </c>
      <c r="B48" s="77" t="str">
        <f aca="false">IF(A48="","",MAX(59.5,INPUTS!$B$6)+43)</f>
        <v/>
      </c>
      <c r="C48" s="46" t="str">
        <f aca="false">IF(A48="","",INPUTS!$B$22*(1+INPUTS!$B$23)^(A48-INPUTS!$B$12))</f>
        <v/>
      </c>
      <c r="D48" s="46" t="str">
        <f aca="false">IF(A48="","",IF(B48&gt;=INPUTS!$B$7,INPUTS!$B$25*(1+INPUTS!$B$23)^(A48-INPUTS!$B$12),0))</f>
        <v/>
      </c>
      <c r="E48" s="46" t="str">
        <f aca="false">IF(A48="","",INPUTS!$B$24)</f>
        <v/>
      </c>
      <c r="F48" s="46" t="str">
        <f aca="false">IF(A48="","",IF(G47+H47=0,0,MAX(0,C48-D48-E48)))</f>
        <v/>
      </c>
      <c r="G48" s="46" t="str">
        <f aca="false">IF(A48="","",MAX(0,G47-F48)*(1+INPUTS!$B$28))</f>
        <v/>
      </c>
      <c r="H48" s="46" t="str">
        <f aca="false">IF(A48="","",MAX(0,H47-MAX(0,F48-G47))*(1+INPUTS!$B$28))</f>
        <v/>
      </c>
    </row>
    <row r="49" customFormat="false" ht="18.75" hidden="false" customHeight="true" outlineLevel="0" collapsed="false">
      <c r="A49" s="74" t="str">
        <f aca="false">IF(MAX(59.5,INPUTS!$B$6)+44&gt;INPUTS!$B$8,"",INPUTS!$B$12+(MAX(59.5,INPUTS!$B$6)-INPUTS!$B$5)+44)</f>
        <v/>
      </c>
      <c r="B49" s="75" t="str">
        <f aca="false">IF(A49="","",MAX(59.5,INPUTS!$B$6)+44)</f>
        <v/>
      </c>
      <c r="C49" s="48" t="str">
        <f aca="false">IF(A49="","",INPUTS!$B$22*(1+INPUTS!$B$23)^(A49-INPUTS!$B$12))</f>
        <v/>
      </c>
      <c r="D49" s="48" t="str">
        <f aca="false">IF(A49="","",IF(B49&gt;=INPUTS!$B$7,INPUTS!$B$25*(1+INPUTS!$B$23)^(A49-INPUTS!$B$12),0))</f>
        <v/>
      </c>
      <c r="E49" s="48" t="str">
        <f aca="false">IF(A49="","",INPUTS!$B$24)</f>
        <v/>
      </c>
      <c r="F49" s="48" t="str">
        <f aca="false">IF(A49="","",IF(G48+H48=0,0,MAX(0,C49-D49-E49)))</f>
        <v/>
      </c>
      <c r="G49" s="48" t="str">
        <f aca="false">IF(A49="","",MAX(0,G48-F49)*(1+INPUTS!$B$28))</f>
        <v/>
      </c>
      <c r="H49" s="48" t="str">
        <f aca="false">IF(A49="","",MAX(0,H48-MAX(0,F49-G48))*(1+INPUTS!$B$28))</f>
        <v/>
      </c>
    </row>
    <row r="50" customFormat="false" ht="15" hidden="false" customHeight="false" outlineLevel="0" collapsed="false">
      <c r="A50" s="49"/>
      <c r="B50" s="49"/>
      <c r="C50" s="49"/>
      <c r="D50" s="49"/>
      <c r="E50" s="49"/>
      <c r="F50" s="49"/>
      <c r="G50" s="49"/>
      <c r="H50" s="49"/>
    </row>
    <row r="51" customFormat="false" ht="25.5" hidden="false" customHeight="true" outlineLevel="0" collapsed="false">
      <c r="A51" s="78" t="s">
        <v>123</v>
      </c>
      <c r="B51" s="79"/>
      <c r="C51" s="79"/>
      <c r="D51" s="79"/>
      <c r="E51" s="79"/>
      <c r="F51" s="80" t="n">
        <f aca="false">IFERROR(G51+H51,0)</f>
        <v>5339452.36488643</v>
      </c>
      <c r="G51" s="80" t="n">
        <f aca="false">IFERROR(LOOKUP(9.99E+307,G5:G49),0)</f>
        <v>3590709.4728225</v>
      </c>
      <c r="H51" s="80" t="n">
        <f aca="false">IFERROR(LOOKUP(9.99E+307,H5:H49),0)</f>
        <v>1748742.89206393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8CF8"/>
    <pageSetUpPr fitToPage="false"/>
  </sheetPr>
  <dimension ref="A1:BJ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0"/>
    <col collapsed="false" customWidth="true" hidden="false" outlineLevel="0" max="62" min="3" style="0" width="9"/>
  </cols>
  <sheetData>
    <row r="1" customFormat="false" ht="30" hidden="false" customHeight="true" outlineLevel="0" collapsed="false">
      <c r="A1" s="42" t="s">
        <v>124</v>
      </c>
      <c r="B1" s="42"/>
      <c r="C1" s="42"/>
      <c r="D1" s="42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</row>
    <row r="2" customFormat="false" ht="15.75" hidden="false" customHeight="true" outlineLevel="0" collapsed="false">
      <c r="A2" s="81" t="s">
        <v>125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customFormat="false" ht="15" hidden="false" customHeight="true" outlineLevel="0" collapsed="false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</row>
    <row r="4" customFormat="false" ht="15" hidden="false" customHeight="true" outlineLevel="0" collapsed="false">
      <c r="A4" s="82" t="s">
        <v>126</v>
      </c>
      <c r="B4" s="21"/>
      <c r="C4" s="83" t="n">
        <f aca="false">IFERROR(MAX(0,INPUTS!$B$22*(1+INPUTS!$B$23)^(INPUTS!$B$6-INPUTS!$B$5+0)-IF(INPUTS!$B$6+0&gt;=INPUTS!$B$7,INPUTS!$B$25*(1+INPUTS!$B$23)^(INPUTS!$B$6-INPUTS!$B$5+0),0)-INPUTS!$B$24),0)</f>
        <v>59228.984375</v>
      </c>
      <c r="D4" s="83" t="n">
        <f aca="false">IFERROR(MAX(0,INPUTS!$B$22*(1+INPUTS!$B$23)^(INPUTS!$B$6-INPUTS!$B$5+1)-IF(INPUTS!$B$6+1&gt;=INPUTS!$B$7,INPUTS!$B$25*(1+INPUTS!$B$23)^(INPUTS!$B$6-INPUTS!$B$5+1),0)-INPUTS!$B$24),0)</f>
        <v>60709.708984375</v>
      </c>
      <c r="E4" s="83" t="n">
        <f aca="false">IFERROR(MAX(0,INPUTS!$B$22*(1+INPUTS!$B$23)^(INPUTS!$B$6-INPUTS!$B$5+2)-IF(INPUTS!$B$6+2&gt;=INPUTS!$B$7,INPUTS!$B$25*(1+INPUTS!$B$23)^(INPUTS!$B$6-INPUTS!$B$5+2),0)-INPUTS!$B$24),0)</f>
        <v>62227.4517089843</v>
      </c>
      <c r="F4" s="83" t="n">
        <f aca="false">IFERROR(MAX(0,INPUTS!$B$22*(1+INPUTS!$B$23)^(INPUTS!$B$6-INPUTS!$B$5+3)-IF(INPUTS!$B$6+3&gt;=INPUTS!$B$7,INPUTS!$B$25*(1+INPUTS!$B$23)^(INPUTS!$B$6-INPUTS!$B$5+3),0)-INPUTS!$B$24),0)</f>
        <v>63783.138001709</v>
      </c>
      <c r="G4" s="83" t="n">
        <f aca="false">IFERROR(MAX(0,INPUTS!$B$22*(1+INPUTS!$B$23)^(INPUTS!$B$6-INPUTS!$B$5+4)-IF(INPUTS!$B$6+4&gt;=INPUTS!$B$7,INPUTS!$B$25*(1+INPUTS!$B$23)^(INPUTS!$B$6-INPUTS!$B$5+4),0)-INPUTS!$B$24),0)</f>
        <v>65377.7164517517</v>
      </c>
      <c r="H4" s="83" t="n">
        <f aca="false">IFERROR(MAX(0,INPUTS!$B$22*(1+INPUTS!$B$23)^(INPUTS!$B$6-INPUTS!$B$5+5)-IF(INPUTS!$B$6+5&gt;=INPUTS!$B$7,INPUTS!$B$25*(1+INPUTS!$B$23)^(INPUTS!$B$6-INPUTS!$B$5+5),0)-INPUTS!$B$24),0)</f>
        <v>67012.1593630454</v>
      </c>
      <c r="I4" s="83" t="n">
        <f aca="false">IFERROR(MAX(0,INPUTS!$B$22*(1+INPUTS!$B$23)^(INPUTS!$B$6-INPUTS!$B$5+6)-IF(INPUTS!$B$6+6&gt;=INPUTS!$B$7,INPUTS!$B$25*(1+INPUTS!$B$23)^(INPUTS!$B$6-INPUTS!$B$5+6),0)-INPUTS!$B$24),0)</f>
        <v>68687.4633471216</v>
      </c>
      <c r="J4" s="83" t="n">
        <f aca="false">IFERROR(MAX(0,INPUTS!$B$22*(1+INPUTS!$B$23)^(INPUTS!$B$6-INPUTS!$B$5+7)-IF(INPUTS!$B$6+7&gt;=INPUTS!$B$7,INPUTS!$B$25*(1+INPUTS!$B$23)^(INPUTS!$B$6-INPUTS!$B$5+7),0)-INPUTS!$B$24),0)</f>
        <v>70404.6499307996</v>
      </c>
      <c r="K4" s="83" t="n">
        <f aca="false">IFERROR(MAX(0,INPUTS!$B$22*(1+INPUTS!$B$23)^(INPUTS!$B$6-INPUTS!$B$5+8)-IF(INPUTS!$B$6+8&gt;=INPUTS!$B$7,INPUTS!$B$25*(1+INPUTS!$B$23)^(INPUTS!$B$6-INPUTS!$B$5+8),0)-INPUTS!$B$24),0)</f>
        <v>72164.7661790696</v>
      </c>
      <c r="L4" s="83" t="n">
        <f aca="false">IFERROR(MAX(0,INPUTS!$B$22*(1+INPUTS!$B$23)^(INPUTS!$B$6-INPUTS!$B$5+9)-IF(INPUTS!$B$6+9&gt;=INPUTS!$B$7,INPUTS!$B$25*(1+INPUTS!$B$23)^(INPUTS!$B$6-INPUTS!$B$5+9),0)-INPUTS!$B$24),0)</f>
        <v>73968.8853335463</v>
      </c>
      <c r="M4" s="83" t="n">
        <f aca="false">IFERROR(MAX(0,INPUTS!$B$22*(1+INPUTS!$B$23)^(INPUTS!$B$6-INPUTS!$B$5+10)-IF(INPUTS!$B$6+10&gt;=INPUTS!$B$7,INPUTS!$B$25*(1+INPUTS!$B$23)^(INPUTS!$B$6-INPUTS!$B$5+10),0)-INPUTS!$B$24),0)</f>
        <v>75818.107466885</v>
      </c>
      <c r="N4" s="83" t="n">
        <f aca="false">IFERROR(MAX(0,INPUTS!$B$22*(1+INPUTS!$B$23)^(INPUTS!$B$6-INPUTS!$B$5+11)-IF(INPUTS!$B$6+11&gt;=INPUTS!$B$7,INPUTS!$B$25*(1+INPUTS!$B$23)^(INPUTS!$B$6-INPUTS!$B$5+11),0)-INPUTS!$B$24),0)</f>
        <v>77713.5601535571</v>
      </c>
      <c r="O4" s="83" t="n">
        <f aca="false">IFERROR(MAX(0,INPUTS!$B$22*(1+INPUTS!$B$23)^(INPUTS!$B$6-INPUTS!$B$5+12)-IF(INPUTS!$B$6+12&gt;=INPUTS!$B$7,INPUTS!$B$25*(1+INPUTS!$B$23)^(INPUTS!$B$6-INPUTS!$B$5+12),0)-INPUTS!$B$24),0)</f>
        <v>44897.2431614414</v>
      </c>
      <c r="P4" s="83" t="n">
        <f aca="false">IFERROR(MAX(0,INPUTS!$B$22*(1+INPUTS!$B$23)^(INPUTS!$B$6-INPUTS!$B$5+13)-IF(INPUTS!$B$6+13&gt;=INPUTS!$B$7,INPUTS!$B$25*(1+INPUTS!$B$23)^(INPUTS!$B$6-INPUTS!$B$5+13),0)-INPUTS!$B$24),0)</f>
        <v>46019.6742404774</v>
      </c>
      <c r="Q4" s="83" t="n">
        <f aca="false">IFERROR(MAX(0,INPUTS!$B$22*(1+INPUTS!$B$23)^(INPUTS!$B$6-INPUTS!$B$5+14)-IF(INPUTS!$B$6+14&gt;=INPUTS!$B$7,INPUTS!$B$25*(1+INPUTS!$B$23)^(INPUTS!$B$6-INPUTS!$B$5+14),0)-INPUTS!$B$24),0)</f>
        <v>47170.1660964894</v>
      </c>
      <c r="R4" s="83" t="n">
        <f aca="false">IFERROR(MAX(0,INPUTS!$B$22*(1+INPUTS!$B$23)^(INPUTS!$B$6-INPUTS!$B$5+15)-IF(INPUTS!$B$6+15&gt;=INPUTS!$B$7,INPUTS!$B$25*(1+INPUTS!$B$23)^(INPUTS!$B$6-INPUTS!$B$5+15),0)-INPUTS!$B$24),0)</f>
        <v>48349.4202489016</v>
      </c>
      <c r="S4" s="83" t="n">
        <f aca="false">IFERROR(MAX(0,INPUTS!$B$22*(1+INPUTS!$B$23)^(INPUTS!$B$6-INPUTS!$B$5+16)-IF(INPUTS!$B$6+16&gt;=INPUTS!$B$7,INPUTS!$B$25*(1+INPUTS!$B$23)^(INPUTS!$B$6-INPUTS!$B$5+16),0)-INPUTS!$B$24),0)</f>
        <v>49558.1557551241</v>
      </c>
      <c r="T4" s="83" t="n">
        <f aca="false">IFERROR(MAX(0,INPUTS!$B$22*(1+INPUTS!$B$23)^(INPUTS!$B$6-INPUTS!$B$5+17)-IF(INPUTS!$B$6+17&gt;=INPUTS!$B$7,INPUTS!$B$25*(1+INPUTS!$B$23)^(INPUTS!$B$6-INPUTS!$B$5+17),0)-INPUTS!$B$24),0)</f>
        <v>50797.1096490022</v>
      </c>
      <c r="U4" s="83" t="n">
        <f aca="false">IFERROR(MAX(0,INPUTS!$B$22*(1+INPUTS!$B$23)^(INPUTS!$B$6-INPUTS!$B$5+18)-IF(INPUTS!$B$6+18&gt;=INPUTS!$B$7,INPUTS!$B$25*(1+INPUTS!$B$23)^(INPUTS!$B$6-INPUTS!$B$5+18),0)-INPUTS!$B$24),0)</f>
        <v>52067.0373902273</v>
      </c>
      <c r="V4" s="83" t="n">
        <f aca="false">IFERROR(MAX(0,INPUTS!$B$22*(1+INPUTS!$B$23)^(INPUTS!$B$6-INPUTS!$B$5+19)-IF(INPUTS!$B$6+19&gt;=INPUTS!$B$7,INPUTS!$B$25*(1+INPUTS!$B$23)^(INPUTS!$B$6-INPUTS!$B$5+19),0)-INPUTS!$B$24),0)</f>
        <v>53368.713324983</v>
      </c>
      <c r="W4" s="83" t="n">
        <f aca="false">IFERROR(MAX(0,INPUTS!$B$22*(1+INPUTS!$B$23)^(INPUTS!$B$6-INPUTS!$B$5+20)-IF(INPUTS!$B$6+20&gt;=INPUTS!$B$7,INPUTS!$B$25*(1+INPUTS!$B$23)^(INPUTS!$B$6-INPUTS!$B$5+20),0)-INPUTS!$B$24),0)</f>
        <v>54702.9311581075</v>
      </c>
      <c r="X4" s="83" t="n">
        <f aca="false">IFERROR(MAX(0,INPUTS!$B$22*(1+INPUTS!$B$23)^(INPUTS!$B$6-INPUTS!$B$5+21)-IF(INPUTS!$B$6+21&gt;=INPUTS!$B$7,INPUTS!$B$25*(1+INPUTS!$B$23)^(INPUTS!$B$6-INPUTS!$B$5+21),0)-INPUTS!$B$24),0)</f>
        <v>56070.5044370602</v>
      </c>
      <c r="Y4" s="83" t="n">
        <f aca="false">IFERROR(MAX(0,INPUTS!$B$22*(1+INPUTS!$B$23)^(INPUTS!$B$6-INPUTS!$B$5+22)-IF(INPUTS!$B$6+22&gt;=INPUTS!$B$7,INPUTS!$B$25*(1+INPUTS!$B$23)^(INPUTS!$B$6-INPUTS!$B$5+22),0)-INPUTS!$B$24),0)</f>
        <v>57472.2670479867</v>
      </c>
      <c r="Z4" s="83" t="n">
        <f aca="false">IFERROR(MAX(0,INPUTS!$B$22*(1+INPUTS!$B$23)^(INPUTS!$B$6-INPUTS!$B$5+23)-IF(INPUTS!$B$6+23&gt;=INPUTS!$B$7,INPUTS!$B$25*(1+INPUTS!$B$23)^(INPUTS!$B$6-INPUTS!$B$5+23),0)-INPUTS!$B$24),0)</f>
        <v>58909.0737241864</v>
      </c>
      <c r="AA4" s="83" t="n">
        <f aca="false">IFERROR(MAX(0,INPUTS!$B$22*(1+INPUTS!$B$23)^(INPUTS!$B$6-INPUTS!$B$5+24)-IF(INPUTS!$B$6+24&gt;=INPUTS!$B$7,INPUTS!$B$25*(1+INPUTS!$B$23)^(INPUTS!$B$6-INPUTS!$B$5+24),0)-INPUTS!$B$24),0)</f>
        <v>60381.800567291</v>
      </c>
      <c r="AB4" s="83" t="n">
        <f aca="false">IFERROR(MAX(0,INPUTS!$B$22*(1+INPUTS!$B$23)^(INPUTS!$B$6-INPUTS!$B$5+25)-IF(INPUTS!$B$6+25&gt;=INPUTS!$B$7,INPUTS!$B$25*(1+INPUTS!$B$23)^(INPUTS!$B$6-INPUTS!$B$5+25),0)-INPUTS!$B$24),0)</f>
        <v>61891.3455814733</v>
      </c>
      <c r="AC4" s="83" t="n">
        <f aca="false">IFERROR(MAX(0,INPUTS!$B$22*(1+INPUTS!$B$23)^(INPUTS!$B$6-INPUTS!$B$5+26)-IF(INPUTS!$B$6+26&gt;=INPUTS!$B$7,INPUTS!$B$25*(1+INPUTS!$B$23)^(INPUTS!$B$6-INPUTS!$B$5+26),0)-INPUTS!$B$24),0)</f>
        <v>63438.6292210101</v>
      </c>
      <c r="AD4" s="83" t="n">
        <f aca="false">IFERROR(MAX(0,INPUTS!$B$22*(1+INPUTS!$B$23)^(INPUTS!$B$6-INPUTS!$B$5+27)-IF(INPUTS!$B$6+27&gt;=INPUTS!$B$7,INPUTS!$B$25*(1+INPUTS!$B$23)^(INPUTS!$B$6-INPUTS!$B$5+27),0)-INPUTS!$B$24),0)</f>
        <v>65024.5949515354</v>
      </c>
      <c r="AE4" s="83" t="n">
        <f aca="false">IFERROR(MAX(0,INPUTS!$B$22*(1+INPUTS!$B$23)^(INPUTS!$B$6-INPUTS!$B$5+28)-IF(INPUTS!$B$6+28&gt;=INPUTS!$B$7,INPUTS!$B$25*(1+INPUTS!$B$23)^(INPUTS!$B$6-INPUTS!$B$5+28),0)-INPUTS!$B$24),0)</f>
        <v>66650.2098253238</v>
      </c>
      <c r="AF4" s="83" t="n">
        <f aca="false">IFERROR(MAX(0,INPUTS!$B$22*(1+INPUTS!$B$23)^(INPUTS!$B$6-INPUTS!$B$5+29)-IF(INPUTS!$B$6+29&gt;=INPUTS!$B$7,INPUTS!$B$25*(1+INPUTS!$B$23)^(INPUTS!$B$6-INPUTS!$B$5+29),0)-INPUTS!$B$24),0)</f>
        <v>68316.4650709568</v>
      </c>
      <c r="AG4" s="83" t="n">
        <f aca="false">IFERROR(MAX(0,INPUTS!$B$22*(1+INPUTS!$B$23)^(INPUTS!$B$6-INPUTS!$B$5+30)-IF(INPUTS!$B$6+30&gt;=INPUTS!$B$7,INPUTS!$B$25*(1+INPUTS!$B$23)^(INPUTS!$B$6-INPUTS!$B$5+30),0)-INPUTS!$B$24),0)</f>
        <v>70024.3766977308</v>
      </c>
      <c r="AH4" s="83" t="n">
        <f aca="false">IFERROR(MAX(0,INPUTS!$B$22*(1+INPUTS!$B$23)^(INPUTS!$B$6-INPUTS!$B$5+31)-IF(INPUTS!$B$6+31&gt;=INPUTS!$B$7,INPUTS!$B$25*(1+INPUTS!$B$23)^(INPUTS!$B$6-INPUTS!$B$5+31),0)-INPUTS!$B$24),0)</f>
        <v>71774.986115174</v>
      </c>
      <c r="AI4" s="83" t="n">
        <f aca="false">IFERROR(MAX(0,INPUTS!$B$22*(1+INPUTS!$B$23)^(INPUTS!$B$6-INPUTS!$B$5+32)-IF(INPUTS!$B$6+32&gt;=INPUTS!$B$7,INPUTS!$B$25*(1+INPUTS!$B$23)^(INPUTS!$B$6-INPUTS!$B$5+32),0)-INPUTS!$B$24),0)</f>
        <v>73569.3607680534</v>
      </c>
      <c r="AJ4" s="83" t="n">
        <f aca="false">IFERROR(MAX(0,INPUTS!$B$22*(1+INPUTS!$B$23)^(INPUTS!$B$6-INPUTS!$B$5+33)-IF(INPUTS!$B$6+33&gt;=INPUTS!$B$7,INPUTS!$B$25*(1+INPUTS!$B$23)^(INPUTS!$B$6-INPUTS!$B$5+33),0)-INPUTS!$B$24),0)</f>
        <v>75408.5947872547</v>
      </c>
      <c r="AK4" s="83" t="n">
        <f aca="false">IFERROR(MAX(0,INPUTS!$B$22*(1+INPUTS!$B$23)^(INPUTS!$B$6-INPUTS!$B$5+34)-IF(INPUTS!$B$6+34&gt;=INPUTS!$B$7,INPUTS!$B$25*(1+INPUTS!$B$23)^(INPUTS!$B$6-INPUTS!$B$5+34),0)-INPUTS!$B$24),0)</f>
        <v>77293.809656936</v>
      </c>
      <c r="AL4" s="83" t="n">
        <f aca="false">IFERROR(MAX(0,INPUTS!$B$22*(1+INPUTS!$B$23)^(INPUTS!$B$6-INPUTS!$B$5+35)-IF(INPUTS!$B$6+35&gt;=INPUTS!$B$7,INPUTS!$B$25*(1+INPUTS!$B$23)^(INPUTS!$B$6-INPUTS!$B$5+35),0)-INPUTS!$B$24),0)</f>
        <v>79226.1548983594</v>
      </c>
      <c r="AM4" s="83" t="n">
        <f aca="false">IFERROR(MAX(0,INPUTS!$B$22*(1+INPUTS!$B$23)^(INPUTS!$B$6-INPUTS!$B$5+36)-IF(INPUTS!$B$6+36&gt;=INPUTS!$B$7,INPUTS!$B$25*(1+INPUTS!$B$23)^(INPUTS!$B$6-INPUTS!$B$5+36),0)-INPUTS!$B$24),0)</f>
        <v>81206.8087708184</v>
      </c>
      <c r="AN4" s="83" t="n">
        <f aca="false">IFERROR(MAX(0,INPUTS!$B$22*(1+INPUTS!$B$23)^(INPUTS!$B$6-INPUTS!$B$5+37)-IF(INPUTS!$B$6+37&gt;=INPUTS!$B$7,INPUTS!$B$25*(1+INPUTS!$B$23)^(INPUTS!$B$6-INPUTS!$B$5+37),0)-INPUTS!$B$24),0)</f>
        <v>83236.9789900889</v>
      </c>
      <c r="AO4" s="83" t="n">
        <f aca="false">IFERROR(MAX(0,INPUTS!$B$22*(1+INPUTS!$B$23)^(INPUTS!$B$6-INPUTS!$B$5+38)-IF(INPUTS!$B$6+38&gt;=INPUTS!$B$7,INPUTS!$B$25*(1+INPUTS!$B$23)^(INPUTS!$B$6-INPUTS!$B$5+38),0)-INPUTS!$B$24),0)</f>
        <v>85317.9034648411</v>
      </c>
      <c r="AP4" s="83" t="n">
        <f aca="false">IFERROR(MAX(0,INPUTS!$B$22*(1+INPUTS!$B$23)^(INPUTS!$B$6-INPUTS!$B$5+39)-IF(INPUTS!$B$6+39&gt;=INPUTS!$B$7,INPUTS!$B$25*(1+INPUTS!$B$23)^(INPUTS!$B$6-INPUTS!$B$5+39),0)-INPUTS!$B$24),0)</f>
        <v>87450.8510514621</v>
      </c>
      <c r="AQ4" s="83" t="n">
        <f aca="false">IFERROR(MAX(0,INPUTS!$B$22*(1+INPUTS!$B$23)^(INPUTS!$B$6-INPUTS!$B$5+40)-IF(INPUTS!$B$6+40&gt;=INPUTS!$B$7,INPUTS!$B$25*(1+INPUTS!$B$23)^(INPUTS!$B$6-INPUTS!$B$5+40),0)-INPUTS!$B$24),0)</f>
        <v>89637.1223277486</v>
      </c>
      <c r="AR4" s="83" t="n">
        <f aca="false">IFERROR(MAX(0,INPUTS!$B$22*(1+INPUTS!$B$23)^(INPUTS!$B$6-INPUTS!$B$5+41)-IF(INPUTS!$B$6+41&gt;=INPUTS!$B$7,INPUTS!$B$25*(1+INPUTS!$B$23)^(INPUTS!$B$6-INPUTS!$B$5+41),0)-INPUTS!$B$24),0)</f>
        <v>91878.0503859424</v>
      </c>
      <c r="AS4" s="83" t="n">
        <f aca="false">IFERROR(MAX(0,INPUTS!$B$22*(1+INPUTS!$B$23)^(INPUTS!$B$6-INPUTS!$B$5+42)-IF(INPUTS!$B$6+42&gt;=INPUTS!$B$7,INPUTS!$B$25*(1+INPUTS!$B$23)^(INPUTS!$B$6-INPUTS!$B$5+42),0)-INPUTS!$B$24),0)</f>
        <v>94175.0016455909</v>
      </c>
      <c r="AT4" s="83" t="n">
        <f aca="false">IFERROR(MAX(0,INPUTS!$B$22*(1+INPUTS!$B$23)^(INPUTS!$B$6-INPUTS!$B$5+43)-IF(INPUTS!$B$6+43&gt;=INPUTS!$B$7,INPUTS!$B$25*(1+INPUTS!$B$23)^(INPUTS!$B$6-INPUTS!$B$5+43),0)-INPUTS!$B$24),0)</f>
        <v>96529.3766867307</v>
      </c>
      <c r="AU4" s="83" t="n">
        <f aca="false">IFERROR(MAX(0,INPUTS!$B$22*(1+INPUTS!$B$23)^(INPUTS!$B$6-INPUTS!$B$5+44)-IF(INPUTS!$B$6+44&gt;=INPUTS!$B$7,INPUTS!$B$25*(1+INPUTS!$B$23)^(INPUTS!$B$6-INPUTS!$B$5+44),0)-INPUTS!$B$24),0)</f>
        <v>98942.6111038989</v>
      </c>
      <c r="AV4" s="83" t="n">
        <f aca="false">IFERROR(MAX(0,INPUTS!$B$22*(1+INPUTS!$B$23)^(INPUTS!$B$6-INPUTS!$B$5+45)-IF(INPUTS!$B$6+45&gt;=INPUTS!$B$7,INPUTS!$B$25*(1+INPUTS!$B$23)^(INPUTS!$B$6-INPUTS!$B$5+45),0)-INPUTS!$B$24),0)</f>
        <v>101416.176381496</v>
      </c>
      <c r="AW4" s="83" t="n">
        <f aca="false">IFERROR(MAX(0,INPUTS!$B$22*(1+INPUTS!$B$23)^(INPUTS!$B$6-INPUTS!$B$5+46)-IF(INPUTS!$B$6+46&gt;=INPUTS!$B$7,INPUTS!$B$25*(1+INPUTS!$B$23)^(INPUTS!$B$6-INPUTS!$B$5+46),0)-INPUTS!$B$24),0)</f>
        <v>103951.580791034</v>
      </c>
      <c r="AX4" s="83" t="n">
        <f aca="false">IFERROR(MAX(0,INPUTS!$B$22*(1+INPUTS!$B$23)^(INPUTS!$B$6-INPUTS!$B$5+47)-IF(INPUTS!$B$6+47&gt;=INPUTS!$B$7,INPUTS!$B$25*(1+INPUTS!$B$23)^(INPUTS!$B$6-INPUTS!$B$5+47),0)-INPUTS!$B$24),0)</f>
        <v>106550.37031081</v>
      </c>
      <c r="AY4" s="83" t="n">
        <f aca="false">IFERROR(MAX(0,INPUTS!$B$22*(1+INPUTS!$B$23)^(INPUTS!$B$6-INPUTS!$B$5+48)-IF(INPUTS!$B$6+48&gt;=INPUTS!$B$7,INPUTS!$B$25*(1+INPUTS!$B$23)^(INPUTS!$B$6-INPUTS!$B$5+48),0)-INPUTS!$B$24),0)</f>
        <v>109214.12956858</v>
      </c>
      <c r="AZ4" s="83" t="n">
        <f aca="false">IFERROR(MAX(0,INPUTS!$B$22*(1+INPUTS!$B$23)^(INPUTS!$B$6-INPUTS!$B$5+49)-IF(INPUTS!$B$6+49&gt;=INPUTS!$B$7,INPUTS!$B$25*(1+INPUTS!$B$23)^(INPUTS!$B$6-INPUTS!$B$5+49),0)-INPUTS!$B$24),0)</f>
        <v>111944.482807794</v>
      </c>
      <c r="BA4" s="83" t="n">
        <f aca="false">IFERROR(MAX(0,INPUTS!$B$22*(1+INPUTS!$B$23)^(INPUTS!$B$6-INPUTS!$B$5+50)-IF(INPUTS!$B$6+50&gt;=INPUTS!$B$7,INPUTS!$B$25*(1+INPUTS!$B$23)^(INPUTS!$B$6-INPUTS!$B$5+50),0)-INPUTS!$B$24),0)</f>
        <v>114743.094877989</v>
      </c>
      <c r="BB4" s="83" t="n">
        <f aca="false">IFERROR(MAX(0,INPUTS!$B$22*(1+INPUTS!$B$23)^(INPUTS!$B$6-INPUTS!$B$5+51)-IF(INPUTS!$B$6+51&gt;=INPUTS!$B$7,INPUTS!$B$25*(1+INPUTS!$B$23)^(INPUTS!$B$6-INPUTS!$B$5+51),0)-INPUTS!$B$24),0)</f>
        <v>117611.672249939</v>
      </c>
      <c r="BC4" s="83" t="n">
        <f aca="false">IFERROR(MAX(0,INPUTS!$B$22*(1+INPUTS!$B$23)^(INPUTS!$B$6-INPUTS!$B$5+52)-IF(INPUTS!$B$6+52&gt;=INPUTS!$B$7,INPUTS!$B$25*(1+INPUTS!$B$23)^(INPUTS!$B$6-INPUTS!$B$5+52),0)-INPUTS!$B$24),0)</f>
        <v>120551.964056187</v>
      </c>
      <c r="BD4" s="83" t="n">
        <f aca="false">IFERROR(MAX(0,INPUTS!$B$22*(1+INPUTS!$B$23)^(INPUTS!$B$6-INPUTS!$B$5+53)-IF(INPUTS!$B$6+53&gt;=INPUTS!$B$7,INPUTS!$B$25*(1+INPUTS!$B$23)^(INPUTS!$B$6-INPUTS!$B$5+53),0)-INPUTS!$B$24),0)</f>
        <v>123565.763157592</v>
      </c>
      <c r="BE4" s="83" t="n">
        <f aca="false">IFERROR(MAX(0,INPUTS!$B$22*(1+INPUTS!$B$23)^(INPUTS!$B$6-INPUTS!$B$5+54)-IF(INPUTS!$B$6+54&gt;=INPUTS!$B$7,INPUTS!$B$25*(1+INPUTS!$B$23)^(INPUTS!$B$6-INPUTS!$B$5+54),0)-INPUTS!$B$24),0)</f>
        <v>126654.907236532</v>
      </c>
      <c r="BF4" s="83" t="n">
        <f aca="false">IFERROR(MAX(0,INPUTS!$B$22*(1+INPUTS!$B$23)^(INPUTS!$B$6-INPUTS!$B$5+55)-IF(INPUTS!$B$6+55&gt;=INPUTS!$B$7,INPUTS!$B$25*(1+INPUTS!$B$23)^(INPUTS!$B$6-INPUTS!$B$5+55),0)-INPUTS!$B$24),0)</f>
        <v>129821.279917445</v>
      </c>
      <c r="BG4" s="83" t="n">
        <f aca="false">IFERROR(MAX(0,INPUTS!$B$22*(1+INPUTS!$B$23)^(INPUTS!$B$6-INPUTS!$B$5+56)-IF(INPUTS!$B$6+56&gt;=INPUTS!$B$7,INPUTS!$B$25*(1+INPUTS!$B$23)^(INPUTS!$B$6-INPUTS!$B$5+56),0)-INPUTS!$B$24),0)</f>
        <v>133066.811915381</v>
      </c>
      <c r="BH4" s="83" t="n">
        <f aca="false">IFERROR(MAX(0,INPUTS!$B$22*(1+INPUTS!$B$23)^(INPUTS!$B$6-INPUTS!$B$5+57)-IF(INPUTS!$B$6+57&gt;=INPUTS!$B$7,INPUTS!$B$25*(1+INPUTS!$B$23)^(INPUTS!$B$6-INPUTS!$B$5+57),0)-INPUTS!$B$24),0)</f>
        <v>136393.482213266</v>
      </c>
      <c r="BI4" s="83" t="n">
        <f aca="false">IFERROR(MAX(0,INPUTS!$B$22*(1+INPUTS!$B$23)^(INPUTS!$B$6-INPUTS!$B$5+58)-IF(INPUTS!$B$6+58&gt;=INPUTS!$B$7,INPUTS!$B$25*(1+INPUTS!$B$23)^(INPUTS!$B$6-INPUTS!$B$5+58),0)-INPUTS!$B$24),0)</f>
        <v>139803.319268597</v>
      </c>
      <c r="BJ4" s="83" t="n">
        <f aca="false">IFERROR(MAX(0,INPUTS!$B$22*(1+INPUTS!$B$23)^(INPUTS!$B$6-INPUTS!$B$5+59)-IF(INPUTS!$B$6+59&gt;=INPUTS!$B$7,INPUTS!$B$25*(1+INPUTS!$B$23)^(INPUTS!$B$6-INPUTS!$B$5+59),0)-INPUTS!$B$24),0)</f>
        <v>143298.402250312</v>
      </c>
    </row>
    <row r="5" customFormat="false" ht="15" hidden="false" customHeight="true" outlineLevel="0" collapsed="false">
      <c r="A5" s="84" t="s">
        <v>127</v>
      </c>
      <c r="B5" s="21"/>
      <c r="C5" s="85" t="n">
        <f aca="false">IF(INPUTS!$B$6+0&gt;INPUTS!$B$8,0,1)</f>
        <v>1</v>
      </c>
      <c r="D5" s="85" t="n">
        <f aca="false">IF(INPUTS!$B$6+1&gt;INPUTS!$B$8,0,1)</f>
        <v>1</v>
      </c>
      <c r="E5" s="85" t="n">
        <f aca="false">IF(INPUTS!$B$6+2&gt;INPUTS!$B$8,0,1)</f>
        <v>1</v>
      </c>
      <c r="F5" s="85" t="n">
        <f aca="false">IF(INPUTS!$B$6+3&gt;INPUTS!$B$8,0,1)</f>
        <v>1</v>
      </c>
      <c r="G5" s="85" t="n">
        <f aca="false">IF(INPUTS!$B$6+4&gt;INPUTS!$B$8,0,1)</f>
        <v>1</v>
      </c>
      <c r="H5" s="85" t="n">
        <f aca="false">IF(INPUTS!$B$6+5&gt;INPUTS!$B$8,0,1)</f>
        <v>1</v>
      </c>
      <c r="I5" s="85" t="n">
        <f aca="false">IF(INPUTS!$B$6+6&gt;INPUTS!$B$8,0,1)</f>
        <v>1</v>
      </c>
      <c r="J5" s="85" t="n">
        <f aca="false">IF(INPUTS!$B$6+7&gt;INPUTS!$B$8,0,1)</f>
        <v>1</v>
      </c>
      <c r="K5" s="85" t="n">
        <f aca="false">IF(INPUTS!$B$6+8&gt;INPUTS!$B$8,0,1)</f>
        <v>1</v>
      </c>
      <c r="L5" s="85" t="n">
        <f aca="false">IF(INPUTS!$B$6+9&gt;INPUTS!$B$8,0,1)</f>
        <v>1</v>
      </c>
      <c r="M5" s="85" t="n">
        <f aca="false">IF(INPUTS!$B$6+10&gt;INPUTS!$B$8,0,1)</f>
        <v>1</v>
      </c>
      <c r="N5" s="85" t="n">
        <f aca="false">IF(INPUTS!$B$6+11&gt;INPUTS!$B$8,0,1)</f>
        <v>1</v>
      </c>
      <c r="O5" s="85" t="n">
        <f aca="false">IF(INPUTS!$B$6+12&gt;INPUTS!$B$8,0,1)</f>
        <v>1</v>
      </c>
      <c r="P5" s="85" t="n">
        <f aca="false">IF(INPUTS!$B$6+13&gt;INPUTS!$B$8,0,1)</f>
        <v>1</v>
      </c>
      <c r="Q5" s="85" t="n">
        <f aca="false">IF(INPUTS!$B$6+14&gt;INPUTS!$B$8,0,1)</f>
        <v>1</v>
      </c>
      <c r="R5" s="85" t="n">
        <f aca="false">IF(INPUTS!$B$6+15&gt;INPUTS!$B$8,0,1)</f>
        <v>1</v>
      </c>
      <c r="S5" s="85" t="n">
        <f aca="false">IF(INPUTS!$B$6+16&gt;INPUTS!$B$8,0,1)</f>
        <v>1</v>
      </c>
      <c r="T5" s="85" t="n">
        <f aca="false">IF(INPUTS!$B$6+17&gt;INPUTS!$B$8,0,1)</f>
        <v>1</v>
      </c>
      <c r="U5" s="85" t="n">
        <f aca="false">IF(INPUTS!$B$6+18&gt;INPUTS!$B$8,0,1)</f>
        <v>1</v>
      </c>
      <c r="V5" s="85" t="n">
        <f aca="false">IF(INPUTS!$B$6+19&gt;INPUTS!$B$8,0,1)</f>
        <v>1</v>
      </c>
      <c r="W5" s="85" t="n">
        <f aca="false">IF(INPUTS!$B$6+20&gt;INPUTS!$B$8,0,1)</f>
        <v>1</v>
      </c>
      <c r="X5" s="85" t="n">
        <f aca="false">IF(INPUTS!$B$6+21&gt;INPUTS!$B$8,0,1)</f>
        <v>1</v>
      </c>
      <c r="Y5" s="85" t="n">
        <f aca="false">IF(INPUTS!$B$6+22&gt;INPUTS!$B$8,0,1)</f>
        <v>1</v>
      </c>
      <c r="Z5" s="85" t="n">
        <f aca="false">IF(INPUTS!$B$6+23&gt;INPUTS!$B$8,0,1)</f>
        <v>1</v>
      </c>
      <c r="AA5" s="85" t="n">
        <f aca="false">IF(INPUTS!$B$6+24&gt;INPUTS!$B$8,0,1)</f>
        <v>1</v>
      </c>
      <c r="AB5" s="85" t="n">
        <f aca="false">IF(INPUTS!$B$6+25&gt;INPUTS!$B$8,0,1)</f>
        <v>1</v>
      </c>
      <c r="AC5" s="85" t="n">
        <f aca="false">IF(INPUTS!$B$6+26&gt;INPUTS!$B$8,0,1)</f>
        <v>1</v>
      </c>
      <c r="AD5" s="85" t="n">
        <f aca="false">IF(INPUTS!$B$6+27&gt;INPUTS!$B$8,0,1)</f>
        <v>1</v>
      </c>
      <c r="AE5" s="85" t="n">
        <f aca="false">IF(INPUTS!$B$6+28&gt;INPUTS!$B$8,0,1)</f>
        <v>1</v>
      </c>
      <c r="AF5" s="85" t="n">
        <f aca="false">IF(INPUTS!$B$6+29&gt;INPUTS!$B$8,0,1)</f>
        <v>1</v>
      </c>
      <c r="AG5" s="85" t="n">
        <f aca="false">IF(INPUTS!$B$6+30&gt;INPUTS!$B$8,0,1)</f>
        <v>1</v>
      </c>
      <c r="AH5" s="85" t="n">
        <f aca="false">IF(INPUTS!$B$6+31&gt;INPUTS!$B$8,0,1)</f>
        <v>1</v>
      </c>
      <c r="AI5" s="85" t="n">
        <f aca="false">IF(INPUTS!$B$6+32&gt;INPUTS!$B$8,0,1)</f>
        <v>1</v>
      </c>
      <c r="AJ5" s="85" t="n">
        <f aca="false">IF(INPUTS!$B$6+33&gt;INPUTS!$B$8,0,1)</f>
        <v>1</v>
      </c>
      <c r="AK5" s="85" t="n">
        <f aca="false">IF(INPUTS!$B$6+34&gt;INPUTS!$B$8,0,1)</f>
        <v>1</v>
      </c>
      <c r="AL5" s="85" t="n">
        <f aca="false">IF(INPUTS!$B$6+35&gt;INPUTS!$B$8,0,1)</f>
        <v>1</v>
      </c>
      <c r="AM5" s="85" t="n">
        <f aca="false">IF(INPUTS!$B$6+36&gt;INPUTS!$B$8,0,1)</f>
        <v>0</v>
      </c>
      <c r="AN5" s="85" t="n">
        <f aca="false">IF(INPUTS!$B$6+37&gt;INPUTS!$B$8,0,1)</f>
        <v>0</v>
      </c>
      <c r="AO5" s="85" t="n">
        <f aca="false">IF(INPUTS!$B$6+38&gt;INPUTS!$B$8,0,1)</f>
        <v>0</v>
      </c>
      <c r="AP5" s="85" t="n">
        <f aca="false">IF(INPUTS!$B$6+39&gt;INPUTS!$B$8,0,1)</f>
        <v>0</v>
      </c>
      <c r="AQ5" s="85" t="n">
        <f aca="false">IF(INPUTS!$B$6+40&gt;INPUTS!$B$8,0,1)</f>
        <v>0</v>
      </c>
      <c r="AR5" s="85" t="n">
        <f aca="false">IF(INPUTS!$B$6+41&gt;INPUTS!$B$8,0,1)</f>
        <v>0</v>
      </c>
      <c r="AS5" s="85" t="n">
        <f aca="false">IF(INPUTS!$B$6+42&gt;INPUTS!$B$8,0,1)</f>
        <v>0</v>
      </c>
      <c r="AT5" s="85" t="n">
        <f aca="false">IF(INPUTS!$B$6+43&gt;INPUTS!$B$8,0,1)</f>
        <v>0</v>
      </c>
      <c r="AU5" s="85" t="n">
        <f aca="false">IF(INPUTS!$B$6+44&gt;INPUTS!$B$8,0,1)</f>
        <v>0</v>
      </c>
      <c r="AV5" s="85" t="n">
        <f aca="false">IF(INPUTS!$B$6+45&gt;INPUTS!$B$8,0,1)</f>
        <v>0</v>
      </c>
      <c r="AW5" s="85" t="n">
        <f aca="false">IF(INPUTS!$B$6+46&gt;INPUTS!$B$8,0,1)</f>
        <v>0</v>
      </c>
      <c r="AX5" s="85" t="n">
        <f aca="false">IF(INPUTS!$B$6+47&gt;INPUTS!$B$8,0,1)</f>
        <v>0</v>
      </c>
      <c r="AY5" s="85" t="n">
        <f aca="false">IF(INPUTS!$B$6+48&gt;INPUTS!$B$8,0,1)</f>
        <v>0</v>
      </c>
      <c r="AZ5" s="85" t="n">
        <f aca="false">IF(INPUTS!$B$6+49&gt;INPUTS!$B$8,0,1)</f>
        <v>0</v>
      </c>
      <c r="BA5" s="85" t="n">
        <f aca="false">IF(INPUTS!$B$6+50&gt;INPUTS!$B$8,0,1)</f>
        <v>0</v>
      </c>
      <c r="BB5" s="85" t="n">
        <f aca="false">IF(INPUTS!$B$6+51&gt;INPUTS!$B$8,0,1)</f>
        <v>0</v>
      </c>
      <c r="BC5" s="85" t="n">
        <f aca="false">IF(INPUTS!$B$6+52&gt;INPUTS!$B$8,0,1)</f>
        <v>0</v>
      </c>
      <c r="BD5" s="85" t="n">
        <f aca="false">IF(INPUTS!$B$6+53&gt;INPUTS!$B$8,0,1)</f>
        <v>0</v>
      </c>
      <c r="BE5" s="85" t="n">
        <f aca="false">IF(INPUTS!$B$6+54&gt;INPUTS!$B$8,0,1)</f>
        <v>0</v>
      </c>
      <c r="BF5" s="85" t="n">
        <f aca="false">IF(INPUTS!$B$6+55&gt;INPUTS!$B$8,0,1)</f>
        <v>0</v>
      </c>
      <c r="BG5" s="85" t="n">
        <f aca="false">IF(INPUTS!$B$6+56&gt;INPUTS!$B$8,0,1)</f>
        <v>0</v>
      </c>
      <c r="BH5" s="85" t="n">
        <f aca="false">IF(INPUTS!$B$6+57&gt;INPUTS!$B$8,0,1)</f>
        <v>0</v>
      </c>
      <c r="BI5" s="85" t="n">
        <f aca="false">IF(INPUTS!$B$6+58&gt;INPUTS!$B$8,0,1)</f>
        <v>0</v>
      </c>
      <c r="BJ5" s="85" t="n">
        <f aca="false">IF(INPUTS!$B$6+59&gt;INPUTS!$B$8,0,1)</f>
        <v>0</v>
      </c>
    </row>
    <row r="6" customFormat="false" ht="15" hidden="false" customHeight="tru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</row>
    <row r="7" customFormat="false" ht="21.75" hidden="false" customHeight="true" outlineLevel="0" collapsed="false">
      <c r="A7" s="86" t="s">
        <v>128</v>
      </c>
      <c r="B7" s="86" t="s">
        <v>129</v>
      </c>
      <c r="C7" s="86" t="s">
        <v>130</v>
      </c>
      <c r="D7" s="86" t="s">
        <v>131</v>
      </c>
      <c r="E7" s="86" t="s">
        <v>132</v>
      </c>
      <c r="F7" s="86" t="s">
        <v>133</v>
      </c>
      <c r="G7" s="86" t="s">
        <v>134</v>
      </c>
      <c r="H7" s="86" t="s">
        <v>135</v>
      </c>
      <c r="I7" s="86" t="s">
        <v>136</v>
      </c>
      <c r="J7" s="86" t="s">
        <v>137</v>
      </c>
      <c r="K7" s="86" t="s">
        <v>138</v>
      </c>
      <c r="L7" s="86" t="s">
        <v>139</v>
      </c>
      <c r="M7" s="86" t="s">
        <v>140</v>
      </c>
      <c r="N7" s="86" t="s">
        <v>141</v>
      </c>
      <c r="O7" s="86" t="s">
        <v>142</v>
      </c>
      <c r="P7" s="86" t="s">
        <v>143</v>
      </c>
      <c r="Q7" s="86" t="s">
        <v>144</v>
      </c>
      <c r="R7" s="86" t="s">
        <v>145</v>
      </c>
      <c r="S7" s="86" t="s">
        <v>146</v>
      </c>
      <c r="T7" s="86" t="s">
        <v>147</v>
      </c>
      <c r="U7" s="86" t="s">
        <v>148</v>
      </c>
      <c r="V7" s="86" t="s">
        <v>149</v>
      </c>
      <c r="W7" s="86" t="s">
        <v>150</v>
      </c>
      <c r="X7" s="86" t="s">
        <v>151</v>
      </c>
      <c r="Y7" s="86" t="s">
        <v>152</v>
      </c>
      <c r="Z7" s="86" t="s">
        <v>153</v>
      </c>
      <c r="AA7" s="86" t="s">
        <v>154</v>
      </c>
      <c r="AB7" s="86" t="s">
        <v>155</v>
      </c>
      <c r="AC7" s="86" t="s">
        <v>156</v>
      </c>
      <c r="AD7" s="86" t="s">
        <v>157</v>
      </c>
      <c r="AE7" s="86" t="s">
        <v>158</v>
      </c>
      <c r="AF7" s="86" t="s">
        <v>159</v>
      </c>
      <c r="AG7" s="86" t="s">
        <v>160</v>
      </c>
      <c r="AH7" s="86" t="s">
        <v>161</v>
      </c>
      <c r="AI7" s="86" t="s">
        <v>162</v>
      </c>
      <c r="AJ7" s="86" t="s">
        <v>163</v>
      </c>
      <c r="AK7" s="86" t="s">
        <v>164</v>
      </c>
      <c r="AL7" s="86" t="s">
        <v>165</v>
      </c>
      <c r="AM7" s="86" t="s">
        <v>166</v>
      </c>
      <c r="AN7" s="86" t="s">
        <v>167</v>
      </c>
      <c r="AO7" s="86" t="s">
        <v>168</v>
      </c>
      <c r="AP7" s="86" t="s">
        <v>169</v>
      </c>
      <c r="AQ7" s="86" t="s">
        <v>170</v>
      </c>
      <c r="AR7" s="86" t="s">
        <v>171</v>
      </c>
      <c r="AS7" s="86" t="s">
        <v>172</v>
      </c>
      <c r="AT7" s="86" t="s">
        <v>173</v>
      </c>
      <c r="AU7" s="86" t="s">
        <v>174</v>
      </c>
      <c r="AV7" s="86" t="s">
        <v>175</v>
      </c>
      <c r="AW7" s="86" t="s">
        <v>176</v>
      </c>
      <c r="AX7" s="86" t="s">
        <v>177</v>
      </c>
      <c r="AY7" s="86" t="s">
        <v>178</v>
      </c>
      <c r="AZ7" s="86" t="s">
        <v>179</v>
      </c>
      <c r="BA7" s="86" t="s">
        <v>180</v>
      </c>
      <c r="BB7" s="86" t="s">
        <v>181</v>
      </c>
      <c r="BC7" s="86" t="s">
        <v>182</v>
      </c>
      <c r="BD7" s="86" t="s">
        <v>183</v>
      </c>
      <c r="BE7" s="86" t="s">
        <v>184</v>
      </c>
      <c r="BF7" s="86" t="s">
        <v>185</v>
      </c>
      <c r="BG7" s="86" t="s">
        <v>186</v>
      </c>
      <c r="BH7" s="86" t="s">
        <v>187</v>
      </c>
      <c r="BI7" s="86" t="s">
        <v>188</v>
      </c>
      <c r="BJ7" s="86" t="s">
        <v>189</v>
      </c>
    </row>
    <row r="8" customFormat="false" ht="15" hidden="false" customHeight="true" outlineLevel="0" collapsed="false">
      <c r="A8" s="87" t="n">
        <v>1</v>
      </c>
      <c r="B8" s="88" t="n">
        <f aca="false">LOOKUP(9.99E+307,C8:BJ8)</f>
        <v>18306393.0868855</v>
      </c>
      <c r="C8" s="89" t="n">
        <f aca="true">IF(C$5=0,INPUTS!$B$35,MAX(0,(INPUTS!$B$35-C$4)*(1+NORMINV(RAND(),INPUTS!$B$28,INPUTS!$B$29))))</f>
        <v>1604124.0803976</v>
      </c>
      <c r="D8" s="89" t="n">
        <f aca="true">IF(D$5=0,C8,MAX(0,(C8-D$4)*(1+NORMINV(RAND(),INPUTS!$B$28,INPUTS!$B$29))))</f>
        <v>1998753.85000467</v>
      </c>
      <c r="E8" s="89" t="n">
        <f aca="true">IF(E$5=0,D8,MAX(0,(D8-E$4)*(1+NORMINV(RAND(),INPUTS!$B$28,INPUTS!$B$29))))</f>
        <v>2302363.35184244</v>
      </c>
      <c r="F8" s="89" t="n">
        <f aca="true">IF(F$5=0,E8,MAX(0,(E8-F$4)*(1+NORMINV(RAND(),INPUTS!$B$28,INPUTS!$B$29))))</f>
        <v>2794207.73605304</v>
      </c>
      <c r="G8" s="89" t="n">
        <f aca="true">IF(G$5=0,F8,MAX(0,(F8-G$4)*(1+NORMINV(RAND(),INPUTS!$B$28,INPUTS!$B$29))))</f>
        <v>3037556.14411654</v>
      </c>
      <c r="H8" s="89" t="n">
        <f aca="true">IF(H$5=0,G8,MAX(0,(G8-H$4)*(1+NORMINV(RAND(),INPUTS!$B$28,INPUTS!$B$29))))</f>
        <v>2923700.46604696</v>
      </c>
      <c r="I8" s="89" t="n">
        <f aca="true">IF(I$5=0,H8,MAX(0,(H8-I$4)*(1+NORMINV(RAND(),INPUTS!$B$28,INPUTS!$B$29))))</f>
        <v>3010727.68137543</v>
      </c>
      <c r="J8" s="89" t="n">
        <f aca="true">IF(J$5=0,I8,MAX(0,(I8-J$4)*(1+NORMINV(RAND(),INPUTS!$B$28,INPUTS!$B$29))))</f>
        <v>3097179.40604791</v>
      </c>
      <c r="K8" s="89" t="n">
        <f aca="true">IF(K$5=0,J8,MAX(0,(J8-K$4)*(1+NORMINV(RAND(),INPUTS!$B$28,INPUTS!$B$29))))</f>
        <v>2870729.95480732</v>
      </c>
      <c r="L8" s="89" t="n">
        <f aca="true">IF(L$5=0,K8,MAX(0,(K8-L$4)*(1+NORMINV(RAND(),INPUTS!$B$28,INPUTS!$B$29))))</f>
        <v>2831456.64633748</v>
      </c>
      <c r="M8" s="89" t="n">
        <f aca="true">IF(M$5=0,L8,MAX(0,(L8-M$4)*(1+NORMINV(RAND(),INPUTS!$B$28,INPUTS!$B$29))))</f>
        <v>2625690.87838022</v>
      </c>
      <c r="N8" s="89" t="n">
        <f aca="true">IF(N$5=0,M8,MAX(0,(M8-N$4)*(1+NORMINV(RAND(),INPUTS!$B$28,INPUTS!$B$29))))</f>
        <v>3075770.5019768</v>
      </c>
      <c r="O8" s="89" t="n">
        <f aca="true">IF(O$5=0,N8,MAX(0,(N8-O$4)*(1+NORMINV(RAND(),INPUTS!$B$28,INPUTS!$B$29))))</f>
        <v>3471088.40369906</v>
      </c>
      <c r="P8" s="89" t="n">
        <f aca="true">IF(P$5=0,O8,MAX(0,(O8-P$4)*(1+NORMINV(RAND(),INPUTS!$B$28,INPUTS!$B$29))))</f>
        <v>3673070.53152534</v>
      </c>
      <c r="Q8" s="89" t="n">
        <f aca="true">IF(Q$5=0,P8,MAX(0,(P8-Q$4)*(1+NORMINV(RAND(),INPUTS!$B$28,INPUTS!$B$29))))</f>
        <v>3733269.56573982</v>
      </c>
      <c r="R8" s="89" t="n">
        <f aca="true">IF(R$5=0,Q8,MAX(0,(Q8-R$4)*(1+NORMINV(RAND(),INPUTS!$B$28,INPUTS!$B$29))))</f>
        <v>4190263.82783423</v>
      </c>
      <c r="S8" s="89" t="n">
        <f aca="true">IF(S$5=0,R8,MAX(0,(R8-S$4)*(1+NORMINV(RAND(),INPUTS!$B$28,INPUTS!$B$29))))</f>
        <v>5459840.47733468</v>
      </c>
      <c r="T8" s="89" t="n">
        <f aca="true">IF(T$5=0,S8,MAX(0,(S8-T$4)*(1+NORMINV(RAND(),INPUTS!$B$28,INPUTS!$B$29))))</f>
        <v>5072642.97079193</v>
      </c>
      <c r="U8" s="89" t="n">
        <f aca="true">IF(U$5=0,T8,MAX(0,(T8-U$4)*(1+NORMINV(RAND(),INPUTS!$B$28,INPUTS!$B$29))))</f>
        <v>5539956.50264632</v>
      </c>
      <c r="V8" s="89" t="n">
        <f aca="true">IF(V$5=0,U8,MAX(0,(U8-V$4)*(1+NORMINV(RAND(),INPUTS!$B$28,INPUTS!$B$29))))</f>
        <v>6727056.32851653</v>
      </c>
      <c r="W8" s="89" t="n">
        <f aca="true">IF(W$5=0,V8,MAX(0,(V8-W$4)*(1+NORMINV(RAND(),INPUTS!$B$28,INPUTS!$B$29))))</f>
        <v>8139473.04976765</v>
      </c>
      <c r="X8" s="89" t="n">
        <f aca="true">IF(X$5=0,W8,MAX(0,(W8-X$4)*(1+NORMINV(RAND(),INPUTS!$B$28,INPUTS!$B$29))))</f>
        <v>9384254.59137797</v>
      </c>
      <c r="Y8" s="89" t="n">
        <f aca="true">IF(Y$5=0,X8,MAX(0,(X8-Y$4)*(1+NORMINV(RAND(),INPUTS!$B$28,INPUTS!$B$29))))</f>
        <v>10960590.1347461</v>
      </c>
      <c r="Z8" s="89" t="n">
        <f aca="true">IF(Z$5=0,Y8,MAX(0,(Y8-Z$4)*(1+NORMINV(RAND(),INPUTS!$B$28,INPUTS!$B$29))))</f>
        <v>11231388.6038252</v>
      </c>
      <c r="AA8" s="89" t="n">
        <f aca="true">IF(AA$5=0,Z8,MAX(0,(Z8-AA$4)*(1+NORMINV(RAND(),INPUTS!$B$28,INPUTS!$B$29))))</f>
        <v>11689295.7988393</v>
      </c>
      <c r="AB8" s="89" t="n">
        <f aca="true">IF(AB$5=0,AA8,MAX(0,(AA8-AB$4)*(1+NORMINV(RAND(),INPUTS!$B$28,INPUTS!$B$29))))</f>
        <v>13155313.3853338</v>
      </c>
      <c r="AC8" s="89" t="n">
        <f aca="true">IF(AC$5=0,AB8,MAX(0,(AB8-AC$4)*(1+NORMINV(RAND(),INPUTS!$B$28,INPUTS!$B$29))))</f>
        <v>13066694.1183577</v>
      </c>
      <c r="AD8" s="89" t="n">
        <f aca="true">IF(AD$5=0,AC8,MAX(0,(AC8-AD$4)*(1+NORMINV(RAND(),INPUTS!$B$28,INPUTS!$B$29))))</f>
        <v>13148109.5247406</v>
      </c>
      <c r="AE8" s="89" t="n">
        <f aca="true">IF(AE$5=0,AD8,MAX(0,(AD8-AE$4)*(1+NORMINV(RAND(),INPUTS!$B$28,INPUTS!$B$29))))</f>
        <v>12937262.0972859</v>
      </c>
      <c r="AF8" s="89" t="n">
        <f aca="true">IF(AF$5=0,AE8,MAX(0,(AE8-AF$4)*(1+NORMINV(RAND(),INPUTS!$B$28,INPUTS!$B$29))))</f>
        <v>13131536.3490628</v>
      </c>
      <c r="AG8" s="89" t="n">
        <f aca="true">IF(AG$5=0,AF8,MAX(0,(AF8-AG$4)*(1+NORMINV(RAND(),INPUTS!$B$28,INPUTS!$B$29))))</f>
        <v>13647679.9392676</v>
      </c>
      <c r="AH8" s="89" t="n">
        <f aca="true">IF(AH$5=0,AG8,MAX(0,(AG8-AH$4)*(1+NORMINV(RAND(),INPUTS!$B$28,INPUTS!$B$29))))</f>
        <v>14468242.6074113</v>
      </c>
      <c r="AI8" s="89" t="n">
        <f aca="true">IF(AI$5=0,AH8,MAX(0,(AH8-AI$4)*(1+NORMINV(RAND(),INPUTS!$B$28,INPUTS!$B$29))))</f>
        <v>15080651.4672174</v>
      </c>
      <c r="AJ8" s="89" t="n">
        <f aca="true">IF(AJ$5=0,AI8,MAX(0,(AI8-AJ$4)*(1+NORMINV(RAND(),INPUTS!$B$28,INPUTS!$B$29))))</f>
        <v>16694454.1426153</v>
      </c>
      <c r="AK8" s="89" t="n">
        <f aca="true">IF(AK$5=0,AJ8,MAX(0,(AJ8-AK$4)*(1+NORMINV(RAND(),INPUTS!$B$28,INPUTS!$B$29))))</f>
        <v>17629772.5155627</v>
      </c>
      <c r="AL8" s="89" t="n">
        <f aca="true">IF(AL$5=0,AK8,MAX(0,(AK8-AL$4)*(1+NORMINV(RAND(),INPUTS!$B$28,INPUTS!$B$29))))</f>
        <v>18306393.0868855</v>
      </c>
      <c r="AM8" s="89" t="n">
        <f aca="true">IF(AM$5=0,AL8,MAX(0,(AL8-AM$4)*(1+NORMINV(RAND(),INPUTS!$B$28,INPUTS!$B$29))))</f>
        <v>18306393.0868855</v>
      </c>
      <c r="AN8" s="89" t="n">
        <f aca="true">IF(AN$5=0,AM8,MAX(0,(AM8-AN$4)*(1+NORMINV(RAND(),INPUTS!$B$28,INPUTS!$B$29))))</f>
        <v>18306393.0868855</v>
      </c>
      <c r="AO8" s="89" t="n">
        <f aca="true">IF(AO$5=0,AN8,MAX(0,(AN8-AO$4)*(1+NORMINV(RAND(),INPUTS!$B$28,INPUTS!$B$29))))</f>
        <v>18306393.0868855</v>
      </c>
      <c r="AP8" s="89" t="n">
        <f aca="true">IF(AP$5=0,AO8,MAX(0,(AO8-AP$4)*(1+NORMINV(RAND(),INPUTS!$B$28,INPUTS!$B$29))))</f>
        <v>18306393.0868855</v>
      </c>
      <c r="AQ8" s="89" t="n">
        <f aca="true">IF(AQ$5=0,AP8,MAX(0,(AP8-AQ$4)*(1+NORMINV(RAND(),INPUTS!$B$28,INPUTS!$B$29))))</f>
        <v>18306393.0868855</v>
      </c>
      <c r="AR8" s="89" t="n">
        <f aca="true">IF(AR$5=0,AQ8,MAX(0,(AQ8-AR$4)*(1+NORMINV(RAND(),INPUTS!$B$28,INPUTS!$B$29))))</f>
        <v>18306393.0868855</v>
      </c>
      <c r="AS8" s="89" t="n">
        <f aca="true">IF(AS$5=0,AR8,MAX(0,(AR8-AS$4)*(1+NORMINV(RAND(),INPUTS!$B$28,INPUTS!$B$29))))</f>
        <v>18306393.0868855</v>
      </c>
      <c r="AT8" s="89" t="n">
        <f aca="true">IF(AT$5=0,AS8,MAX(0,(AS8-AT$4)*(1+NORMINV(RAND(),INPUTS!$B$28,INPUTS!$B$29))))</f>
        <v>18306393.0868855</v>
      </c>
      <c r="AU8" s="89" t="n">
        <f aca="true">IF(AU$5=0,AT8,MAX(0,(AT8-AU$4)*(1+NORMINV(RAND(),INPUTS!$B$28,INPUTS!$B$29))))</f>
        <v>18306393.0868855</v>
      </c>
      <c r="AV8" s="89" t="n">
        <f aca="true">IF(AV$5=0,AU8,MAX(0,(AU8-AV$4)*(1+NORMINV(RAND(),INPUTS!$B$28,INPUTS!$B$29))))</f>
        <v>18306393.0868855</v>
      </c>
      <c r="AW8" s="89" t="n">
        <f aca="true">IF(AW$5=0,AV8,MAX(0,(AV8-AW$4)*(1+NORMINV(RAND(),INPUTS!$B$28,INPUTS!$B$29))))</f>
        <v>18306393.0868855</v>
      </c>
      <c r="AX8" s="89" t="n">
        <f aca="true">IF(AX$5=0,AW8,MAX(0,(AW8-AX$4)*(1+NORMINV(RAND(),INPUTS!$B$28,INPUTS!$B$29))))</f>
        <v>18306393.0868855</v>
      </c>
      <c r="AY8" s="89" t="n">
        <f aca="true">IF(AY$5=0,AX8,MAX(0,(AX8-AY$4)*(1+NORMINV(RAND(),INPUTS!$B$28,INPUTS!$B$29))))</f>
        <v>18306393.0868855</v>
      </c>
      <c r="AZ8" s="89" t="n">
        <f aca="true">IF(AZ$5=0,AY8,MAX(0,(AY8-AZ$4)*(1+NORMINV(RAND(),INPUTS!$B$28,INPUTS!$B$29))))</f>
        <v>18306393.0868855</v>
      </c>
      <c r="BA8" s="89" t="n">
        <f aca="true">IF(BA$5=0,AZ8,MAX(0,(AZ8-BA$4)*(1+NORMINV(RAND(),INPUTS!$B$28,INPUTS!$B$29))))</f>
        <v>18306393.0868855</v>
      </c>
      <c r="BB8" s="89" t="n">
        <f aca="true">IF(BB$5=0,BA8,MAX(0,(BA8-BB$4)*(1+NORMINV(RAND(),INPUTS!$B$28,INPUTS!$B$29))))</f>
        <v>18306393.0868855</v>
      </c>
      <c r="BC8" s="89" t="n">
        <f aca="true">IF(BC$5=0,BB8,MAX(0,(BB8-BC$4)*(1+NORMINV(RAND(),INPUTS!$B$28,INPUTS!$B$29))))</f>
        <v>18306393.0868855</v>
      </c>
      <c r="BD8" s="89" t="n">
        <f aca="true">IF(BD$5=0,BC8,MAX(0,(BC8-BD$4)*(1+NORMINV(RAND(),INPUTS!$B$28,INPUTS!$B$29))))</f>
        <v>18306393.0868855</v>
      </c>
      <c r="BE8" s="89" t="n">
        <f aca="true">IF(BE$5=0,BD8,MAX(0,(BD8-BE$4)*(1+NORMINV(RAND(),INPUTS!$B$28,INPUTS!$B$29))))</f>
        <v>18306393.0868855</v>
      </c>
      <c r="BF8" s="89" t="n">
        <f aca="true">IF(BF$5=0,BE8,MAX(0,(BE8-BF$4)*(1+NORMINV(RAND(),INPUTS!$B$28,INPUTS!$B$29))))</f>
        <v>18306393.0868855</v>
      </c>
      <c r="BG8" s="89" t="n">
        <f aca="true">IF(BG$5=0,BF8,MAX(0,(BF8-BG$4)*(1+NORMINV(RAND(),INPUTS!$B$28,INPUTS!$B$29))))</f>
        <v>18306393.0868855</v>
      </c>
      <c r="BH8" s="89" t="n">
        <f aca="true">IF(BH$5=0,BG8,MAX(0,(BG8-BH$4)*(1+NORMINV(RAND(),INPUTS!$B$28,INPUTS!$B$29))))</f>
        <v>18306393.0868855</v>
      </c>
      <c r="BI8" s="89" t="n">
        <f aca="true">IF(BI$5=0,BH8,MAX(0,(BH8-BI$4)*(1+NORMINV(RAND(),INPUTS!$B$28,INPUTS!$B$29))))</f>
        <v>18306393.0868855</v>
      </c>
      <c r="BJ8" s="89" t="n">
        <f aca="true">IF(BJ$5=0,BI8,MAX(0,(BI8-BJ$4)*(1+NORMINV(RAND(),INPUTS!$B$28,INPUTS!$B$29))))</f>
        <v>18306393.0868855</v>
      </c>
    </row>
    <row r="9" customFormat="false" ht="15" hidden="false" customHeight="true" outlineLevel="0" collapsed="false">
      <c r="A9" s="87" t="n">
        <v>2</v>
      </c>
      <c r="B9" s="88" t="n">
        <f aca="false">LOOKUP(9.99E+307,C9:BJ9)</f>
        <v>3205204.46932262</v>
      </c>
      <c r="C9" s="89" t="n">
        <f aca="true">IF(C$5=0,INPUTS!$B$35,MAX(0,(INPUTS!$B$35-C$4)*(1+NORMINV(RAND(),INPUTS!$B$28,INPUTS!$B$29))))</f>
        <v>1518940.95890096</v>
      </c>
      <c r="D9" s="89" t="n">
        <f aca="true">IF(D$5=0,C9,MAX(0,(C9-D$4)*(1+NORMINV(RAND(),INPUTS!$B$28,INPUTS!$B$29))))</f>
        <v>1421444.85094755</v>
      </c>
      <c r="E9" s="89" t="n">
        <f aca="true">IF(E$5=0,D9,MAX(0,(D9-E$4)*(1+NORMINV(RAND(),INPUTS!$B$28,INPUTS!$B$29))))</f>
        <v>1384799.83213286</v>
      </c>
      <c r="F9" s="89" t="n">
        <f aca="true">IF(F$5=0,E9,MAX(0,(E9-F$4)*(1+NORMINV(RAND(),INPUTS!$B$28,INPUTS!$B$29))))</f>
        <v>1343223.33269923</v>
      </c>
      <c r="G9" s="89" t="n">
        <f aca="true">IF(G$5=0,F9,MAX(0,(F9-G$4)*(1+NORMINV(RAND(),INPUTS!$B$28,INPUTS!$B$29))))</f>
        <v>1526574.86613682</v>
      </c>
      <c r="H9" s="89" t="n">
        <f aca="true">IF(H$5=0,G9,MAX(0,(G9-H$4)*(1+NORMINV(RAND(),INPUTS!$B$28,INPUTS!$B$29))))</f>
        <v>1512904.02657009</v>
      </c>
      <c r="I9" s="89" t="n">
        <f aca="true">IF(I$5=0,H9,MAX(0,(H9-I$4)*(1+NORMINV(RAND(),INPUTS!$B$28,INPUTS!$B$29))))</f>
        <v>1669044.12727333</v>
      </c>
      <c r="J9" s="89" t="n">
        <f aca="true">IF(J$5=0,I9,MAX(0,(I9-J$4)*(1+NORMINV(RAND(),INPUTS!$B$28,INPUTS!$B$29))))</f>
        <v>1510453.85144447</v>
      </c>
      <c r="K9" s="89" t="n">
        <f aca="true">IF(K$5=0,J9,MAX(0,(J9-K$4)*(1+NORMINV(RAND(),INPUTS!$B$28,INPUTS!$B$29))))</f>
        <v>2000533.61919699</v>
      </c>
      <c r="L9" s="89" t="n">
        <f aca="true">IF(L$5=0,K9,MAX(0,(K9-L$4)*(1+NORMINV(RAND(),INPUTS!$B$28,INPUTS!$B$29))))</f>
        <v>1814386.68730394</v>
      </c>
      <c r="M9" s="89" t="n">
        <f aca="true">IF(M$5=0,L9,MAX(0,(L9-M$4)*(1+NORMINV(RAND(),INPUTS!$B$28,INPUTS!$B$29))))</f>
        <v>1909542.15063137</v>
      </c>
      <c r="N9" s="89" t="n">
        <f aca="true">IF(N$5=0,M9,MAX(0,(M9-N$4)*(1+NORMINV(RAND(),INPUTS!$B$28,INPUTS!$B$29))))</f>
        <v>2035644.8964272</v>
      </c>
      <c r="O9" s="89" t="n">
        <f aca="true">IF(O$5=0,N9,MAX(0,(N9-O$4)*(1+NORMINV(RAND(),INPUTS!$B$28,INPUTS!$B$29))))</f>
        <v>1686491.54516646</v>
      </c>
      <c r="P9" s="89" t="n">
        <f aca="true">IF(P$5=0,O9,MAX(0,(O9-P$4)*(1+NORMINV(RAND(),INPUTS!$B$28,INPUTS!$B$29))))</f>
        <v>1644069.42733372</v>
      </c>
      <c r="Q9" s="89" t="n">
        <f aca="true">IF(Q$5=0,P9,MAX(0,(P9-Q$4)*(1+NORMINV(RAND(),INPUTS!$B$28,INPUTS!$B$29))))</f>
        <v>1761921.42074676</v>
      </c>
      <c r="R9" s="89" t="n">
        <f aca="true">IF(R$5=0,Q9,MAX(0,(Q9-R$4)*(1+NORMINV(RAND(),INPUTS!$B$28,INPUTS!$B$29))))</f>
        <v>2188818.28655025</v>
      </c>
      <c r="S9" s="89" t="n">
        <f aca="true">IF(S$5=0,R9,MAX(0,(R9-S$4)*(1+NORMINV(RAND(),INPUTS!$B$28,INPUTS!$B$29))))</f>
        <v>2563561.6401683</v>
      </c>
      <c r="T9" s="89" t="n">
        <f aca="true">IF(T$5=0,S9,MAX(0,(S9-T$4)*(1+NORMINV(RAND(),INPUTS!$B$28,INPUTS!$B$29))))</f>
        <v>2522945.79389045</v>
      </c>
      <c r="U9" s="89" t="n">
        <f aca="true">IF(U$5=0,T9,MAX(0,(T9-U$4)*(1+NORMINV(RAND(),INPUTS!$B$28,INPUTS!$B$29))))</f>
        <v>2665998.45367637</v>
      </c>
      <c r="V9" s="89" t="n">
        <f aca="true">IF(V$5=0,U9,MAX(0,(U9-V$4)*(1+NORMINV(RAND(),INPUTS!$B$28,INPUTS!$B$29))))</f>
        <v>2408900.2776218</v>
      </c>
      <c r="W9" s="89" t="n">
        <f aca="true">IF(W$5=0,V9,MAX(0,(V9-W$4)*(1+NORMINV(RAND(),INPUTS!$B$28,INPUTS!$B$29))))</f>
        <v>2747425.23317662</v>
      </c>
      <c r="X9" s="89" t="n">
        <f aca="true">IF(X$5=0,W9,MAX(0,(W9-X$4)*(1+NORMINV(RAND(),INPUTS!$B$28,INPUTS!$B$29))))</f>
        <v>2689517.48224375</v>
      </c>
      <c r="Y9" s="89" t="n">
        <f aca="true">IF(Y$5=0,X9,MAX(0,(X9-Y$4)*(1+NORMINV(RAND(),INPUTS!$B$28,INPUTS!$B$29))))</f>
        <v>2544402.13909081</v>
      </c>
      <c r="Z9" s="89" t="n">
        <f aca="true">IF(Z$5=0,Y9,MAX(0,(Y9-Z$4)*(1+NORMINV(RAND(),INPUTS!$B$28,INPUTS!$B$29))))</f>
        <v>2489717.33468979</v>
      </c>
      <c r="AA9" s="89" t="n">
        <f aca="true">IF(AA$5=0,Z9,MAX(0,(Z9-AA$4)*(1+NORMINV(RAND(),INPUTS!$B$28,INPUTS!$B$29))))</f>
        <v>2465481.5501001</v>
      </c>
      <c r="AB9" s="89" t="n">
        <f aca="true">IF(AB$5=0,AA9,MAX(0,(AA9-AB$4)*(1+NORMINV(RAND(),INPUTS!$B$28,INPUTS!$B$29))))</f>
        <v>2515806.95615749</v>
      </c>
      <c r="AC9" s="89" t="n">
        <f aca="true">IF(AC$5=0,AB9,MAX(0,(AB9-AC$4)*(1+NORMINV(RAND(),INPUTS!$B$28,INPUTS!$B$29))))</f>
        <v>2539702.36678122</v>
      </c>
      <c r="AD9" s="89" t="n">
        <f aca="true">IF(AD$5=0,AC9,MAX(0,(AC9-AD$4)*(1+NORMINV(RAND(),INPUTS!$B$28,INPUTS!$B$29))))</f>
        <v>2020645.53571313</v>
      </c>
      <c r="AE9" s="89" t="n">
        <f aca="true">IF(AE$5=0,AD9,MAX(0,(AD9-AE$4)*(1+NORMINV(RAND(),INPUTS!$B$28,INPUTS!$B$29))))</f>
        <v>2129992.81882373</v>
      </c>
      <c r="AF9" s="89" t="n">
        <f aca="true">IF(AF$5=0,AE9,MAX(0,(AE9-AF$4)*(1+NORMINV(RAND(),INPUTS!$B$28,INPUTS!$B$29))))</f>
        <v>1991284.9459498</v>
      </c>
      <c r="AG9" s="89" t="n">
        <f aca="true">IF(AG$5=0,AF9,MAX(0,(AF9-AG$4)*(1+NORMINV(RAND(),INPUTS!$B$28,INPUTS!$B$29))))</f>
        <v>2033296.5749227</v>
      </c>
      <c r="AH9" s="89" t="n">
        <f aca="true">IF(AH$5=0,AG9,MAX(0,(AG9-AH$4)*(1+NORMINV(RAND(),INPUTS!$B$28,INPUTS!$B$29))))</f>
        <v>1884186.01073302</v>
      </c>
      <c r="AI9" s="89" t="n">
        <f aca="true">IF(AI$5=0,AH9,MAX(0,(AH9-AI$4)*(1+NORMINV(RAND(),INPUTS!$B$28,INPUTS!$B$29))))</f>
        <v>2262684.29859718</v>
      </c>
      <c r="AJ9" s="89" t="n">
        <f aca="true">IF(AJ$5=0,AI9,MAX(0,(AI9-AJ$4)*(1+NORMINV(RAND(),INPUTS!$B$28,INPUTS!$B$29))))</f>
        <v>2402717.59021762</v>
      </c>
      <c r="AK9" s="89" t="n">
        <f aca="true">IF(AK$5=0,AJ9,MAX(0,(AJ9-AK$4)*(1+NORMINV(RAND(),INPUTS!$B$28,INPUTS!$B$29))))</f>
        <v>2876907.23720913</v>
      </c>
      <c r="AL9" s="89" t="n">
        <f aca="true">IF(AL$5=0,AK9,MAX(0,(AK9-AL$4)*(1+NORMINV(RAND(),INPUTS!$B$28,INPUTS!$B$29))))</f>
        <v>3205204.46932262</v>
      </c>
      <c r="AM9" s="89" t="n">
        <f aca="true">IF(AM$5=0,AL9,MAX(0,(AL9-AM$4)*(1+NORMINV(RAND(),INPUTS!$B$28,INPUTS!$B$29))))</f>
        <v>3205204.46932262</v>
      </c>
      <c r="AN9" s="89" t="n">
        <f aca="true">IF(AN$5=0,AM9,MAX(0,(AM9-AN$4)*(1+NORMINV(RAND(),INPUTS!$B$28,INPUTS!$B$29))))</f>
        <v>3205204.46932262</v>
      </c>
      <c r="AO9" s="89" t="n">
        <f aca="true">IF(AO$5=0,AN9,MAX(0,(AN9-AO$4)*(1+NORMINV(RAND(),INPUTS!$B$28,INPUTS!$B$29))))</f>
        <v>3205204.46932262</v>
      </c>
      <c r="AP9" s="89" t="n">
        <f aca="true">IF(AP$5=0,AO9,MAX(0,(AO9-AP$4)*(1+NORMINV(RAND(),INPUTS!$B$28,INPUTS!$B$29))))</f>
        <v>3205204.46932262</v>
      </c>
      <c r="AQ9" s="89" t="n">
        <f aca="true">IF(AQ$5=0,AP9,MAX(0,(AP9-AQ$4)*(1+NORMINV(RAND(),INPUTS!$B$28,INPUTS!$B$29))))</f>
        <v>3205204.46932262</v>
      </c>
      <c r="AR9" s="89" t="n">
        <f aca="true">IF(AR$5=0,AQ9,MAX(0,(AQ9-AR$4)*(1+NORMINV(RAND(),INPUTS!$B$28,INPUTS!$B$29))))</f>
        <v>3205204.46932262</v>
      </c>
      <c r="AS9" s="89" t="n">
        <f aca="true">IF(AS$5=0,AR9,MAX(0,(AR9-AS$4)*(1+NORMINV(RAND(),INPUTS!$B$28,INPUTS!$B$29))))</f>
        <v>3205204.46932262</v>
      </c>
      <c r="AT9" s="89" t="n">
        <f aca="true">IF(AT$5=0,AS9,MAX(0,(AS9-AT$4)*(1+NORMINV(RAND(),INPUTS!$B$28,INPUTS!$B$29))))</f>
        <v>3205204.46932262</v>
      </c>
      <c r="AU9" s="89" t="n">
        <f aca="true">IF(AU$5=0,AT9,MAX(0,(AT9-AU$4)*(1+NORMINV(RAND(),INPUTS!$B$28,INPUTS!$B$29))))</f>
        <v>3205204.46932262</v>
      </c>
      <c r="AV9" s="89" t="n">
        <f aca="true">IF(AV$5=0,AU9,MAX(0,(AU9-AV$4)*(1+NORMINV(RAND(),INPUTS!$B$28,INPUTS!$B$29))))</f>
        <v>3205204.46932262</v>
      </c>
      <c r="AW9" s="89" t="n">
        <f aca="true">IF(AW$5=0,AV9,MAX(0,(AV9-AW$4)*(1+NORMINV(RAND(),INPUTS!$B$28,INPUTS!$B$29))))</f>
        <v>3205204.46932262</v>
      </c>
      <c r="AX9" s="89" t="n">
        <f aca="true">IF(AX$5=0,AW9,MAX(0,(AW9-AX$4)*(1+NORMINV(RAND(),INPUTS!$B$28,INPUTS!$B$29))))</f>
        <v>3205204.46932262</v>
      </c>
      <c r="AY9" s="89" t="n">
        <f aca="true">IF(AY$5=0,AX9,MAX(0,(AX9-AY$4)*(1+NORMINV(RAND(),INPUTS!$B$28,INPUTS!$B$29))))</f>
        <v>3205204.46932262</v>
      </c>
      <c r="AZ9" s="89" t="n">
        <f aca="true">IF(AZ$5=0,AY9,MAX(0,(AY9-AZ$4)*(1+NORMINV(RAND(),INPUTS!$B$28,INPUTS!$B$29))))</f>
        <v>3205204.46932262</v>
      </c>
      <c r="BA9" s="89" t="n">
        <f aca="true">IF(BA$5=0,AZ9,MAX(0,(AZ9-BA$4)*(1+NORMINV(RAND(),INPUTS!$B$28,INPUTS!$B$29))))</f>
        <v>3205204.46932262</v>
      </c>
      <c r="BB9" s="89" t="n">
        <f aca="true">IF(BB$5=0,BA9,MAX(0,(BA9-BB$4)*(1+NORMINV(RAND(),INPUTS!$B$28,INPUTS!$B$29))))</f>
        <v>3205204.46932262</v>
      </c>
      <c r="BC9" s="89" t="n">
        <f aca="true">IF(BC$5=0,BB9,MAX(0,(BB9-BC$4)*(1+NORMINV(RAND(),INPUTS!$B$28,INPUTS!$B$29))))</f>
        <v>3205204.46932262</v>
      </c>
      <c r="BD9" s="89" t="n">
        <f aca="true">IF(BD$5=0,BC9,MAX(0,(BC9-BD$4)*(1+NORMINV(RAND(),INPUTS!$B$28,INPUTS!$B$29))))</f>
        <v>3205204.46932262</v>
      </c>
      <c r="BE9" s="89" t="n">
        <f aca="true">IF(BE$5=0,BD9,MAX(0,(BD9-BE$4)*(1+NORMINV(RAND(),INPUTS!$B$28,INPUTS!$B$29))))</f>
        <v>3205204.46932262</v>
      </c>
      <c r="BF9" s="89" t="n">
        <f aca="true">IF(BF$5=0,BE9,MAX(0,(BE9-BF$4)*(1+NORMINV(RAND(),INPUTS!$B$28,INPUTS!$B$29))))</f>
        <v>3205204.46932262</v>
      </c>
      <c r="BG9" s="89" t="n">
        <f aca="true">IF(BG$5=0,BF9,MAX(0,(BF9-BG$4)*(1+NORMINV(RAND(),INPUTS!$B$28,INPUTS!$B$29))))</f>
        <v>3205204.46932262</v>
      </c>
      <c r="BH9" s="89" t="n">
        <f aca="true">IF(BH$5=0,BG9,MAX(0,(BG9-BH$4)*(1+NORMINV(RAND(),INPUTS!$B$28,INPUTS!$B$29))))</f>
        <v>3205204.46932262</v>
      </c>
      <c r="BI9" s="89" t="n">
        <f aca="true">IF(BI$5=0,BH9,MAX(0,(BH9-BI$4)*(1+NORMINV(RAND(),INPUTS!$B$28,INPUTS!$B$29))))</f>
        <v>3205204.46932262</v>
      </c>
      <c r="BJ9" s="89" t="n">
        <f aca="true">IF(BJ$5=0,BI9,MAX(0,(BI9-BJ$4)*(1+NORMINV(RAND(),INPUTS!$B$28,INPUTS!$B$29))))</f>
        <v>3205204.46932262</v>
      </c>
    </row>
    <row r="10" customFormat="false" ht="15" hidden="false" customHeight="true" outlineLevel="0" collapsed="false">
      <c r="A10" s="87" t="n">
        <v>3</v>
      </c>
      <c r="B10" s="88" t="n">
        <f aca="false">LOOKUP(9.99E+307,C10:BJ10)</f>
        <v>6980204.24588698</v>
      </c>
      <c r="C10" s="89" t="n">
        <f aca="true">IF(C$5=0,INPUTS!$B$35,MAX(0,(INPUTS!$B$35-C$4)*(1+NORMINV(RAND(),INPUTS!$B$28,INPUTS!$B$29))))</f>
        <v>1438089.28485322</v>
      </c>
      <c r="D10" s="89" t="n">
        <f aca="true">IF(D$5=0,C10,MAX(0,(C10-D$4)*(1+NORMINV(RAND(),INPUTS!$B$28,INPUTS!$B$29))))</f>
        <v>1440191.88335094</v>
      </c>
      <c r="E10" s="89" t="n">
        <f aca="true">IF(E$5=0,D10,MAX(0,(D10-E$4)*(1+NORMINV(RAND(),INPUTS!$B$28,INPUTS!$B$29))))</f>
        <v>1326002.10782499</v>
      </c>
      <c r="F10" s="89" t="n">
        <f aca="true">IF(F$5=0,E10,MAX(0,(E10-F$4)*(1+NORMINV(RAND(),INPUTS!$B$28,INPUTS!$B$29))))</f>
        <v>1347622.84493001</v>
      </c>
      <c r="G10" s="89" t="n">
        <f aca="true">IF(G$5=0,F10,MAX(0,(F10-G$4)*(1+NORMINV(RAND(),INPUTS!$B$28,INPUTS!$B$29))))</f>
        <v>1419924.37927568</v>
      </c>
      <c r="H10" s="89" t="n">
        <f aca="true">IF(H$5=0,G10,MAX(0,(G10-H$4)*(1+NORMINV(RAND(),INPUTS!$B$28,INPUTS!$B$29))))</f>
        <v>1490670.77453071</v>
      </c>
      <c r="I10" s="89" t="n">
        <f aca="true">IF(I$5=0,H10,MAX(0,(H10-I$4)*(1+NORMINV(RAND(),INPUTS!$B$28,INPUTS!$B$29))))</f>
        <v>1640567.34807419</v>
      </c>
      <c r="J10" s="89" t="n">
        <f aca="true">IF(J$5=0,I10,MAX(0,(I10-J$4)*(1+NORMINV(RAND(),INPUTS!$B$28,INPUTS!$B$29))))</f>
        <v>1868502.92240018</v>
      </c>
      <c r="K10" s="89" t="n">
        <f aca="true">IF(K$5=0,J10,MAX(0,(J10-K$4)*(1+NORMINV(RAND(),INPUTS!$B$28,INPUTS!$B$29))))</f>
        <v>2062072.42883542</v>
      </c>
      <c r="L10" s="89" t="n">
        <f aca="true">IF(L$5=0,K10,MAX(0,(K10-L$4)*(1+NORMINV(RAND(),INPUTS!$B$28,INPUTS!$B$29))))</f>
        <v>2284021.84485928</v>
      </c>
      <c r="M10" s="89" t="n">
        <f aca="true">IF(M$5=0,L10,MAX(0,(L10-M$4)*(1+NORMINV(RAND(),INPUTS!$B$28,INPUTS!$B$29))))</f>
        <v>2566323.13757114</v>
      </c>
      <c r="N10" s="89" t="n">
        <f aca="true">IF(N$5=0,M10,MAX(0,(M10-N$4)*(1+NORMINV(RAND(),INPUTS!$B$28,INPUTS!$B$29))))</f>
        <v>2874008.61014125</v>
      </c>
      <c r="O10" s="89" t="n">
        <f aca="true">IF(O$5=0,N10,MAX(0,(N10-O$4)*(1+NORMINV(RAND(),INPUTS!$B$28,INPUTS!$B$29))))</f>
        <v>2397938.93707735</v>
      </c>
      <c r="P10" s="89" t="n">
        <f aca="true">IF(P$5=0,O10,MAX(0,(O10-P$4)*(1+NORMINV(RAND(),INPUTS!$B$28,INPUTS!$B$29))))</f>
        <v>2160113.72428096</v>
      </c>
      <c r="Q10" s="89" t="n">
        <f aca="true">IF(Q$5=0,P10,MAX(0,(P10-Q$4)*(1+NORMINV(RAND(),INPUTS!$B$28,INPUTS!$B$29))))</f>
        <v>2157724.5238442</v>
      </c>
      <c r="R10" s="89" t="n">
        <f aca="true">IF(R$5=0,Q10,MAX(0,(Q10-R$4)*(1+NORMINV(RAND(),INPUTS!$B$28,INPUTS!$B$29))))</f>
        <v>2065189.78530649</v>
      </c>
      <c r="S10" s="89" t="n">
        <f aca="true">IF(S$5=0,R10,MAX(0,(R10-S$4)*(1+NORMINV(RAND(),INPUTS!$B$28,INPUTS!$B$29))))</f>
        <v>1916475.04611369</v>
      </c>
      <c r="T10" s="89" t="n">
        <f aca="true">IF(T$5=0,S10,MAX(0,(S10-T$4)*(1+NORMINV(RAND(),INPUTS!$B$28,INPUTS!$B$29))))</f>
        <v>1909291.91359515</v>
      </c>
      <c r="U10" s="89" t="n">
        <f aca="true">IF(U$5=0,T10,MAX(0,(T10-U$4)*(1+NORMINV(RAND(),INPUTS!$B$28,INPUTS!$B$29))))</f>
        <v>1819766.99097298</v>
      </c>
      <c r="V10" s="89" t="n">
        <f aca="true">IF(V$5=0,U10,MAX(0,(U10-V$4)*(1+NORMINV(RAND(),INPUTS!$B$28,INPUTS!$B$29))))</f>
        <v>1948434.71093781</v>
      </c>
      <c r="W10" s="89" t="n">
        <f aca="true">IF(W$5=0,V10,MAX(0,(V10-W$4)*(1+NORMINV(RAND(),INPUTS!$B$28,INPUTS!$B$29))))</f>
        <v>2228327.40411581</v>
      </c>
      <c r="X10" s="89" t="n">
        <f aca="true">IF(X$5=0,W10,MAX(0,(W10-X$4)*(1+NORMINV(RAND(),INPUTS!$B$28,INPUTS!$B$29))))</f>
        <v>2485110.92947883</v>
      </c>
      <c r="Y10" s="89" t="n">
        <f aca="true">IF(Y$5=0,X10,MAX(0,(X10-Y$4)*(1+NORMINV(RAND(),INPUTS!$B$28,INPUTS!$B$29))))</f>
        <v>2279994.5765038</v>
      </c>
      <c r="Z10" s="89" t="n">
        <f aca="true">IF(Z$5=0,Y10,MAX(0,(Y10-Z$4)*(1+NORMINV(RAND(),INPUTS!$B$28,INPUTS!$B$29))))</f>
        <v>2425568.42202891</v>
      </c>
      <c r="AA10" s="89" t="n">
        <f aca="true">IF(AA$5=0,Z10,MAX(0,(Z10-AA$4)*(1+NORMINV(RAND(),INPUTS!$B$28,INPUTS!$B$29))))</f>
        <v>2845189.52874287</v>
      </c>
      <c r="AB10" s="89" t="n">
        <f aca="true">IF(AB$5=0,AA10,MAX(0,(AA10-AB$4)*(1+NORMINV(RAND(),INPUTS!$B$28,INPUTS!$B$29))))</f>
        <v>3045483.62549117</v>
      </c>
      <c r="AC10" s="89" t="n">
        <f aca="true">IF(AC$5=0,AB10,MAX(0,(AB10-AC$4)*(1+NORMINV(RAND(),INPUTS!$B$28,INPUTS!$B$29))))</f>
        <v>3495234.30626676</v>
      </c>
      <c r="AD10" s="89" t="n">
        <f aca="true">IF(AD$5=0,AC10,MAX(0,(AC10-AD$4)*(1+NORMINV(RAND(),INPUTS!$B$28,INPUTS!$B$29))))</f>
        <v>3427405.69304867</v>
      </c>
      <c r="AE10" s="89" t="n">
        <f aca="true">IF(AE$5=0,AD10,MAX(0,(AD10-AE$4)*(1+NORMINV(RAND(),INPUTS!$B$28,INPUTS!$B$29))))</f>
        <v>4146545.57764702</v>
      </c>
      <c r="AF10" s="89" t="n">
        <f aca="true">IF(AF$5=0,AE10,MAX(0,(AE10-AF$4)*(1+NORMINV(RAND(),INPUTS!$B$28,INPUTS!$B$29))))</f>
        <v>4802618.72594388</v>
      </c>
      <c r="AG10" s="89" t="n">
        <f aca="true">IF(AG$5=0,AF10,MAX(0,(AF10-AG$4)*(1+NORMINV(RAND(),INPUTS!$B$28,INPUTS!$B$29))))</f>
        <v>4782632.54496999</v>
      </c>
      <c r="AH10" s="89" t="n">
        <f aca="true">IF(AH$5=0,AG10,MAX(0,(AG10-AH$4)*(1+NORMINV(RAND(),INPUTS!$B$28,INPUTS!$B$29))))</f>
        <v>4440160.97646513</v>
      </c>
      <c r="AI10" s="89" t="n">
        <f aca="true">IF(AI$5=0,AH10,MAX(0,(AH10-AI$4)*(1+NORMINV(RAND(),INPUTS!$B$28,INPUTS!$B$29))))</f>
        <v>4745847.28946504</v>
      </c>
      <c r="AJ10" s="89" t="n">
        <f aca="true">IF(AJ$5=0,AI10,MAX(0,(AI10-AJ$4)*(1+NORMINV(RAND(),INPUTS!$B$28,INPUTS!$B$29))))</f>
        <v>5848917.71029776</v>
      </c>
      <c r="AK10" s="89" t="n">
        <f aca="true">IF(AK$5=0,AJ10,MAX(0,(AJ10-AK$4)*(1+NORMINV(RAND(),INPUTS!$B$28,INPUTS!$B$29))))</f>
        <v>6470227.54532817</v>
      </c>
      <c r="AL10" s="89" t="n">
        <f aca="true">IF(AL$5=0,AK10,MAX(0,(AK10-AL$4)*(1+NORMINV(RAND(),INPUTS!$B$28,INPUTS!$B$29))))</f>
        <v>6980204.24588698</v>
      </c>
      <c r="AM10" s="89" t="n">
        <f aca="true">IF(AM$5=0,AL10,MAX(0,(AL10-AM$4)*(1+NORMINV(RAND(),INPUTS!$B$28,INPUTS!$B$29))))</f>
        <v>6980204.24588698</v>
      </c>
      <c r="AN10" s="89" t="n">
        <f aca="true">IF(AN$5=0,AM10,MAX(0,(AM10-AN$4)*(1+NORMINV(RAND(),INPUTS!$B$28,INPUTS!$B$29))))</f>
        <v>6980204.24588698</v>
      </c>
      <c r="AO10" s="89" t="n">
        <f aca="true">IF(AO$5=0,AN10,MAX(0,(AN10-AO$4)*(1+NORMINV(RAND(),INPUTS!$B$28,INPUTS!$B$29))))</f>
        <v>6980204.24588698</v>
      </c>
      <c r="AP10" s="89" t="n">
        <f aca="true">IF(AP$5=0,AO10,MAX(0,(AO10-AP$4)*(1+NORMINV(RAND(),INPUTS!$B$28,INPUTS!$B$29))))</f>
        <v>6980204.24588698</v>
      </c>
      <c r="AQ10" s="89" t="n">
        <f aca="true">IF(AQ$5=0,AP10,MAX(0,(AP10-AQ$4)*(1+NORMINV(RAND(),INPUTS!$B$28,INPUTS!$B$29))))</f>
        <v>6980204.24588698</v>
      </c>
      <c r="AR10" s="89" t="n">
        <f aca="true">IF(AR$5=0,AQ10,MAX(0,(AQ10-AR$4)*(1+NORMINV(RAND(),INPUTS!$B$28,INPUTS!$B$29))))</f>
        <v>6980204.24588698</v>
      </c>
      <c r="AS10" s="89" t="n">
        <f aca="true">IF(AS$5=0,AR10,MAX(0,(AR10-AS$4)*(1+NORMINV(RAND(),INPUTS!$B$28,INPUTS!$B$29))))</f>
        <v>6980204.24588698</v>
      </c>
      <c r="AT10" s="89" t="n">
        <f aca="true">IF(AT$5=0,AS10,MAX(0,(AS10-AT$4)*(1+NORMINV(RAND(),INPUTS!$B$28,INPUTS!$B$29))))</f>
        <v>6980204.24588698</v>
      </c>
      <c r="AU10" s="89" t="n">
        <f aca="true">IF(AU$5=0,AT10,MAX(0,(AT10-AU$4)*(1+NORMINV(RAND(),INPUTS!$B$28,INPUTS!$B$29))))</f>
        <v>6980204.24588698</v>
      </c>
      <c r="AV10" s="89" t="n">
        <f aca="true">IF(AV$5=0,AU10,MAX(0,(AU10-AV$4)*(1+NORMINV(RAND(),INPUTS!$B$28,INPUTS!$B$29))))</f>
        <v>6980204.24588698</v>
      </c>
      <c r="AW10" s="89" t="n">
        <f aca="true">IF(AW$5=0,AV10,MAX(0,(AV10-AW$4)*(1+NORMINV(RAND(),INPUTS!$B$28,INPUTS!$B$29))))</f>
        <v>6980204.24588698</v>
      </c>
      <c r="AX10" s="89" t="n">
        <f aca="true">IF(AX$5=0,AW10,MAX(0,(AW10-AX$4)*(1+NORMINV(RAND(),INPUTS!$B$28,INPUTS!$B$29))))</f>
        <v>6980204.24588698</v>
      </c>
      <c r="AY10" s="89" t="n">
        <f aca="true">IF(AY$5=0,AX10,MAX(0,(AX10-AY$4)*(1+NORMINV(RAND(),INPUTS!$B$28,INPUTS!$B$29))))</f>
        <v>6980204.24588698</v>
      </c>
      <c r="AZ10" s="89" t="n">
        <f aca="true">IF(AZ$5=0,AY10,MAX(0,(AY10-AZ$4)*(1+NORMINV(RAND(),INPUTS!$B$28,INPUTS!$B$29))))</f>
        <v>6980204.24588698</v>
      </c>
      <c r="BA10" s="89" t="n">
        <f aca="true">IF(BA$5=0,AZ10,MAX(0,(AZ10-BA$4)*(1+NORMINV(RAND(),INPUTS!$B$28,INPUTS!$B$29))))</f>
        <v>6980204.24588698</v>
      </c>
      <c r="BB10" s="89" t="n">
        <f aca="true">IF(BB$5=0,BA10,MAX(0,(BA10-BB$4)*(1+NORMINV(RAND(),INPUTS!$B$28,INPUTS!$B$29))))</f>
        <v>6980204.24588698</v>
      </c>
      <c r="BC10" s="89" t="n">
        <f aca="true">IF(BC$5=0,BB10,MAX(0,(BB10-BC$4)*(1+NORMINV(RAND(),INPUTS!$B$28,INPUTS!$B$29))))</f>
        <v>6980204.24588698</v>
      </c>
      <c r="BD10" s="89" t="n">
        <f aca="true">IF(BD$5=0,BC10,MAX(0,(BC10-BD$4)*(1+NORMINV(RAND(),INPUTS!$B$28,INPUTS!$B$29))))</f>
        <v>6980204.24588698</v>
      </c>
      <c r="BE10" s="89" t="n">
        <f aca="true">IF(BE$5=0,BD10,MAX(0,(BD10-BE$4)*(1+NORMINV(RAND(),INPUTS!$B$28,INPUTS!$B$29))))</f>
        <v>6980204.24588698</v>
      </c>
      <c r="BF10" s="89" t="n">
        <f aca="true">IF(BF$5=0,BE10,MAX(0,(BE10-BF$4)*(1+NORMINV(RAND(),INPUTS!$B$28,INPUTS!$B$29))))</f>
        <v>6980204.24588698</v>
      </c>
      <c r="BG10" s="89" t="n">
        <f aca="true">IF(BG$5=0,BF10,MAX(0,(BF10-BG$4)*(1+NORMINV(RAND(),INPUTS!$B$28,INPUTS!$B$29))))</f>
        <v>6980204.24588698</v>
      </c>
      <c r="BH10" s="89" t="n">
        <f aca="true">IF(BH$5=0,BG10,MAX(0,(BG10-BH$4)*(1+NORMINV(RAND(),INPUTS!$B$28,INPUTS!$B$29))))</f>
        <v>6980204.24588698</v>
      </c>
      <c r="BI10" s="89" t="n">
        <f aca="true">IF(BI$5=0,BH10,MAX(0,(BH10-BI$4)*(1+NORMINV(RAND(),INPUTS!$B$28,INPUTS!$B$29))))</f>
        <v>6980204.24588698</v>
      </c>
      <c r="BJ10" s="89" t="n">
        <f aca="true">IF(BJ$5=0,BI10,MAX(0,(BI10-BJ$4)*(1+NORMINV(RAND(),INPUTS!$B$28,INPUTS!$B$29))))</f>
        <v>6980204.24588698</v>
      </c>
    </row>
    <row r="11" customFormat="false" ht="15" hidden="false" customHeight="true" outlineLevel="0" collapsed="false">
      <c r="A11" s="87" t="n">
        <v>4</v>
      </c>
      <c r="B11" s="88" t="n">
        <f aca="false">LOOKUP(9.99E+307,C11:BJ11)</f>
        <v>3001969.58410739</v>
      </c>
      <c r="C11" s="89" t="n">
        <f aca="true">IF(C$5=0,INPUTS!$B$35,MAX(0,(INPUTS!$B$35-C$4)*(1+NORMINV(RAND(),INPUTS!$B$28,INPUTS!$B$29))))</f>
        <v>1644365.30456568</v>
      </c>
      <c r="D11" s="89" t="n">
        <f aca="true">IF(D$5=0,C11,MAX(0,(C11-D$4)*(1+NORMINV(RAND(),INPUTS!$B$28,INPUTS!$B$29))))</f>
        <v>1746726.11849608</v>
      </c>
      <c r="E11" s="89" t="n">
        <f aca="true">IF(E$5=0,D11,MAX(0,(D11-E$4)*(1+NORMINV(RAND(),INPUTS!$B$28,INPUTS!$B$29))))</f>
        <v>1504292.40897823</v>
      </c>
      <c r="F11" s="89" t="n">
        <f aca="true">IF(F$5=0,E11,MAX(0,(E11-F$4)*(1+NORMINV(RAND(),INPUTS!$B$28,INPUTS!$B$29))))</f>
        <v>1409698.36440503</v>
      </c>
      <c r="G11" s="89" t="n">
        <f aca="true">IF(G$5=0,F11,MAX(0,(F11-G$4)*(1+NORMINV(RAND(),INPUTS!$B$28,INPUTS!$B$29))))</f>
        <v>1607754.3926238</v>
      </c>
      <c r="H11" s="89" t="n">
        <f aca="true">IF(H$5=0,G11,MAX(0,(G11-H$4)*(1+NORMINV(RAND(),INPUTS!$B$28,INPUTS!$B$29))))</f>
        <v>1537320.583421</v>
      </c>
      <c r="I11" s="89" t="n">
        <f aca="true">IF(I$5=0,H11,MAX(0,(H11-I$4)*(1+NORMINV(RAND(),INPUTS!$B$28,INPUTS!$B$29))))</f>
        <v>1386971.62159026</v>
      </c>
      <c r="J11" s="89" t="n">
        <f aca="true">IF(J$5=0,I11,MAX(0,(I11-J$4)*(1+NORMINV(RAND(),INPUTS!$B$28,INPUTS!$B$29))))</f>
        <v>1438958.73848517</v>
      </c>
      <c r="K11" s="89" t="n">
        <f aca="true">IF(K$5=0,J11,MAX(0,(J11-K$4)*(1+NORMINV(RAND(),INPUTS!$B$28,INPUTS!$B$29))))</f>
        <v>1256193.18796736</v>
      </c>
      <c r="L11" s="89" t="n">
        <f aca="true">IF(L$5=0,K11,MAX(0,(K11-L$4)*(1+NORMINV(RAND(),INPUTS!$B$28,INPUTS!$B$29))))</f>
        <v>1349971.58578148</v>
      </c>
      <c r="M11" s="89" t="n">
        <f aca="true">IF(M$5=0,L11,MAX(0,(L11-M$4)*(1+NORMINV(RAND(),INPUTS!$B$28,INPUTS!$B$29))))</f>
        <v>1497144.29444131</v>
      </c>
      <c r="N11" s="89" t="n">
        <f aca="true">IF(N$5=0,M11,MAX(0,(M11-N$4)*(1+NORMINV(RAND(),INPUTS!$B$28,INPUTS!$B$29))))</f>
        <v>1555115.57561929</v>
      </c>
      <c r="O11" s="89" t="n">
        <f aca="true">IF(O$5=0,N11,MAX(0,(N11-O$4)*(1+NORMINV(RAND(),INPUTS!$B$28,INPUTS!$B$29))))</f>
        <v>1334192.18980727</v>
      </c>
      <c r="P11" s="89" t="n">
        <f aca="true">IF(P$5=0,O11,MAX(0,(O11-P$4)*(1+NORMINV(RAND(),INPUTS!$B$28,INPUTS!$B$29))))</f>
        <v>1192810.05124092</v>
      </c>
      <c r="Q11" s="89" t="n">
        <f aca="true">IF(Q$5=0,P11,MAX(0,(P11-Q$4)*(1+NORMINV(RAND(),INPUTS!$B$28,INPUTS!$B$29))))</f>
        <v>1029749.41843611</v>
      </c>
      <c r="R11" s="89" t="n">
        <f aca="true">IF(R$5=0,Q11,MAX(0,(Q11-R$4)*(1+NORMINV(RAND(),INPUTS!$B$28,INPUTS!$B$29))))</f>
        <v>1243988.76352743</v>
      </c>
      <c r="S11" s="89" t="n">
        <f aca="true">IF(S$5=0,R11,MAX(0,(R11-S$4)*(1+NORMINV(RAND(),INPUTS!$B$28,INPUTS!$B$29))))</f>
        <v>1347799.94812058</v>
      </c>
      <c r="T11" s="89" t="n">
        <f aca="true">IF(T$5=0,S11,MAX(0,(S11-T$4)*(1+NORMINV(RAND(),INPUTS!$B$28,INPUTS!$B$29))))</f>
        <v>1292174.64878116</v>
      </c>
      <c r="U11" s="89" t="n">
        <f aca="true">IF(U$5=0,T11,MAX(0,(T11-U$4)*(1+NORMINV(RAND(),INPUTS!$B$28,INPUTS!$B$29))))</f>
        <v>1219878.25857051</v>
      </c>
      <c r="V11" s="89" t="n">
        <f aca="true">IF(V$5=0,U11,MAX(0,(U11-V$4)*(1+NORMINV(RAND(),INPUTS!$B$28,INPUTS!$B$29))))</f>
        <v>1139235.33716159</v>
      </c>
      <c r="W11" s="89" t="n">
        <f aca="true">IF(W$5=0,V11,MAX(0,(V11-W$4)*(1+NORMINV(RAND(),INPUTS!$B$28,INPUTS!$B$29))))</f>
        <v>1152224.89265273</v>
      </c>
      <c r="X11" s="89" t="n">
        <f aca="true">IF(X$5=0,W11,MAX(0,(W11-X$4)*(1+NORMINV(RAND(),INPUTS!$B$28,INPUTS!$B$29))))</f>
        <v>1041829.96314331</v>
      </c>
      <c r="Y11" s="89" t="n">
        <f aca="true">IF(Y$5=0,X11,MAX(0,(X11-Y$4)*(1+NORMINV(RAND(),INPUTS!$B$28,INPUTS!$B$29))))</f>
        <v>1036451.46462859</v>
      </c>
      <c r="Z11" s="89" t="n">
        <f aca="true">IF(Z$5=0,Y11,MAX(0,(Y11-Z$4)*(1+NORMINV(RAND(),INPUTS!$B$28,INPUTS!$B$29))))</f>
        <v>1099635.13314312</v>
      </c>
      <c r="AA11" s="89" t="n">
        <f aca="true">IF(AA$5=0,Z11,MAX(0,(Z11-AA$4)*(1+NORMINV(RAND(),INPUTS!$B$28,INPUTS!$B$29))))</f>
        <v>1275021.9153849</v>
      </c>
      <c r="AB11" s="89" t="n">
        <f aca="true">IF(AB$5=0,AA11,MAX(0,(AA11-AB$4)*(1+NORMINV(RAND(),INPUTS!$B$28,INPUTS!$B$29))))</f>
        <v>1515305.22210349</v>
      </c>
      <c r="AC11" s="89" t="n">
        <f aca="true">IF(AC$5=0,AB11,MAX(0,(AB11-AC$4)*(1+NORMINV(RAND(),INPUTS!$B$28,INPUTS!$B$29))))</f>
        <v>1429428.43386474</v>
      </c>
      <c r="AD11" s="89" t="n">
        <f aca="true">IF(AD$5=0,AC11,MAX(0,(AC11-AD$4)*(1+NORMINV(RAND(),INPUTS!$B$28,INPUTS!$B$29))))</f>
        <v>1550214.15443889</v>
      </c>
      <c r="AE11" s="89" t="n">
        <f aca="true">IF(AE$5=0,AD11,MAX(0,(AD11-AE$4)*(1+NORMINV(RAND(),INPUTS!$B$28,INPUTS!$B$29))))</f>
        <v>1601916.73783881</v>
      </c>
      <c r="AF11" s="89" t="n">
        <f aca="true">IF(AF$5=0,AE11,MAX(0,(AE11-AF$4)*(1+NORMINV(RAND(),INPUTS!$B$28,INPUTS!$B$29))))</f>
        <v>1667524.12507412</v>
      </c>
      <c r="AG11" s="89" t="n">
        <f aca="true">IF(AG$5=0,AF11,MAX(0,(AF11-AG$4)*(1+NORMINV(RAND(),INPUTS!$B$28,INPUTS!$B$29))))</f>
        <v>1646994.73182706</v>
      </c>
      <c r="AH11" s="89" t="n">
        <f aca="true">IF(AH$5=0,AG11,MAX(0,(AG11-AH$4)*(1+NORMINV(RAND(),INPUTS!$B$28,INPUTS!$B$29))))</f>
        <v>1894623.26744773</v>
      </c>
      <c r="AI11" s="89" t="n">
        <f aca="true">IF(AI$5=0,AH11,MAX(0,(AH11-AI$4)*(1+NORMINV(RAND(),INPUTS!$B$28,INPUTS!$B$29))))</f>
        <v>2270032.63829855</v>
      </c>
      <c r="AJ11" s="89" t="n">
        <f aca="true">IF(AJ$5=0,AI11,MAX(0,(AI11-AJ$4)*(1+NORMINV(RAND(),INPUTS!$B$28,INPUTS!$B$29))))</f>
        <v>2351590.57942792</v>
      </c>
      <c r="AK11" s="89" t="n">
        <f aca="true">IF(AK$5=0,AJ11,MAX(0,(AJ11-AK$4)*(1+NORMINV(RAND(),INPUTS!$B$28,INPUTS!$B$29))))</f>
        <v>2725696.06223018</v>
      </c>
      <c r="AL11" s="89" t="n">
        <f aca="true">IF(AL$5=0,AK11,MAX(0,(AK11-AL$4)*(1+NORMINV(RAND(),INPUTS!$B$28,INPUTS!$B$29))))</f>
        <v>3001969.58410739</v>
      </c>
      <c r="AM11" s="89" t="n">
        <f aca="true">IF(AM$5=0,AL11,MAX(0,(AL11-AM$4)*(1+NORMINV(RAND(),INPUTS!$B$28,INPUTS!$B$29))))</f>
        <v>3001969.58410739</v>
      </c>
      <c r="AN11" s="89" t="n">
        <f aca="true">IF(AN$5=0,AM11,MAX(0,(AM11-AN$4)*(1+NORMINV(RAND(),INPUTS!$B$28,INPUTS!$B$29))))</f>
        <v>3001969.58410739</v>
      </c>
      <c r="AO11" s="89" t="n">
        <f aca="true">IF(AO$5=0,AN11,MAX(0,(AN11-AO$4)*(1+NORMINV(RAND(),INPUTS!$B$28,INPUTS!$B$29))))</f>
        <v>3001969.58410739</v>
      </c>
      <c r="AP11" s="89" t="n">
        <f aca="true">IF(AP$5=0,AO11,MAX(0,(AO11-AP$4)*(1+NORMINV(RAND(),INPUTS!$B$28,INPUTS!$B$29))))</f>
        <v>3001969.58410739</v>
      </c>
      <c r="AQ11" s="89" t="n">
        <f aca="true">IF(AQ$5=0,AP11,MAX(0,(AP11-AQ$4)*(1+NORMINV(RAND(),INPUTS!$B$28,INPUTS!$B$29))))</f>
        <v>3001969.58410739</v>
      </c>
      <c r="AR11" s="89" t="n">
        <f aca="true">IF(AR$5=0,AQ11,MAX(0,(AQ11-AR$4)*(1+NORMINV(RAND(),INPUTS!$B$28,INPUTS!$B$29))))</f>
        <v>3001969.58410739</v>
      </c>
      <c r="AS11" s="89" t="n">
        <f aca="true">IF(AS$5=0,AR11,MAX(0,(AR11-AS$4)*(1+NORMINV(RAND(),INPUTS!$B$28,INPUTS!$B$29))))</f>
        <v>3001969.58410739</v>
      </c>
      <c r="AT11" s="89" t="n">
        <f aca="true">IF(AT$5=0,AS11,MAX(0,(AS11-AT$4)*(1+NORMINV(RAND(),INPUTS!$B$28,INPUTS!$B$29))))</f>
        <v>3001969.58410739</v>
      </c>
      <c r="AU11" s="89" t="n">
        <f aca="true">IF(AU$5=0,AT11,MAX(0,(AT11-AU$4)*(1+NORMINV(RAND(),INPUTS!$B$28,INPUTS!$B$29))))</f>
        <v>3001969.58410739</v>
      </c>
      <c r="AV11" s="89" t="n">
        <f aca="true">IF(AV$5=0,AU11,MAX(0,(AU11-AV$4)*(1+NORMINV(RAND(),INPUTS!$B$28,INPUTS!$B$29))))</f>
        <v>3001969.58410739</v>
      </c>
      <c r="AW11" s="89" t="n">
        <f aca="true">IF(AW$5=0,AV11,MAX(0,(AV11-AW$4)*(1+NORMINV(RAND(),INPUTS!$B$28,INPUTS!$B$29))))</f>
        <v>3001969.58410739</v>
      </c>
      <c r="AX11" s="89" t="n">
        <f aca="true">IF(AX$5=0,AW11,MAX(0,(AW11-AX$4)*(1+NORMINV(RAND(),INPUTS!$B$28,INPUTS!$B$29))))</f>
        <v>3001969.58410739</v>
      </c>
      <c r="AY11" s="89" t="n">
        <f aca="true">IF(AY$5=0,AX11,MAX(0,(AX11-AY$4)*(1+NORMINV(RAND(),INPUTS!$B$28,INPUTS!$B$29))))</f>
        <v>3001969.58410739</v>
      </c>
      <c r="AZ11" s="89" t="n">
        <f aca="true">IF(AZ$5=0,AY11,MAX(0,(AY11-AZ$4)*(1+NORMINV(RAND(),INPUTS!$B$28,INPUTS!$B$29))))</f>
        <v>3001969.58410739</v>
      </c>
      <c r="BA11" s="89" t="n">
        <f aca="true">IF(BA$5=0,AZ11,MAX(0,(AZ11-BA$4)*(1+NORMINV(RAND(),INPUTS!$B$28,INPUTS!$B$29))))</f>
        <v>3001969.58410739</v>
      </c>
      <c r="BB11" s="89" t="n">
        <f aca="true">IF(BB$5=0,BA11,MAX(0,(BA11-BB$4)*(1+NORMINV(RAND(),INPUTS!$B$28,INPUTS!$B$29))))</f>
        <v>3001969.58410739</v>
      </c>
      <c r="BC11" s="89" t="n">
        <f aca="true">IF(BC$5=0,BB11,MAX(0,(BB11-BC$4)*(1+NORMINV(RAND(),INPUTS!$B$28,INPUTS!$B$29))))</f>
        <v>3001969.58410739</v>
      </c>
      <c r="BD11" s="89" t="n">
        <f aca="true">IF(BD$5=0,BC11,MAX(0,(BC11-BD$4)*(1+NORMINV(RAND(),INPUTS!$B$28,INPUTS!$B$29))))</f>
        <v>3001969.58410739</v>
      </c>
      <c r="BE11" s="89" t="n">
        <f aca="true">IF(BE$5=0,BD11,MAX(0,(BD11-BE$4)*(1+NORMINV(RAND(),INPUTS!$B$28,INPUTS!$B$29))))</f>
        <v>3001969.58410739</v>
      </c>
      <c r="BF11" s="89" t="n">
        <f aca="true">IF(BF$5=0,BE11,MAX(0,(BE11-BF$4)*(1+NORMINV(RAND(),INPUTS!$B$28,INPUTS!$B$29))))</f>
        <v>3001969.58410739</v>
      </c>
      <c r="BG11" s="89" t="n">
        <f aca="true">IF(BG$5=0,BF11,MAX(0,(BF11-BG$4)*(1+NORMINV(RAND(),INPUTS!$B$28,INPUTS!$B$29))))</f>
        <v>3001969.58410739</v>
      </c>
      <c r="BH11" s="89" t="n">
        <f aca="true">IF(BH$5=0,BG11,MAX(0,(BG11-BH$4)*(1+NORMINV(RAND(),INPUTS!$B$28,INPUTS!$B$29))))</f>
        <v>3001969.58410739</v>
      </c>
      <c r="BI11" s="89" t="n">
        <f aca="true">IF(BI$5=0,BH11,MAX(0,(BH11-BI$4)*(1+NORMINV(RAND(),INPUTS!$B$28,INPUTS!$B$29))))</f>
        <v>3001969.58410739</v>
      </c>
      <c r="BJ11" s="89" t="n">
        <f aca="true">IF(BJ$5=0,BI11,MAX(0,(BI11-BJ$4)*(1+NORMINV(RAND(),INPUTS!$B$28,INPUTS!$B$29))))</f>
        <v>3001969.58410739</v>
      </c>
    </row>
    <row r="12" customFormat="false" ht="15" hidden="false" customHeight="true" outlineLevel="0" collapsed="false">
      <c r="A12" s="87" t="n">
        <v>5</v>
      </c>
      <c r="B12" s="88" t="n">
        <f aca="false">LOOKUP(9.99E+307,C12:BJ12)</f>
        <v>713100.218156586</v>
      </c>
      <c r="C12" s="89" t="n">
        <f aca="true">IF(C$5=0,INPUTS!$B$35,MAX(0,(INPUTS!$B$35-C$4)*(1+NORMINV(RAND(),INPUTS!$B$28,INPUTS!$B$29))))</f>
        <v>1675694.48620167</v>
      </c>
      <c r="D12" s="89" t="n">
        <f aca="true">IF(D$5=0,C12,MAX(0,(C12-D$4)*(1+NORMINV(RAND(),INPUTS!$B$28,INPUTS!$B$29))))</f>
        <v>1678916.54370294</v>
      </c>
      <c r="E12" s="89" t="n">
        <f aca="true">IF(E$5=0,D12,MAX(0,(D12-E$4)*(1+NORMINV(RAND(),INPUTS!$B$28,INPUTS!$B$29))))</f>
        <v>1803610.24550349</v>
      </c>
      <c r="F12" s="89" t="n">
        <f aca="true">IF(F$5=0,E12,MAX(0,(E12-F$4)*(1+NORMINV(RAND(),INPUTS!$B$28,INPUTS!$B$29))))</f>
        <v>1548802.4667113</v>
      </c>
      <c r="G12" s="89" t="n">
        <f aca="true">IF(G$5=0,F12,MAX(0,(F12-G$4)*(1+NORMINV(RAND(),INPUTS!$B$28,INPUTS!$B$29))))</f>
        <v>1532006.45413652</v>
      </c>
      <c r="H12" s="89" t="n">
        <f aca="true">IF(H$5=0,G12,MAX(0,(G12-H$4)*(1+NORMINV(RAND(),INPUTS!$B$28,INPUTS!$B$29))))</f>
        <v>1633312.55033742</v>
      </c>
      <c r="I12" s="89" t="n">
        <f aca="true">IF(I$5=0,H12,MAX(0,(H12-I$4)*(1+NORMINV(RAND(),INPUTS!$B$28,INPUTS!$B$29))))</f>
        <v>1563115.3105872</v>
      </c>
      <c r="J12" s="89" t="n">
        <f aca="true">IF(J$5=0,I12,MAX(0,(I12-J$4)*(1+NORMINV(RAND(),INPUTS!$B$28,INPUTS!$B$29))))</f>
        <v>1541510.49558265</v>
      </c>
      <c r="K12" s="89" t="n">
        <f aca="true">IF(K$5=0,J12,MAX(0,(J12-K$4)*(1+NORMINV(RAND(),INPUTS!$B$28,INPUTS!$B$29))))</f>
        <v>1948740.47449857</v>
      </c>
      <c r="L12" s="89" t="n">
        <f aca="true">IF(L$5=0,K12,MAX(0,(K12-L$4)*(1+NORMINV(RAND(),INPUTS!$B$28,INPUTS!$B$29))))</f>
        <v>1927924.66498964</v>
      </c>
      <c r="M12" s="89" t="n">
        <f aca="true">IF(M$5=0,L12,MAX(0,(L12-M$4)*(1+NORMINV(RAND(),INPUTS!$B$28,INPUTS!$B$29))))</f>
        <v>1950700.29676054</v>
      </c>
      <c r="N12" s="89" t="n">
        <f aca="true">IF(N$5=0,M12,MAX(0,(M12-N$4)*(1+NORMINV(RAND(),INPUTS!$B$28,INPUTS!$B$29))))</f>
        <v>1890408.5799148</v>
      </c>
      <c r="O12" s="89" t="n">
        <f aca="true">IF(O$5=0,N12,MAX(0,(N12-O$4)*(1+NORMINV(RAND(),INPUTS!$B$28,INPUTS!$B$29))))</f>
        <v>2305109.99725503</v>
      </c>
      <c r="P12" s="89" t="n">
        <f aca="true">IF(P$5=0,O12,MAX(0,(O12-P$4)*(1+NORMINV(RAND(),INPUTS!$B$28,INPUTS!$B$29))))</f>
        <v>1681521.66853268</v>
      </c>
      <c r="Q12" s="89" t="n">
        <f aca="true">IF(Q$5=0,P12,MAX(0,(P12-Q$4)*(1+NORMINV(RAND(),INPUTS!$B$28,INPUTS!$B$29))))</f>
        <v>1456826.90816991</v>
      </c>
      <c r="R12" s="89" t="n">
        <f aca="true">IF(R$5=0,Q12,MAX(0,(Q12-R$4)*(1+NORMINV(RAND(),INPUTS!$B$28,INPUTS!$B$29))))</f>
        <v>1214722.89939666</v>
      </c>
      <c r="S12" s="89" t="n">
        <f aca="true">IF(S$5=0,R12,MAX(0,(R12-S$4)*(1+NORMINV(RAND(),INPUTS!$B$28,INPUTS!$B$29))))</f>
        <v>1350230.18985071</v>
      </c>
      <c r="T12" s="89" t="n">
        <f aca="true">IF(T$5=0,S12,MAX(0,(S12-T$4)*(1+NORMINV(RAND(),INPUTS!$B$28,INPUTS!$B$29))))</f>
        <v>1235040.75749419</v>
      </c>
      <c r="U12" s="89" t="n">
        <f aca="true">IF(U$5=0,T12,MAX(0,(T12-U$4)*(1+NORMINV(RAND(),INPUTS!$B$28,INPUTS!$B$29))))</f>
        <v>1107496.13416267</v>
      </c>
      <c r="V12" s="89" t="n">
        <f aca="true">IF(V$5=0,U12,MAX(0,(U12-V$4)*(1+NORMINV(RAND(),INPUTS!$B$28,INPUTS!$B$29))))</f>
        <v>1024698.95173899</v>
      </c>
      <c r="W12" s="89" t="n">
        <f aca="true">IF(W$5=0,V12,MAX(0,(V12-W$4)*(1+NORMINV(RAND(),INPUTS!$B$28,INPUTS!$B$29))))</f>
        <v>1098743.9003547</v>
      </c>
      <c r="X12" s="89" t="n">
        <f aca="true">IF(X$5=0,W12,MAX(0,(W12-X$4)*(1+NORMINV(RAND(),INPUTS!$B$28,INPUTS!$B$29))))</f>
        <v>1291255.06016706</v>
      </c>
      <c r="Y12" s="89" t="n">
        <f aca="true">IF(Y$5=0,X12,MAX(0,(X12-Y$4)*(1+NORMINV(RAND(),INPUTS!$B$28,INPUTS!$B$29))))</f>
        <v>1394222.86709524</v>
      </c>
      <c r="Z12" s="89" t="n">
        <f aca="true">IF(Z$5=0,Y12,MAX(0,(Y12-Z$4)*(1+NORMINV(RAND(),INPUTS!$B$28,INPUTS!$B$29))))</f>
        <v>1510842.06654892</v>
      </c>
      <c r="AA12" s="89" t="n">
        <f aca="true">IF(AA$5=0,Z12,MAX(0,(Z12-AA$4)*(1+NORMINV(RAND(),INPUTS!$B$28,INPUTS!$B$29))))</f>
        <v>1392772.6367102</v>
      </c>
      <c r="AB12" s="89" t="n">
        <f aca="true">IF(AB$5=0,AA12,MAX(0,(AA12-AB$4)*(1+NORMINV(RAND(),INPUTS!$B$28,INPUTS!$B$29))))</f>
        <v>1174605.0340387</v>
      </c>
      <c r="AC12" s="89" t="n">
        <f aca="true">IF(AC$5=0,AB12,MAX(0,(AB12-AC$4)*(1+NORMINV(RAND(),INPUTS!$B$28,INPUTS!$B$29))))</f>
        <v>1234267.84609412</v>
      </c>
      <c r="AD12" s="89" t="n">
        <f aca="true">IF(AD$5=0,AC12,MAX(0,(AC12-AD$4)*(1+NORMINV(RAND(),INPUTS!$B$28,INPUTS!$B$29))))</f>
        <v>1471402.08859408</v>
      </c>
      <c r="AE12" s="89" t="n">
        <f aca="true">IF(AE$5=0,AD12,MAX(0,(AD12-AE$4)*(1+NORMINV(RAND(),INPUTS!$B$28,INPUTS!$B$29))))</f>
        <v>1433817.42029788</v>
      </c>
      <c r="AF12" s="89" t="n">
        <f aca="true">IF(AF$5=0,AE12,MAX(0,(AE12-AF$4)*(1+NORMINV(RAND(),INPUTS!$B$28,INPUTS!$B$29))))</f>
        <v>1395741.17418889</v>
      </c>
      <c r="AG12" s="89" t="n">
        <f aca="true">IF(AG$5=0,AF12,MAX(0,(AF12-AG$4)*(1+NORMINV(RAND(),INPUTS!$B$28,INPUTS!$B$29))))</f>
        <v>959746.223503087</v>
      </c>
      <c r="AH12" s="89" t="n">
        <f aca="true">IF(AH$5=0,AG12,MAX(0,(AG12-AH$4)*(1+NORMINV(RAND(),INPUTS!$B$28,INPUTS!$B$29))))</f>
        <v>975291.346915845</v>
      </c>
      <c r="AI12" s="89" t="n">
        <f aca="true">IF(AI$5=0,AH12,MAX(0,(AH12-AI$4)*(1+NORMINV(RAND(),INPUTS!$B$28,INPUTS!$B$29))))</f>
        <v>764755.258625619</v>
      </c>
      <c r="AJ12" s="89" t="n">
        <f aca="true">IF(AJ$5=0,AI12,MAX(0,(AI12-AJ$4)*(1+NORMINV(RAND(),INPUTS!$B$28,INPUTS!$B$29))))</f>
        <v>638735.860375633</v>
      </c>
      <c r="AK12" s="89" t="n">
        <f aca="true">IF(AK$5=0,AJ12,MAX(0,(AJ12-AK$4)*(1+NORMINV(RAND(),INPUTS!$B$28,INPUTS!$B$29))))</f>
        <v>737995.224507579</v>
      </c>
      <c r="AL12" s="89" t="n">
        <f aca="true">IF(AL$5=0,AK12,MAX(0,(AK12-AL$4)*(1+NORMINV(RAND(),INPUTS!$B$28,INPUTS!$B$29))))</f>
        <v>713100.218156586</v>
      </c>
      <c r="AM12" s="89" t="n">
        <f aca="true">IF(AM$5=0,AL12,MAX(0,(AL12-AM$4)*(1+NORMINV(RAND(),INPUTS!$B$28,INPUTS!$B$29))))</f>
        <v>713100.218156586</v>
      </c>
      <c r="AN12" s="89" t="n">
        <f aca="true">IF(AN$5=0,AM12,MAX(0,(AM12-AN$4)*(1+NORMINV(RAND(),INPUTS!$B$28,INPUTS!$B$29))))</f>
        <v>713100.218156586</v>
      </c>
      <c r="AO12" s="89" t="n">
        <f aca="true">IF(AO$5=0,AN12,MAX(0,(AN12-AO$4)*(1+NORMINV(RAND(),INPUTS!$B$28,INPUTS!$B$29))))</f>
        <v>713100.218156586</v>
      </c>
      <c r="AP12" s="89" t="n">
        <f aca="true">IF(AP$5=0,AO12,MAX(0,(AO12-AP$4)*(1+NORMINV(RAND(),INPUTS!$B$28,INPUTS!$B$29))))</f>
        <v>713100.218156586</v>
      </c>
      <c r="AQ12" s="89" t="n">
        <f aca="true">IF(AQ$5=0,AP12,MAX(0,(AP12-AQ$4)*(1+NORMINV(RAND(),INPUTS!$B$28,INPUTS!$B$29))))</f>
        <v>713100.218156586</v>
      </c>
      <c r="AR12" s="89" t="n">
        <f aca="true">IF(AR$5=0,AQ12,MAX(0,(AQ12-AR$4)*(1+NORMINV(RAND(),INPUTS!$B$28,INPUTS!$B$29))))</f>
        <v>713100.218156586</v>
      </c>
      <c r="AS12" s="89" t="n">
        <f aca="true">IF(AS$5=0,AR12,MAX(0,(AR12-AS$4)*(1+NORMINV(RAND(),INPUTS!$B$28,INPUTS!$B$29))))</f>
        <v>713100.218156586</v>
      </c>
      <c r="AT12" s="89" t="n">
        <f aca="true">IF(AT$5=0,AS12,MAX(0,(AS12-AT$4)*(1+NORMINV(RAND(),INPUTS!$B$28,INPUTS!$B$29))))</f>
        <v>713100.218156586</v>
      </c>
      <c r="AU12" s="89" t="n">
        <f aca="true">IF(AU$5=0,AT12,MAX(0,(AT12-AU$4)*(1+NORMINV(RAND(),INPUTS!$B$28,INPUTS!$B$29))))</f>
        <v>713100.218156586</v>
      </c>
      <c r="AV12" s="89" t="n">
        <f aca="true">IF(AV$5=0,AU12,MAX(0,(AU12-AV$4)*(1+NORMINV(RAND(),INPUTS!$B$28,INPUTS!$B$29))))</f>
        <v>713100.218156586</v>
      </c>
      <c r="AW12" s="89" t="n">
        <f aca="true">IF(AW$5=0,AV12,MAX(0,(AV12-AW$4)*(1+NORMINV(RAND(),INPUTS!$B$28,INPUTS!$B$29))))</f>
        <v>713100.218156586</v>
      </c>
      <c r="AX12" s="89" t="n">
        <f aca="true">IF(AX$5=0,AW12,MAX(0,(AW12-AX$4)*(1+NORMINV(RAND(),INPUTS!$B$28,INPUTS!$B$29))))</f>
        <v>713100.218156586</v>
      </c>
      <c r="AY12" s="89" t="n">
        <f aca="true">IF(AY$5=0,AX12,MAX(0,(AX12-AY$4)*(1+NORMINV(RAND(),INPUTS!$B$28,INPUTS!$B$29))))</f>
        <v>713100.218156586</v>
      </c>
      <c r="AZ12" s="89" t="n">
        <f aca="true">IF(AZ$5=0,AY12,MAX(0,(AY12-AZ$4)*(1+NORMINV(RAND(),INPUTS!$B$28,INPUTS!$B$29))))</f>
        <v>713100.218156586</v>
      </c>
      <c r="BA12" s="89" t="n">
        <f aca="true">IF(BA$5=0,AZ12,MAX(0,(AZ12-BA$4)*(1+NORMINV(RAND(),INPUTS!$B$28,INPUTS!$B$29))))</f>
        <v>713100.218156586</v>
      </c>
      <c r="BB12" s="89" t="n">
        <f aca="true">IF(BB$5=0,BA12,MAX(0,(BA12-BB$4)*(1+NORMINV(RAND(),INPUTS!$B$28,INPUTS!$B$29))))</f>
        <v>713100.218156586</v>
      </c>
      <c r="BC12" s="89" t="n">
        <f aca="true">IF(BC$5=0,BB12,MAX(0,(BB12-BC$4)*(1+NORMINV(RAND(),INPUTS!$B$28,INPUTS!$B$29))))</f>
        <v>713100.218156586</v>
      </c>
      <c r="BD12" s="89" t="n">
        <f aca="true">IF(BD$5=0,BC12,MAX(0,(BC12-BD$4)*(1+NORMINV(RAND(),INPUTS!$B$28,INPUTS!$B$29))))</f>
        <v>713100.218156586</v>
      </c>
      <c r="BE12" s="89" t="n">
        <f aca="true">IF(BE$5=0,BD12,MAX(0,(BD12-BE$4)*(1+NORMINV(RAND(),INPUTS!$B$28,INPUTS!$B$29))))</f>
        <v>713100.218156586</v>
      </c>
      <c r="BF12" s="89" t="n">
        <f aca="true">IF(BF$5=0,BE12,MAX(0,(BE12-BF$4)*(1+NORMINV(RAND(),INPUTS!$B$28,INPUTS!$B$29))))</f>
        <v>713100.218156586</v>
      </c>
      <c r="BG12" s="89" t="n">
        <f aca="true">IF(BG$5=0,BF12,MAX(0,(BF12-BG$4)*(1+NORMINV(RAND(),INPUTS!$B$28,INPUTS!$B$29))))</f>
        <v>713100.218156586</v>
      </c>
      <c r="BH12" s="89" t="n">
        <f aca="true">IF(BH$5=0,BG12,MAX(0,(BG12-BH$4)*(1+NORMINV(RAND(),INPUTS!$B$28,INPUTS!$B$29))))</f>
        <v>713100.218156586</v>
      </c>
      <c r="BI12" s="89" t="n">
        <f aca="true">IF(BI$5=0,BH12,MAX(0,(BH12-BI$4)*(1+NORMINV(RAND(),INPUTS!$B$28,INPUTS!$B$29))))</f>
        <v>713100.218156586</v>
      </c>
      <c r="BJ12" s="89" t="n">
        <f aca="true">IF(BJ$5=0,BI12,MAX(0,(BI12-BJ$4)*(1+NORMINV(RAND(),INPUTS!$B$28,INPUTS!$B$29))))</f>
        <v>713100.218156586</v>
      </c>
    </row>
    <row r="13" customFormat="false" ht="15" hidden="false" customHeight="true" outlineLevel="0" collapsed="false">
      <c r="A13" s="87" t="n">
        <v>6</v>
      </c>
      <c r="B13" s="88" t="n">
        <f aca="false">LOOKUP(9.99E+307,C13:BJ13)</f>
        <v>768956.762240687</v>
      </c>
      <c r="C13" s="89" t="n">
        <f aca="true">IF(C$5=0,INPUTS!$B$35,MAX(0,(INPUTS!$B$35-C$4)*(1+NORMINV(RAND(),INPUTS!$B$28,INPUTS!$B$29))))</f>
        <v>1835299.55721034</v>
      </c>
      <c r="D13" s="89" t="n">
        <f aca="true">IF(D$5=0,C13,MAX(0,(C13-D$4)*(1+NORMINV(RAND(),INPUTS!$B$28,INPUTS!$B$29))))</f>
        <v>1699539.94184244</v>
      </c>
      <c r="E13" s="89" t="n">
        <f aca="true">IF(E$5=0,D13,MAX(0,(D13-E$4)*(1+NORMINV(RAND(),INPUTS!$B$28,INPUTS!$B$29))))</f>
        <v>1780389.36246473</v>
      </c>
      <c r="F13" s="89" t="n">
        <f aca="true">IF(F$5=0,E13,MAX(0,(E13-F$4)*(1+NORMINV(RAND(),INPUTS!$B$28,INPUTS!$B$29))))</f>
        <v>1749627.37739346</v>
      </c>
      <c r="G13" s="89" t="n">
        <f aca="true">IF(G$5=0,F13,MAX(0,(F13-G$4)*(1+NORMINV(RAND(),INPUTS!$B$28,INPUTS!$B$29))))</f>
        <v>1662927.63692636</v>
      </c>
      <c r="H13" s="89" t="n">
        <f aca="true">IF(H$5=0,G13,MAX(0,(G13-H$4)*(1+NORMINV(RAND(),INPUTS!$B$28,INPUTS!$B$29))))</f>
        <v>1693730.57372377</v>
      </c>
      <c r="I13" s="89" t="n">
        <f aca="true">IF(I$5=0,H13,MAX(0,(H13-I$4)*(1+NORMINV(RAND(),INPUTS!$B$28,INPUTS!$B$29))))</f>
        <v>1809834.25827529</v>
      </c>
      <c r="J13" s="89" t="n">
        <f aca="true">IF(J$5=0,I13,MAX(0,(I13-J$4)*(1+NORMINV(RAND(),INPUTS!$B$28,INPUTS!$B$29))))</f>
        <v>1535591.58013198</v>
      </c>
      <c r="K13" s="89" t="n">
        <f aca="true">IF(K$5=0,J13,MAX(0,(J13-K$4)*(1+NORMINV(RAND(),INPUTS!$B$28,INPUTS!$B$29))))</f>
        <v>1472474.74214034</v>
      </c>
      <c r="L13" s="89" t="n">
        <f aca="true">IF(L$5=0,K13,MAX(0,(K13-L$4)*(1+NORMINV(RAND(),INPUTS!$B$28,INPUTS!$B$29))))</f>
        <v>1357522.16226558</v>
      </c>
      <c r="M13" s="89" t="n">
        <f aca="true">IF(M$5=0,L13,MAX(0,(L13-M$4)*(1+NORMINV(RAND(),INPUTS!$B$28,INPUTS!$B$29))))</f>
        <v>1079902.03054359</v>
      </c>
      <c r="N13" s="89" t="n">
        <f aca="true">IF(N$5=0,M13,MAX(0,(M13-N$4)*(1+NORMINV(RAND(),INPUTS!$B$28,INPUTS!$B$29))))</f>
        <v>1106887.88497599</v>
      </c>
      <c r="O13" s="89" t="n">
        <f aca="true">IF(O$5=0,N13,MAX(0,(N13-O$4)*(1+NORMINV(RAND(),INPUTS!$B$28,INPUTS!$B$29))))</f>
        <v>937102.030558125</v>
      </c>
      <c r="P13" s="89" t="n">
        <f aca="true">IF(P$5=0,O13,MAX(0,(O13-P$4)*(1+NORMINV(RAND(),INPUTS!$B$28,INPUTS!$B$29))))</f>
        <v>1146093.34328008</v>
      </c>
      <c r="Q13" s="89" t="n">
        <f aca="true">IF(Q$5=0,P13,MAX(0,(P13-Q$4)*(1+NORMINV(RAND(),INPUTS!$B$28,INPUTS!$B$29))))</f>
        <v>1212293.64667743</v>
      </c>
      <c r="R13" s="89" t="n">
        <f aca="true">IF(R$5=0,Q13,MAX(0,(Q13-R$4)*(1+NORMINV(RAND(),INPUTS!$B$28,INPUTS!$B$29))))</f>
        <v>911941.262710602</v>
      </c>
      <c r="S13" s="89" t="n">
        <f aca="true">IF(S$5=0,R13,MAX(0,(R13-S$4)*(1+NORMINV(RAND(),INPUTS!$B$28,INPUTS!$B$29))))</f>
        <v>897129.669819673</v>
      </c>
      <c r="T13" s="89" t="n">
        <f aca="true">IF(T$5=0,S13,MAX(0,(S13-T$4)*(1+NORMINV(RAND(),INPUTS!$B$28,INPUTS!$B$29))))</f>
        <v>1010743.68879784</v>
      </c>
      <c r="U13" s="89" t="n">
        <f aca="true">IF(U$5=0,T13,MAX(0,(T13-U$4)*(1+NORMINV(RAND(),INPUTS!$B$28,INPUTS!$B$29))))</f>
        <v>1026601.04033485</v>
      </c>
      <c r="V13" s="89" t="n">
        <f aca="true">IF(V$5=0,U13,MAX(0,(U13-V$4)*(1+NORMINV(RAND(),INPUTS!$B$28,INPUTS!$B$29))))</f>
        <v>970124.088011932</v>
      </c>
      <c r="W13" s="89" t="n">
        <f aca="true">IF(W$5=0,V13,MAX(0,(V13-W$4)*(1+NORMINV(RAND(),INPUTS!$B$28,INPUTS!$B$29))))</f>
        <v>1028913.15243449</v>
      </c>
      <c r="X13" s="89" t="n">
        <f aca="true">IF(X$5=0,W13,MAX(0,(W13-X$4)*(1+NORMINV(RAND(),INPUTS!$B$28,INPUTS!$B$29))))</f>
        <v>1100665.39507219</v>
      </c>
      <c r="Y13" s="89" t="n">
        <f aca="true">IF(Y$5=0,X13,MAX(0,(X13-Y$4)*(1+NORMINV(RAND(),INPUTS!$B$28,INPUTS!$B$29))))</f>
        <v>1110580.04038999</v>
      </c>
      <c r="Z13" s="89" t="n">
        <f aca="true">IF(Z$5=0,Y13,MAX(0,(Y13-Z$4)*(1+NORMINV(RAND(),INPUTS!$B$28,INPUTS!$B$29))))</f>
        <v>945910.334033511</v>
      </c>
      <c r="AA13" s="89" t="n">
        <f aca="true">IF(AA$5=0,Z13,MAX(0,(Z13-AA$4)*(1+NORMINV(RAND(),INPUTS!$B$28,INPUTS!$B$29))))</f>
        <v>926018.296953906</v>
      </c>
      <c r="AB13" s="89" t="n">
        <f aca="true">IF(AB$5=0,AA13,MAX(0,(AA13-AB$4)*(1+NORMINV(RAND(),INPUTS!$B$28,INPUTS!$B$29))))</f>
        <v>969110.116529999</v>
      </c>
      <c r="AC13" s="89" t="n">
        <f aca="true">IF(AC$5=0,AB13,MAX(0,(AB13-AC$4)*(1+NORMINV(RAND(),INPUTS!$B$28,INPUTS!$B$29))))</f>
        <v>1032522.8354164</v>
      </c>
      <c r="AD13" s="89" t="n">
        <f aca="true">IF(AD$5=0,AC13,MAX(0,(AC13-AD$4)*(1+NORMINV(RAND(),INPUTS!$B$28,INPUTS!$B$29))))</f>
        <v>829967.351637223</v>
      </c>
      <c r="AE13" s="89" t="n">
        <f aca="true">IF(AE$5=0,AD13,MAX(0,(AD13-AE$4)*(1+NORMINV(RAND(),INPUTS!$B$28,INPUTS!$B$29))))</f>
        <v>837871.188979135</v>
      </c>
      <c r="AF13" s="89" t="n">
        <f aca="true">IF(AF$5=0,AE13,MAX(0,(AE13-AF$4)*(1+NORMINV(RAND(),INPUTS!$B$28,INPUTS!$B$29))))</f>
        <v>809675.956436395</v>
      </c>
      <c r="AG13" s="89" t="n">
        <f aca="true">IF(AG$5=0,AF13,MAX(0,(AF13-AG$4)*(1+NORMINV(RAND(),INPUTS!$B$28,INPUTS!$B$29))))</f>
        <v>768005.131167416</v>
      </c>
      <c r="AH13" s="89" t="n">
        <f aca="true">IF(AH$5=0,AG13,MAX(0,(AG13-AH$4)*(1+NORMINV(RAND(),INPUTS!$B$28,INPUTS!$B$29))))</f>
        <v>700275.031870421</v>
      </c>
      <c r="AI13" s="89" t="n">
        <f aca="true">IF(AI$5=0,AH13,MAX(0,(AH13-AI$4)*(1+NORMINV(RAND(),INPUTS!$B$28,INPUTS!$B$29))))</f>
        <v>598931.267372392</v>
      </c>
      <c r="AJ13" s="89" t="n">
        <f aca="true">IF(AJ$5=0,AI13,MAX(0,(AI13-AJ$4)*(1+NORMINV(RAND(),INPUTS!$B$28,INPUTS!$B$29))))</f>
        <v>638293.757327697</v>
      </c>
      <c r="AK13" s="89" t="n">
        <f aca="true">IF(AK$5=0,AJ13,MAX(0,(AJ13-AK$4)*(1+NORMINV(RAND(),INPUTS!$B$28,INPUTS!$B$29))))</f>
        <v>675720.318059056</v>
      </c>
      <c r="AL13" s="89" t="n">
        <f aca="true">IF(AL$5=0,AK13,MAX(0,(AK13-AL$4)*(1+NORMINV(RAND(),INPUTS!$B$28,INPUTS!$B$29))))</f>
        <v>768956.762240687</v>
      </c>
      <c r="AM13" s="89" t="n">
        <f aca="true">IF(AM$5=0,AL13,MAX(0,(AL13-AM$4)*(1+NORMINV(RAND(),INPUTS!$B$28,INPUTS!$B$29))))</f>
        <v>768956.762240687</v>
      </c>
      <c r="AN13" s="89" t="n">
        <f aca="true">IF(AN$5=0,AM13,MAX(0,(AM13-AN$4)*(1+NORMINV(RAND(),INPUTS!$B$28,INPUTS!$B$29))))</f>
        <v>768956.762240687</v>
      </c>
      <c r="AO13" s="89" t="n">
        <f aca="true">IF(AO$5=0,AN13,MAX(0,(AN13-AO$4)*(1+NORMINV(RAND(),INPUTS!$B$28,INPUTS!$B$29))))</f>
        <v>768956.762240687</v>
      </c>
      <c r="AP13" s="89" t="n">
        <f aca="true">IF(AP$5=0,AO13,MAX(0,(AO13-AP$4)*(1+NORMINV(RAND(),INPUTS!$B$28,INPUTS!$B$29))))</f>
        <v>768956.762240687</v>
      </c>
      <c r="AQ13" s="89" t="n">
        <f aca="true">IF(AQ$5=0,AP13,MAX(0,(AP13-AQ$4)*(1+NORMINV(RAND(),INPUTS!$B$28,INPUTS!$B$29))))</f>
        <v>768956.762240687</v>
      </c>
      <c r="AR13" s="89" t="n">
        <f aca="true">IF(AR$5=0,AQ13,MAX(0,(AQ13-AR$4)*(1+NORMINV(RAND(),INPUTS!$B$28,INPUTS!$B$29))))</f>
        <v>768956.762240687</v>
      </c>
      <c r="AS13" s="89" t="n">
        <f aca="true">IF(AS$5=0,AR13,MAX(0,(AR13-AS$4)*(1+NORMINV(RAND(),INPUTS!$B$28,INPUTS!$B$29))))</f>
        <v>768956.762240687</v>
      </c>
      <c r="AT13" s="89" t="n">
        <f aca="true">IF(AT$5=0,AS13,MAX(0,(AS13-AT$4)*(1+NORMINV(RAND(),INPUTS!$B$28,INPUTS!$B$29))))</f>
        <v>768956.762240687</v>
      </c>
      <c r="AU13" s="89" t="n">
        <f aca="true">IF(AU$5=0,AT13,MAX(0,(AT13-AU$4)*(1+NORMINV(RAND(),INPUTS!$B$28,INPUTS!$B$29))))</f>
        <v>768956.762240687</v>
      </c>
      <c r="AV13" s="89" t="n">
        <f aca="true">IF(AV$5=0,AU13,MAX(0,(AU13-AV$4)*(1+NORMINV(RAND(),INPUTS!$B$28,INPUTS!$B$29))))</f>
        <v>768956.762240687</v>
      </c>
      <c r="AW13" s="89" t="n">
        <f aca="true">IF(AW$5=0,AV13,MAX(0,(AV13-AW$4)*(1+NORMINV(RAND(),INPUTS!$B$28,INPUTS!$B$29))))</f>
        <v>768956.762240687</v>
      </c>
      <c r="AX13" s="89" t="n">
        <f aca="true">IF(AX$5=0,AW13,MAX(0,(AW13-AX$4)*(1+NORMINV(RAND(),INPUTS!$B$28,INPUTS!$B$29))))</f>
        <v>768956.762240687</v>
      </c>
      <c r="AY13" s="89" t="n">
        <f aca="true">IF(AY$5=0,AX13,MAX(0,(AX13-AY$4)*(1+NORMINV(RAND(),INPUTS!$B$28,INPUTS!$B$29))))</f>
        <v>768956.762240687</v>
      </c>
      <c r="AZ13" s="89" t="n">
        <f aca="true">IF(AZ$5=0,AY13,MAX(0,(AY13-AZ$4)*(1+NORMINV(RAND(),INPUTS!$B$28,INPUTS!$B$29))))</f>
        <v>768956.762240687</v>
      </c>
      <c r="BA13" s="89" t="n">
        <f aca="true">IF(BA$5=0,AZ13,MAX(0,(AZ13-BA$4)*(1+NORMINV(RAND(),INPUTS!$B$28,INPUTS!$B$29))))</f>
        <v>768956.762240687</v>
      </c>
      <c r="BB13" s="89" t="n">
        <f aca="true">IF(BB$5=0,BA13,MAX(0,(BA13-BB$4)*(1+NORMINV(RAND(),INPUTS!$B$28,INPUTS!$B$29))))</f>
        <v>768956.762240687</v>
      </c>
      <c r="BC13" s="89" t="n">
        <f aca="true">IF(BC$5=0,BB13,MAX(0,(BB13-BC$4)*(1+NORMINV(RAND(),INPUTS!$B$28,INPUTS!$B$29))))</f>
        <v>768956.762240687</v>
      </c>
      <c r="BD13" s="89" t="n">
        <f aca="true">IF(BD$5=0,BC13,MAX(0,(BC13-BD$4)*(1+NORMINV(RAND(),INPUTS!$B$28,INPUTS!$B$29))))</f>
        <v>768956.762240687</v>
      </c>
      <c r="BE13" s="89" t="n">
        <f aca="true">IF(BE$5=0,BD13,MAX(0,(BD13-BE$4)*(1+NORMINV(RAND(),INPUTS!$B$28,INPUTS!$B$29))))</f>
        <v>768956.762240687</v>
      </c>
      <c r="BF13" s="89" t="n">
        <f aca="true">IF(BF$5=0,BE13,MAX(0,(BE13-BF$4)*(1+NORMINV(RAND(),INPUTS!$B$28,INPUTS!$B$29))))</f>
        <v>768956.762240687</v>
      </c>
      <c r="BG13" s="89" t="n">
        <f aca="true">IF(BG$5=0,BF13,MAX(0,(BF13-BG$4)*(1+NORMINV(RAND(),INPUTS!$B$28,INPUTS!$B$29))))</f>
        <v>768956.762240687</v>
      </c>
      <c r="BH13" s="89" t="n">
        <f aca="true">IF(BH$5=0,BG13,MAX(0,(BG13-BH$4)*(1+NORMINV(RAND(),INPUTS!$B$28,INPUTS!$B$29))))</f>
        <v>768956.762240687</v>
      </c>
      <c r="BI13" s="89" t="n">
        <f aca="true">IF(BI$5=0,BH13,MAX(0,(BH13-BI$4)*(1+NORMINV(RAND(),INPUTS!$B$28,INPUTS!$B$29))))</f>
        <v>768956.762240687</v>
      </c>
      <c r="BJ13" s="89" t="n">
        <f aca="true">IF(BJ$5=0,BI13,MAX(0,(BI13-BJ$4)*(1+NORMINV(RAND(),INPUTS!$B$28,INPUTS!$B$29))))</f>
        <v>768956.762240687</v>
      </c>
    </row>
    <row r="14" customFormat="false" ht="15" hidden="false" customHeight="true" outlineLevel="0" collapsed="false">
      <c r="A14" s="87" t="n">
        <v>7</v>
      </c>
      <c r="B14" s="88" t="n">
        <f aca="false">LOOKUP(9.99E+307,C14:BJ14)</f>
        <v>856759.905604832</v>
      </c>
      <c r="C14" s="89" t="n">
        <f aca="true">IF(C$5=0,INPUTS!$B$35,MAX(0,(INPUTS!$B$35-C$4)*(1+NORMINV(RAND(),INPUTS!$B$28,INPUTS!$B$29))))</f>
        <v>1589529.93275059</v>
      </c>
      <c r="D14" s="89" t="n">
        <f aca="true">IF(D$5=0,C14,MAX(0,(C14-D$4)*(1+NORMINV(RAND(),INPUTS!$B$28,INPUTS!$B$29))))</f>
        <v>1602491.1107071</v>
      </c>
      <c r="E14" s="89" t="n">
        <f aca="true">IF(E$5=0,D14,MAX(0,(D14-E$4)*(1+NORMINV(RAND(),INPUTS!$B$28,INPUTS!$B$29))))</f>
        <v>1597603.57127896</v>
      </c>
      <c r="F14" s="89" t="n">
        <f aca="true">IF(F$5=0,E14,MAX(0,(E14-F$4)*(1+NORMINV(RAND(),INPUTS!$B$28,INPUTS!$B$29))))</f>
        <v>1548125.38524576</v>
      </c>
      <c r="G14" s="89" t="n">
        <f aca="true">IF(G$5=0,F14,MAX(0,(F14-G$4)*(1+NORMINV(RAND(),INPUTS!$B$28,INPUTS!$B$29))))</f>
        <v>1158552.31004</v>
      </c>
      <c r="H14" s="89" t="n">
        <f aca="true">IF(H$5=0,G14,MAX(0,(G14-H$4)*(1+NORMINV(RAND(),INPUTS!$B$28,INPUTS!$B$29))))</f>
        <v>1147777.10912393</v>
      </c>
      <c r="I14" s="89" t="n">
        <f aca="true">IF(I$5=0,H14,MAX(0,(H14-I$4)*(1+NORMINV(RAND(),INPUTS!$B$28,INPUTS!$B$29))))</f>
        <v>984824.12833521</v>
      </c>
      <c r="J14" s="89" t="n">
        <f aca="true">IF(J$5=0,I14,MAX(0,(I14-J$4)*(1+NORMINV(RAND(),INPUTS!$B$28,INPUTS!$B$29))))</f>
        <v>1042645.62096294</v>
      </c>
      <c r="K14" s="89" t="n">
        <f aca="true">IF(K$5=0,J14,MAX(0,(J14-K$4)*(1+NORMINV(RAND(),INPUTS!$B$28,INPUTS!$B$29))))</f>
        <v>913434.546071477</v>
      </c>
      <c r="L14" s="89" t="n">
        <f aca="true">IF(L$5=0,K14,MAX(0,(K14-L$4)*(1+NORMINV(RAND(),INPUTS!$B$28,INPUTS!$B$29))))</f>
        <v>1098382.49627885</v>
      </c>
      <c r="M14" s="89" t="n">
        <f aca="true">IF(M$5=0,L14,MAX(0,(L14-M$4)*(1+NORMINV(RAND(),INPUTS!$B$28,INPUTS!$B$29))))</f>
        <v>1158003.51858996</v>
      </c>
      <c r="N14" s="89" t="n">
        <f aca="true">IF(N$5=0,M14,MAX(0,(M14-N$4)*(1+NORMINV(RAND(),INPUTS!$B$28,INPUTS!$B$29))))</f>
        <v>1507564.66524708</v>
      </c>
      <c r="O14" s="89" t="n">
        <f aca="true">IF(O$5=0,N14,MAX(0,(N14-O$4)*(1+NORMINV(RAND(),INPUTS!$B$28,INPUTS!$B$29))))</f>
        <v>1500255.23476169</v>
      </c>
      <c r="P14" s="89" t="n">
        <f aca="true">IF(P$5=0,O14,MAX(0,(O14-P$4)*(1+NORMINV(RAND(),INPUTS!$B$28,INPUTS!$B$29))))</f>
        <v>1577534.6170411</v>
      </c>
      <c r="Q14" s="89" t="n">
        <f aca="true">IF(Q$5=0,P14,MAX(0,(P14-Q$4)*(1+NORMINV(RAND(),INPUTS!$B$28,INPUTS!$B$29))))</f>
        <v>1530189.46324642</v>
      </c>
      <c r="R14" s="89" t="n">
        <f aca="true">IF(R$5=0,Q14,MAX(0,(Q14-R$4)*(1+NORMINV(RAND(),INPUTS!$B$28,INPUTS!$B$29))))</f>
        <v>1284105.18030723</v>
      </c>
      <c r="S14" s="89" t="n">
        <f aca="true">IF(S$5=0,R14,MAX(0,(R14-S$4)*(1+NORMINV(RAND(),INPUTS!$B$28,INPUTS!$B$29))))</f>
        <v>1231425.84659539</v>
      </c>
      <c r="T14" s="89" t="n">
        <f aca="true">IF(T$5=0,S14,MAX(0,(S14-T$4)*(1+NORMINV(RAND(),INPUTS!$B$28,INPUTS!$B$29))))</f>
        <v>938405.853416853</v>
      </c>
      <c r="U14" s="89" t="n">
        <f aca="true">IF(U$5=0,T14,MAX(0,(T14-U$4)*(1+NORMINV(RAND(),INPUTS!$B$28,INPUTS!$B$29))))</f>
        <v>1050113.17859992</v>
      </c>
      <c r="V14" s="89" t="n">
        <f aca="true">IF(V$5=0,U14,MAX(0,(U14-V$4)*(1+NORMINV(RAND(),INPUTS!$B$28,INPUTS!$B$29))))</f>
        <v>1136510.79897846</v>
      </c>
      <c r="W14" s="89" t="n">
        <f aca="true">IF(W$5=0,V14,MAX(0,(V14-W$4)*(1+NORMINV(RAND(),INPUTS!$B$28,INPUTS!$B$29))))</f>
        <v>1196288.13457329</v>
      </c>
      <c r="X14" s="89" t="n">
        <f aca="true">IF(X$5=0,W14,MAX(0,(W14-X$4)*(1+NORMINV(RAND(),INPUTS!$B$28,INPUTS!$B$29))))</f>
        <v>1161694.69412758</v>
      </c>
      <c r="Y14" s="89" t="n">
        <f aca="true">IF(Y$5=0,X14,MAX(0,(X14-Y$4)*(1+NORMINV(RAND(),INPUTS!$B$28,INPUTS!$B$29))))</f>
        <v>1439642.2826581</v>
      </c>
      <c r="Z14" s="89" t="n">
        <f aca="true">IF(Z$5=0,Y14,MAX(0,(Y14-Z$4)*(1+NORMINV(RAND(),INPUTS!$B$28,INPUTS!$B$29))))</f>
        <v>1347816.35680257</v>
      </c>
      <c r="AA14" s="89" t="n">
        <f aca="true">IF(AA$5=0,Z14,MAX(0,(Z14-AA$4)*(1+NORMINV(RAND(),INPUTS!$B$28,INPUTS!$B$29))))</f>
        <v>1339462.14483435</v>
      </c>
      <c r="AB14" s="89" t="n">
        <f aca="true">IF(AB$5=0,AA14,MAX(0,(AA14-AB$4)*(1+NORMINV(RAND(),INPUTS!$B$28,INPUTS!$B$29))))</f>
        <v>1488195.20467959</v>
      </c>
      <c r="AC14" s="89" t="n">
        <f aca="true">IF(AC$5=0,AB14,MAX(0,(AB14-AC$4)*(1+NORMINV(RAND(),INPUTS!$B$28,INPUTS!$B$29))))</f>
        <v>1216100.80343775</v>
      </c>
      <c r="AD14" s="89" t="n">
        <f aca="true">IF(AD$5=0,AC14,MAX(0,(AC14-AD$4)*(1+NORMINV(RAND(),INPUTS!$B$28,INPUTS!$B$29))))</f>
        <v>1256998.19262146</v>
      </c>
      <c r="AE14" s="89" t="n">
        <f aca="true">IF(AE$5=0,AD14,MAX(0,(AD14-AE$4)*(1+NORMINV(RAND(),INPUTS!$B$28,INPUTS!$B$29))))</f>
        <v>1388960.3819934</v>
      </c>
      <c r="AF14" s="89" t="n">
        <f aca="true">IF(AF$5=0,AE14,MAX(0,(AE14-AF$4)*(1+NORMINV(RAND(),INPUTS!$B$28,INPUTS!$B$29))))</f>
        <v>1278985.46898565</v>
      </c>
      <c r="AG14" s="89" t="n">
        <f aca="true">IF(AG$5=0,AF14,MAX(0,(AF14-AG$4)*(1+NORMINV(RAND(),INPUTS!$B$28,INPUTS!$B$29))))</f>
        <v>1392439.53267982</v>
      </c>
      <c r="AH14" s="89" t="n">
        <f aca="true">IF(AH$5=0,AG14,MAX(0,(AG14-AH$4)*(1+NORMINV(RAND(),INPUTS!$B$28,INPUTS!$B$29))))</f>
        <v>1260855.31743021</v>
      </c>
      <c r="AI14" s="89" t="n">
        <f aca="true">IF(AI$5=0,AH14,MAX(0,(AH14-AI$4)*(1+NORMINV(RAND(),INPUTS!$B$28,INPUTS!$B$29))))</f>
        <v>953093.070710573</v>
      </c>
      <c r="AJ14" s="89" t="n">
        <f aca="true">IF(AJ$5=0,AI14,MAX(0,(AI14-AJ$4)*(1+NORMINV(RAND(),INPUTS!$B$28,INPUTS!$B$29))))</f>
        <v>920511.745010365</v>
      </c>
      <c r="AK14" s="89" t="n">
        <f aca="true">IF(AK$5=0,AJ14,MAX(0,(AJ14-AK$4)*(1+NORMINV(RAND(),INPUTS!$B$28,INPUTS!$B$29))))</f>
        <v>823030.409522003</v>
      </c>
      <c r="AL14" s="89" t="n">
        <f aca="true">IF(AL$5=0,AK14,MAX(0,(AK14-AL$4)*(1+NORMINV(RAND(),INPUTS!$B$28,INPUTS!$B$29))))</f>
        <v>856759.905604832</v>
      </c>
      <c r="AM14" s="89" t="n">
        <f aca="true">IF(AM$5=0,AL14,MAX(0,(AL14-AM$4)*(1+NORMINV(RAND(),INPUTS!$B$28,INPUTS!$B$29))))</f>
        <v>856759.905604832</v>
      </c>
      <c r="AN14" s="89" t="n">
        <f aca="true">IF(AN$5=0,AM14,MAX(0,(AM14-AN$4)*(1+NORMINV(RAND(),INPUTS!$B$28,INPUTS!$B$29))))</f>
        <v>856759.905604832</v>
      </c>
      <c r="AO14" s="89" t="n">
        <f aca="true">IF(AO$5=0,AN14,MAX(0,(AN14-AO$4)*(1+NORMINV(RAND(),INPUTS!$B$28,INPUTS!$B$29))))</f>
        <v>856759.905604832</v>
      </c>
      <c r="AP14" s="89" t="n">
        <f aca="true">IF(AP$5=0,AO14,MAX(0,(AO14-AP$4)*(1+NORMINV(RAND(),INPUTS!$B$28,INPUTS!$B$29))))</f>
        <v>856759.905604832</v>
      </c>
      <c r="AQ14" s="89" t="n">
        <f aca="true">IF(AQ$5=0,AP14,MAX(0,(AP14-AQ$4)*(1+NORMINV(RAND(),INPUTS!$B$28,INPUTS!$B$29))))</f>
        <v>856759.905604832</v>
      </c>
      <c r="AR14" s="89" t="n">
        <f aca="true">IF(AR$5=0,AQ14,MAX(0,(AQ14-AR$4)*(1+NORMINV(RAND(),INPUTS!$B$28,INPUTS!$B$29))))</f>
        <v>856759.905604832</v>
      </c>
      <c r="AS14" s="89" t="n">
        <f aca="true">IF(AS$5=0,AR14,MAX(0,(AR14-AS$4)*(1+NORMINV(RAND(),INPUTS!$B$28,INPUTS!$B$29))))</f>
        <v>856759.905604832</v>
      </c>
      <c r="AT14" s="89" t="n">
        <f aca="true">IF(AT$5=0,AS14,MAX(0,(AS14-AT$4)*(1+NORMINV(RAND(),INPUTS!$B$28,INPUTS!$B$29))))</f>
        <v>856759.905604832</v>
      </c>
      <c r="AU14" s="89" t="n">
        <f aca="true">IF(AU$5=0,AT14,MAX(0,(AT14-AU$4)*(1+NORMINV(RAND(),INPUTS!$B$28,INPUTS!$B$29))))</f>
        <v>856759.905604832</v>
      </c>
      <c r="AV14" s="89" t="n">
        <f aca="true">IF(AV$5=0,AU14,MAX(0,(AU14-AV$4)*(1+NORMINV(RAND(),INPUTS!$B$28,INPUTS!$B$29))))</f>
        <v>856759.905604832</v>
      </c>
      <c r="AW14" s="89" t="n">
        <f aca="true">IF(AW$5=0,AV14,MAX(0,(AV14-AW$4)*(1+NORMINV(RAND(),INPUTS!$B$28,INPUTS!$B$29))))</f>
        <v>856759.905604832</v>
      </c>
      <c r="AX14" s="89" t="n">
        <f aca="true">IF(AX$5=0,AW14,MAX(0,(AW14-AX$4)*(1+NORMINV(RAND(),INPUTS!$B$28,INPUTS!$B$29))))</f>
        <v>856759.905604832</v>
      </c>
      <c r="AY14" s="89" t="n">
        <f aca="true">IF(AY$5=0,AX14,MAX(0,(AX14-AY$4)*(1+NORMINV(RAND(),INPUTS!$B$28,INPUTS!$B$29))))</f>
        <v>856759.905604832</v>
      </c>
      <c r="AZ14" s="89" t="n">
        <f aca="true">IF(AZ$5=0,AY14,MAX(0,(AY14-AZ$4)*(1+NORMINV(RAND(),INPUTS!$B$28,INPUTS!$B$29))))</f>
        <v>856759.905604832</v>
      </c>
      <c r="BA14" s="89" t="n">
        <f aca="true">IF(BA$5=0,AZ14,MAX(0,(AZ14-BA$4)*(1+NORMINV(RAND(),INPUTS!$B$28,INPUTS!$B$29))))</f>
        <v>856759.905604832</v>
      </c>
      <c r="BB14" s="89" t="n">
        <f aca="true">IF(BB$5=0,BA14,MAX(0,(BA14-BB$4)*(1+NORMINV(RAND(),INPUTS!$B$28,INPUTS!$B$29))))</f>
        <v>856759.905604832</v>
      </c>
      <c r="BC14" s="89" t="n">
        <f aca="true">IF(BC$5=0,BB14,MAX(0,(BB14-BC$4)*(1+NORMINV(RAND(),INPUTS!$B$28,INPUTS!$B$29))))</f>
        <v>856759.905604832</v>
      </c>
      <c r="BD14" s="89" t="n">
        <f aca="true">IF(BD$5=0,BC14,MAX(0,(BC14-BD$4)*(1+NORMINV(RAND(),INPUTS!$B$28,INPUTS!$B$29))))</f>
        <v>856759.905604832</v>
      </c>
      <c r="BE14" s="89" t="n">
        <f aca="true">IF(BE$5=0,BD14,MAX(0,(BD14-BE$4)*(1+NORMINV(RAND(),INPUTS!$B$28,INPUTS!$B$29))))</f>
        <v>856759.905604832</v>
      </c>
      <c r="BF14" s="89" t="n">
        <f aca="true">IF(BF$5=0,BE14,MAX(0,(BE14-BF$4)*(1+NORMINV(RAND(),INPUTS!$B$28,INPUTS!$B$29))))</f>
        <v>856759.905604832</v>
      </c>
      <c r="BG14" s="89" t="n">
        <f aca="true">IF(BG$5=0,BF14,MAX(0,(BF14-BG$4)*(1+NORMINV(RAND(),INPUTS!$B$28,INPUTS!$B$29))))</f>
        <v>856759.905604832</v>
      </c>
      <c r="BH14" s="89" t="n">
        <f aca="true">IF(BH$5=0,BG14,MAX(0,(BG14-BH$4)*(1+NORMINV(RAND(),INPUTS!$B$28,INPUTS!$B$29))))</f>
        <v>856759.905604832</v>
      </c>
      <c r="BI14" s="89" t="n">
        <f aca="true">IF(BI$5=0,BH14,MAX(0,(BH14-BI$4)*(1+NORMINV(RAND(),INPUTS!$B$28,INPUTS!$B$29))))</f>
        <v>856759.905604832</v>
      </c>
      <c r="BJ14" s="89" t="n">
        <f aca="true">IF(BJ$5=0,BI14,MAX(0,(BI14-BJ$4)*(1+NORMINV(RAND(),INPUTS!$B$28,INPUTS!$B$29))))</f>
        <v>856759.905604832</v>
      </c>
    </row>
    <row r="15" customFormat="false" ht="15" hidden="false" customHeight="true" outlineLevel="0" collapsed="false">
      <c r="A15" s="87" t="n">
        <v>8</v>
      </c>
      <c r="B15" s="88" t="n">
        <f aca="false">LOOKUP(9.99E+307,C15:BJ15)</f>
        <v>0</v>
      </c>
      <c r="C15" s="89" t="n">
        <f aca="true">IF(C$5=0,INPUTS!$B$35,MAX(0,(INPUTS!$B$35-C$4)*(1+NORMINV(RAND(),INPUTS!$B$28,INPUTS!$B$29))))</f>
        <v>1601938.92658469</v>
      </c>
      <c r="D15" s="89" t="n">
        <f aca="true">IF(D$5=0,C15,MAX(0,(C15-D$4)*(1+NORMINV(RAND(),INPUTS!$B$28,INPUTS!$B$29))))</f>
        <v>1340985.73276049</v>
      </c>
      <c r="E15" s="89" t="n">
        <f aca="true">IF(E$5=0,D15,MAX(0,(D15-E$4)*(1+NORMINV(RAND(),INPUTS!$B$28,INPUTS!$B$29))))</f>
        <v>1245716.49583206</v>
      </c>
      <c r="F15" s="89" t="n">
        <f aca="true">IF(F$5=0,E15,MAX(0,(E15-F$4)*(1+NORMINV(RAND(),INPUTS!$B$28,INPUTS!$B$29))))</f>
        <v>1207354.34626634</v>
      </c>
      <c r="G15" s="89" t="n">
        <f aca="true">IF(G$5=0,F15,MAX(0,(F15-G$4)*(1+NORMINV(RAND(),INPUTS!$B$28,INPUTS!$B$29))))</f>
        <v>1089639.95561401</v>
      </c>
      <c r="H15" s="89" t="n">
        <f aca="true">IF(H$5=0,G15,MAX(0,(G15-H$4)*(1+NORMINV(RAND(),INPUTS!$B$28,INPUTS!$B$29))))</f>
        <v>1127110.71739787</v>
      </c>
      <c r="I15" s="89" t="n">
        <f aca="true">IF(I$5=0,H15,MAX(0,(H15-I$4)*(1+NORMINV(RAND(),INPUTS!$B$28,INPUTS!$B$29))))</f>
        <v>860150.140629485</v>
      </c>
      <c r="J15" s="89" t="n">
        <f aca="true">IF(J$5=0,I15,MAX(0,(I15-J$4)*(1+NORMINV(RAND(),INPUTS!$B$28,INPUTS!$B$29))))</f>
        <v>927940.416693154</v>
      </c>
      <c r="K15" s="89" t="n">
        <f aca="true">IF(K$5=0,J15,MAX(0,(J15-K$4)*(1+NORMINV(RAND(),INPUTS!$B$28,INPUTS!$B$29))))</f>
        <v>946825.092540711</v>
      </c>
      <c r="L15" s="89" t="n">
        <f aca="true">IF(L$5=0,K15,MAX(0,(K15-L$4)*(1+NORMINV(RAND(),INPUTS!$B$28,INPUTS!$B$29))))</f>
        <v>840644.629228888</v>
      </c>
      <c r="M15" s="89" t="n">
        <f aca="true">IF(M$5=0,L15,MAX(0,(L15-M$4)*(1+NORMINV(RAND(),INPUTS!$B$28,INPUTS!$B$29))))</f>
        <v>789782.336602498</v>
      </c>
      <c r="N15" s="89" t="n">
        <f aca="true">IF(N$5=0,M15,MAX(0,(M15-N$4)*(1+NORMINV(RAND(),INPUTS!$B$28,INPUTS!$B$29))))</f>
        <v>718083.552789484</v>
      </c>
      <c r="O15" s="89" t="n">
        <f aca="true">IF(O$5=0,N15,MAX(0,(N15-O$4)*(1+NORMINV(RAND(),INPUTS!$B$28,INPUTS!$B$29))))</f>
        <v>654258.680571317</v>
      </c>
      <c r="P15" s="89" t="n">
        <f aca="true">IF(P$5=0,O15,MAX(0,(O15-P$4)*(1+NORMINV(RAND(),INPUTS!$B$28,INPUTS!$B$29))))</f>
        <v>572201.443706157</v>
      </c>
      <c r="Q15" s="89" t="n">
        <f aca="true">IF(Q$5=0,P15,MAX(0,(P15-Q$4)*(1+NORMINV(RAND(),INPUTS!$B$28,INPUTS!$B$29))))</f>
        <v>473041.665900733</v>
      </c>
      <c r="R15" s="89" t="n">
        <f aca="true">IF(R$5=0,Q15,MAX(0,(Q15-R$4)*(1+NORMINV(RAND(),INPUTS!$B$28,INPUTS!$B$29))))</f>
        <v>502747.476530066</v>
      </c>
      <c r="S15" s="89" t="n">
        <f aca="true">IF(S$5=0,R15,MAX(0,(R15-S$4)*(1+NORMINV(RAND(),INPUTS!$B$28,INPUTS!$B$29))))</f>
        <v>481071.770205345</v>
      </c>
      <c r="T15" s="89" t="n">
        <f aca="true">IF(T$5=0,S15,MAX(0,(S15-T$4)*(1+NORMINV(RAND(),INPUTS!$B$28,INPUTS!$B$29))))</f>
        <v>352086.91148484</v>
      </c>
      <c r="U15" s="89" t="n">
        <f aca="true">IF(U$5=0,T15,MAX(0,(T15-U$4)*(1+NORMINV(RAND(),INPUTS!$B$28,INPUTS!$B$29))))</f>
        <v>271670.289434864</v>
      </c>
      <c r="V15" s="89" t="n">
        <f aca="true">IF(V$5=0,U15,MAX(0,(U15-V$4)*(1+NORMINV(RAND(),INPUTS!$B$28,INPUTS!$B$29))))</f>
        <v>248535.574369707</v>
      </c>
      <c r="W15" s="89" t="n">
        <f aca="true">IF(W$5=0,V15,MAX(0,(V15-W$4)*(1+NORMINV(RAND(),INPUTS!$B$28,INPUTS!$B$29))))</f>
        <v>191116.215864542</v>
      </c>
      <c r="X15" s="89" t="n">
        <f aca="true">IF(X$5=0,W15,MAX(0,(W15-X$4)*(1+NORMINV(RAND(),INPUTS!$B$28,INPUTS!$B$29))))</f>
        <v>143524.454264425</v>
      </c>
      <c r="Y15" s="89" t="n">
        <f aca="true">IF(Y$5=0,X15,MAX(0,(X15-Y$4)*(1+NORMINV(RAND(),INPUTS!$B$28,INPUTS!$B$29))))</f>
        <v>93153.2917629802</v>
      </c>
      <c r="Z15" s="89" t="n">
        <f aca="true">IF(Z$5=0,Y15,MAX(0,(Y15-Z$4)*(1+NORMINV(RAND(),INPUTS!$B$28,INPUTS!$B$29))))</f>
        <v>39027.1918290507</v>
      </c>
      <c r="AA15" s="89" t="n">
        <f aca="true">IF(AA$5=0,Z15,MAX(0,(Z15-AA$4)*(1+NORMINV(RAND(),INPUTS!$B$28,INPUTS!$B$29))))</f>
        <v>0</v>
      </c>
      <c r="AB15" s="89" t="n">
        <f aca="true">IF(AB$5=0,AA15,MAX(0,(AA15-AB$4)*(1+NORMINV(RAND(),INPUTS!$B$28,INPUTS!$B$29))))</f>
        <v>0</v>
      </c>
      <c r="AC15" s="89" t="n">
        <f aca="true">IF(AC$5=0,AB15,MAX(0,(AB15-AC$4)*(1+NORMINV(RAND(),INPUTS!$B$28,INPUTS!$B$29))))</f>
        <v>0</v>
      </c>
      <c r="AD15" s="89" t="n">
        <f aca="true">IF(AD$5=0,AC15,MAX(0,(AC15-AD$4)*(1+NORMINV(RAND(),INPUTS!$B$28,INPUTS!$B$29))))</f>
        <v>0</v>
      </c>
      <c r="AE15" s="89" t="n">
        <f aca="true">IF(AE$5=0,AD15,MAX(0,(AD15-AE$4)*(1+NORMINV(RAND(),INPUTS!$B$28,INPUTS!$B$29))))</f>
        <v>0</v>
      </c>
      <c r="AF15" s="89" t="n">
        <f aca="true">IF(AF$5=0,AE15,MAX(0,(AE15-AF$4)*(1+NORMINV(RAND(),INPUTS!$B$28,INPUTS!$B$29))))</f>
        <v>0</v>
      </c>
      <c r="AG15" s="89" t="n">
        <f aca="true">IF(AG$5=0,AF15,MAX(0,(AF15-AG$4)*(1+NORMINV(RAND(),INPUTS!$B$28,INPUTS!$B$29))))</f>
        <v>0</v>
      </c>
      <c r="AH15" s="89" t="n">
        <f aca="true">IF(AH$5=0,AG15,MAX(0,(AG15-AH$4)*(1+NORMINV(RAND(),INPUTS!$B$28,INPUTS!$B$29))))</f>
        <v>0</v>
      </c>
      <c r="AI15" s="89" t="n">
        <f aca="true">IF(AI$5=0,AH15,MAX(0,(AH15-AI$4)*(1+NORMINV(RAND(),INPUTS!$B$28,INPUTS!$B$29))))</f>
        <v>0</v>
      </c>
      <c r="AJ15" s="89" t="n">
        <f aca="true">IF(AJ$5=0,AI15,MAX(0,(AI15-AJ$4)*(1+NORMINV(RAND(),INPUTS!$B$28,INPUTS!$B$29))))</f>
        <v>0</v>
      </c>
      <c r="AK15" s="89" t="n">
        <f aca="true">IF(AK$5=0,AJ15,MAX(0,(AJ15-AK$4)*(1+NORMINV(RAND(),INPUTS!$B$28,INPUTS!$B$29))))</f>
        <v>0</v>
      </c>
      <c r="AL15" s="89" t="n">
        <f aca="true">IF(AL$5=0,AK15,MAX(0,(AK15-AL$4)*(1+NORMINV(RAND(),INPUTS!$B$28,INPUTS!$B$29))))</f>
        <v>0</v>
      </c>
      <c r="AM15" s="89" t="n">
        <f aca="true">IF(AM$5=0,AL15,MAX(0,(AL15-AM$4)*(1+NORMINV(RAND(),INPUTS!$B$28,INPUTS!$B$29))))</f>
        <v>0</v>
      </c>
      <c r="AN15" s="89" t="n">
        <f aca="true">IF(AN$5=0,AM15,MAX(0,(AM15-AN$4)*(1+NORMINV(RAND(),INPUTS!$B$28,INPUTS!$B$29))))</f>
        <v>0</v>
      </c>
      <c r="AO15" s="89" t="n">
        <f aca="true">IF(AO$5=0,AN15,MAX(0,(AN15-AO$4)*(1+NORMINV(RAND(),INPUTS!$B$28,INPUTS!$B$29))))</f>
        <v>0</v>
      </c>
      <c r="AP15" s="89" t="n">
        <f aca="true">IF(AP$5=0,AO15,MAX(0,(AO15-AP$4)*(1+NORMINV(RAND(),INPUTS!$B$28,INPUTS!$B$29))))</f>
        <v>0</v>
      </c>
      <c r="AQ15" s="89" t="n">
        <f aca="true">IF(AQ$5=0,AP15,MAX(0,(AP15-AQ$4)*(1+NORMINV(RAND(),INPUTS!$B$28,INPUTS!$B$29))))</f>
        <v>0</v>
      </c>
      <c r="AR15" s="89" t="n">
        <f aca="true">IF(AR$5=0,AQ15,MAX(0,(AQ15-AR$4)*(1+NORMINV(RAND(),INPUTS!$B$28,INPUTS!$B$29))))</f>
        <v>0</v>
      </c>
      <c r="AS15" s="89" t="n">
        <f aca="true">IF(AS$5=0,AR15,MAX(0,(AR15-AS$4)*(1+NORMINV(RAND(),INPUTS!$B$28,INPUTS!$B$29))))</f>
        <v>0</v>
      </c>
      <c r="AT15" s="89" t="n">
        <f aca="true">IF(AT$5=0,AS15,MAX(0,(AS15-AT$4)*(1+NORMINV(RAND(),INPUTS!$B$28,INPUTS!$B$29))))</f>
        <v>0</v>
      </c>
      <c r="AU15" s="89" t="n">
        <f aca="true">IF(AU$5=0,AT15,MAX(0,(AT15-AU$4)*(1+NORMINV(RAND(),INPUTS!$B$28,INPUTS!$B$29))))</f>
        <v>0</v>
      </c>
      <c r="AV15" s="89" t="n">
        <f aca="true">IF(AV$5=0,AU15,MAX(0,(AU15-AV$4)*(1+NORMINV(RAND(),INPUTS!$B$28,INPUTS!$B$29))))</f>
        <v>0</v>
      </c>
      <c r="AW15" s="89" t="n">
        <f aca="true">IF(AW$5=0,AV15,MAX(0,(AV15-AW$4)*(1+NORMINV(RAND(),INPUTS!$B$28,INPUTS!$B$29))))</f>
        <v>0</v>
      </c>
      <c r="AX15" s="89" t="n">
        <f aca="true">IF(AX$5=0,AW15,MAX(0,(AW15-AX$4)*(1+NORMINV(RAND(),INPUTS!$B$28,INPUTS!$B$29))))</f>
        <v>0</v>
      </c>
      <c r="AY15" s="89" t="n">
        <f aca="true">IF(AY$5=0,AX15,MAX(0,(AX15-AY$4)*(1+NORMINV(RAND(),INPUTS!$B$28,INPUTS!$B$29))))</f>
        <v>0</v>
      </c>
      <c r="AZ15" s="89" t="n">
        <f aca="true">IF(AZ$5=0,AY15,MAX(0,(AY15-AZ$4)*(1+NORMINV(RAND(),INPUTS!$B$28,INPUTS!$B$29))))</f>
        <v>0</v>
      </c>
      <c r="BA15" s="89" t="n">
        <f aca="true">IF(BA$5=0,AZ15,MAX(0,(AZ15-BA$4)*(1+NORMINV(RAND(),INPUTS!$B$28,INPUTS!$B$29))))</f>
        <v>0</v>
      </c>
      <c r="BB15" s="89" t="n">
        <f aca="true">IF(BB$5=0,BA15,MAX(0,(BA15-BB$4)*(1+NORMINV(RAND(),INPUTS!$B$28,INPUTS!$B$29))))</f>
        <v>0</v>
      </c>
      <c r="BC15" s="89" t="n">
        <f aca="true">IF(BC$5=0,BB15,MAX(0,(BB15-BC$4)*(1+NORMINV(RAND(),INPUTS!$B$28,INPUTS!$B$29))))</f>
        <v>0</v>
      </c>
      <c r="BD15" s="89" t="n">
        <f aca="true">IF(BD$5=0,BC15,MAX(0,(BC15-BD$4)*(1+NORMINV(RAND(),INPUTS!$B$28,INPUTS!$B$29))))</f>
        <v>0</v>
      </c>
      <c r="BE15" s="89" t="n">
        <f aca="true">IF(BE$5=0,BD15,MAX(0,(BD15-BE$4)*(1+NORMINV(RAND(),INPUTS!$B$28,INPUTS!$B$29))))</f>
        <v>0</v>
      </c>
      <c r="BF15" s="89" t="n">
        <f aca="true">IF(BF$5=0,BE15,MAX(0,(BE15-BF$4)*(1+NORMINV(RAND(),INPUTS!$B$28,INPUTS!$B$29))))</f>
        <v>0</v>
      </c>
      <c r="BG15" s="89" t="n">
        <f aca="true">IF(BG$5=0,BF15,MAX(0,(BF15-BG$4)*(1+NORMINV(RAND(),INPUTS!$B$28,INPUTS!$B$29))))</f>
        <v>0</v>
      </c>
      <c r="BH15" s="89" t="n">
        <f aca="true">IF(BH$5=0,BG15,MAX(0,(BG15-BH$4)*(1+NORMINV(RAND(),INPUTS!$B$28,INPUTS!$B$29))))</f>
        <v>0</v>
      </c>
      <c r="BI15" s="89" t="n">
        <f aca="true">IF(BI$5=0,BH15,MAX(0,(BH15-BI$4)*(1+NORMINV(RAND(),INPUTS!$B$28,INPUTS!$B$29))))</f>
        <v>0</v>
      </c>
      <c r="BJ15" s="89" t="n">
        <f aca="true">IF(BJ$5=0,BI15,MAX(0,(BI15-BJ$4)*(1+NORMINV(RAND(),INPUTS!$B$28,INPUTS!$B$29))))</f>
        <v>0</v>
      </c>
    </row>
    <row r="16" customFormat="false" ht="15" hidden="false" customHeight="true" outlineLevel="0" collapsed="false">
      <c r="A16" s="87" t="n">
        <v>9</v>
      </c>
      <c r="B16" s="88" t="n">
        <f aca="false">LOOKUP(9.99E+307,C16:BJ16)</f>
        <v>5993997.43547549</v>
      </c>
      <c r="C16" s="89" t="n">
        <f aca="true">IF(C$5=0,INPUTS!$B$35,MAX(0,(INPUTS!$B$35-C$4)*(1+NORMINV(RAND(),INPUTS!$B$28,INPUTS!$B$29))))</f>
        <v>1432141.2685774</v>
      </c>
      <c r="D16" s="89" t="n">
        <f aca="true">IF(D$5=0,C16,MAX(0,(C16-D$4)*(1+NORMINV(RAND(),INPUTS!$B$28,INPUTS!$B$29))))</f>
        <v>1558234.30948645</v>
      </c>
      <c r="E16" s="89" t="n">
        <f aca="true">IF(E$5=0,D16,MAX(0,(D16-E$4)*(1+NORMINV(RAND(),INPUTS!$B$28,INPUTS!$B$29))))</f>
        <v>1944009.91332915</v>
      </c>
      <c r="F16" s="89" t="n">
        <f aca="true">IF(F$5=0,E16,MAX(0,(E16-F$4)*(1+NORMINV(RAND(),INPUTS!$B$28,INPUTS!$B$29))))</f>
        <v>1771446.96984345</v>
      </c>
      <c r="G16" s="89" t="n">
        <f aca="true">IF(G$5=0,F16,MAX(0,(F16-G$4)*(1+NORMINV(RAND(),INPUTS!$B$28,INPUTS!$B$29))))</f>
        <v>2011783.36957297</v>
      </c>
      <c r="H16" s="89" t="n">
        <f aca="true">IF(H$5=0,G16,MAX(0,(G16-H$4)*(1+NORMINV(RAND(),INPUTS!$B$28,INPUTS!$B$29))))</f>
        <v>1691021.6003898</v>
      </c>
      <c r="I16" s="89" t="n">
        <f aca="true">IF(I$5=0,H16,MAX(0,(H16-I$4)*(1+NORMINV(RAND(),INPUTS!$B$28,INPUTS!$B$29))))</f>
        <v>1851846.93893022</v>
      </c>
      <c r="J16" s="89" t="n">
        <f aca="true">IF(J$5=0,I16,MAX(0,(I16-J$4)*(1+NORMINV(RAND(),INPUTS!$B$28,INPUTS!$B$29))))</f>
        <v>1628544.29006439</v>
      </c>
      <c r="K16" s="89" t="n">
        <f aca="true">IF(K$5=0,J16,MAX(0,(J16-K$4)*(1+NORMINV(RAND(),INPUTS!$B$28,INPUTS!$B$29))))</f>
        <v>1544650.46017549</v>
      </c>
      <c r="L16" s="89" t="n">
        <f aca="true">IF(L$5=0,K16,MAX(0,(K16-L$4)*(1+NORMINV(RAND(),INPUTS!$B$28,INPUTS!$B$29))))</f>
        <v>1474306.91575887</v>
      </c>
      <c r="M16" s="89" t="n">
        <f aca="true">IF(M$5=0,L16,MAX(0,(L16-M$4)*(1+NORMINV(RAND(),INPUTS!$B$28,INPUTS!$B$29))))</f>
        <v>1392954.94903681</v>
      </c>
      <c r="N16" s="89" t="n">
        <f aca="true">IF(N$5=0,M16,MAX(0,(M16-N$4)*(1+NORMINV(RAND(),INPUTS!$B$28,INPUTS!$B$29))))</f>
        <v>1584490.99916017</v>
      </c>
      <c r="O16" s="89" t="n">
        <f aca="true">IF(O$5=0,N16,MAX(0,(N16-O$4)*(1+NORMINV(RAND(),INPUTS!$B$28,INPUTS!$B$29))))</f>
        <v>1765630.30326736</v>
      </c>
      <c r="P16" s="89" t="n">
        <f aca="true">IF(P$5=0,O16,MAX(0,(O16-P$4)*(1+NORMINV(RAND(),INPUTS!$B$28,INPUTS!$B$29))))</f>
        <v>1845512.34683053</v>
      </c>
      <c r="Q16" s="89" t="n">
        <f aca="true">IF(Q$5=0,P16,MAX(0,(P16-Q$4)*(1+NORMINV(RAND(),INPUTS!$B$28,INPUTS!$B$29))))</f>
        <v>1917219.84796883</v>
      </c>
      <c r="R16" s="89" t="n">
        <f aca="true">IF(R$5=0,Q16,MAX(0,(Q16-R$4)*(1+NORMINV(RAND(),INPUTS!$B$28,INPUTS!$B$29))))</f>
        <v>2040078.40805972</v>
      </c>
      <c r="S16" s="89" t="n">
        <f aca="true">IF(S$5=0,R16,MAX(0,(R16-S$4)*(1+NORMINV(RAND(),INPUTS!$B$28,INPUTS!$B$29))))</f>
        <v>2186240.9941402</v>
      </c>
      <c r="T16" s="89" t="n">
        <f aca="true">IF(T$5=0,S16,MAX(0,(S16-T$4)*(1+NORMINV(RAND(),INPUTS!$B$28,INPUTS!$B$29))))</f>
        <v>2456962.89608742</v>
      </c>
      <c r="U16" s="89" t="n">
        <f aca="true">IF(U$5=0,T16,MAX(0,(T16-U$4)*(1+NORMINV(RAND(),INPUTS!$B$28,INPUTS!$B$29))))</f>
        <v>2333493.6241524</v>
      </c>
      <c r="V16" s="89" t="n">
        <f aca="true">IF(V$5=0,U16,MAX(0,(U16-V$4)*(1+NORMINV(RAND(),INPUTS!$B$28,INPUTS!$B$29))))</f>
        <v>2449337.62875051</v>
      </c>
      <c r="W16" s="89" t="n">
        <f aca="true">IF(W$5=0,V16,MAX(0,(V16-W$4)*(1+NORMINV(RAND(),INPUTS!$B$28,INPUTS!$B$29))))</f>
        <v>2486435.49831254</v>
      </c>
      <c r="X16" s="89" t="n">
        <f aca="true">IF(X$5=0,W16,MAX(0,(W16-X$4)*(1+NORMINV(RAND(),INPUTS!$B$28,INPUTS!$B$29))))</f>
        <v>2042222.02744207</v>
      </c>
      <c r="Y16" s="89" t="n">
        <f aca="true">IF(Y$5=0,X16,MAX(0,(X16-Y$4)*(1+NORMINV(RAND(),INPUTS!$B$28,INPUTS!$B$29))))</f>
        <v>2138424.70761253</v>
      </c>
      <c r="Z16" s="89" t="n">
        <f aca="true">IF(Z$5=0,Y16,MAX(0,(Y16-Z$4)*(1+NORMINV(RAND(),INPUTS!$B$28,INPUTS!$B$29))))</f>
        <v>2431546.7256199</v>
      </c>
      <c r="AA16" s="89" t="n">
        <f aca="true">IF(AA$5=0,Z16,MAX(0,(Z16-AA$4)*(1+NORMINV(RAND(),INPUTS!$B$28,INPUTS!$B$29))))</f>
        <v>2842834.74614109</v>
      </c>
      <c r="AB16" s="89" t="n">
        <f aca="true">IF(AB$5=0,AA16,MAX(0,(AA16-AB$4)*(1+NORMINV(RAND(),INPUTS!$B$28,INPUTS!$B$29))))</f>
        <v>3089385.00677604</v>
      </c>
      <c r="AC16" s="89" t="n">
        <f aca="true">IF(AC$5=0,AB16,MAX(0,(AB16-AC$4)*(1+NORMINV(RAND(),INPUTS!$B$28,INPUTS!$B$29))))</f>
        <v>3150386.54064322</v>
      </c>
      <c r="AD16" s="89" t="n">
        <f aca="true">IF(AD$5=0,AC16,MAX(0,(AC16-AD$4)*(1+NORMINV(RAND(),INPUTS!$B$28,INPUTS!$B$29))))</f>
        <v>3145304.14750637</v>
      </c>
      <c r="AE16" s="89" t="n">
        <f aca="true">IF(AE$5=0,AD16,MAX(0,(AD16-AE$4)*(1+NORMINV(RAND(),INPUTS!$B$28,INPUTS!$B$29))))</f>
        <v>3579920.63308438</v>
      </c>
      <c r="AF16" s="89" t="n">
        <f aca="true">IF(AF$5=0,AE16,MAX(0,(AE16-AF$4)*(1+NORMINV(RAND(),INPUTS!$B$28,INPUTS!$B$29))))</f>
        <v>3538549.86014597</v>
      </c>
      <c r="AG16" s="89" t="n">
        <f aca="true">IF(AG$5=0,AF16,MAX(0,(AF16-AG$4)*(1+NORMINV(RAND(),INPUTS!$B$28,INPUTS!$B$29))))</f>
        <v>3881646.40344855</v>
      </c>
      <c r="AH16" s="89" t="n">
        <f aca="true">IF(AH$5=0,AG16,MAX(0,(AG16-AH$4)*(1+NORMINV(RAND(),INPUTS!$B$28,INPUTS!$B$29))))</f>
        <v>4163193.40718561</v>
      </c>
      <c r="AI16" s="89" t="n">
        <f aca="true">IF(AI$5=0,AH16,MAX(0,(AH16-AI$4)*(1+NORMINV(RAND(),INPUTS!$B$28,INPUTS!$B$29))))</f>
        <v>4218252.1858587</v>
      </c>
      <c r="AJ16" s="89" t="n">
        <f aca="true">IF(AJ$5=0,AI16,MAX(0,(AI16-AJ$4)*(1+NORMINV(RAND(),INPUTS!$B$28,INPUTS!$B$29))))</f>
        <v>4776343.32208687</v>
      </c>
      <c r="AK16" s="89" t="n">
        <f aca="true">IF(AK$5=0,AJ16,MAX(0,(AJ16-AK$4)*(1+NORMINV(RAND(),INPUTS!$B$28,INPUTS!$B$29))))</f>
        <v>5595206.98341859</v>
      </c>
      <c r="AL16" s="89" t="n">
        <f aca="true">IF(AL$5=0,AK16,MAX(0,(AK16-AL$4)*(1+NORMINV(RAND(),INPUTS!$B$28,INPUTS!$B$29))))</f>
        <v>5993997.43547549</v>
      </c>
      <c r="AM16" s="89" t="n">
        <f aca="true">IF(AM$5=0,AL16,MAX(0,(AL16-AM$4)*(1+NORMINV(RAND(),INPUTS!$B$28,INPUTS!$B$29))))</f>
        <v>5993997.43547549</v>
      </c>
      <c r="AN16" s="89" t="n">
        <f aca="true">IF(AN$5=0,AM16,MAX(0,(AM16-AN$4)*(1+NORMINV(RAND(),INPUTS!$B$28,INPUTS!$B$29))))</f>
        <v>5993997.43547549</v>
      </c>
      <c r="AO16" s="89" t="n">
        <f aca="true">IF(AO$5=0,AN16,MAX(0,(AN16-AO$4)*(1+NORMINV(RAND(),INPUTS!$B$28,INPUTS!$B$29))))</f>
        <v>5993997.43547549</v>
      </c>
      <c r="AP16" s="89" t="n">
        <f aca="true">IF(AP$5=0,AO16,MAX(0,(AO16-AP$4)*(1+NORMINV(RAND(),INPUTS!$B$28,INPUTS!$B$29))))</f>
        <v>5993997.43547549</v>
      </c>
      <c r="AQ16" s="89" t="n">
        <f aca="true">IF(AQ$5=0,AP16,MAX(0,(AP16-AQ$4)*(1+NORMINV(RAND(),INPUTS!$B$28,INPUTS!$B$29))))</f>
        <v>5993997.43547549</v>
      </c>
      <c r="AR16" s="89" t="n">
        <f aca="true">IF(AR$5=0,AQ16,MAX(0,(AQ16-AR$4)*(1+NORMINV(RAND(),INPUTS!$B$28,INPUTS!$B$29))))</f>
        <v>5993997.43547549</v>
      </c>
      <c r="AS16" s="89" t="n">
        <f aca="true">IF(AS$5=0,AR16,MAX(0,(AR16-AS$4)*(1+NORMINV(RAND(),INPUTS!$B$28,INPUTS!$B$29))))</f>
        <v>5993997.43547549</v>
      </c>
      <c r="AT16" s="89" t="n">
        <f aca="true">IF(AT$5=0,AS16,MAX(0,(AS16-AT$4)*(1+NORMINV(RAND(),INPUTS!$B$28,INPUTS!$B$29))))</f>
        <v>5993997.43547549</v>
      </c>
      <c r="AU16" s="89" t="n">
        <f aca="true">IF(AU$5=0,AT16,MAX(0,(AT16-AU$4)*(1+NORMINV(RAND(),INPUTS!$B$28,INPUTS!$B$29))))</f>
        <v>5993997.43547549</v>
      </c>
      <c r="AV16" s="89" t="n">
        <f aca="true">IF(AV$5=0,AU16,MAX(0,(AU16-AV$4)*(1+NORMINV(RAND(),INPUTS!$B$28,INPUTS!$B$29))))</f>
        <v>5993997.43547549</v>
      </c>
      <c r="AW16" s="89" t="n">
        <f aca="true">IF(AW$5=0,AV16,MAX(0,(AV16-AW$4)*(1+NORMINV(RAND(),INPUTS!$B$28,INPUTS!$B$29))))</f>
        <v>5993997.43547549</v>
      </c>
      <c r="AX16" s="89" t="n">
        <f aca="true">IF(AX$5=0,AW16,MAX(0,(AW16-AX$4)*(1+NORMINV(RAND(),INPUTS!$B$28,INPUTS!$B$29))))</f>
        <v>5993997.43547549</v>
      </c>
      <c r="AY16" s="89" t="n">
        <f aca="true">IF(AY$5=0,AX16,MAX(0,(AX16-AY$4)*(1+NORMINV(RAND(),INPUTS!$B$28,INPUTS!$B$29))))</f>
        <v>5993997.43547549</v>
      </c>
      <c r="AZ16" s="89" t="n">
        <f aca="true">IF(AZ$5=0,AY16,MAX(0,(AY16-AZ$4)*(1+NORMINV(RAND(),INPUTS!$B$28,INPUTS!$B$29))))</f>
        <v>5993997.43547549</v>
      </c>
      <c r="BA16" s="89" t="n">
        <f aca="true">IF(BA$5=0,AZ16,MAX(0,(AZ16-BA$4)*(1+NORMINV(RAND(),INPUTS!$B$28,INPUTS!$B$29))))</f>
        <v>5993997.43547549</v>
      </c>
      <c r="BB16" s="89" t="n">
        <f aca="true">IF(BB$5=0,BA16,MAX(0,(BA16-BB$4)*(1+NORMINV(RAND(),INPUTS!$B$28,INPUTS!$B$29))))</f>
        <v>5993997.43547549</v>
      </c>
      <c r="BC16" s="89" t="n">
        <f aca="true">IF(BC$5=0,BB16,MAX(0,(BB16-BC$4)*(1+NORMINV(RAND(),INPUTS!$B$28,INPUTS!$B$29))))</f>
        <v>5993997.43547549</v>
      </c>
      <c r="BD16" s="89" t="n">
        <f aca="true">IF(BD$5=0,BC16,MAX(0,(BC16-BD$4)*(1+NORMINV(RAND(),INPUTS!$B$28,INPUTS!$B$29))))</f>
        <v>5993997.43547549</v>
      </c>
      <c r="BE16" s="89" t="n">
        <f aca="true">IF(BE$5=0,BD16,MAX(0,(BD16-BE$4)*(1+NORMINV(RAND(),INPUTS!$B$28,INPUTS!$B$29))))</f>
        <v>5993997.43547549</v>
      </c>
      <c r="BF16" s="89" t="n">
        <f aca="true">IF(BF$5=0,BE16,MAX(0,(BE16-BF$4)*(1+NORMINV(RAND(),INPUTS!$B$28,INPUTS!$B$29))))</f>
        <v>5993997.43547549</v>
      </c>
      <c r="BG16" s="89" t="n">
        <f aca="true">IF(BG$5=0,BF16,MAX(0,(BF16-BG$4)*(1+NORMINV(RAND(),INPUTS!$B$28,INPUTS!$B$29))))</f>
        <v>5993997.43547549</v>
      </c>
      <c r="BH16" s="89" t="n">
        <f aca="true">IF(BH$5=0,BG16,MAX(0,(BG16-BH$4)*(1+NORMINV(RAND(),INPUTS!$B$28,INPUTS!$B$29))))</f>
        <v>5993997.43547549</v>
      </c>
      <c r="BI16" s="89" t="n">
        <f aca="true">IF(BI$5=0,BH16,MAX(0,(BH16-BI$4)*(1+NORMINV(RAND(),INPUTS!$B$28,INPUTS!$B$29))))</f>
        <v>5993997.43547549</v>
      </c>
      <c r="BJ16" s="89" t="n">
        <f aca="true">IF(BJ$5=0,BI16,MAX(0,(BI16-BJ$4)*(1+NORMINV(RAND(),INPUTS!$B$28,INPUTS!$B$29))))</f>
        <v>5993997.43547549</v>
      </c>
    </row>
    <row r="17" customFormat="false" ht="15" hidden="false" customHeight="true" outlineLevel="0" collapsed="false">
      <c r="A17" s="87" t="n">
        <v>10</v>
      </c>
      <c r="B17" s="88" t="n">
        <f aca="false">LOOKUP(9.99E+307,C17:BJ17)</f>
        <v>7277754.91814164</v>
      </c>
      <c r="C17" s="89" t="n">
        <f aca="true">IF(C$5=0,INPUTS!$B$35,MAX(0,(INPUTS!$B$35-C$4)*(1+NORMINV(RAND(),INPUTS!$B$28,INPUTS!$B$29))))</f>
        <v>1759255.87500887</v>
      </c>
      <c r="D17" s="89" t="n">
        <f aca="true">IF(D$5=0,C17,MAX(0,(C17-D$4)*(1+NORMINV(RAND(),INPUTS!$B$28,INPUTS!$B$29))))</f>
        <v>1835833.1063139</v>
      </c>
      <c r="E17" s="89" t="n">
        <f aca="true">IF(E$5=0,D17,MAX(0,(D17-E$4)*(1+NORMINV(RAND(),INPUTS!$B$28,INPUTS!$B$29))))</f>
        <v>1479060.72623039</v>
      </c>
      <c r="F17" s="89" t="n">
        <f aca="true">IF(F$5=0,E17,MAX(0,(E17-F$4)*(1+NORMINV(RAND(),INPUTS!$B$28,INPUTS!$B$29))))</f>
        <v>1499632.96831359</v>
      </c>
      <c r="G17" s="89" t="n">
        <f aca="true">IF(G$5=0,F17,MAX(0,(F17-G$4)*(1+NORMINV(RAND(),INPUTS!$B$28,INPUTS!$B$29))))</f>
        <v>1917459.85879727</v>
      </c>
      <c r="H17" s="89" t="n">
        <f aca="true">IF(H$5=0,G17,MAX(0,(G17-H$4)*(1+NORMINV(RAND(),INPUTS!$B$28,INPUTS!$B$29))))</f>
        <v>2045807.84789342</v>
      </c>
      <c r="I17" s="89" t="n">
        <f aca="true">IF(I$5=0,H17,MAX(0,(H17-I$4)*(1+NORMINV(RAND(),INPUTS!$B$28,INPUTS!$B$29))))</f>
        <v>2660087.25798494</v>
      </c>
      <c r="J17" s="89" t="n">
        <f aca="true">IF(J$5=0,I17,MAX(0,(I17-J$4)*(1+NORMINV(RAND(),INPUTS!$B$28,INPUTS!$B$29))))</f>
        <v>2747001.76052037</v>
      </c>
      <c r="K17" s="89" t="n">
        <f aca="true">IF(K$5=0,J17,MAX(0,(J17-K$4)*(1+NORMINV(RAND(),INPUTS!$B$28,INPUTS!$B$29))))</f>
        <v>3428800.27727019</v>
      </c>
      <c r="L17" s="89" t="n">
        <f aca="true">IF(L$5=0,K17,MAX(0,(K17-L$4)*(1+NORMINV(RAND(),INPUTS!$B$28,INPUTS!$B$29))))</f>
        <v>4026117.79764843</v>
      </c>
      <c r="M17" s="89" t="n">
        <f aca="true">IF(M$5=0,L17,MAX(0,(L17-M$4)*(1+NORMINV(RAND(),INPUTS!$B$28,INPUTS!$B$29))))</f>
        <v>4731845.22842936</v>
      </c>
      <c r="N17" s="89" t="n">
        <f aca="true">IF(N$5=0,M17,MAX(0,(M17-N$4)*(1+NORMINV(RAND(),INPUTS!$B$28,INPUTS!$B$29))))</f>
        <v>4988080.87362232</v>
      </c>
      <c r="O17" s="89" t="n">
        <f aca="true">IF(O$5=0,N17,MAX(0,(N17-O$4)*(1+NORMINV(RAND(),INPUTS!$B$28,INPUTS!$B$29))))</f>
        <v>5150944.29110158</v>
      </c>
      <c r="P17" s="89" t="n">
        <f aca="true">IF(P$5=0,O17,MAX(0,(O17-P$4)*(1+NORMINV(RAND(),INPUTS!$B$28,INPUTS!$B$29))))</f>
        <v>6008764.67776423</v>
      </c>
      <c r="Q17" s="89" t="n">
        <f aca="true">IF(Q$5=0,P17,MAX(0,(P17-Q$4)*(1+NORMINV(RAND(),INPUTS!$B$28,INPUTS!$B$29))))</f>
        <v>6064199.53986553</v>
      </c>
      <c r="R17" s="89" t="n">
        <f aca="true">IF(R$5=0,Q17,MAX(0,(Q17-R$4)*(1+NORMINV(RAND(),INPUTS!$B$28,INPUTS!$B$29))))</f>
        <v>6120804.50498455</v>
      </c>
      <c r="S17" s="89" t="n">
        <f aca="true">IF(S$5=0,R17,MAX(0,(R17-S$4)*(1+NORMINV(RAND(),INPUTS!$B$28,INPUTS!$B$29))))</f>
        <v>6090366.90434218</v>
      </c>
      <c r="T17" s="89" t="n">
        <f aca="true">IF(T$5=0,S17,MAX(0,(S17-T$4)*(1+NORMINV(RAND(),INPUTS!$B$28,INPUTS!$B$29))))</f>
        <v>5724211.6318505</v>
      </c>
      <c r="U17" s="89" t="n">
        <f aca="true">IF(U$5=0,T17,MAX(0,(T17-U$4)*(1+NORMINV(RAND(),INPUTS!$B$28,INPUTS!$B$29))))</f>
        <v>5506901.52366985</v>
      </c>
      <c r="V17" s="89" t="n">
        <f aca="true">IF(V$5=0,U17,MAX(0,(U17-V$4)*(1+NORMINV(RAND(),INPUTS!$B$28,INPUTS!$B$29))))</f>
        <v>5360376.05099911</v>
      </c>
      <c r="W17" s="89" t="n">
        <f aca="true">IF(W$5=0,V17,MAX(0,(V17-W$4)*(1+NORMINV(RAND(),INPUTS!$B$28,INPUTS!$B$29))))</f>
        <v>5168637.01811749</v>
      </c>
      <c r="X17" s="89" t="n">
        <f aca="true">IF(X$5=0,W17,MAX(0,(W17-X$4)*(1+NORMINV(RAND(),INPUTS!$B$28,INPUTS!$B$29))))</f>
        <v>6052496.24240667</v>
      </c>
      <c r="Y17" s="89" t="n">
        <f aca="true">IF(Y$5=0,X17,MAX(0,(X17-Y$4)*(1+NORMINV(RAND(),INPUTS!$B$28,INPUTS!$B$29))))</f>
        <v>6942915.7056208</v>
      </c>
      <c r="Z17" s="89" t="n">
        <f aca="true">IF(Z$5=0,Y17,MAX(0,(Y17-Z$4)*(1+NORMINV(RAND(),INPUTS!$B$28,INPUTS!$B$29))))</f>
        <v>7086609.56292683</v>
      </c>
      <c r="AA17" s="89" t="n">
        <f aca="true">IF(AA$5=0,Z17,MAX(0,(Z17-AA$4)*(1+NORMINV(RAND(),INPUTS!$B$28,INPUTS!$B$29))))</f>
        <v>7157574.63317598</v>
      </c>
      <c r="AB17" s="89" t="n">
        <f aca="true">IF(AB$5=0,AA17,MAX(0,(AA17-AB$4)*(1+NORMINV(RAND(),INPUTS!$B$28,INPUTS!$B$29))))</f>
        <v>6426917.25104331</v>
      </c>
      <c r="AC17" s="89" t="n">
        <f aca="true">IF(AC$5=0,AB17,MAX(0,(AB17-AC$4)*(1+NORMINV(RAND(),INPUTS!$B$28,INPUTS!$B$29))))</f>
        <v>5789623.83712896</v>
      </c>
      <c r="AD17" s="89" t="n">
        <f aca="true">IF(AD$5=0,AC17,MAX(0,(AC17-AD$4)*(1+NORMINV(RAND(),INPUTS!$B$28,INPUTS!$B$29))))</f>
        <v>6637581.08583926</v>
      </c>
      <c r="AE17" s="89" t="n">
        <f aca="true">IF(AE$5=0,AD17,MAX(0,(AD17-AE$4)*(1+NORMINV(RAND(),INPUTS!$B$28,INPUTS!$B$29))))</f>
        <v>6960800.31642728</v>
      </c>
      <c r="AF17" s="89" t="n">
        <f aca="true">IF(AF$5=0,AE17,MAX(0,(AE17-AF$4)*(1+NORMINV(RAND(),INPUTS!$B$28,INPUTS!$B$29))))</f>
        <v>7709374.35564825</v>
      </c>
      <c r="AG17" s="89" t="n">
        <f aca="true">IF(AG$5=0,AF17,MAX(0,(AF17-AG$4)*(1+NORMINV(RAND(),INPUTS!$B$28,INPUTS!$B$29))))</f>
        <v>6160819.20089985</v>
      </c>
      <c r="AH17" s="89" t="n">
        <f aca="true">IF(AH$5=0,AG17,MAX(0,(AG17-AH$4)*(1+NORMINV(RAND(),INPUTS!$B$28,INPUTS!$B$29))))</f>
        <v>5803906.88460437</v>
      </c>
      <c r="AI17" s="89" t="n">
        <f aca="true">IF(AI$5=0,AH17,MAX(0,(AH17-AI$4)*(1+NORMINV(RAND(),INPUTS!$B$28,INPUTS!$B$29))))</f>
        <v>6072937.1152807</v>
      </c>
      <c r="AJ17" s="89" t="n">
        <f aca="true">IF(AJ$5=0,AI17,MAX(0,(AI17-AJ$4)*(1+NORMINV(RAND(),INPUTS!$B$28,INPUTS!$B$29))))</f>
        <v>6166617.30450282</v>
      </c>
      <c r="AK17" s="89" t="n">
        <f aca="true">IF(AK$5=0,AJ17,MAX(0,(AJ17-AK$4)*(1+NORMINV(RAND(),INPUTS!$B$28,INPUTS!$B$29))))</f>
        <v>6797731.78283931</v>
      </c>
      <c r="AL17" s="89" t="n">
        <f aca="true">IF(AL$5=0,AK17,MAX(0,(AK17-AL$4)*(1+NORMINV(RAND(),INPUTS!$B$28,INPUTS!$B$29))))</f>
        <v>7277754.91814164</v>
      </c>
      <c r="AM17" s="89" t="n">
        <f aca="true">IF(AM$5=0,AL17,MAX(0,(AL17-AM$4)*(1+NORMINV(RAND(),INPUTS!$B$28,INPUTS!$B$29))))</f>
        <v>7277754.91814164</v>
      </c>
      <c r="AN17" s="89" t="n">
        <f aca="true">IF(AN$5=0,AM17,MAX(0,(AM17-AN$4)*(1+NORMINV(RAND(),INPUTS!$B$28,INPUTS!$B$29))))</f>
        <v>7277754.91814164</v>
      </c>
      <c r="AO17" s="89" t="n">
        <f aca="true">IF(AO$5=0,AN17,MAX(0,(AN17-AO$4)*(1+NORMINV(RAND(),INPUTS!$B$28,INPUTS!$B$29))))</f>
        <v>7277754.91814164</v>
      </c>
      <c r="AP17" s="89" t="n">
        <f aca="true">IF(AP$5=0,AO17,MAX(0,(AO17-AP$4)*(1+NORMINV(RAND(),INPUTS!$B$28,INPUTS!$B$29))))</f>
        <v>7277754.91814164</v>
      </c>
      <c r="AQ17" s="89" t="n">
        <f aca="true">IF(AQ$5=0,AP17,MAX(0,(AP17-AQ$4)*(1+NORMINV(RAND(),INPUTS!$B$28,INPUTS!$B$29))))</f>
        <v>7277754.91814164</v>
      </c>
      <c r="AR17" s="89" t="n">
        <f aca="true">IF(AR$5=0,AQ17,MAX(0,(AQ17-AR$4)*(1+NORMINV(RAND(),INPUTS!$B$28,INPUTS!$B$29))))</f>
        <v>7277754.91814164</v>
      </c>
      <c r="AS17" s="89" t="n">
        <f aca="true">IF(AS$5=0,AR17,MAX(0,(AR17-AS$4)*(1+NORMINV(RAND(),INPUTS!$B$28,INPUTS!$B$29))))</f>
        <v>7277754.91814164</v>
      </c>
      <c r="AT17" s="89" t="n">
        <f aca="true">IF(AT$5=0,AS17,MAX(0,(AS17-AT$4)*(1+NORMINV(RAND(),INPUTS!$B$28,INPUTS!$B$29))))</f>
        <v>7277754.91814164</v>
      </c>
      <c r="AU17" s="89" t="n">
        <f aca="true">IF(AU$5=0,AT17,MAX(0,(AT17-AU$4)*(1+NORMINV(RAND(),INPUTS!$B$28,INPUTS!$B$29))))</f>
        <v>7277754.91814164</v>
      </c>
      <c r="AV17" s="89" t="n">
        <f aca="true">IF(AV$5=0,AU17,MAX(0,(AU17-AV$4)*(1+NORMINV(RAND(),INPUTS!$B$28,INPUTS!$B$29))))</f>
        <v>7277754.91814164</v>
      </c>
      <c r="AW17" s="89" t="n">
        <f aca="true">IF(AW$5=0,AV17,MAX(0,(AV17-AW$4)*(1+NORMINV(RAND(),INPUTS!$B$28,INPUTS!$B$29))))</f>
        <v>7277754.91814164</v>
      </c>
      <c r="AX17" s="89" t="n">
        <f aca="true">IF(AX$5=0,AW17,MAX(0,(AW17-AX$4)*(1+NORMINV(RAND(),INPUTS!$B$28,INPUTS!$B$29))))</f>
        <v>7277754.91814164</v>
      </c>
      <c r="AY17" s="89" t="n">
        <f aca="true">IF(AY$5=0,AX17,MAX(0,(AX17-AY$4)*(1+NORMINV(RAND(),INPUTS!$B$28,INPUTS!$B$29))))</f>
        <v>7277754.91814164</v>
      </c>
      <c r="AZ17" s="89" t="n">
        <f aca="true">IF(AZ$5=0,AY17,MAX(0,(AY17-AZ$4)*(1+NORMINV(RAND(),INPUTS!$B$28,INPUTS!$B$29))))</f>
        <v>7277754.91814164</v>
      </c>
      <c r="BA17" s="89" t="n">
        <f aca="true">IF(BA$5=0,AZ17,MAX(0,(AZ17-BA$4)*(1+NORMINV(RAND(),INPUTS!$B$28,INPUTS!$B$29))))</f>
        <v>7277754.91814164</v>
      </c>
      <c r="BB17" s="89" t="n">
        <f aca="true">IF(BB$5=0,BA17,MAX(0,(BA17-BB$4)*(1+NORMINV(RAND(),INPUTS!$B$28,INPUTS!$B$29))))</f>
        <v>7277754.91814164</v>
      </c>
      <c r="BC17" s="89" t="n">
        <f aca="true">IF(BC$5=0,BB17,MAX(0,(BB17-BC$4)*(1+NORMINV(RAND(),INPUTS!$B$28,INPUTS!$B$29))))</f>
        <v>7277754.91814164</v>
      </c>
      <c r="BD17" s="89" t="n">
        <f aca="true">IF(BD$5=0,BC17,MAX(0,(BC17-BD$4)*(1+NORMINV(RAND(),INPUTS!$B$28,INPUTS!$B$29))))</f>
        <v>7277754.91814164</v>
      </c>
      <c r="BE17" s="89" t="n">
        <f aca="true">IF(BE$5=0,BD17,MAX(0,(BD17-BE$4)*(1+NORMINV(RAND(),INPUTS!$B$28,INPUTS!$B$29))))</f>
        <v>7277754.91814164</v>
      </c>
      <c r="BF17" s="89" t="n">
        <f aca="true">IF(BF$5=0,BE17,MAX(0,(BE17-BF$4)*(1+NORMINV(RAND(),INPUTS!$B$28,INPUTS!$B$29))))</f>
        <v>7277754.91814164</v>
      </c>
      <c r="BG17" s="89" t="n">
        <f aca="true">IF(BG$5=0,BF17,MAX(0,(BF17-BG$4)*(1+NORMINV(RAND(),INPUTS!$B$28,INPUTS!$B$29))))</f>
        <v>7277754.91814164</v>
      </c>
      <c r="BH17" s="89" t="n">
        <f aca="true">IF(BH$5=0,BG17,MAX(0,(BG17-BH$4)*(1+NORMINV(RAND(),INPUTS!$B$28,INPUTS!$B$29))))</f>
        <v>7277754.91814164</v>
      </c>
      <c r="BI17" s="89" t="n">
        <f aca="true">IF(BI$5=0,BH17,MAX(0,(BH17-BI$4)*(1+NORMINV(RAND(),INPUTS!$B$28,INPUTS!$B$29))))</f>
        <v>7277754.91814164</v>
      </c>
      <c r="BJ17" s="89" t="n">
        <f aca="true">IF(BJ$5=0,BI17,MAX(0,(BI17-BJ$4)*(1+NORMINV(RAND(),INPUTS!$B$28,INPUTS!$B$29))))</f>
        <v>7277754.91814164</v>
      </c>
    </row>
    <row r="18" customFormat="false" ht="15" hidden="false" customHeight="true" outlineLevel="0" collapsed="false">
      <c r="A18" s="87" t="n">
        <v>11</v>
      </c>
      <c r="B18" s="88" t="n">
        <f aca="false">LOOKUP(9.99E+307,C18:BJ18)</f>
        <v>8732287.39375885</v>
      </c>
      <c r="C18" s="89" t="n">
        <f aca="true">IF(C$5=0,INPUTS!$B$35,MAX(0,(INPUTS!$B$35-C$4)*(1+NORMINV(RAND(),INPUTS!$B$28,INPUTS!$B$29))))</f>
        <v>1507598.90204377</v>
      </c>
      <c r="D18" s="89" t="n">
        <f aca="true">IF(D$5=0,C18,MAX(0,(C18-D$4)*(1+NORMINV(RAND(),INPUTS!$B$28,INPUTS!$B$29))))</f>
        <v>1346994.69746549</v>
      </c>
      <c r="E18" s="89" t="n">
        <f aca="true">IF(E$5=0,D18,MAX(0,(D18-E$4)*(1+NORMINV(RAND(),INPUTS!$B$28,INPUTS!$B$29))))</f>
        <v>1417036.66241876</v>
      </c>
      <c r="F18" s="89" t="n">
        <f aca="true">IF(F$5=0,E18,MAX(0,(E18-F$4)*(1+NORMINV(RAND(),INPUTS!$B$28,INPUTS!$B$29))))</f>
        <v>1376024.31825844</v>
      </c>
      <c r="G18" s="89" t="n">
        <f aca="true">IF(G$5=0,F18,MAX(0,(F18-G$4)*(1+NORMINV(RAND(),INPUTS!$B$28,INPUTS!$B$29))))</f>
        <v>1426448.98073719</v>
      </c>
      <c r="H18" s="89" t="n">
        <f aca="true">IF(H$5=0,G18,MAX(0,(G18-H$4)*(1+NORMINV(RAND(),INPUTS!$B$28,INPUTS!$B$29))))</f>
        <v>1403724.32820038</v>
      </c>
      <c r="I18" s="89" t="n">
        <f aca="true">IF(I$5=0,H18,MAX(0,(H18-I$4)*(1+NORMINV(RAND(),INPUTS!$B$28,INPUTS!$B$29))))</f>
        <v>1427059.29392759</v>
      </c>
      <c r="J18" s="89" t="n">
        <f aca="true">IF(J$5=0,I18,MAX(0,(I18-J$4)*(1+NORMINV(RAND(),INPUTS!$B$28,INPUTS!$B$29))))</f>
        <v>1666656.6801874</v>
      </c>
      <c r="K18" s="89" t="n">
        <f aca="true">IF(K$5=0,J18,MAX(0,(J18-K$4)*(1+NORMINV(RAND(),INPUTS!$B$28,INPUTS!$B$29))))</f>
        <v>1369966.26819263</v>
      </c>
      <c r="L18" s="89" t="n">
        <f aca="true">IF(L$5=0,K18,MAX(0,(K18-L$4)*(1+NORMINV(RAND(),INPUTS!$B$28,INPUTS!$B$29))))</f>
        <v>1304646.50961308</v>
      </c>
      <c r="M18" s="89" t="n">
        <f aca="true">IF(M$5=0,L18,MAX(0,(L18-M$4)*(1+NORMINV(RAND(),INPUTS!$B$28,INPUTS!$B$29))))</f>
        <v>1371397.55340905</v>
      </c>
      <c r="N18" s="89" t="n">
        <f aca="true">IF(N$5=0,M18,MAX(0,(M18-N$4)*(1+NORMINV(RAND(),INPUTS!$B$28,INPUTS!$B$29))))</f>
        <v>1641890.46764306</v>
      </c>
      <c r="O18" s="89" t="n">
        <f aca="true">IF(O$5=0,N18,MAX(0,(N18-O$4)*(1+NORMINV(RAND(),INPUTS!$B$28,INPUTS!$B$29))))</f>
        <v>1718213.17420659</v>
      </c>
      <c r="P18" s="89" t="n">
        <f aca="true">IF(P$5=0,O18,MAX(0,(O18-P$4)*(1+NORMINV(RAND(),INPUTS!$B$28,INPUTS!$B$29))))</f>
        <v>2027548.33666323</v>
      </c>
      <c r="Q18" s="89" t="n">
        <f aca="true">IF(Q$5=0,P18,MAX(0,(P18-Q$4)*(1+NORMINV(RAND(),INPUTS!$B$28,INPUTS!$B$29))))</f>
        <v>2276130.44116974</v>
      </c>
      <c r="R18" s="89" t="n">
        <f aca="true">IF(R$5=0,Q18,MAX(0,(Q18-R$4)*(1+NORMINV(RAND(),INPUTS!$B$28,INPUTS!$B$29))))</f>
        <v>2569666.2660438</v>
      </c>
      <c r="S18" s="89" t="n">
        <f aca="true">IF(S$5=0,R18,MAX(0,(R18-S$4)*(1+NORMINV(RAND(),INPUTS!$B$28,INPUTS!$B$29))))</f>
        <v>2734786.33201388</v>
      </c>
      <c r="T18" s="89" t="n">
        <f aca="true">IF(T$5=0,S18,MAX(0,(S18-T$4)*(1+NORMINV(RAND(),INPUTS!$B$28,INPUTS!$B$29))))</f>
        <v>2760681.08316217</v>
      </c>
      <c r="U18" s="89" t="n">
        <f aca="true">IF(U$5=0,T18,MAX(0,(T18-U$4)*(1+NORMINV(RAND(),INPUTS!$B$28,INPUTS!$B$29))))</f>
        <v>2682129.09888912</v>
      </c>
      <c r="V18" s="89" t="n">
        <f aca="true">IF(V$5=0,U18,MAX(0,(U18-V$4)*(1+NORMINV(RAND(),INPUTS!$B$28,INPUTS!$B$29))))</f>
        <v>2606971.2177459</v>
      </c>
      <c r="W18" s="89" t="n">
        <f aca="true">IF(W$5=0,V18,MAX(0,(V18-W$4)*(1+NORMINV(RAND(),INPUTS!$B$28,INPUTS!$B$29))))</f>
        <v>2876180.46212298</v>
      </c>
      <c r="X18" s="89" t="n">
        <f aca="true">IF(X$5=0,W18,MAX(0,(W18-X$4)*(1+NORMINV(RAND(),INPUTS!$B$28,INPUTS!$B$29))))</f>
        <v>3160758.4066111</v>
      </c>
      <c r="Y18" s="89" t="n">
        <f aca="true">IF(Y$5=0,X18,MAX(0,(X18-Y$4)*(1+NORMINV(RAND(),INPUTS!$B$28,INPUTS!$B$29))))</f>
        <v>3516045.49184027</v>
      </c>
      <c r="Z18" s="89" t="n">
        <f aca="true">IF(Z$5=0,Y18,MAX(0,(Y18-Z$4)*(1+NORMINV(RAND(),INPUTS!$B$28,INPUTS!$B$29))))</f>
        <v>3721803.13146151</v>
      </c>
      <c r="AA18" s="89" t="n">
        <f aca="true">IF(AA$5=0,Z18,MAX(0,(Z18-AA$4)*(1+NORMINV(RAND(),INPUTS!$B$28,INPUTS!$B$29))))</f>
        <v>3642235.02870957</v>
      </c>
      <c r="AB18" s="89" t="n">
        <f aca="true">IF(AB$5=0,AA18,MAX(0,(AA18-AB$4)*(1+NORMINV(RAND(),INPUTS!$B$28,INPUTS!$B$29))))</f>
        <v>3669996.21745087</v>
      </c>
      <c r="AC18" s="89" t="n">
        <f aca="true">IF(AC$5=0,AB18,MAX(0,(AB18-AC$4)*(1+NORMINV(RAND(),INPUTS!$B$28,INPUTS!$B$29))))</f>
        <v>4330334.42721524</v>
      </c>
      <c r="AD18" s="89" t="n">
        <f aca="true">IF(AD$5=0,AC18,MAX(0,(AC18-AD$4)*(1+NORMINV(RAND(),INPUTS!$B$28,INPUTS!$B$29))))</f>
        <v>4281889.92858677</v>
      </c>
      <c r="AE18" s="89" t="n">
        <f aca="true">IF(AE$5=0,AD18,MAX(0,(AD18-AE$4)*(1+NORMINV(RAND(),INPUTS!$B$28,INPUTS!$B$29))))</f>
        <v>4523718.87927685</v>
      </c>
      <c r="AF18" s="89" t="n">
        <f aca="true">IF(AF$5=0,AE18,MAX(0,(AE18-AF$4)*(1+NORMINV(RAND(),INPUTS!$B$28,INPUTS!$B$29))))</f>
        <v>5059669.69577011</v>
      </c>
      <c r="AG18" s="89" t="n">
        <f aca="true">IF(AG$5=0,AF18,MAX(0,(AF18-AG$4)*(1+NORMINV(RAND(),INPUTS!$B$28,INPUTS!$B$29))))</f>
        <v>6165689.38147663</v>
      </c>
      <c r="AH18" s="89" t="n">
        <f aca="true">IF(AH$5=0,AG18,MAX(0,(AG18-AH$4)*(1+NORMINV(RAND(),INPUTS!$B$28,INPUTS!$B$29))))</f>
        <v>6963993.21407638</v>
      </c>
      <c r="AI18" s="89" t="n">
        <f aca="true">IF(AI$5=0,AH18,MAX(0,(AH18-AI$4)*(1+NORMINV(RAND(),INPUTS!$B$28,INPUTS!$B$29))))</f>
        <v>5875048.6829737</v>
      </c>
      <c r="AJ18" s="89" t="n">
        <f aca="true">IF(AJ$5=0,AI18,MAX(0,(AI18-AJ$4)*(1+NORMINV(RAND(),INPUTS!$B$28,INPUTS!$B$29))))</f>
        <v>7168743.72145718</v>
      </c>
      <c r="AK18" s="89" t="n">
        <f aca="true">IF(AK$5=0,AJ18,MAX(0,(AJ18-AK$4)*(1+NORMINV(RAND(),INPUTS!$B$28,INPUTS!$B$29))))</f>
        <v>7551977.43104764</v>
      </c>
      <c r="AL18" s="89" t="n">
        <f aca="true">IF(AL$5=0,AK18,MAX(0,(AK18-AL$4)*(1+NORMINV(RAND(),INPUTS!$B$28,INPUTS!$B$29))))</f>
        <v>8732287.39375885</v>
      </c>
      <c r="AM18" s="89" t="n">
        <f aca="true">IF(AM$5=0,AL18,MAX(0,(AL18-AM$4)*(1+NORMINV(RAND(),INPUTS!$B$28,INPUTS!$B$29))))</f>
        <v>8732287.39375885</v>
      </c>
      <c r="AN18" s="89" t="n">
        <f aca="true">IF(AN$5=0,AM18,MAX(0,(AM18-AN$4)*(1+NORMINV(RAND(),INPUTS!$B$28,INPUTS!$B$29))))</f>
        <v>8732287.39375885</v>
      </c>
      <c r="AO18" s="89" t="n">
        <f aca="true">IF(AO$5=0,AN18,MAX(0,(AN18-AO$4)*(1+NORMINV(RAND(),INPUTS!$B$28,INPUTS!$B$29))))</f>
        <v>8732287.39375885</v>
      </c>
      <c r="AP18" s="89" t="n">
        <f aca="true">IF(AP$5=0,AO18,MAX(0,(AO18-AP$4)*(1+NORMINV(RAND(),INPUTS!$B$28,INPUTS!$B$29))))</f>
        <v>8732287.39375885</v>
      </c>
      <c r="AQ18" s="89" t="n">
        <f aca="true">IF(AQ$5=0,AP18,MAX(0,(AP18-AQ$4)*(1+NORMINV(RAND(),INPUTS!$B$28,INPUTS!$B$29))))</f>
        <v>8732287.39375885</v>
      </c>
      <c r="AR18" s="89" t="n">
        <f aca="true">IF(AR$5=0,AQ18,MAX(0,(AQ18-AR$4)*(1+NORMINV(RAND(),INPUTS!$B$28,INPUTS!$B$29))))</f>
        <v>8732287.39375885</v>
      </c>
      <c r="AS18" s="89" t="n">
        <f aca="true">IF(AS$5=0,AR18,MAX(0,(AR18-AS$4)*(1+NORMINV(RAND(),INPUTS!$B$28,INPUTS!$B$29))))</f>
        <v>8732287.39375885</v>
      </c>
      <c r="AT18" s="89" t="n">
        <f aca="true">IF(AT$5=0,AS18,MAX(0,(AS18-AT$4)*(1+NORMINV(RAND(),INPUTS!$B$28,INPUTS!$B$29))))</f>
        <v>8732287.39375885</v>
      </c>
      <c r="AU18" s="89" t="n">
        <f aca="true">IF(AU$5=0,AT18,MAX(0,(AT18-AU$4)*(1+NORMINV(RAND(),INPUTS!$B$28,INPUTS!$B$29))))</f>
        <v>8732287.39375885</v>
      </c>
      <c r="AV18" s="89" t="n">
        <f aca="true">IF(AV$5=0,AU18,MAX(0,(AU18-AV$4)*(1+NORMINV(RAND(),INPUTS!$B$28,INPUTS!$B$29))))</f>
        <v>8732287.39375885</v>
      </c>
      <c r="AW18" s="89" t="n">
        <f aca="true">IF(AW$5=0,AV18,MAX(0,(AV18-AW$4)*(1+NORMINV(RAND(),INPUTS!$B$28,INPUTS!$B$29))))</f>
        <v>8732287.39375885</v>
      </c>
      <c r="AX18" s="89" t="n">
        <f aca="true">IF(AX$5=0,AW18,MAX(0,(AW18-AX$4)*(1+NORMINV(RAND(),INPUTS!$B$28,INPUTS!$B$29))))</f>
        <v>8732287.39375885</v>
      </c>
      <c r="AY18" s="89" t="n">
        <f aca="true">IF(AY$5=0,AX18,MAX(0,(AX18-AY$4)*(1+NORMINV(RAND(),INPUTS!$B$28,INPUTS!$B$29))))</f>
        <v>8732287.39375885</v>
      </c>
      <c r="AZ18" s="89" t="n">
        <f aca="true">IF(AZ$5=0,AY18,MAX(0,(AY18-AZ$4)*(1+NORMINV(RAND(),INPUTS!$B$28,INPUTS!$B$29))))</f>
        <v>8732287.39375885</v>
      </c>
      <c r="BA18" s="89" t="n">
        <f aca="true">IF(BA$5=0,AZ18,MAX(0,(AZ18-BA$4)*(1+NORMINV(RAND(),INPUTS!$B$28,INPUTS!$B$29))))</f>
        <v>8732287.39375885</v>
      </c>
      <c r="BB18" s="89" t="n">
        <f aca="true">IF(BB$5=0,BA18,MAX(0,(BA18-BB$4)*(1+NORMINV(RAND(),INPUTS!$B$28,INPUTS!$B$29))))</f>
        <v>8732287.39375885</v>
      </c>
      <c r="BC18" s="89" t="n">
        <f aca="true">IF(BC$5=0,BB18,MAX(0,(BB18-BC$4)*(1+NORMINV(RAND(),INPUTS!$B$28,INPUTS!$B$29))))</f>
        <v>8732287.39375885</v>
      </c>
      <c r="BD18" s="89" t="n">
        <f aca="true">IF(BD$5=0,BC18,MAX(0,(BC18-BD$4)*(1+NORMINV(RAND(),INPUTS!$B$28,INPUTS!$B$29))))</f>
        <v>8732287.39375885</v>
      </c>
      <c r="BE18" s="89" t="n">
        <f aca="true">IF(BE$5=0,BD18,MAX(0,(BD18-BE$4)*(1+NORMINV(RAND(),INPUTS!$B$28,INPUTS!$B$29))))</f>
        <v>8732287.39375885</v>
      </c>
      <c r="BF18" s="89" t="n">
        <f aca="true">IF(BF$5=0,BE18,MAX(0,(BE18-BF$4)*(1+NORMINV(RAND(),INPUTS!$B$28,INPUTS!$B$29))))</f>
        <v>8732287.39375885</v>
      </c>
      <c r="BG18" s="89" t="n">
        <f aca="true">IF(BG$5=0,BF18,MAX(0,(BF18-BG$4)*(1+NORMINV(RAND(),INPUTS!$B$28,INPUTS!$B$29))))</f>
        <v>8732287.39375885</v>
      </c>
      <c r="BH18" s="89" t="n">
        <f aca="true">IF(BH$5=0,BG18,MAX(0,(BG18-BH$4)*(1+NORMINV(RAND(),INPUTS!$B$28,INPUTS!$B$29))))</f>
        <v>8732287.39375885</v>
      </c>
      <c r="BI18" s="89" t="n">
        <f aca="true">IF(BI$5=0,BH18,MAX(0,(BH18-BI$4)*(1+NORMINV(RAND(),INPUTS!$B$28,INPUTS!$B$29))))</f>
        <v>8732287.39375885</v>
      </c>
      <c r="BJ18" s="89" t="n">
        <f aca="true">IF(BJ$5=0,BI18,MAX(0,(BI18-BJ$4)*(1+NORMINV(RAND(),INPUTS!$B$28,INPUTS!$B$29))))</f>
        <v>8732287.39375885</v>
      </c>
    </row>
    <row r="19" customFormat="false" ht="15" hidden="false" customHeight="true" outlineLevel="0" collapsed="false">
      <c r="A19" s="87" t="n">
        <v>12</v>
      </c>
      <c r="B19" s="88" t="n">
        <f aca="false">LOOKUP(9.99E+307,C19:BJ19)</f>
        <v>6001955.24680682</v>
      </c>
      <c r="C19" s="89" t="n">
        <f aca="true">IF(C$5=0,INPUTS!$B$35,MAX(0,(INPUTS!$B$35-C$4)*(1+NORMINV(RAND(),INPUTS!$B$28,INPUTS!$B$29))))</f>
        <v>1640322.01834166</v>
      </c>
      <c r="D19" s="89" t="n">
        <f aca="true">IF(D$5=0,C19,MAX(0,(C19-D$4)*(1+NORMINV(RAND(),INPUTS!$B$28,INPUTS!$B$29))))</f>
        <v>1822952.9962659</v>
      </c>
      <c r="E19" s="89" t="n">
        <f aca="true">IF(E$5=0,D19,MAX(0,(D19-E$4)*(1+NORMINV(RAND(),INPUTS!$B$28,INPUTS!$B$29))))</f>
        <v>2017184.9591574</v>
      </c>
      <c r="F19" s="89" t="n">
        <f aca="true">IF(F$5=0,E19,MAX(0,(E19-F$4)*(1+NORMINV(RAND(),INPUTS!$B$28,INPUTS!$B$29))))</f>
        <v>1810870.63656302</v>
      </c>
      <c r="G19" s="89" t="n">
        <f aca="true">IF(G$5=0,F19,MAX(0,(F19-G$4)*(1+NORMINV(RAND(),INPUTS!$B$28,INPUTS!$B$29))))</f>
        <v>1224060.63824121</v>
      </c>
      <c r="H19" s="89" t="n">
        <f aca="true">IF(H$5=0,G19,MAX(0,(G19-H$4)*(1+NORMINV(RAND(),INPUTS!$B$28,INPUTS!$B$29))))</f>
        <v>1425653.01580537</v>
      </c>
      <c r="I19" s="89" t="n">
        <f aca="true">IF(I$5=0,H19,MAX(0,(H19-I$4)*(1+NORMINV(RAND(),INPUTS!$B$28,INPUTS!$B$29))))</f>
        <v>1451316.35381516</v>
      </c>
      <c r="J19" s="89" t="n">
        <f aca="true">IF(J$5=0,I19,MAX(0,(I19-J$4)*(1+NORMINV(RAND(),INPUTS!$B$28,INPUTS!$B$29))))</f>
        <v>1638622.12280778</v>
      </c>
      <c r="K19" s="89" t="n">
        <f aca="true">IF(K$5=0,J19,MAX(0,(J19-K$4)*(1+NORMINV(RAND(),INPUTS!$B$28,INPUTS!$B$29))))</f>
        <v>1864151.85203059</v>
      </c>
      <c r="L19" s="89" t="n">
        <f aca="true">IF(L$5=0,K19,MAX(0,(K19-L$4)*(1+NORMINV(RAND(),INPUTS!$B$28,INPUTS!$B$29))))</f>
        <v>1893373.01743111</v>
      </c>
      <c r="M19" s="89" t="n">
        <f aca="true">IF(M$5=0,L19,MAX(0,(L19-M$4)*(1+NORMINV(RAND(),INPUTS!$B$28,INPUTS!$B$29))))</f>
        <v>2000484.36505715</v>
      </c>
      <c r="N19" s="89" t="n">
        <f aca="true">IF(N$5=0,M19,MAX(0,(M19-N$4)*(1+NORMINV(RAND(),INPUTS!$B$28,INPUTS!$B$29))))</f>
        <v>1845656.71448613</v>
      </c>
      <c r="O19" s="89" t="n">
        <f aca="true">IF(O$5=0,N19,MAX(0,(N19-O$4)*(1+NORMINV(RAND(),INPUTS!$B$28,INPUTS!$B$29))))</f>
        <v>1901311.54359135</v>
      </c>
      <c r="P19" s="89" t="n">
        <f aca="true">IF(P$5=0,O19,MAX(0,(O19-P$4)*(1+NORMINV(RAND(),INPUTS!$B$28,INPUTS!$B$29))))</f>
        <v>1699532.29159377</v>
      </c>
      <c r="Q19" s="89" t="n">
        <f aca="true">IF(Q$5=0,P19,MAX(0,(P19-Q$4)*(1+NORMINV(RAND(),INPUTS!$B$28,INPUTS!$B$29))))</f>
        <v>1393967.24221846</v>
      </c>
      <c r="R19" s="89" t="n">
        <f aca="true">IF(R$5=0,Q19,MAX(0,(Q19-R$4)*(1+NORMINV(RAND(),INPUTS!$B$28,INPUTS!$B$29))))</f>
        <v>1411763.39420118</v>
      </c>
      <c r="S19" s="89" t="n">
        <f aca="true">IF(S$5=0,R19,MAX(0,(R19-S$4)*(1+NORMINV(RAND(),INPUTS!$B$28,INPUTS!$B$29))))</f>
        <v>1657048.78397158</v>
      </c>
      <c r="T19" s="89" t="n">
        <f aca="true">IF(T$5=0,S19,MAX(0,(S19-T$4)*(1+NORMINV(RAND(),INPUTS!$B$28,INPUTS!$B$29))))</f>
        <v>1785615.74435866</v>
      </c>
      <c r="U19" s="89" t="n">
        <f aca="true">IF(U$5=0,T19,MAX(0,(T19-U$4)*(1+NORMINV(RAND(),INPUTS!$B$28,INPUTS!$B$29))))</f>
        <v>2383570.71585703</v>
      </c>
      <c r="V19" s="89" t="n">
        <f aca="true">IF(V$5=0,U19,MAX(0,(U19-V$4)*(1+NORMINV(RAND(),INPUTS!$B$28,INPUTS!$B$29))))</f>
        <v>3237539.91909219</v>
      </c>
      <c r="W19" s="89" t="n">
        <f aca="true">IF(W$5=0,V19,MAX(0,(V19-W$4)*(1+NORMINV(RAND(),INPUTS!$B$28,INPUTS!$B$29))))</f>
        <v>3596732.86011974</v>
      </c>
      <c r="X19" s="89" t="n">
        <f aca="true">IF(X$5=0,W19,MAX(0,(W19-X$4)*(1+NORMINV(RAND(),INPUTS!$B$28,INPUTS!$B$29))))</f>
        <v>3912415.83643045</v>
      </c>
      <c r="Y19" s="89" t="n">
        <f aca="true">IF(Y$5=0,X19,MAX(0,(X19-Y$4)*(1+NORMINV(RAND(),INPUTS!$B$28,INPUTS!$B$29))))</f>
        <v>4575633.13818469</v>
      </c>
      <c r="Z19" s="89" t="n">
        <f aca="true">IF(Z$5=0,Y19,MAX(0,(Y19-Z$4)*(1+NORMINV(RAND(),INPUTS!$B$28,INPUTS!$B$29))))</f>
        <v>4605741.05160572</v>
      </c>
      <c r="AA19" s="89" t="n">
        <f aca="true">IF(AA$5=0,Z19,MAX(0,(Z19-AA$4)*(1+NORMINV(RAND(),INPUTS!$B$28,INPUTS!$B$29))))</f>
        <v>3833088.79065531</v>
      </c>
      <c r="AB19" s="89" t="n">
        <f aca="true">IF(AB$5=0,AA19,MAX(0,(AA19-AB$4)*(1+NORMINV(RAND(),INPUTS!$B$28,INPUTS!$B$29))))</f>
        <v>4017487.94329063</v>
      </c>
      <c r="AC19" s="89" t="n">
        <f aca="true">IF(AC$5=0,AB19,MAX(0,(AB19-AC$4)*(1+NORMINV(RAND(),INPUTS!$B$28,INPUTS!$B$29))))</f>
        <v>4877536.35504735</v>
      </c>
      <c r="AD19" s="89" t="n">
        <f aca="true">IF(AD$5=0,AC19,MAX(0,(AC19-AD$4)*(1+NORMINV(RAND(),INPUTS!$B$28,INPUTS!$B$29))))</f>
        <v>5239382.75383127</v>
      </c>
      <c r="AE19" s="89" t="n">
        <f aca="true">IF(AE$5=0,AD19,MAX(0,(AD19-AE$4)*(1+NORMINV(RAND(),INPUTS!$B$28,INPUTS!$B$29))))</f>
        <v>5310209.07975703</v>
      </c>
      <c r="AF19" s="89" t="n">
        <f aca="true">IF(AF$5=0,AE19,MAX(0,(AE19-AF$4)*(1+NORMINV(RAND(),INPUTS!$B$28,INPUTS!$B$29))))</f>
        <v>6179669.60940063</v>
      </c>
      <c r="AG19" s="89" t="n">
        <f aca="true">IF(AG$5=0,AF19,MAX(0,(AF19-AG$4)*(1+NORMINV(RAND(),INPUTS!$B$28,INPUTS!$B$29))))</f>
        <v>6565415.7237754</v>
      </c>
      <c r="AH19" s="89" t="n">
        <f aca="true">IF(AH$5=0,AG19,MAX(0,(AG19-AH$4)*(1+NORMINV(RAND(),INPUTS!$B$28,INPUTS!$B$29))))</f>
        <v>5878198.78435119</v>
      </c>
      <c r="AI19" s="89" t="n">
        <f aca="true">IF(AI$5=0,AH19,MAX(0,(AH19-AI$4)*(1+NORMINV(RAND(),INPUTS!$B$28,INPUTS!$B$29))))</f>
        <v>6127696.9529473</v>
      </c>
      <c r="AJ19" s="89" t="n">
        <f aca="true">IF(AJ$5=0,AI19,MAX(0,(AI19-AJ$4)*(1+NORMINV(RAND(),INPUTS!$B$28,INPUTS!$B$29))))</f>
        <v>5900541.30112441</v>
      </c>
      <c r="AK19" s="89" t="n">
        <f aca="true">IF(AK$5=0,AJ19,MAX(0,(AJ19-AK$4)*(1+NORMINV(RAND(),INPUTS!$B$28,INPUTS!$B$29))))</f>
        <v>5109329.99320782</v>
      </c>
      <c r="AL19" s="89" t="n">
        <f aca="true">IF(AL$5=0,AK19,MAX(0,(AK19-AL$4)*(1+NORMINV(RAND(),INPUTS!$B$28,INPUTS!$B$29))))</f>
        <v>6001955.24680682</v>
      </c>
      <c r="AM19" s="89" t="n">
        <f aca="true">IF(AM$5=0,AL19,MAX(0,(AL19-AM$4)*(1+NORMINV(RAND(),INPUTS!$B$28,INPUTS!$B$29))))</f>
        <v>6001955.24680682</v>
      </c>
      <c r="AN19" s="89" t="n">
        <f aca="true">IF(AN$5=0,AM19,MAX(0,(AM19-AN$4)*(1+NORMINV(RAND(),INPUTS!$B$28,INPUTS!$B$29))))</f>
        <v>6001955.24680682</v>
      </c>
      <c r="AO19" s="89" t="n">
        <f aca="true">IF(AO$5=0,AN19,MAX(0,(AN19-AO$4)*(1+NORMINV(RAND(),INPUTS!$B$28,INPUTS!$B$29))))</f>
        <v>6001955.24680682</v>
      </c>
      <c r="AP19" s="89" t="n">
        <f aca="true">IF(AP$5=0,AO19,MAX(0,(AO19-AP$4)*(1+NORMINV(RAND(),INPUTS!$B$28,INPUTS!$B$29))))</f>
        <v>6001955.24680682</v>
      </c>
      <c r="AQ19" s="89" t="n">
        <f aca="true">IF(AQ$5=0,AP19,MAX(0,(AP19-AQ$4)*(1+NORMINV(RAND(),INPUTS!$B$28,INPUTS!$B$29))))</f>
        <v>6001955.24680682</v>
      </c>
      <c r="AR19" s="89" t="n">
        <f aca="true">IF(AR$5=0,AQ19,MAX(0,(AQ19-AR$4)*(1+NORMINV(RAND(),INPUTS!$B$28,INPUTS!$B$29))))</f>
        <v>6001955.24680682</v>
      </c>
      <c r="AS19" s="89" t="n">
        <f aca="true">IF(AS$5=0,AR19,MAX(0,(AR19-AS$4)*(1+NORMINV(RAND(),INPUTS!$B$28,INPUTS!$B$29))))</f>
        <v>6001955.24680682</v>
      </c>
      <c r="AT19" s="89" t="n">
        <f aca="true">IF(AT$5=0,AS19,MAX(0,(AS19-AT$4)*(1+NORMINV(RAND(),INPUTS!$B$28,INPUTS!$B$29))))</f>
        <v>6001955.24680682</v>
      </c>
      <c r="AU19" s="89" t="n">
        <f aca="true">IF(AU$5=0,AT19,MAX(0,(AT19-AU$4)*(1+NORMINV(RAND(),INPUTS!$B$28,INPUTS!$B$29))))</f>
        <v>6001955.24680682</v>
      </c>
      <c r="AV19" s="89" t="n">
        <f aca="true">IF(AV$5=0,AU19,MAX(0,(AU19-AV$4)*(1+NORMINV(RAND(),INPUTS!$B$28,INPUTS!$B$29))))</f>
        <v>6001955.24680682</v>
      </c>
      <c r="AW19" s="89" t="n">
        <f aca="true">IF(AW$5=0,AV19,MAX(0,(AV19-AW$4)*(1+NORMINV(RAND(),INPUTS!$B$28,INPUTS!$B$29))))</f>
        <v>6001955.24680682</v>
      </c>
      <c r="AX19" s="89" t="n">
        <f aca="true">IF(AX$5=0,AW19,MAX(0,(AW19-AX$4)*(1+NORMINV(RAND(),INPUTS!$B$28,INPUTS!$B$29))))</f>
        <v>6001955.24680682</v>
      </c>
      <c r="AY19" s="89" t="n">
        <f aca="true">IF(AY$5=0,AX19,MAX(0,(AX19-AY$4)*(1+NORMINV(RAND(),INPUTS!$B$28,INPUTS!$B$29))))</f>
        <v>6001955.24680682</v>
      </c>
      <c r="AZ19" s="89" t="n">
        <f aca="true">IF(AZ$5=0,AY19,MAX(0,(AY19-AZ$4)*(1+NORMINV(RAND(),INPUTS!$B$28,INPUTS!$B$29))))</f>
        <v>6001955.24680682</v>
      </c>
      <c r="BA19" s="89" t="n">
        <f aca="true">IF(BA$5=0,AZ19,MAX(0,(AZ19-BA$4)*(1+NORMINV(RAND(),INPUTS!$B$28,INPUTS!$B$29))))</f>
        <v>6001955.24680682</v>
      </c>
      <c r="BB19" s="89" t="n">
        <f aca="true">IF(BB$5=0,BA19,MAX(0,(BA19-BB$4)*(1+NORMINV(RAND(),INPUTS!$B$28,INPUTS!$B$29))))</f>
        <v>6001955.24680682</v>
      </c>
      <c r="BC19" s="89" t="n">
        <f aca="true">IF(BC$5=0,BB19,MAX(0,(BB19-BC$4)*(1+NORMINV(RAND(),INPUTS!$B$28,INPUTS!$B$29))))</f>
        <v>6001955.24680682</v>
      </c>
      <c r="BD19" s="89" t="n">
        <f aca="true">IF(BD$5=0,BC19,MAX(0,(BC19-BD$4)*(1+NORMINV(RAND(),INPUTS!$B$28,INPUTS!$B$29))))</f>
        <v>6001955.24680682</v>
      </c>
      <c r="BE19" s="89" t="n">
        <f aca="true">IF(BE$5=0,BD19,MAX(0,(BD19-BE$4)*(1+NORMINV(RAND(),INPUTS!$B$28,INPUTS!$B$29))))</f>
        <v>6001955.24680682</v>
      </c>
      <c r="BF19" s="89" t="n">
        <f aca="true">IF(BF$5=0,BE19,MAX(0,(BE19-BF$4)*(1+NORMINV(RAND(),INPUTS!$B$28,INPUTS!$B$29))))</f>
        <v>6001955.24680682</v>
      </c>
      <c r="BG19" s="89" t="n">
        <f aca="true">IF(BG$5=0,BF19,MAX(0,(BF19-BG$4)*(1+NORMINV(RAND(),INPUTS!$B$28,INPUTS!$B$29))))</f>
        <v>6001955.24680682</v>
      </c>
      <c r="BH19" s="89" t="n">
        <f aca="true">IF(BH$5=0,BG19,MAX(0,(BG19-BH$4)*(1+NORMINV(RAND(),INPUTS!$B$28,INPUTS!$B$29))))</f>
        <v>6001955.24680682</v>
      </c>
      <c r="BI19" s="89" t="n">
        <f aca="true">IF(BI$5=0,BH19,MAX(0,(BH19-BI$4)*(1+NORMINV(RAND(),INPUTS!$B$28,INPUTS!$B$29))))</f>
        <v>6001955.24680682</v>
      </c>
      <c r="BJ19" s="89" t="n">
        <f aca="true">IF(BJ$5=0,BI19,MAX(0,(BI19-BJ$4)*(1+NORMINV(RAND(),INPUTS!$B$28,INPUTS!$B$29))))</f>
        <v>6001955.24680682</v>
      </c>
    </row>
    <row r="20" customFormat="false" ht="15" hidden="false" customHeight="true" outlineLevel="0" collapsed="false">
      <c r="A20" s="87" t="n">
        <v>13</v>
      </c>
      <c r="B20" s="88" t="n">
        <f aca="false">LOOKUP(9.99E+307,C20:BJ20)</f>
        <v>1756493.07296315</v>
      </c>
      <c r="C20" s="89" t="n">
        <f aca="true">IF(C$5=0,INPUTS!$B$35,MAX(0,(INPUTS!$B$35-C$4)*(1+NORMINV(RAND(),INPUTS!$B$28,INPUTS!$B$29))))</f>
        <v>1425961.3625965</v>
      </c>
      <c r="D20" s="89" t="n">
        <f aca="true">IF(D$5=0,C20,MAX(0,(C20-D$4)*(1+NORMINV(RAND(),INPUTS!$B$28,INPUTS!$B$29))))</f>
        <v>1355561.13834215</v>
      </c>
      <c r="E20" s="89" t="n">
        <f aca="true">IF(E$5=0,D20,MAX(0,(D20-E$4)*(1+NORMINV(RAND(),INPUTS!$B$28,INPUTS!$B$29))))</f>
        <v>1160930.0398356</v>
      </c>
      <c r="F20" s="89" t="n">
        <f aca="true">IF(F$5=0,E20,MAX(0,(E20-F$4)*(1+NORMINV(RAND(),INPUTS!$B$28,INPUTS!$B$29))))</f>
        <v>1374286.04884136</v>
      </c>
      <c r="G20" s="89" t="n">
        <f aca="true">IF(G$5=0,F20,MAX(0,(F20-G$4)*(1+NORMINV(RAND(),INPUTS!$B$28,INPUTS!$B$29))))</f>
        <v>1362671.9837455</v>
      </c>
      <c r="H20" s="89" t="n">
        <f aca="true">IF(H$5=0,G20,MAX(0,(G20-H$4)*(1+NORMINV(RAND(),INPUTS!$B$28,INPUTS!$B$29))))</f>
        <v>1371567.58786762</v>
      </c>
      <c r="I20" s="89" t="n">
        <f aca="true">IF(I$5=0,H20,MAX(0,(H20-I$4)*(1+NORMINV(RAND(),INPUTS!$B$28,INPUTS!$B$29))))</f>
        <v>1300307.91465548</v>
      </c>
      <c r="J20" s="89" t="n">
        <f aca="true">IF(J$5=0,I20,MAX(0,(I20-J$4)*(1+NORMINV(RAND(),INPUTS!$B$28,INPUTS!$B$29))))</f>
        <v>1325782.07470382</v>
      </c>
      <c r="K20" s="89" t="n">
        <f aca="true">IF(K$5=0,J20,MAX(0,(J20-K$4)*(1+NORMINV(RAND(),INPUTS!$B$28,INPUTS!$B$29))))</f>
        <v>1266002.63406095</v>
      </c>
      <c r="L20" s="89" t="n">
        <f aca="true">IF(L$5=0,K20,MAX(0,(K20-L$4)*(1+NORMINV(RAND(),INPUTS!$B$28,INPUTS!$B$29))))</f>
        <v>1220187.3672007</v>
      </c>
      <c r="M20" s="89" t="n">
        <f aca="true">IF(M$5=0,L20,MAX(0,(L20-M$4)*(1+NORMINV(RAND(),INPUTS!$B$28,INPUTS!$B$29))))</f>
        <v>1127087.732373</v>
      </c>
      <c r="N20" s="89" t="n">
        <f aca="true">IF(N$5=0,M20,MAX(0,(M20-N$4)*(1+NORMINV(RAND(),INPUTS!$B$28,INPUTS!$B$29))))</f>
        <v>941000.428750555</v>
      </c>
      <c r="O20" s="89" t="n">
        <f aca="true">IF(O$5=0,N20,MAX(0,(N20-O$4)*(1+NORMINV(RAND(),INPUTS!$B$28,INPUTS!$B$29))))</f>
        <v>815858.806269927</v>
      </c>
      <c r="P20" s="89" t="n">
        <f aca="true">IF(P$5=0,O20,MAX(0,(O20-P$4)*(1+NORMINV(RAND(),INPUTS!$B$28,INPUTS!$B$29))))</f>
        <v>931035.272628676</v>
      </c>
      <c r="Q20" s="89" t="n">
        <f aca="true">IF(Q$5=0,P20,MAX(0,(P20-Q$4)*(1+NORMINV(RAND(),INPUTS!$B$28,INPUTS!$B$29))))</f>
        <v>1062224.90384561</v>
      </c>
      <c r="R20" s="89" t="n">
        <f aca="true">IF(R$5=0,Q20,MAX(0,(Q20-R$4)*(1+NORMINV(RAND(),INPUTS!$B$28,INPUTS!$B$29))))</f>
        <v>898276.113068072</v>
      </c>
      <c r="S20" s="89" t="n">
        <f aca="true">IF(S$5=0,R20,MAX(0,(R20-S$4)*(1+NORMINV(RAND(),INPUTS!$B$28,INPUTS!$B$29))))</f>
        <v>888674.796671107</v>
      </c>
      <c r="T20" s="89" t="n">
        <f aca="true">IF(T$5=0,S20,MAX(0,(S20-T$4)*(1+NORMINV(RAND(),INPUTS!$B$28,INPUTS!$B$29))))</f>
        <v>1111904.4999452</v>
      </c>
      <c r="U20" s="89" t="n">
        <f aca="true">IF(U$5=0,T20,MAX(0,(T20-U$4)*(1+NORMINV(RAND(),INPUTS!$B$28,INPUTS!$B$29))))</f>
        <v>1141884.22445652</v>
      </c>
      <c r="V20" s="89" t="n">
        <f aca="true">IF(V$5=0,U20,MAX(0,(U20-V$4)*(1+NORMINV(RAND(),INPUTS!$B$28,INPUTS!$B$29))))</f>
        <v>1086104.53666271</v>
      </c>
      <c r="W20" s="89" t="n">
        <f aca="true">IF(W$5=0,V20,MAX(0,(V20-W$4)*(1+NORMINV(RAND(),INPUTS!$B$28,INPUTS!$B$29))))</f>
        <v>1216814.66833816</v>
      </c>
      <c r="X20" s="89" t="n">
        <f aca="true">IF(X$5=0,W20,MAX(0,(W20-X$4)*(1+NORMINV(RAND(),INPUTS!$B$28,INPUTS!$B$29))))</f>
        <v>1296883.49322817</v>
      </c>
      <c r="Y20" s="89" t="n">
        <f aca="true">IF(Y$5=0,X20,MAX(0,(X20-Y$4)*(1+NORMINV(RAND(),INPUTS!$B$28,INPUTS!$B$29))))</f>
        <v>1229218.39582391</v>
      </c>
      <c r="Z20" s="89" t="n">
        <f aca="true">IF(Z$5=0,Y20,MAX(0,(Y20-Z$4)*(1+NORMINV(RAND(),INPUTS!$B$28,INPUTS!$B$29))))</f>
        <v>1120317.27150029</v>
      </c>
      <c r="AA20" s="89" t="n">
        <f aca="true">IF(AA$5=0,Z20,MAX(0,(Z20-AA$4)*(1+NORMINV(RAND(),INPUTS!$B$28,INPUTS!$B$29))))</f>
        <v>1353701.57546958</v>
      </c>
      <c r="AB20" s="89" t="n">
        <f aca="true">IF(AB$5=0,AA20,MAX(0,(AA20-AB$4)*(1+NORMINV(RAND(),INPUTS!$B$28,INPUTS!$B$29))))</f>
        <v>1492491.78852152</v>
      </c>
      <c r="AC20" s="89" t="n">
        <f aca="true">IF(AC$5=0,AB20,MAX(0,(AB20-AC$4)*(1+NORMINV(RAND(),INPUTS!$B$28,INPUTS!$B$29))))</f>
        <v>1426389.19602415</v>
      </c>
      <c r="AD20" s="89" t="n">
        <f aca="true">IF(AD$5=0,AC20,MAX(0,(AC20-AD$4)*(1+NORMINV(RAND(),INPUTS!$B$28,INPUTS!$B$29))))</f>
        <v>1639047.85031056</v>
      </c>
      <c r="AE20" s="89" t="n">
        <f aca="true">IF(AE$5=0,AD20,MAX(0,(AD20-AE$4)*(1+NORMINV(RAND(),INPUTS!$B$28,INPUTS!$B$29))))</f>
        <v>1589264.29016383</v>
      </c>
      <c r="AF20" s="89" t="n">
        <f aca="true">IF(AF$5=0,AE20,MAX(0,(AE20-AF$4)*(1+NORMINV(RAND(),INPUTS!$B$28,INPUTS!$B$29))))</f>
        <v>1677047.91166952</v>
      </c>
      <c r="AG20" s="89" t="n">
        <f aca="true">IF(AG$5=0,AF20,MAX(0,(AF20-AG$4)*(1+NORMINV(RAND(),INPUTS!$B$28,INPUTS!$B$29))))</f>
        <v>1815158.010831</v>
      </c>
      <c r="AH20" s="89" t="n">
        <f aca="true">IF(AH$5=0,AG20,MAX(0,(AG20-AH$4)*(1+NORMINV(RAND(),INPUTS!$B$28,INPUTS!$B$29))))</f>
        <v>2092633.27870428</v>
      </c>
      <c r="AI20" s="89" t="n">
        <f aca="true">IF(AI$5=0,AH20,MAX(0,(AH20-AI$4)*(1+NORMINV(RAND(),INPUTS!$B$28,INPUTS!$B$29))))</f>
        <v>2258475.40638192</v>
      </c>
      <c r="AJ20" s="89" t="n">
        <f aca="true">IF(AJ$5=0,AI20,MAX(0,(AI20-AJ$4)*(1+NORMINV(RAND(),INPUTS!$B$28,INPUTS!$B$29))))</f>
        <v>2024544.61222317</v>
      </c>
      <c r="AK20" s="89" t="n">
        <f aca="true">IF(AK$5=0,AJ20,MAX(0,(AJ20-AK$4)*(1+NORMINV(RAND(),INPUTS!$B$28,INPUTS!$B$29))))</f>
        <v>2247487.3126563</v>
      </c>
      <c r="AL20" s="89" t="n">
        <f aca="true">IF(AL$5=0,AK20,MAX(0,(AK20-AL$4)*(1+NORMINV(RAND(),INPUTS!$B$28,INPUTS!$B$29))))</f>
        <v>1756493.07296315</v>
      </c>
      <c r="AM20" s="89" t="n">
        <f aca="true">IF(AM$5=0,AL20,MAX(0,(AL20-AM$4)*(1+NORMINV(RAND(),INPUTS!$B$28,INPUTS!$B$29))))</f>
        <v>1756493.07296315</v>
      </c>
      <c r="AN20" s="89" t="n">
        <f aca="true">IF(AN$5=0,AM20,MAX(0,(AM20-AN$4)*(1+NORMINV(RAND(),INPUTS!$B$28,INPUTS!$B$29))))</f>
        <v>1756493.07296315</v>
      </c>
      <c r="AO20" s="89" t="n">
        <f aca="true">IF(AO$5=0,AN20,MAX(0,(AN20-AO$4)*(1+NORMINV(RAND(),INPUTS!$B$28,INPUTS!$B$29))))</f>
        <v>1756493.07296315</v>
      </c>
      <c r="AP20" s="89" t="n">
        <f aca="true">IF(AP$5=0,AO20,MAX(0,(AO20-AP$4)*(1+NORMINV(RAND(),INPUTS!$B$28,INPUTS!$B$29))))</f>
        <v>1756493.07296315</v>
      </c>
      <c r="AQ20" s="89" t="n">
        <f aca="true">IF(AQ$5=0,AP20,MAX(0,(AP20-AQ$4)*(1+NORMINV(RAND(),INPUTS!$B$28,INPUTS!$B$29))))</f>
        <v>1756493.07296315</v>
      </c>
      <c r="AR20" s="89" t="n">
        <f aca="true">IF(AR$5=0,AQ20,MAX(0,(AQ20-AR$4)*(1+NORMINV(RAND(),INPUTS!$B$28,INPUTS!$B$29))))</f>
        <v>1756493.07296315</v>
      </c>
      <c r="AS20" s="89" t="n">
        <f aca="true">IF(AS$5=0,AR20,MAX(0,(AR20-AS$4)*(1+NORMINV(RAND(),INPUTS!$B$28,INPUTS!$B$29))))</f>
        <v>1756493.07296315</v>
      </c>
      <c r="AT20" s="89" t="n">
        <f aca="true">IF(AT$5=0,AS20,MAX(0,(AS20-AT$4)*(1+NORMINV(RAND(),INPUTS!$B$28,INPUTS!$B$29))))</f>
        <v>1756493.07296315</v>
      </c>
      <c r="AU20" s="89" t="n">
        <f aca="true">IF(AU$5=0,AT20,MAX(0,(AT20-AU$4)*(1+NORMINV(RAND(),INPUTS!$B$28,INPUTS!$B$29))))</f>
        <v>1756493.07296315</v>
      </c>
      <c r="AV20" s="89" t="n">
        <f aca="true">IF(AV$5=0,AU20,MAX(0,(AU20-AV$4)*(1+NORMINV(RAND(),INPUTS!$B$28,INPUTS!$B$29))))</f>
        <v>1756493.07296315</v>
      </c>
      <c r="AW20" s="89" t="n">
        <f aca="true">IF(AW$5=0,AV20,MAX(0,(AV20-AW$4)*(1+NORMINV(RAND(),INPUTS!$B$28,INPUTS!$B$29))))</f>
        <v>1756493.07296315</v>
      </c>
      <c r="AX20" s="89" t="n">
        <f aca="true">IF(AX$5=0,AW20,MAX(0,(AW20-AX$4)*(1+NORMINV(RAND(),INPUTS!$B$28,INPUTS!$B$29))))</f>
        <v>1756493.07296315</v>
      </c>
      <c r="AY20" s="89" t="n">
        <f aca="true">IF(AY$5=0,AX20,MAX(0,(AX20-AY$4)*(1+NORMINV(RAND(),INPUTS!$B$28,INPUTS!$B$29))))</f>
        <v>1756493.07296315</v>
      </c>
      <c r="AZ20" s="89" t="n">
        <f aca="true">IF(AZ$5=0,AY20,MAX(0,(AY20-AZ$4)*(1+NORMINV(RAND(),INPUTS!$B$28,INPUTS!$B$29))))</f>
        <v>1756493.07296315</v>
      </c>
      <c r="BA20" s="89" t="n">
        <f aca="true">IF(BA$5=0,AZ20,MAX(0,(AZ20-BA$4)*(1+NORMINV(RAND(),INPUTS!$B$28,INPUTS!$B$29))))</f>
        <v>1756493.07296315</v>
      </c>
      <c r="BB20" s="89" t="n">
        <f aca="true">IF(BB$5=0,BA20,MAX(0,(BA20-BB$4)*(1+NORMINV(RAND(),INPUTS!$B$28,INPUTS!$B$29))))</f>
        <v>1756493.07296315</v>
      </c>
      <c r="BC20" s="89" t="n">
        <f aca="true">IF(BC$5=0,BB20,MAX(0,(BB20-BC$4)*(1+NORMINV(RAND(),INPUTS!$B$28,INPUTS!$B$29))))</f>
        <v>1756493.07296315</v>
      </c>
      <c r="BD20" s="89" t="n">
        <f aca="true">IF(BD$5=0,BC20,MAX(0,(BC20-BD$4)*(1+NORMINV(RAND(),INPUTS!$B$28,INPUTS!$B$29))))</f>
        <v>1756493.07296315</v>
      </c>
      <c r="BE20" s="89" t="n">
        <f aca="true">IF(BE$5=0,BD20,MAX(0,(BD20-BE$4)*(1+NORMINV(RAND(),INPUTS!$B$28,INPUTS!$B$29))))</f>
        <v>1756493.07296315</v>
      </c>
      <c r="BF20" s="89" t="n">
        <f aca="true">IF(BF$5=0,BE20,MAX(0,(BE20-BF$4)*(1+NORMINV(RAND(),INPUTS!$B$28,INPUTS!$B$29))))</f>
        <v>1756493.07296315</v>
      </c>
      <c r="BG20" s="89" t="n">
        <f aca="true">IF(BG$5=0,BF20,MAX(0,(BF20-BG$4)*(1+NORMINV(RAND(),INPUTS!$B$28,INPUTS!$B$29))))</f>
        <v>1756493.07296315</v>
      </c>
      <c r="BH20" s="89" t="n">
        <f aca="true">IF(BH$5=0,BG20,MAX(0,(BG20-BH$4)*(1+NORMINV(RAND(),INPUTS!$B$28,INPUTS!$B$29))))</f>
        <v>1756493.07296315</v>
      </c>
      <c r="BI20" s="89" t="n">
        <f aca="true">IF(BI$5=0,BH20,MAX(0,(BH20-BI$4)*(1+NORMINV(RAND(),INPUTS!$B$28,INPUTS!$B$29))))</f>
        <v>1756493.07296315</v>
      </c>
      <c r="BJ20" s="89" t="n">
        <f aca="true">IF(BJ$5=0,BI20,MAX(0,(BI20-BJ$4)*(1+NORMINV(RAND(),INPUTS!$B$28,INPUTS!$B$29))))</f>
        <v>1756493.07296315</v>
      </c>
    </row>
    <row r="21" customFormat="false" ht="15" hidden="false" customHeight="true" outlineLevel="0" collapsed="false">
      <c r="A21" s="87" t="n">
        <v>14</v>
      </c>
      <c r="B21" s="88" t="n">
        <f aca="false">LOOKUP(9.99E+307,C21:BJ21)</f>
        <v>2100098.87511141</v>
      </c>
      <c r="C21" s="89" t="n">
        <f aca="true">IF(C$5=0,INPUTS!$B$35,MAX(0,(INPUTS!$B$35-C$4)*(1+NORMINV(RAND(),INPUTS!$B$28,INPUTS!$B$29))))</f>
        <v>1621411.83940412</v>
      </c>
      <c r="D21" s="89" t="n">
        <f aca="true">IF(D$5=0,C21,MAX(0,(C21-D$4)*(1+NORMINV(RAND(),INPUTS!$B$28,INPUTS!$B$29))))</f>
        <v>1595896.37075151</v>
      </c>
      <c r="E21" s="89" t="n">
        <f aca="true">IF(E$5=0,D21,MAX(0,(D21-E$4)*(1+NORMINV(RAND(),INPUTS!$B$28,INPUTS!$B$29))))</f>
        <v>1918157.29710222</v>
      </c>
      <c r="F21" s="89" t="n">
        <f aca="true">IF(F$5=0,E21,MAX(0,(E21-F$4)*(1+NORMINV(RAND(),INPUTS!$B$28,INPUTS!$B$29))))</f>
        <v>1935813.06425074</v>
      </c>
      <c r="G21" s="89" t="n">
        <f aca="true">IF(G$5=0,F21,MAX(0,(F21-G$4)*(1+NORMINV(RAND(),INPUTS!$B$28,INPUTS!$B$29))))</f>
        <v>2234249.75260073</v>
      </c>
      <c r="H21" s="89" t="n">
        <f aca="true">IF(H$5=0,G21,MAX(0,(G21-H$4)*(1+NORMINV(RAND(),INPUTS!$B$28,INPUTS!$B$29))))</f>
        <v>2605817.98494821</v>
      </c>
      <c r="I21" s="89" t="n">
        <f aca="true">IF(I$5=0,H21,MAX(0,(H21-I$4)*(1+NORMINV(RAND(),INPUTS!$B$28,INPUTS!$B$29))))</f>
        <v>2412645.91322878</v>
      </c>
      <c r="J21" s="89" t="n">
        <f aca="true">IF(J$5=0,I21,MAX(0,(I21-J$4)*(1+NORMINV(RAND(),INPUTS!$B$28,INPUTS!$B$29))))</f>
        <v>2891428.4470329</v>
      </c>
      <c r="K21" s="89" t="n">
        <f aca="true">IF(K$5=0,J21,MAX(0,(J21-K$4)*(1+NORMINV(RAND(),INPUTS!$B$28,INPUTS!$B$29))))</f>
        <v>3052490.69139821</v>
      </c>
      <c r="L21" s="89" t="n">
        <f aca="true">IF(L$5=0,K21,MAX(0,(K21-L$4)*(1+NORMINV(RAND(),INPUTS!$B$28,INPUTS!$B$29))))</f>
        <v>3145301.60288724</v>
      </c>
      <c r="M21" s="89" t="n">
        <f aca="true">IF(M$5=0,L21,MAX(0,(L21-M$4)*(1+NORMINV(RAND(),INPUTS!$B$28,INPUTS!$B$29))))</f>
        <v>3533609.32699748</v>
      </c>
      <c r="N21" s="89" t="n">
        <f aca="true">IF(N$5=0,M21,MAX(0,(M21-N$4)*(1+NORMINV(RAND(),INPUTS!$B$28,INPUTS!$B$29))))</f>
        <v>3108830.56629337</v>
      </c>
      <c r="O21" s="89" t="n">
        <f aca="true">IF(O$5=0,N21,MAX(0,(N21-O$4)*(1+NORMINV(RAND(),INPUTS!$B$28,INPUTS!$B$29))))</f>
        <v>3092877.71414234</v>
      </c>
      <c r="P21" s="89" t="n">
        <f aca="true">IF(P$5=0,O21,MAX(0,(O21-P$4)*(1+NORMINV(RAND(),INPUTS!$B$28,INPUTS!$B$29))))</f>
        <v>2527111.20786654</v>
      </c>
      <c r="Q21" s="89" t="n">
        <f aca="true">IF(Q$5=0,P21,MAX(0,(P21-Q$4)*(1+NORMINV(RAND(),INPUTS!$B$28,INPUTS!$B$29))))</f>
        <v>2564080.68919689</v>
      </c>
      <c r="R21" s="89" t="n">
        <f aca="true">IF(R$5=0,Q21,MAX(0,(Q21-R$4)*(1+NORMINV(RAND(),INPUTS!$B$28,INPUTS!$B$29))))</f>
        <v>2799500.36446233</v>
      </c>
      <c r="S21" s="89" t="n">
        <f aca="true">IF(S$5=0,R21,MAX(0,(R21-S$4)*(1+NORMINV(RAND(),INPUTS!$B$28,INPUTS!$B$29))))</f>
        <v>3403823.52515521</v>
      </c>
      <c r="T21" s="89" t="n">
        <f aca="true">IF(T$5=0,S21,MAX(0,(S21-T$4)*(1+NORMINV(RAND(),INPUTS!$B$28,INPUTS!$B$29))))</f>
        <v>2739657.2799538</v>
      </c>
      <c r="U21" s="89" t="n">
        <f aca="true">IF(U$5=0,T21,MAX(0,(T21-U$4)*(1+NORMINV(RAND(),INPUTS!$B$28,INPUTS!$B$29))))</f>
        <v>2625804.30821107</v>
      </c>
      <c r="V21" s="89" t="n">
        <f aca="true">IF(V$5=0,U21,MAX(0,(U21-V$4)*(1+NORMINV(RAND(),INPUTS!$B$28,INPUTS!$B$29))))</f>
        <v>2833817.44555697</v>
      </c>
      <c r="W21" s="89" t="n">
        <f aca="true">IF(W$5=0,V21,MAX(0,(V21-W$4)*(1+NORMINV(RAND(),INPUTS!$B$28,INPUTS!$B$29))))</f>
        <v>3268652.30579097</v>
      </c>
      <c r="X21" s="89" t="n">
        <f aca="true">IF(X$5=0,W21,MAX(0,(W21-X$4)*(1+NORMINV(RAND(),INPUTS!$B$28,INPUTS!$B$29))))</f>
        <v>1986506.64653025</v>
      </c>
      <c r="Y21" s="89" t="n">
        <f aca="true">IF(Y$5=0,X21,MAX(0,(X21-Y$4)*(1+NORMINV(RAND(),INPUTS!$B$28,INPUTS!$B$29))))</f>
        <v>2111413.48662667</v>
      </c>
      <c r="Z21" s="89" t="n">
        <f aca="true">IF(Z$5=0,Y21,MAX(0,(Y21-Z$4)*(1+NORMINV(RAND(),INPUTS!$B$28,INPUTS!$B$29))))</f>
        <v>1854047.74577249</v>
      </c>
      <c r="AA21" s="89" t="n">
        <f aca="true">IF(AA$5=0,Z21,MAX(0,(Z21-AA$4)*(1+NORMINV(RAND(),INPUTS!$B$28,INPUTS!$B$29))))</f>
        <v>1833969.92394861</v>
      </c>
      <c r="AB21" s="89" t="n">
        <f aca="true">IF(AB$5=0,AA21,MAX(0,(AA21-AB$4)*(1+NORMINV(RAND(),INPUTS!$B$28,INPUTS!$B$29))))</f>
        <v>1958086.64969872</v>
      </c>
      <c r="AC21" s="89" t="n">
        <f aca="true">IF(AC$5=0,AB21,MAX(0,(AB21-AC$4)*(1+NORMINV(RAND(),INPUTS!$B$28,INPUTS!$B$29))))</f>
        <v>2139895.61457316</v>
      </c>
      <c r="AD21" s="89" t="n">
        <f aca="true">IF(AD$5=0,AC21,MAX(0,(AC21-AD$4)*(1+NORMINV(RAND(),INPUTS!$B$28,INPUTS!$B$29))))</f>
        <v>1914189.85964186</v>
      </c>
      <c r="AE21" s="89" t="n">
        <f aca="true">IF(AE$5=0,AD21,MAX(0,(AD21-AE$4)*(1+NORMINV(RAND(),INPUTS!$B$28,INPUTS!$B$29))))</f>
        <v>1892989.86207757</v>
      </c>
      <c r="AF21" s="89" t="n">
        <f aca="true">IF(AF$5=0,AE21,MAX(0,(AE21-AF$4)*(1+NORMINV(RAND(),INPUTS!$B$28,INPUTS!$B$29))))</f>
        <v>2032674.46540046</v>
      </c>
      <c r="AG21" s="89" t="n">
        <f aca="true">IF(AG$5=0,AF21,MAX(0,(AF21-AG$4)*(1+NORMINV(RAND(),INPUTS!$B$28,INPUTS!$B$29))))</f>
        <v>2208442.59209537</v>
      </c>
      <c r="AH21" s="89" t="n">
        <f aca="true">IF(AH$5=0,AG21,MAX(0,(AG21-AH$4)*(1+NORMINV(RAND(),INPUTS!$B$28,INPUTS!$B$29))))</f>
        <v>2476513.21367515</v>
      </c>
      <c r="AI21" s="89" t="n">
        <f aca="true">IF(AI$5=0,AH21,MAX(0,(AH21-AI$4)*(1+NORMINV(RAND(),INPUTS!$B$28,INPUTS!$B$29))))</f>
        <v>2026093.18907393</v>
      </c>
      <c r="AJ21" s="89" t="n">
        <f aca="true">IF(AJ$5=0,AI21,MAX(0,(AI21-AJ$4)*(1+NORMINV(RAND(),INPUTS!$B$28,INPUTS!$B$29))))</f>
        <v>2452588.50421466</v>
      </c>
      <c r="AK21" s="89" t="n">
        <f aca="true">IF(AK$5=0,AJ21,MAX(0,(AJ21-AK$4)*(1+NORMINV(RAND(),INPUTS!$B$28,INPUTS!$B$29))))</f>
        <v>2307944.52057047</v>
      </c>
      <c r="AL21" s="89" t="n">
        <f aca="true">IF(AL$5=0,AK21,MAX(0,(AK21-AL$4)*(1+NORMINV(RAND(),INPUTS!$B$28,INPUTS!$B$29))))</f>
        <v>2100098.87511141</v>
      </c>
      <c r="AM21" s="89" t="n">
        <f aca="true">IF(AM$5=0,AL21,MAX(0,(AL21-AM$4)*(1+NORMINV(RAND(),INPUTS!$B$28,INPUTS!$B$29))))</f>
        <v>2100098.87511141</v>
      </c>
      <c r="AN21" s="89" t="n">
        <f aca="true">IF(AN$5=0,AM21,MAX(0,(AM21-AN$4)*(1+NORMINV(RAND(),INPUTS!$B$28,INPUTS!$B$29))))</f>
        <v>2100098.87511141</v>
      </c>
      <c r="AO21" s="89" t="n">
        <f aca="true">IF(AO$5=0,AN21,MAX(0,(AN21-AO$4)*(1+NORMINV(RAND(),INPUTS!$B$28,INPUTS!$B$29))))</f>
        <v>2100098.87511141</v>
      </c>
      <c r="AP21" s="89" t="n">
        <f aca="true">IF(AP$5=0,AO21,MAX(0,(AO21-AP$4)*(1+NORMINV(RAND(),INPUTS!$B$28,INPUTS!$B$29))))</f>
        <v>2100098.87511141</v>
      </c>
      <c r="AQ21" s="89" t="n">
        <f aca="true">IF(AQ$5=0,AP21,MAX(0,(AP21-AQ$4)*(1+NORMINV(RAND(),INPUTS!$B$28,INPUTS!$B$29))))</f>
        <v>2100098.87511141</v>
      </c>
      <c r="AR21" s="89" t="n">
        <f aca="true">IF(AR$5=0,AQ21,MAX(0,(AQ21-AR$4)*(1+NORMINV(RAND(),INPUTS!$B$28,INPUTS!$B$29))))</f>
        <v>2100098.87511141</v>
      </c>
      <c r="AS21" s="89" t="n">
        <f aca="true">IF(AS$5=0,AR21,MAX(0,(AR21-AS$4)*(1+NORMINV(RAND(),INPUTS!$B$28,INPUTS!$B$29))))</f>
        <v>2100098.87511141</v>
      </c>
      <c r="AT21" s="89" t="n">
        <f aca="true">IF(AT$5=0,AS21,MAX(0,(AS21-AT$4)*(1+NORMINV(RAND(),INPUTS!$B$28,INPUTS!$B$29))))</f>
        <v>2100098.87511141</v>
      </c>
      <c r="AU21" s="89" t="n">
        <f aca="true">IF(AU$5=0,AT21,MAX(0,(AT21-AU$4)*(1+NORMINV(RAND(),INPUTS!$B$28,INPUTS!$B$29))))</f>
        <v>2100098.87511141</v>
      </c>
      <c r="AV21" s="89" t="n">
        <f aca="true">IF(AV$5=0,AU21,MAX(0,(AU21-AV$4)*(1+NORMINV(RAND(),INPUTS!$B$28,INPUTS!$B$29))))</f>
        <v>2100098.87511141</v>
      </c>
      <c r="AW21" s="89" t="n">
        <f aca="true">IF(AW$5=0,AV21,MAX(0,(AV21-AW$4)*(1+NORMINV(RAND(),INPUTS!$B$28,INPUTS!$B$29))))</f>
        <v>2100098.87511141</v>
      </c>
      <c r="AX21" s="89" t="n">
        <f aca="true">IF(AX$5=0,AW21,MAX(0,(AW21-AX$4)*(1+NORMINV(RAND(),INPUTS!$B$28,INPUTS!$B$29))))</f>
        <v>2100098.87511141</v>
      </c>
      <c r="AY21" s="89" t="n">
        <f aca="true">IF(AY$5=0,AX21,MAX(0,(AX21-AY$4)*(1+NORMINV(RAND(),INPUTS!$B$28,INPUTS!$B$29))))</f>
        <v>2100098.87511141</v>
      </c>
      <c r="AZ21" s="89" t="n">
        <f aca="true">IF(AZ$5=0,AY21,MAX(0,(AY21-AZ$4)*(1+NORMINV(RAND(),INPUTS!$B$28,INPUTS!$B$29))))</f>
        <v>2100098.87511141</v>
      </c>
      <c r="BA21" s="89" t="n">
        <f aca="true">IF(BA$5=0,AZ21,MAX(0,(AZ21-BA$4)*(1+NORMINV(RAND(),INPUTS!$B$28,INPUTS!$B$29))))</f>
        <v>2100098.87511141</v>
      </c>
      <c r="BB21" s="89" t="n">
        <f aca="true">IF(BB$5=0,BA21,MAX(0,(BA21-BB$4)*(1+NORMINV(RAND(),INPUTS!$B$28,INPUTS!$B$29))))</f>
        <v>2100098.87511141</v>
      </c>
      <c r="BC21" s="89" t="n">
        <f aca="true">IF(BC$5=0,BB21,MAX(0,(BB21-BC$4)*(1+NORMINV(RAND(),INPUTS!$B$28,INPUTS!$B$29))))</f>
        <v>2100098.87511141</v>
      </c>
      <c r="BD21" s="89" t="n">
        <f aca="true">IF(BD$5=0,BC21,MAX(0,(BC21-BD$4)*(1+NORMINV(RAND(),INPUTS!$B$28,INPUTS!$B$29))))</f>
        <v>2100098.87511141</v>
      </c>
      <c r="BE21" s="89" t="n">
        <f aca="true">IF(BE$5=0,BD21,MAX(0,(BD21-BE$4)*(1+NORMINV(RAND(),INPUTS!$B$28,INPUTS!$B$29))))</f>
        <v>2100098.87511141</v>
      </c>
      <c r="BF21" s="89" t="n">
        <f aca="true">IF(BF$5=0,BE21,MAX(0,(BE21-BF$4)*(1+NORMINV(RAND(),INPUTS!$B$28,INPUTS!$B$29))))</f>
        <v>2100098.87511141</v>
      </c>
      <c r="BG21" s="89" t="n">
        <f aca="true">IF(BG$5=0,BF21,MAX(0,(BF21-BG$4)*(1+NORMINV(RAND(),INPUTS!$B$28,INPUTS!$B$29))))</f>
        <v>2100098.87511141</v>
      </c>
      <c r="BH21" s="89" t="n">
        <f aca="true">IF(BH$5=0,BG21,MAX(0,(BG21-BH$4)*(1+NORMINV(RAND(),INPUTS!$B$28,INPUTS!$B$29))))</f>
        <v>2100098.87511141</v>
      </c>
      <c r="BI21" s="89" t="n">
        <f aca="true">IF(BI$5=0,BH21,MAX(0,(BH21-BI$4)*(1+NORMINV(RAND(),INPUTS!$B$28,INPUTS!$B$29))))</f>
        <v>2100098.87511141</v>
      </c>
      <c r="BJ21" s="89" t="n">
        <f aca="true">IF(BJ$5=0,BI21,MAX(0,(BI21-BJ$4)*(1+NORMINV(RAND(),INPUTS!$B$28,INPUTS!$B$29))))</f>
        <v>2100098.87511141</v>
      </c>
    </row>
    <row r="22" customFormat="false" ht="15" hidden="false" customHeight="true" outlineLevel="0" collapsed="false">
      <c r="A22" s="87" t="n">
        <v>15</v>
      </c>
      <c r="B22" s="88" t="n">
        <f aca="false">LOOKUP(9.99E+307,C22:BJ22)</f>
        <v>2705898.77670958</v>
      </c>
      <c r="C22" s="89" t="n">
        <f aca="true">IF(C$5=0,INPUTS!$B$35,MAX(0,(INPUTS!$B$35-C$4)*(1+NORMINV(RAND(),INPUTS!$B$28,INPUTS!$B$29))))</f>
        <v>1703398.82794976</v>
      </c>
      <c r="D22" s="89" t="n">
        <f aca="true">IF(D$5=0,C22,MAX(0,(C22-D$4)*(1+NORMINV(RAND(),INPUTS!$B$28,INPUTS!$B$29))))</f>
        <v>1813171.64487674</v>
      </c>
      <c r="E22" s="89" t="n">
        <f aca="true">IF(E$5=0,D22,MAX(0,(D22-E$4)*(1+NORMINV(RAND(),INPUTS!$B$28,INPUTS!$B$29))))</f>
        <v>1681756.76431896</v>
      </c>
      <c r="F22" s="89" t="n">
        <f aca="true">IF(F$5=0,E22,MAX(0,(E22-F$4)*(1+NORMINV(RAND(),INPUTS!$B$28,INPUTS!$B$29))))</f>
        <v>1814644.83186252</v>
      </c>
      <c r="G22" s="89" t="n">
        <f aca="true">IF(G$5=0,F22,MAX(0,(F22-G$4)*(1+NORMINV(RAND(),INPUTS!$B$28,INPUTS!$B$29))))</f>
        <v>1852366.38459075</v>
      </c>
      <c r="H22" s="89" t="n">
        <f aca="true">IF(H$5=0,G22,MAX(0,(G22-H$4)*(1+NORMINV(RAND(),INPUTS!$B$28,INPUTS!$B$29))))</f>
        <v>2147193.70187647</v>
      </c>
      <c r="I22" s="89" t="n">
        <f aca="true">IF(I$5=0,H22,MAX(0,(H22-I$4)*(1+NORMINV(RAND(),INPUTS!$B$28,INPUTS!$B$29))))</f>
        <v>2137305.731415</v>
      </c>
      <c r="J22" s="89" t="n">
        <f aca="true">IF(J$5=0,I22,MAX(0,(I22-J$4)*(1+NORMINV(RAND(),INPUTS!$B$28,INPUTS!$B$29))))</f>
        <v>1820774.41205869</v>
      </c>
      <c r="K22" s="89" t="n">
        <f aca="true">IF(K$5=0,J22,MAX(0,(J22-K$4)*(1+NORMINV(RAND(),INPUTS!$B$28,INPUTS!$B$29))))</f>
        <v>1906168.00775557</v>
      </c>
      <c r="L22" s="89" t="n">
        <f aca="true">IF(L$5=0,K22,MAX(0,(K22-L$4)*(1+NORMINV(RAND(),INPUTS!$B$28,INPUTS!$B$29))))</f>
        <v>1960327.39209369</v>
      </c>
      <c r="M22" s="89" t="n">
        <f aca="true">IF(M$5=0,L22,MAX(0,(L22-M$4)*(1+NORMINV(RAND(),INPUTS!$B$28,INPUTS!$B$29))))</f>
        <v>1737049.80517739</v>
      </c>
      <c r="N22" s="89" t="n">
        <f aca="true">IF(N$5=0,M22,MAX(0,(M22-N$4)*(1+NORMINV(RAND(),INPUTS!$B$28,INPUTS!$B$29))))</f>
        <v>1835268.13303056</v>
      </c>
      <c r="O22" s="89" t="n">
        <f aca="true">IF(O$5=0,N22,MAX(0,(N22-O$4)*(1+NORMINV(RAND(),INPUTS!$B$28,INPUTS!$B$29))))</f>
        <v>1866512.38830857</v>
      </c>
      <c r="P22" s="89" t="n">
        <f aca="true">IF(P$5=0,O22,MAX(0,(O22-P$4)*(1+NORMINV(RAND(),INPUTS!$B$28,INPUTS!$B$29))))</f>
        <v>1934499.44648703</v>
      </c>
      <c r="Q22" s="89" t="n">
        <f aca="true">IF(Q$5=0,P22,MAX(0,(P22-Q$4)*(1+NORMINV(RAND(),INPUTS!$B$28,INPUTS!$B$29))))</f>
        <v>1913442.6426838</v>
      </c>
      <c r="R22" s="89" t="n">
        <f aca="true">IF(R$5=0,Q22,MAX(0,(Q22-R$4)*(1+NORMINV(RAND(),INPUTS!$B$28,INPUTS!$B$29))))</f>
        <v>2331303.49990925</v>
      </c>
      <c r="S22" s="89" t="n">
        <f aca="true">IF(S$5=0,R22,MAX(0,(R22-S$4)*(1+NORMINV(RAND(),INPUTS!$B$28,INPUTS!$B$29))))</f>
        <v>2455251.70597495</v>
      </c>
      <c r="T22" s="89" t="n">
        <f aca="true">IF(T$5=0,S22,MAX(0,(S22-T$4)*(1+NORMINV(RAND(),INPUTS!$B$28,INPUTS!$B$29))))</f>
        <v>2366453.64198772</v>
      </c>
      <c r="U22" s="89" t="n">
        <f aca="true">IF(U$5=0,T22,MAX(0,(T22-U$4)*(1+NORMINV(RAND(),INPUTS!$B$28,INPUTS!$B$29))))</f>
        <v>2262526.26108889</v>
      </c>
      <c r="V22" s="89" t="n">
        <f aca="true">IF(V$5=0,U22,MAX(0,(U22-V$4)*(1+NORMINV(RAND(),INPUTS!$B$28,INPUTS!$B$29))))</f>
        <v>2535582.67095262</v>
      </c>
      <c r="W22" s="89" t="n">
        <f aca="true">IF(W$5=0,V22,MAX(0,(V22-W$4)*(1+NORMINV(RAND(),INPUTS!$B$28,INPUTS!$B$29))))</f>
        <v>2109981.46018181</v>
      </c>
      <c r="X22" s="89" t="n">
        <f aca="true">IF(X$5=0,W22,MAX(0,(W22-X$4)*(1+NORMINV(RAND(),INPUTS!$B$28,INPUTS!$B$29))))</f>
        <v>2025409.69376835</v>
      </c>
      <c r="Y22" s="89" t="n">
        <f aca="true">IF(Y$5=0,X22,MAX(0,(X22-Y$4)*(1+NORMINV(RAND(),INPUTS!$B$28,INPUTS!$B$29))))</f>
        <v>1840904.51514986</v>
      </c>
      <c r="Z22" s="89" t="n">
        <f aca="true">IF(Z$5=0,Y22,MAX(0,(Y22-Z$4)*(1+NORMINV(RAND(),INPUTS!$B$28,INPUTS!$B$29))))</f>
        <v>1814026.79168315</v>
      </c>
      <c r="AA22" s="89" t="n">
        <f aca="true">IF(AA$5=0,Z22,MAX(0,(Z22-AA$4)*(1+NORMINV(RAND(),INPUTS!$B$28,INPUTS!$B$29))))</f>
        <v>1649338.3465237</v>
      </c>
      <c r="AB22" s="89" t="n">
        <f aca="true">IF(AB$5=0,AA22,MAX(0,(AA22-AB$4)*(1+NORMINV(RAND(),INPUTS!$B$28,INPUTS!$B$29))))</f>
        <v>2062425.44510255</v>
      </c>
      <c r="AC22" s="89" t="n">
        <f aca="true">IF(AC$5=0,AB22,MAX(0,(AB22-AC$4)*(1+NORMINV(RAND(),INPUTS!$B$28,INPUTS!$B$29))))</f>
        <v>2295820.56918224</v>
      </c>
      <c r="AD22" s="89" t="n">
        <f aca="true">IF(AD$5=0,AC22,MAX(0,(AC22-AD$4)*(1+NORMINV(RAND(),INPUTS!$B$28,INPUTS!$B$29))))</f>
        <v>1984457.56591964</v>
      </c>
      <c r="AE22" s="89" t="n">
        <f aca="true">IF(AE$5=0,AD22,MAX(0,(AD22-AE$4)*(1+NORMINV(RAND(),INPUTS!$B$28,INPUTS!$B$29))))</f>
        <v>2082475.16125651</v>
      </c>
      <c r="AF22" s="89" t="n">
        <f aca="true">IF(AF$5=0,AE22,MAX(0,(AE22-AF$4)*(1+NORMINV(RAND(),INPUTS!$B$28,INPUTS!$B$29))))</f>
        <v>1975373.87698266</v>
      </c>
      <c r="AG22" s="89" t="n">
        <f aca="true">IF(AG$5=0,AF22,MAX(0,(AF22-AG$4)*(1+NORMINV(RAND(),INPUTS!$B$28,INPUTS!$B$29))))</f>
        <v>1896163.90932436</v>
      </c>
      <c r="AH22" s="89" t="n">
        <f aca="true">IF(AH$5=0,AG22,MAX(0,(AG22-AH$4)*(1+NORMINV(RAND(),INPUTS!$B$28,INPUTS!$B$29))))</f>
        <v>1999621.52969517</v>
      </c>
      <c r="AI22" s="89" t="n">
        <f aca="true">IF(AI$5=0,AH22,MAX(0,(AH22-AI$4)*(1+NORMINV(RAND(),INPUTS!$B$28,INPUTS!$B$29))))</f>
        <v>2637089.8974971</v>
      </c>
      <c r="AJ22" s="89" t="n">
        <f aca="true">IF(AJ$5=0,AI22,MAX(0,(AI22-AJ$4)*(1+NORMINV(RAND(),INPUTS!$B$28,INPUTS!$B$29))))</f>
        <v>2392040.43380969</v>
      </c>
      <c r="AK22" s="89" t="n">
        <f aca="true">IF(AK$5=0,AJ22,MAX(0,(AJ22-AK$4)*(1+NORMINV(RAND(),INPUTS!$B$28,INPUTS!$B$29))))</f>
        <v>2638492.82721003</v>
      </c>
      <c r="AL22" s="89" t="n">
        <f aca="true">IF(AL$5=0,AK22,MAX(0,(AK22-AL$4)*(1+NORMINV(RAND(),INPUTS!$B$28,INPUTS!$B$29))))</f>
        <v>2705898.77670958</v>
      </c>
      <c r="AM22" s="89" t="n">
        <f aca="true">IF(AM$5=0,AL22,MAX(0,(AL22-AM$4)*(1+NORMINV(RAND(),INPUTS!$B$28,INPUTS!$B$29))))</f>
        <v>2705898.77670958</v>
      </c>
      <c r="AN22" s="89" t="n">
        <f aca="true">IF(AN$5=0,AM22,MAX(0,(AM22-AN$4)*(1+NORMINV(RAND(),INPUTS!$B$28,INPUTS!$B$29))))</f>
        <v>2705898.77670958</v>
      </c>
      <c r="AO22" s="89" t="n">
        <f aca="true">IF(AO$5=0,AN22,MAX(0,(AN22-AO$4)*(1+NORMINV(RAND(),INPUTS!$B$28,INPUTS!$B$29))))</f>
        <v>2705898.77670958</v>
      </c>
      <c r="AP22" s="89" t="n">
        <f aca="true">IF(AP$5=0,AO22,MAX(0,(AO22-AP$4)*(1+NORMINV(RAND(),INPUTS!$B$28,INPUTS!$B$29))))</f>
        <v>2705898.77670958</v>
      </c>
      <c r="AQ22" s="89" t="n">
        <f aca="true">IF(AQ$5=0,AP22,MAX(0,(AP22-AQ$4)*(1+NORMINV(RAND(),INPUTS!$B$28,INPUTS!$B$29))))</f>
        <v>2705898.77670958</v>
      </c>
      <c r="AR22" s="89" t="n">
        <f aca="true">IF(AR$5=0,AQ22,MAX(0,(AQ22-AR$4)*(1+NORMINV(RAND(),INPUTS!$B$28,INPUTS!$B$29))))</f>
        <v>2705898.77670958</v>
      </c>
      <c r="AS22" s="89" t="n">
        <f aca="true">IF(AS$5=0,AR22,MAX(0,(AR22-AS$4)*(1+NORMINV(RAND(),INPUTS!$B$28,INPUTS!$B$29))))</f>
        <v>2705898.77670958</v>
      </c>
      <c r="AT22" s="89" t="n">
        <f aca="true">IF(AT$5=0,AS22,MAX(0,(AS22-AT$4)*(1+NORMINV(RAND(),INPUTS!$B$28,INPUTS!$B$29))))</f>
        <v>2705898.77670958</v>
      </c>
      <c r="AU22" s="89" t="n">
        <f aca="true">IF(AU$5=0,AT22,MAX(0,(AT22-AU$4)*(1+NORMINV(RAND(),INPUTS!$B$28,INPUTS!$B$29))))</f>
        <v>2705898.77670958</v>
      </c>
      <c r="AV22" s="89" t="n">
        <f aca="true">IF(AV$5=0,AU22,MAX(0,(AU22-AV$4)*(1+NORMINV(RAND(),INPUTS!$B$28,INPUTS!$B$29))))</f>
        <v>2705898.77670958</v>
      </c>
      <c r="AW22" s="89" t="n">
        <f aca="true">IF(AW$5=0,AV22,MAX(0,(AV22-AW$4)*(1+NORMINV(RAND(),INPUTS!$B$28,INPUTS!$B$29))))</f>
        <v>2705898.77670958</v>
      </c>
      <c r="AX22" s="89" t="n">
        <f aca="true">IF(AX$5=0,AW22,MAX(0,(AW22-AX$4)*(1+NORMINV(RAND(),INPUTS!$B$28,INPUTS!$B$29))))</f>
        <v>2705898.77670958</v>
      </c>
      <c r="AY22" s="89" t="n">
        <f aca="true">IF(AY$5=0,AX22,MAX(0,(AX22-AY$4)*(1+NORMINV(RAND(),INPUTS!$B$28,INPUTS!$B$29))))</f>
        <v>2705898.77670958</v>
      </c>
      <c r="AZ22" s="89" t="n">
        <f aca="true">IF(AZ$5=0,AY22,MAX(0,(AY22-AZ$4)*(1+NORMINV(RAND(),INPUTS!$B$28,INPUTS!$B$29))))</f>
        <v>2705898.77670958</v>
      </c>
      <c r="BA22" s="89" t="n">
        <f aca="true">IF(BA$5=0,AZ22,MAX(0,(AZ22-BA$4)*(1+NORMINV(RAND(),INPUTS!$B$28,INPUTS!$B$29))))</f>
        <v>2705898.77670958</v>
      </c>
      <c r="BB22" s="89" t="n">
        <f aca="true">IF(BB$5=0,BA22,MAX(0,(BA22-BB$4)*(1+NORMINV(RAND(),INPUTS!$B$28,INPUTS!$B$29))))</f>
        <v>2705898.77670958</v>
      </c>
      <c r="BC22" s="89" t="n">
        <f aca="true">IF(BC$5=0,BB22,MAX(0,(BB22-BC$4)*(1+NORMINV(RAND(),INPUTS!$B$28,INPUTS!$B$29))))</f>
        <v>2705898.77670958</v>
      </c>
      <c r="BD22" s="89" t="n">
        <f aca="true">IF(BD$5=0,BC22,MAX(0,(BC22-BD$4)*(1+NORMINV(RAND(),INPUTS!$B$28,INPUTS!$B$29))))</f>
        <v>2705898.77670958</v>
      </c>
      <c r="BE22" s="89" t="n">
        <f aca="true">IF(BE$5=0,BD22,MAX(0,(BD22-BE$4)*(1+NORMINV(RAND(),INPUTS!$B$28,INPUTS!$B$29))))</f>
        <v>2705898.77670958</v>
      </c>
      <c r="BF22" s="89" t="n">
        <f aca="true">IF(BF$5=0,BE22,MAX(0,(BE22-BF$4)*(1+NORMINV(RAND(),INPUTS!$B$28,INPUTS!$B$29))))</f>
        <v>2705898.77670958</v>
      </c>
      <c r="BG22" s="89" t="n">
        <f aca="true">IF(BG$5=0,BF22,MAX(0,(BF22-BG$4)*(1+NORMINV(RAND(),INPUTS!$B$28,INPUTS!$B$29))))</f>
        <v>2705898.77670958</v>
      </c>
      <c r="BH22" s="89" t="n">
        <f aca="true">IF(BH$5=0,BG22,MAX(0,(BG22-BH$4)*(1+NORMINV(RAND(),INPUTS!$B$28,INPUTS!$B$29))))</f>
        <v>2705898.77670958</v>
      </c>
      <c r="BI22" s="89" t="n">
        <f aca="true">IF(BI$5=0,BH22,MAX(0,(BH22-BI$4)*(1+NORMINV(RAND(),INPUTS!$B$28,INPUTS!$B$29))))</f>
        <v>2705898.77670958</v>
      </c>
      <c r="BJ22" s="89" t="n">
        <f aca="true">IF(BJ$5=0,BI22,MAX(0,(BI22-BJ$4)*(1+NORMINV(RAND(),INPUTS!$B$28,INPUTS!$B$29))))</f>
        <v>2705898.77670958</v>
      </c>
    </row>
    <row r="23" customFormat="false" ht="15" hidden="false" customHeight="true" outlineLevel="0" collapsed="false">
      <c r="A23" s="87" t="n">
        <v>16</v>
      </c>
      <c r="B23" s="88" t="n">
        <f aca="false">LOOKUP(9.99E+307,C23:BJ23)</f>
        <v>2878024.4952807</v>
      </c>
      <c r="C23" s="89" t="n">
        <f aca="true">IF(C$5=0,INPUTS!$B$35,MAX(0,(INPUTS!$B$35-C$4)*(1+NORMINV(RAND(),INPUTS!$B$28,INPUTS!$B$29))))</f>
        <v>1621742.08185919</v>
      </c>
      <c r="D23" s="89" t="n">
        <f aca="true">IF(D$5=0,C23,MAX(0,(C23-D$4)*(1+NORMINV(RAND(),INPUTS!$B$28,INPUTS!$B$29))))</f>
        <v>1628089.58592393</v>
      </c>
      <c r="E23" s="89" t="n">
        <f aca="true">IF(E$5=0,D23,MAX(0,(D23-E$4)*(1+NORMINV(RAND(),INPUTS!$B$28,INPUTS!$B$29))))</f>
        <v>1626705.10022423</v>
      </c>
      <c r="F23" s="89" t="n">
        <f aca="true">IF(F$5=0,E23,MAX(0,(E23-F$4)*(1+NORMINV(RAND(),INPUTS!$B$28,INPUTS!$B$29))))</f>
        <v>1881033.11230007</v>
      </c>
      <c r="G23" s="89" t="n">
        <f aca="true">IF(G$5=0,F23,MAX(0,(F23-G$4)*(1+NORMINV(RAND(),INPUTS!$B$28,INPUTS!$B$29))))</f>
        <v>1796411.34939548</v>
      </c>
      <c r="H23" s="89" t="n">
        <f aca="true">IF(H$5=0,G23,MAX(0,(G23-H$4)*(1+NORMINV(RAND(),INPUTS!$B$28,INPUTS!$B$29))))</f>
        <v>1959263.30127548</v>
      </c>
      <c r="I23" s="89" t="n">
        <f aca="true">IF(I$5=0,H23,MAX(0,(H23-I$4)*(1+NORMINV(RAND(),INPUTS!$B$28,INPUTS!$B$29))))</f>
        <v>1937341.58792217</v>
      </c>
      <c r="J23" s="89" t="n">
        <f aca="true">IF(J$5=0,I23,MAX(0,(I23-J$4)*(1+NORMINV(RAND(),INPUTS!$B$28,INPUTS!$B$29))))</f>
        <v>2021146.50067418</v>
      </c>
      <c r="K23" s="89" t="n">
        <f aca="true">IF(K$5=0,J23,MAX(0,(J23-K$4)*(1+NORMINV(RAND(),INPUTS!$B$28,INPUTS!$B$29))))</f>
        <v>1957416.742357</v>
      </c>
      <c r="L23" s="89" t="n">
        <f aca="true">IF(L$5=0,K23,MAX(0,(K23-L$4)*(1+NORMINV(RAND(),INPUTS!$B$28,INPUTS!$B$29))))</f>
        <v>1849771.76344909</v>
      </c>
      <c r="M23" s="89" t="n">
        <f aca="true">IF(M$5=0,L23,MAX(0,(L23-M$4)*(1+NORMINV(RAND(),INPUTS!$B$28,INPUTS!$B$29))))</f>
        <v>1839877.80974793</v>
      </c>
      <c r="N23" s="89" t="n">
        <f aca="true">IF(N$5=0,M23,MAX(0,(M23-N$4)*(1+NORMINV(RAND(),INPUTS!$B$28,INPUTS!$B$29))))</f>
        <v>1930819.38585123</v>
      </c>
      <c r="O23" s="89" t="n">
        <f aca="true">IF(O$5=0,N23,MAX(0,(N23-O$4)*(1+NORMINV(RAND(),INPUTS!$B$28,INPUTS!$B$29))))</f>
        <v>1780169.49465978</v>
      </c>
      <c r="P23" s="89" t="n">
        <f aca="true">IF(P$5=0,O23,MAX(0,(O23-P$4)*(1+NORMINV(RAND(),INPUTS!$B$28,INPUTS!$B$29))))</f>
        <v>1746270.56389133</v>
      </c>
      <c r="Q23" s="89" t="n">
        <f aca="true">IF(Q$5=0,P23,MAX(0,(P23-Q$4)*(1+NORMINV(RAND(),INPUTS!$B$28,INPUTS!$B$29))))</f>
        <v>2171250.05394208</v>
      </c>
      <c r="R23" s="89" t="n">
        <f aca="true">IF(R$5=0,Q23,MAX(0,(Q23-R$4)*(1+NORMINV(RAND(),INPUTS!$B$28,INPUTS!$B$29))))</f>
        <v>2070295.76710821</v>
      </c>
      <c r="S23" s="89" t="n">
        <f aca="true">IF(S$5=0,R23,MAX(0,(R23-S$4)*(1+NORMINV(RAND(),INPUTS!$B$28,INPUTS!$B$29))))</f>
        <v>1648524.07839296</v>
      </c>
      <c r="T23" s="89" t="n">
        <f aca="true">IF(T$5=0,S23,MAX(0,(S23-T$4)*(1+NORMINV(RAND(),INPUTS!$B$28,INPUTS!$B$29))))</f>
        <v>1848880.45294663</v>
      </c>
      <c r="U23" s="89" t="n">
        <f aca="true">IF(U$5=0,T23,MAX(0,(T23-U$4)*(1+NORMINV(RAND(),INPUTS!$B$28,INPUTS!$B$29))))</f>
        <v>1559674.15281205</v>
      </c>
      <c r="V23" s="89" t="n">
        <f aca="true">IF(V$5=0,U23,MAX(0,(U23-V$4)*(1+NORMINV(RAND(),INPUTS!$B$28,INPUTS!$B$29))))</f>
        <v>1660627.6885657</v>
      </c>
      <c r="W23" s="89" t="n">
        <f aca="true">IF(W$5=0,V23,MAX(0,(V23-W$4)*(1+NORMINV(RAND(),INPUTS!$B$28,INPUTS!$B$29))))</f>
        <v>1968526.34888915</v>
      </c>
      <c r="X23" s="89" t="n">
        <f aca="true">IF(X$5=0,W23,MAX(0,(W23-X$4)*(1+NORMINV(RAND(),INPUTS!$B$28,INPUTS!$B$29))))</f>
        <v>2309724.99225093</v>
      </c>
      <c r="Y23" s="89" t="n">
        <f aca="true">IF(Y$5=0,X23,MAX(0,(X23-Y$4)*(1+NORMINV(RAND(),INPUTS!$B$28,INPUTS!$B$29))))</f>
        <v>2283702.87988201</v>
      </c>
      <c r="Z23" s="89" t="n">
        <f aca="true">IF(Z$5=0,Y23,MAX(0,(Y23-Z$4)*(1+NORMINV(RAND(),INPUTS!$B$28,INPUTS!$B$29))))</f>
        <v>2182765.46503495</v>
      </c>
      <c r="AA23" s="89" t="n">
        <f aca="true">IF(AA$5=0,Z23,MAX(0,(Z23-AA$4)*(1+NORMINV(RAND(),INPUTS!$B$28,INPUTS!$B$29))))</f>
        <v>2203677.98452364</v>
      </c>
      <c r="AB23" s="89" t="n">
        <f aca="true">IF(AB$5=0,AA23,MAX(0,(AA23-AB$4)*(1+NORMINV(RAND(),INPUTS!$B$28,INPUTS!$B$29))))</f>
        <v>2431851.65723194</v>
      </c>
      <c r="AC23" s="89" t="n">
        <f aca="true">IF(AC$5=0,AB23,MAX(0,(AB23-AC$4)*(1+NORMINV(RAND(),INPUTS!$B$28,INPUTS!$B$29))))</f>
        <v>2881045.18202294</v>
      </c>
      <c r="AD23" s="89" t="n">
        <f aca="true">IF(AD$5=0,AC23,MAX(0,(AC23-AD$4)*(1+NORMINV(RAND(),INPUTS!$B$28,INPUTS!$B$29))))</f>
        <v>3222804.97670832</v>
      </c>
      <c r="AE23" s="89" t="n">
        <f aca="true">IF(AE$5=0,AD23,MAX(0,(AD23-AE$4)*(1+NORMINV(RAND(),INPUTS!$B$28,INPUTS!$B$29))))</f>
        <v>3207430.29956059</v>
      </c>
      <c r="AF23" s="89" t="n">
        <f aca="true">IF(AF$5=0,AE23,MAX(0,(AE23-AF$4)*(1+NORMINV(RAND(),INPUTS!$B$28,INPUTS!$B$29))))</f>
        <v>3562519.46494912</v>
      </c>
      <c r="AG23" s="89" t="n">
        <f aca="true">IF(AG$5=0,AF23,MAX(0,(AF23-AG$4)*(1+NORMINV(RAND(),INPUTS!$B$28,INPUTS!$B$29))))</f>
        <v>3769231.92089838</v>
      </c>
      <c r="AH23" s="89" t="n">
        <f aca="true">IF(AH$5=0,AG23,MAX(0,(AG23-AH$4)*(1+NORMINV(RAND(),INPUTS!$B$28,INPUTS!$B$29))))</f>
        <v>3170526.72649822</v>
      </c>
      <c r="AI23" s="89" t="n">
        <f aca="true">IF(AI$5=0,AH23,MAX(0,(AH23-AI$4)*(1+NORMINV(RAND(),INPUTS!$B$28,INPUTS!$B$29))))</f>
        <v>2659507.2521236</v>
      </c>
      <c r="AJ23" s="89" t="n">
        <f aca="true">IF(AJ$5=0,AI23,MAX(0,(AI23-AJ$4)*(1+NORMINV(RAND(),INPUTS!$B$28,INPUTS!$B$29))))</f>
        <v>2762858.38567606</v>
      </c>
      <c r="AK23" s="89" t="n">
        <f aca="true">IF(AK$5=0,AJ23,MAX(0,(AJ23-AK$4)*(1+NORMINV(RAND(),INPUTS!$B$28,INPUTS!$B$29))))</f>
        <v>2716085.74057633</v>
      </c>
      <c r="AL23" s="89" t="n">
        <f aca="true">IF(AL$5=0,AK23,MAX(0,(AK23-AL$4)*(1+NORMINV(RAND(),INPUTS!$B$28,INPUTS!$B$29))))</f>
        <v>2878024.4952807</v>
      </c>
      <c r="AM23" s="89" t="n">
        <f aca="true">IF(AM$5=0,AL23,MAX(0,(AL23-AM$4)*(1+NORMINV(RAND(),INPUTS!$B$28,INPUTS!$B$29))))</f>
        <v>2878024.4952807</v>
      </c>
      <c r="AN23" s="89" t="n">
        <f aca="true">IF(AN$5=0,AM23,MAX(0,(AM23-AN$4)*(1+NORMINV(RAND(),INPUTS!$B$28,INPUTS!$B$29))))</f>
        <v>2878024.4952807</v>
      </c>
      <c r="AO23" s="89" t="n">
        <f aca="true">IF(AO$5=0,AN23,MAX(0,(AN23-AO$4)*(1+NORMINV(RAND(),INPUTS!$B$28,INPUTS!$B$29))))</f>
        <v>2878024.4952807</v>
      </c>
      <c r="AP23" s="89" t="n">
        <f aca="true">IF(AP$5=0,AO23,MAX(0,(AO23-AP$4)*(1+NORMINV(RAND(),INPUTS!$B$28,INPUTS!$B$29))))</f>
        <v>2878024.4952807</v>
      </c>
      <c r="AQ23" s="89" t="n">
        <f aca="true">IF(AQ$5=0,AP23,MAX(0,(AP23-AQ$4)*(1+NORMINV(RAND(),INPUTS!$B$28,INPUTS!$B$29))))</f>
        <v>2878024.4952807</v>
      </c>
      <c r="AR23" s="89" t="n">
        <f aca="true">IF(AR$5=0,AQ23,MAX(0,(AQ23-AR$4)*(1+NORMINV(RAND(),INPUTS!$B$28,INPUTS!$B$29))))</f>
        <v>2878024.4952807</v>
      </c>
      <c r="AS23" s="89" t="n">
        <f aca="true">IF(AS$5=0,AR23,MAX(0,(AR23-AS$4)*(1+NORMINV(RAND(),INPUTS!$B$28,INPUTS!$B$29))))</f>
        <v>2878024.4952807</v>
      </c>
      <c r="AT23" s="89" t="n">
        <f aca="true">IF(AT$5=0,AS23,MAX(0,(AS23-AT$4)*(1+NORMINV(RAND(),INPUTS!$B$28,INPUTS!$B$29))))</f>
        <v>2878024.4952807</v>
      </c>
      <c r="AU23" s="89" t="n">
        <f aca="true">IF(AU$5=0,AT23,MAX(0,(AT23-AU$4)*(1+NORMINV(RAND(),INPUTS!$B$28,INPUTS!$B$29))))</f>
        <v>2878024.4952807</v>
      </c>
      <c r="AV23" s="89" t="n">
        <f aca="true">IF(AV$5=0,AU23,MAX(0,(AU23-AV$4)*(1+NORMINV(RAND(),INPUTS!$B$28,INPUTS!$B$29))))</f>
        <v>2878024.4952807</v>
      </c>
      <c r="AW23" s="89" t="n">
        <f aca="true">IF(AW$5=0,AV23,MAX(0,(AV23-AW$4)*(1+NORMINV(RAND(),INPUTS!$B$28,INPUTS!$B$29))))</f>
        <v>2878024.4952807</v>
      </c>
      <c r="AX23" s="89" t="n">
        <f aca="true">IF(AX$5=0,AW23,MAX(0,(AW23-AX$4)*(1+NORMINV(RAND(),INPUTS!$B$28,INPUTS!$B$29))))</f>
        <v>2878024.4952807</v>
      </c>
      <c r="AY23" s="89" t="n">
        <f aca="true">IF(AY$5=0,AX23,MAX(0,(AX23-AY$4)*(1+NORMINV(RAND(),INPUTS!$B$28,INPUTS!$B$29))))</f>
        <v>2878024.4952807</v>
      </c>
      <c r="AZ23" s="89" t="n">
        <f aca="true">IF(AZ$5=0,AY23,MAX(0,(AY23-AZ$4)*(1+NORMINV(RAND(),INPUTS!$B$28,INPUTS!$B$29))))</f>
        <v>2878024.4952807</v>
      </c>
      <c r="BA23" s="89" t="n">
        <f aca="true">IF(BA$5=0,AZ23,MAX(0,(AZ23-BA$4)*(1+NORMINV(RAND(),INPUTS!$B$28,INPUTS!$B$29))))</f>
        <v>2878024.4952807</v>
      </c>
      <c r="BB23" s="89" t="n">
        <f aca="true">IF(BB$5=0,BA23,MAX(0,(BA23-BB$4)*(1+NORMINV(RAND(),INPUTS!$B$28,INPUTS!$B$29))))</f>
        <v>2878024.4952807</v>
      </c>
      <c r="BC23" s="89" t="n">
        <f aca="true">IF(BC$5=0,BB23,MAX(0,(BB23-BC$4)*(1+NORMINV(RAND(),INPUTS!$B$28,INPUTS!$B$29))))</f>
        <v>2878024.4952807</v>
      </c>
      <c r="BD23" s="89" t="n">
        <f aca="true">IF(BD$5=0,BC23,MAX(0,(BC23-BD$4)*(1+NORMINV(RAND(),INPUTS!$B$28,INPUTS!$B$29))))</f>
        <v>2878024.4952807</v>
      </c>
      <c r="BE23" s="89" t="n">
        <f aca="true">IF(BE$5=0,BD23,MAX(0,(BD23-BE$4)*(1+NORMINV(RAND(),INPUTS!$B$28,INPUTS!$B$29))))</f>
        <v>2878024.4952807</v>
      </c>
      <c r="BF23" s="89" t="n">
        <f aca="true">IF(BF$5=0,BE23,MAX(0,(BE23-BF$4)*(1+NORMINV(RAND(),INPUTS!$B$28,INPUTS!$B$29))))</f>
        <v>2878024.4952807</v>
      </c>
      <c r="BG23" s="89" t="n">
        <f aca="true">IF(BG$5=0,BF23,MAX(0,(BF23-BG$4)*(1+NORMINV(RAND(),INPUTS!$B$28,INPUTS!$B$29))))</f>
        <v>2878024.4952807</v>
      </c>
      <c r="BH23" s="89" t="n">
        <f aca="true">IF(BH$5=0,BG23,MAX(0,(BG23-BH$4)*(1+NORMINV(RAND(),INPUTS!$B$28,INPUTS!$B$29))))</f>
        <v>2878024.4952807</v>
      </c>
      <c r="BI23" s="89" t="n">
        <f aca="true">IF(BI$5=0,BH23,MAX(0,(BH23-BI$4)*(1+NORMINV(RAND(),INPUTS!$B$28,INPUTS!$B$29))))</f>
        <v>2878024.4952807</v>
      </c>
      <c r="BJ23" s="89" t="n">
        <f aca="true">IF(BJ$5=0,BI23,MAX(0,(BI23-BJ$4)*(1+NORMINV(RAND(),INPUTS!$B$28,INPUTS!$B$29))))</f>
        <v>2878024.4952807</v>
      </c>
    </row>
    <row r="24" customFormat="false" ht="15" hidden="false" customHeight="true" outlineLevel="0" collapsed="false">
      <c r="A24" s="87" t="n">
        <v>17</v>
      </c>
      <c r="B24" s="88" t="n">
        <f aca="false">LOOKUP(9.99E+307,C24:BJ24)</f>
        <v>9786968.33294504</v>
      </c>
      <c r="C24" s="89" t="n">
        <f aca="true">IF(C$5=0,INPUTS!$B$35,MAX(0,(INPUTS!$B$35-C$4)*(1+NORMINV(RAND(),INPUTS!$B$28,INPUTS!$B$29))))</f>
        <v>1372176.69089729</v>
      </c>
      <c r="D24" s="89" t="n">
        <f aca="true">IF(D$5=0,C24,MAX(0,(C24-D$4)*(1+NORMINV(RAND(),INPUTS!$B$28,INPUTS!$B$29))))</f>
        <v>1462760.33019134</v>
      </c>
      <c r="E24" s="89" t="n">
        <f aca="true">IF(E$5=0,D24,MAX(0,(D24-E$4)*(1+NORMINV(RAND(),INPUTS!$B$28,INPUTS!$B$29))))</f>
        <v>1385741.51085846</v>
      </c>
      <c r="F24" s="89" t="n">
        <f aca="true">IF(F$5=0,E24,MAX(0,(E24-F$4)*(1+NORMINV(RAND(),INPUTS!$B$28,INPUTS!$B$29))))</f>
        <v>1288598.6832051</v>
      </c>
      <c r="G24" s="89" t="n">
        <f aca="true">IF(G$5=0,F24,MAX(0,(F24-G$4)*(1+NORMINV(RAND(),INPUTS!$B$28,INPUTS!$B$29))))</f>
        <v>1455120.51967237</v>
      </c>
      <c r="H24" s="89" t="n">
        <f aca="true">IF(H$5=0,G24,MAX(0,(G24-H$4)*(1+NORMINV(RAND(),INPUTS!$B$28,INPUTS!$B$29))))</f>
        <v>1375486.44288026</v>
      </c>
      <c r="I24" s="89" t="n">
        <f aca="true">IF(I$5=0,H24,MAX(0,(H24-I$4)*(1+NORMINV(RAND(),INPUTS!$B$28,INPUTS!$B$29))))</f>
        <v>1289637.68344892</v>
      </c>
      <c r="J24" s="89" t="n">
        <f aca="true">IF(J$5=0,I24,MAX(0,(I24-J$4)*(1+NORMINV(RAND(),INPUTS!$B$28,INPUTS!$B$29))))</f>
        <v>1449018.22524437</v>
      </c>
      <c r="K24" s="89" t="n">
        <f aca="true">IF(K$5=0,J24,MAX(0,(J24-K$4)*(1+NORMINV(RAND(),INPUTS!$B$28,INPUTS!$B$29))))</f>
        <v>1826592.52786094</v>
      </c>
      <c r="L24" s="89" t="n">
        <f aca="true">IF(L$5=0,K24,MAX(0,(K24-L$4)*(1+NORMINV(RAND(),INPUTS!$B$28,INPUTS!$B$29))))</f>
        <v>1814204.96129381</v>
      </c>
      <c r="M24" s="89" t="n">
        <f aca="true">IF(M$5=0,L24,MAX(0,(L24-M$4)*(1+NORMINV(RAND(),INPUTS!$B$28,INPUTS!$B$29))))</f>
        <v>1756536.96560316</v>
      </c>
      <c r="N24" s="89" t="n">
        <f aca="true">IF(N$5=0,M24,MAX(0,(M24-N$4)*(1+NORMINV(RAND(),INPUTS!$B$28,INPUTS!$B$29))))</f>
        <v>1628795.82536391</v>
      </c>
      <c r="O24" s="89" t="n">
        <f aca="true">IF(O$5=0,N24,MAX(0,(N24-O$4)*(1+NORMINV(RAND(),INPUTS!$B$28,INPUTS!$B$29))))</f>
        <v>1479244.60845636</v>
      </c>
      <c r="P24" s="89" t="n">
        <f aca="true">IF(P$5=0,O24,MAX(0,(O24-P$4)*(1+NORMINV(RAND(),INPUTS!$B$28,INPUTS!$B$29))))</f>
        <v>1666787.5661262</v>
      </c>
      <c r="Q24" s="89" t="n">
        <f aca="true">IF(Q$5=0,P24,MAX(0,(P24-Q$4)*(1+NORMINV(RAND(),INPUTS!$B$28,INPUTS!$B$29))))</f>
        <v>1594680.85889594</v>
      </c>
      <c r="R24" s="89" t="n">
        <f aca="true">IF(R$5=0,Q24,MAX(0,(Q24-R$4)*(1+NORMINV(RAND(),INPUTS!$B$28,INPUTS!$B$29))))</f>
        <v>1619738.64154538</v>
      </c>
      <c r="S24" s="89" t="n">
        <f aca="true">IF(S$5=0,R24,MAX(0,(R24-S$4)*(1+NORMINV(RAND(),INPUTS!$B$28,INPUTS!$B$29))))</f>
        <v>1772746.33577995</v>
      </c>
      <c r="T24" s="89" t="n">
        <f aca="true">IF(T$5=0,S24,MAX(0,(S24-T$4)*(1+NORMINV(RAND(),INPUTS!$B$28,INPUTS!$B$29))))</f>
        <v>2006956.41000049</v>
      </c>
      <c r="U24" s="89" t="n">
        <f aca="true">IF(U$5=0,T24,MAX(0,(T24-U$4)*(1+NORMINV(RAND(),INPUTS!$B$28,INPUTS!$B$29))))</f>
        <v>1801550.19998108</v>
      </c>
      <c r="V24" s="89" t="n">
        <f aca="true">IF(V$5=0,U24,MAX(0,(U24-V$4)*(1+NORMINV(RAND(),INPUTS!$B$28,INPUTS!$B$29))))</f>
        <v>1960628.29195244</v>
      </c>
      <c r="W24" s="89" t="n">
        <f aca="true">IF(W$5=0,V24,MAX(0,(V24-W$4)*(1+NORMINV(RAND(),INPUTS!$B$28,INPUTS!$B$29))))</f>
        <v>1856659.43191687</v>
      </c>
      <c r="X24" s="89" t="n">
        <f aca="true">IF(X$5=0,W24,MAX(0,(W24-X$4)*(1+NORMINV(RAND(),INPUTS!$B$28,INPUTS!$B$29))))</f>
        <v>2451356.16909736</v>
      </c>
      <c r="Y24" s="89" t="n">
        <f aca="true">IF(Y$5=0,X24,MAX(0,(X24-Y$4)*(1+NORMINV(RAND(),INPUTS!$B$28,INPUTS!$B$29))))</f>
        <v>3085154.85260885</v>
      </c>
      <c r="Z24" s="89" t="n">
        <f aca="true">IF(Z$5=0,Y24,MAX(0,(Y24-Z$4)*(1+NORMINV(RAND(),INPUTS!$B$28,INPUTS!$B$29))))</f>
        <v>3206010.41555413</v>
      </c>
      <c r="AA24" s="89" t="n">
        <f aca="true">IF(AA$5=0,Z24,MAX(0,(Z24-AA$4)*(1+NORMINV(RAND(),INPUTS!$B$28,INPUTS!$B$29))))</f>
        <v>3346589.05912897</v>
      </c>
      <c r="AB24" s="89" t="n">
        <f aca="true">IF(AB$5=0,AA24,MAX(0,(AA24-AB$4)*(1+NORMINV(RAND(),INPUTS!$B$28,INPUTS!$B$29))))</f>
        <v>3709207.6091991</v>
      </c>
      <c r="AC24" s="89" t="n">
        <f aca="true">IF(AC$5=0,AB24,MAX(0,(AB24-AC$4)*(1+NORMINV(RAND(),INPUTS!$B$28,INPUTS!$B$29))))</f>
        <v>3450343.92155845</v>
      </c>
      <c r="AD24" s="89" t="n">
        <f aca="true">IF(AD$5=0,AC24,MAX(0,(AC24-AD$4)*(1+NORMINV(RAND(),INPUTS!$B$28,INPUTS!$B$29))))</f>
        <v>4078072.0067718</v>
      </c>
      <c r="AE24" s="89" t="n">
        <f aca="true">IF(AE$5=0,AD24,MAX(0,(AD24-AE$4)*(1+NORMINV(RAND(),INPUTS!$B$28,INPUTS!$B$29))))</f>
        <v>4931436.52784117</v>
      </c>
      <c r="AF24" s="89" t="n">
        <f aca="true">IF(AF$5=0,AE24,MAX(0,(AE24-AF$4)*(1+NORMINV(RAND(),INPUTS!$B$28,INPUTS!$B$29))))</f>
        <v>6797484.0909081</v>
      </c>
      <c r="AG24" s="89" t="n">
        <f aca="true">IF(AG$5=0,AF24,MAX(0,(AF24-AG$4)*(1+NORMINV(RAND(),INPUTS!$B$28,INPUTS!$B$29))))</f>
        <v>6987543.71045809</v>
      </c>
      <c r="AH24" s="89" t="n">
        <f aca="true">IF(AH$5=0,AG24,MAX(0,(AG24-AH$4)*(1+NORMINV(RAND(),INPUTS!$B$28,INPUTS!$B$29))))</f>
        <v>7701702.89613098</v>
      </c>
      <c r="AI24" s="89" t="n">
        <f aca="true">IF(AI$5=0,AH24,MAX(0,(AH24-AI$4)*(1+NORMINV(RAND(),INPUTS!$B$28,INPUTS!$B$29))))</f>
        <v>7735150.79397007</v>
      </c>
      <c r="AJ24" s="89" t="n">
        <f aca="true">IF(AJ$5=0,AI24,MAX(0,(AI24-AJ$4)*(1+NORMINV(RAND(),INPUTS!$B$28,INPUTS!$B$29))))</f>
        <v>8520096.02708296</v>
      </c>
      <c r="AK24" s="89" t="n">
        <f aca="true">IF(AK$5=0,AJ24,MAX(0,(AJ24-AK$4)*(1+NORMINV(RAND(),INPUTS!$B$28,INPUTS!$B$29))))</f>
        <v>8569669.18531694</v>
      </c>
      <c r="AL24" s="89" t="n">
        <f aca="true">IF(AL$5=0,AK24,MAX(0,(AK24-AL$4)*(1+NORMINV(RAND(),INPUTS!$B$28,INPUTS!$B$29))))</f>
        <v>9786968.33294504</v>
      </c>
      <c r="AM24" s="89" t="n">
        <f aca="true">IF(AM$5=0,AL24,MAX(0,(AL24-AM$4)*(1+NORMINV(RAND(),INPUTS!$B$28,INPUTS!$B$29))))</f>
        <v>9786968.33294504</v>
      </c>
      <c r="AN24" s="89" t="n">
        <f aca="true">IF(AN$5=0,AM24,MAX(0,(AM24-AN$4)*(1+NORMINV(RAND(),INPUTS!$B$28,INPUTS!$B$29))))</f>
        <v>9786968.33294504</v>
      </c>
      <c r="AO24" s="89" t="n">
        <f aca="true">IF(AO$5=0,AN24,MAX(0,(AN24-AO$4)*(1+NORMINV(RAND(),INPUTS!$B$28,INPUTS!$B$29))))</f>
        <v>9786968.33294504</v>
      </c>
      <c r="AP24" s="89" t="n">
        <f aca="true">IF(AP$5=0,AO24,MAX(0,(AO24-AP$4)*(1+NORMINV(RAND(),INPUTS!$B$28,INPUTS!$B$29))))</f>
        <v>9786968.33294504</v>
      </c>
      <c r="AQ24" s="89" t="n">
        <f aca="true">IF(AQ$5=0,AP24,MAX(0,(AP24-AQ$4)*(1+NORMINV(RAND(),INPUTS!$B$28,INPUTS!$B$29))))</f>
        <v>9786968.33294504</v>
      </c>
      <c r="AR24" s="89" t="n">
        <f aca="true">IF(AR$5=0,AQ24,MAX(0,(AQ24-AR$4)*(1+NORMINV(RAND(),INPUTS!$B$28,INPUTS!$B$29))))</f>
        <v>9786968.33294504</v>
      </c>
      <c r="AS24" s="89" t="n">
        <f aca="true">IF(AS$5=0,AR24,MAX(0,(AR24-AS$4)*(1+NORMINV(RAND(),INPUTS!$B$28,INPUTS!$B$29))))</f>
        <v>9786968.33294504</v>
      </c>
      <c r="AT24" s="89" t="n">
        <f aca="true">IF(AT$5=0,AS24,MAX(0,(AS24-AT$4)*(1+NORMINV(RAND(),INPUTS!$B$28,INPUTS!$B$29))))</f>
        <v>9786968.33294504</v>
      </c>
      <c r="AU24" s="89" t="n">
        <f aca="true">IF(AU$5=0,AT24,MAX(0,(AT24-AU$4)*(1+NORMINV(RAND(),INPUTS!$B$28,INPUTS!$B$29))))</f>
        <v>9786968.33294504</v>
      </c>
      <c r="AV24" s="89" t="n">
        <f aca="true">IF(AV$5=0,AU24,MAX(0,(AU24-AV$4)*(1+NORMINV(RAND(),INPUTS!$B$28,INPUTS!$B$29))))</f>
        <v>9786968.33294504</v>
      </c>
      <c r="AW24" s="89" t="n">
        <f aca="true">IF(AW$5=0,AV24,MAX(0,(AV24-AW$4)*(1+NORMINV(RAND(),INPUTS!$B$28,INPUTS!$B$29))))</f>
        <v>9786968.33294504</v>
      </c>
      <c r="AX24" s="89" t="n">
        <f aca="true">IF(AX$5=0,AW24,MAX(0,(AW24-AX$4)*(1+NORMINV(RAND(),INPUTS!$B$28,INPUTS!$B$29))))</f>
        <v>9786968.33294504</v>
      </c>
      <c r="AY24" s="89" t="n">
        <f aca="true">IF(AY$5=0,AX24,MAX(0,(AX24-AY$4)*(1+NORMINV(RAND(),INPUTS!$B$28,INPUTS!$B$29))))</f>
        <v>9786968.33294504</v>
      </c>
      <c r="AZ24" s="89" t="n">
        <f aca="true">IF(AZ$5=0,AY24,MAX(0,(AY24-AZ$4)*(1+NORMINV(RAND(),INPUTS!$B$28,INPUTS!$B$29))))</f>
        <v>9786968.33294504</v>
      </c>
      <c r="BA24" s="89" t="n">
        <f aca="true">IF(BA$5=0,AZ24,MAX(0,(AZ24-BA$4)*(1+NORMINV(RAND(),INPUTS!$B$28,INPUTS!$B$29))))</f>
        <v>9786968.33294504</v>
      </c>
      <c r="BB24" s="89" t="n">
        <f aca="true">IF(BB$5=0,BA24,MAX(0,(BA24-BB$4)*(1+NORMINV(RAND(),INPUTS!$B$28,INPUTS!$B$29))))</f>
        <v>9786968.33294504</v>
      </c>
      <c r="BC24" s="89" t="n">
        <f aca="true">IF(BC$5=0,BB24,MAX(0,(BB24-BC$4)*(1+NORMINV(RAND(),INPUTS!$B$28,INPUTS!$B$29))))</f>
        <v>9786968.33294504</v>
      </c>
      <c r="BD24" s="89" t="n">
        <f aca="true">IF(BD$5=0,BC24,MAX(0,(BC24-BD$4)*(1+NORMINV(RAND(),INPUTS!$B$28,INPUTS!$B$29))))</f>
        <v>9786968.33294504</v>
      </c>
      <c r="BE24" s="89" t="n">
        <f aca="true">IF(BE$5=0,BD24,MAX(0,(BD24-BE$4)*(1+NORMINV(RAND(),INPUTS!$B$28,INPUTS!$B$29))))</f>
        <v>9786968.33294504</v>
      </c>
      <c r="BF24" s="89" t="n">
        <f aca="true">IF(BF$5=0,BE24,MAX(0,(BE24-BF$4)*(1+NORMINV(RAND(),INPUTS!$B$28,INPUTS!$B$29))))</f>
        <v>9786968.33294504</v>
      </c>
      <c r="BG24" s="89" t="n">
        <f aca="true">IF(BG$5=0,BF24,MAX(0,(BF24-BG$4)*(1+NORMINV(RAND(),INPUTS!$B$28,INPUTS!$B$29))))</f>
        <v>9786968.33294504</v>
      </c>
      <c r="BH24" s="89" t="n">
        <f aca="true">IF(BH$5=0,BG24,MAX(0,(BG24-BH$4)*(1+NORMINV(RAND(),INPUTS!$B$28,INPUTS!$B$29))))</f>
        <v>9786968.33294504</v>
      </c>
      <c r="BI24" s="89" t="n">
        <f aca="true">IF(BI$5=0,BH24,MAX(0,(BH24-BI$4)*(1+NORMINV(RAND(),INPUTS!$B$28,INPUTS!$B$29))))</f>
        <v>9786968.33294504</v>
      </c>
      <c r="BJ24" s="89" t="n">
        <f aca="true">IF(BJ$5=0,BI24,MAX(0,(BI24-BJ$4)*(1+NORMINV(RAND(),INPUTS!$B$28,INPUTS!$B$29))))</f>
        <v>9786968.33294504</v>
      </c>
    </row>
    <row r="25" customFormat="false" ht="15" hidden="false" customHeight="true" outlineLevel="0" collapsed="false">
      <c r="A25" s="87" t="n">
        <v>18</v>
      </c>
      <c r="B25" s="88" t="n">
        <f aca="false">LOOKUP(9.99E+307,C25:BJ25)</f>
        <v>4862435.42799548</v>
      </c>
      <c r="C25" s="89" t="n">
        <f aca="true">IF(C$5=0,INPUTS!$B$35,MAX(0,(INPUTS!$B$35-C$4)*(1+NORMINV(RAND(),INPUTS!$B$28,INPUTS!$B$29))))</f>
        <v>1483945.83821967</v>
      </c>
      <c r="D25" s="89" t="n">
        <f aca="true">IF(D$5=0,C25,MAX(0,(C25-D$4)*(1+NORMINV(RAND(),INPUTS!$B$28,INPUTS!$B$29))))</f>
        <v>1926773.61108422</v>
      </c>
      <c r="E25" s="89" t="n">
        <f aca="true">IF(E$5=0,D25,MAX(0,(D25-E$4)*(1+NORMINV(RAND(),INPUTS!$B$28,INPUTS!$B$29))))</f>
        <v>1770407.82203299</v>
      </c>
      <c r="F25" s="89" t="n">
        <f aca="true">IF(F$5=0,E25,MAX(0,(E25-F$4)*(1+NORMINV(RAND(),INPUTS!$B$28,INPUTS!$B$29))))</f>
        <v>1688719.25135567</v>
      </c>
      <c r="G25" s="89" t="n">
        <f aca="true">IF(G$5=0,F25,MAX(0,(F25-G$4)*(1+NORMINV(RAND(),INPUTS!$B$28,INPUTS!$B$29))))</f>
        <v>1421870.41333737</v>
      </c>
      <c r="H25" s="89" t="n">
        <f aca="true">IF(H$5=0,G25,MAX(0,(G25-H$4)*(1+NORMINV(RAND(),INPUTS!$B$28,INPUTS!$B$29))))</f>
        <v>1603529.38689647</v>
      </c>
      <c r="I25" s="89" t="n">
        <f aca="true">IF(I$5=0,H25,MAX(0,(H25-I$4)*(1+NORMINV(RAND(),INPUTS!$B$28,INPUTS!$B$29))))</f>
        <v>1773287.62015579</v>
      </c>
      <c r="J25" s="89" t="n">
        <f aca="true">IF(J$5=0,I25,MAX(0,(I25-J$4)*(1+NORMINV(RAND(),INPUTS!$B$28,INPUTS!$B$29))))</f>
        <v>1831376.01217114</v>
      </c>
      <c r="K25" s="89" t="n">
        <f aca="true">IF(K$5=0,J25,MAX(0,(J25-K$4)*(1+NORMINV(RAND(),INPUTS!$B$28,INPUTS!$B$29))))</f>
        <v>1833635.9078809</v>
      </c>
      <c r="L25" s="89" t="n">
        <f aca="true">IF(L$5=0,K25,MAX(0,(K25-L$4)*(1+NORMINV(RAND(),INPUTS!$B$28,INPUTS!$B$29))))</f>
        <v>1859743.19688858</v>
      </c>
      <c r="M25" s="89" t="n">
        <f aca="true">IF(M$5=0,L25,MAX(0,(L25-M$4)*(1+NORMINV(RAND(),INPUTS!$B$28,INPUTS!$B$29))))</f>
        <v>2044314.50213304</v>
      </c>
      <c r="N25" s="89" t="n">
        <f aca="true">IF(N$5=0,M25,MAX(0,(M25-N$4)*(1+NORMINV(RAND(),INPUTS!$B$28,INPUTS!$B$29))))</f>
        <v>2165335.45350998</v>
      </c>
      <c r="O25" s="89" t="n">
        <f aca="true">IF(O$5=0,N25,MAX(0,(N25-O$4)*(1+NORMINV(RAND(),INPUTS!$B$28,INPUTS!$B$29))))</f>
        <v>2281588.22617568</v>
      </c>
      <c r="P25" s="89" t="n">
        <f aca="true">IF(P$5=0,O25,MAX(0,(O25-P$4)*(1+NORMINV(RAND(),INPUTS!$B$28,INPUTS!$B$29))))</f>
        <v>2144713.99926982</v>
      </c>
      <c r="Q25" s="89" t="n">
        <f aca="true">IF(Q$5=0,P25,MAX(0,(P25-Q$4)*(1+NORMINV(RAND(),INPUTS!$B$28,INPUTS!$B$29))))</f>
        <v>2091749.77324929</v>
      </c>
      <c r="R25" s="89" t="n">
        <f aca="true">IF(R$5=0,Q25,MAX(0,(Q25-R$4)*(1+NORMINV(RAND(),INPUTS!$B$28,INPUTS!$B$29))))</f>
        <v>2235931.75003424</v>
      </c>
      <c r="S25" s="89" t="n">
        <f aca="true">IF(S$5=0,R25,MAX(0,(R25-S$4)*(1+NORMINV(RAND(),INPUTS!$B$28,INPUTS!$B$29))))</f>
        <v>2186636.36756388</v>
      </c>
      <c r="T25" s="89" t="n">
        <f aca="true">IF(T$5=0,S25,MAX(0,(S25-T$4)*(1+NORMINV(RAND(),INPUTS!$B$28,INPUTS!$B$29))))</f>
        <v>2123421.51832663</v>
      </c>
      <c r="U25" s="89" t="n">
        <f aca="true">IF(U$5=0,T25,MAX(0,(T25-U$4)*(1+NORMINV(RAND(),INPUTS!$B$28,INPUTS!$B$29))))</f>
        <v>2698703.7429997</v>
      </c>
      <c r="V25" s="89" t="n">
        <f aca="true">IF(V$5=0,U25,MAX(0,(U25-V$4)*(1+NORMINV(RAND(),INPUTS!$B$28,INPUTS!$B$29))))</f>
        <v>2724960.80755736</v>
      </c>
      <c r="W25" s="89" t="n">
        <f aca="true">IF(W$5=0,V25,MAX(0,(V25-W$4)*(1+NORMINV(RAND(),INPUTS!$B$28,INPUTS!$B$29))))</f>
        <v>2952393.30026467</v>
      </c>
      <c r="X25" s="89" t="n">
        <f aca="true">IF(X$5=0,W25,MAX(0,(W25-X$4)*(1+NORMINV(RAND(),INPUTS!$B$28,INPUTS!$B$29))))</f>
        <v>3024579.80408242</v>
      </c>
      <c r="Y25" s="89" t="n">
        <f aca="true">IF(Y$5=0,X25,MAX(0,(X25-Y$4)*(1+NORMINV(RAND(),INPUTS!$B$28,INPUTS!$B$29))))</f>
        <v>3322557.80831863</v>
      </c>
      <c r="Z25" s="89" t="n">
        <f aca="true">IF(Z$5=0,Y25,MAX(0,(Y25-Z$4)*(1+NORMINV(RAND(),INPUTS!$B$28,INPUTS!$B$29))))</f>
        <v>3320033.41347838</v>
      </c>
      <c r="AA25" s="89" t="n">
        <f aca="true">IF(AA$5=0,Z25,MAX(0,(Z25-AA$4)*(1+NORMINV(RAND(),INPUTS!$B$28,INPUTS!$B$29))))</f>
        <v>3149429.96528589</v>
      </c>
      <c r="AB25" s="89" t="n">
        <f aca="true">IF(AB$5=0,AA25,MAX(0,(AA25-AB$4)*(1+NORMINV(RAND(),INPUTS!$B$28,INPUTS!$B$29))))</f>
        <v>3419435.39494715</v>
      </c>
      <c r="AC25" s="89" t="n">
        <f aca="true">IF(AC$5=0,AB25,MAX(0,(AB25-AC$4)*(1+NORMINV(RAND(),INPUTS!$B$28,INPUTS!$B$29))))</f>
        <v>2949467.0228067</v>
      </c>
      <c r="AD25" s="89" t="n">
        <f aca="true">IF(AD$5=0,AC25,MAX(0,(AC25-AD$4)*(1+NORMINV(RAND(),INPUTS!$B$28,INPUTS!$B$29))))</f>
        <v>3206336.28439471</v>
      </c>
      <c r="AE25" s="89" t="n">
        <f aca="true">IF(AE$5=0,AD25,MAX(0,(AD25-AE$4)*(1+NORMINV(RAND(),INPUTS!$B$28,INPUTS!$B$29))))</f>
        <v>4056523.80637813</v>
      </c>
      <c r="AF25" s="89" t="n">
        <f aca="true">IF(AF$5=0,AE25,MAX(0,(AE25-AF$4)*(1+NORMINV(RAND(),INPUTS!$B$28,INPUTS!$B$29))))</f>
        <v>3943671.49127365</v>
      </c>
      <c r="AG25" s="89" t="n">
        <f aca="true">IF(AG$5=0,AF25,MAX(0,(AF25-AG$4)*(1+NORMINV(RAND(),INPUTS!$B$28,INPUTS!$B$29))))</f>
        <v>4543791.72075642</v>
      </c>
      <c r="AH25" s="89" t="n">
        <f aca="true">IF(AH$5=0,AG25,MAX(0,(AG25-AH$4)*(1+NORMINV(RAND(),INPUTS!$B$28,INPUTS!$B$29))))</f>
        <v>3779868.43232715</v>
      </c>
      <c r="AI25" s="89" t="n">
        <f aca="true">IF(AI$5=0,AH25,MAX(0,(AH25-AI$4)*(1+NORMINV(RAND(),INPUTS!$B$28,INPUTS!$B$29))))</f>
        <v>3923019.0799019</v>
      </c>
      <c r="AJ25" s="89" t="n">
        <f aca="true">IF(AJ$5=0,AI25,MAX(0,(AI25-AJ$4)*(1+NORMINV(RAND(),INPUTS!$B$28,INPUTS!$B$29))))</f>
        <v>4298163.28273382</v>
      </c>
      <c r="AK25" s="89" t="n">
        <f aca="true">IF(AK$5=0,AJ25,MAX(0,(AJ25-AK$4)*(1+NORMINV(RAND(),INPUTS!$B$28,INPUTS!$B$29))))</f>
        <v>4856298.4086347</v>
      </c>
      <c r="AL25" s="89" t="n">
        <f aca="true">IF(AL$5=0,AK25,MAX(0,(AK25-AL$4)*(1+NORMINV(RAND(),INPUTS!$B$28,INPUTS!$B$29))))</f>
        <v>4862435.42799548</v>
      </c>
      <c r="AM25" s="89" t="n">
        <f aca="true">IF(AM$5=0,AL25,MAX(0,(AL25-AM$4)*(1+NORMINV(RAND(),INPUTS!$B$28,INPUTS!$B$29))))</f>
        <v>4862435.42799548</v>
      </c>
      <c r="AN25" s="89" t="n">
        <f aca="true">IF(AN$5=0,AM25,MAX(0,(AM25-AN$4)*(1+NORMINV(RAND(),INPUTS!$B$28,INPUTS!$B$29))))</f>
        <v>4862435.42799548</v>
      </c>
      <c r="AO25" s="89" t="n">
        <f aca="true">IF(AO$5=0,AN25,MAX(0,(AN25-AO$4)*(1+NORMINV(RAND(),INPUTS!$B$28,INPUTS!$B$29))))</f>
        <v>4862435.42799548</v>
      </c>
      <c r="AP25" s="89" t="n">
        <f aca="true">IF(AP$5=0,AO25,MAX(0,(AO25-AP$4)*(1+NORMINV(RAND(),INPUTS!$B$28,INPUTS!$B$29))))</f>
        <v>4862435.42799548</v>
      </c>
      <c r="AQ25" s="89" t="n">
        <f aca="true">IF(AQ$5=0,AP25,MAX(0,(AP25-AQ$4)*(1+NORMINV(RAND(),INPUTS!$B$28,INPUTS!$B$29))))</f>
        <v>4862435.42799548</v>
      </c>
      <c r="AR25" s="89" t="n">
        <f aca="true">IF(AR$5=0,AQ25,MAX(0,(AQ25-AR$4)*(1+NORMINV(RAND(),INPUTS!$B$28,INPUTS!$B$29))))</f>
        <v>4862435.42799548</v>
      </c>
      <c r="AS25" s="89" t="n">
        <f aca="true">IF(AS$5=0,AR25,MAX(0,(AR25-AS$4)*(1+NORMINV(RAND(),INPUTS!$B$28,INPUTS!$B$29))))</f>
        <v>4862435.42799548</v>
      </c>
      <c r="AT25" s="89" t="n">
        <f aca="true">IF(AT$5=0,AS25,MAX(0,(AS25-AT$4)*(1+NORMINV(RAND(),INPUTS!$B$28,INPUTS!$B$29))))</f>
        <v>4862435.42799548</v>
      </c>
      <c r="AU25" s="89" t="n">
        <f aca="true">IF(AU$5=0,AT25,MAX(0,(AT25-AU$4)*(1+NORMINV(RAND(),INPUTS!$B$28,INPUTS!$B$29))))</f>
        <v>4862435.42799548</v>
      </c>
      <c r="AV25" s="89" t="n">
        <f aca="true">IF(AV$5=0,AU25,MAX(0,(AU25-AV$4)*(1+NORMINV(RAND(),INPUTS!$B$28,INPUTS!$B$29))))</f>
        <v>4862435.42799548</v>
      </c>
      <c r="AW25" s="89" t="n">
        <f aca="true">IF(AW$5=0,AV25,MAX(0,(AV25-AW$4)*(1+NORMINV(RAND(),INPUTS!$B$28,INPUTS!$B$29))))</f>
        <v>4862435.42799548</v>
      </c>
      <c r="AX25" s="89" t="n">
        <f aca="true">IF(AX$5=0,AW25,MAX(0,(AW25-AX$4)*(1+NORMINV(RAND(),INPUTS!$B$28,INPUTS!$B$29))))</f>
        <v>4862435.42799548</v>
      </c>
      <c r="AY25" s="89" t="n">
        <f aca="true">IF(AY$5=0,AX25,MAX(0,(AX25-AY$4)*(1+NORMINV(RAND(),INPUTS!$B$28,INPUTS!$B$29))))</f>
        <v>4862435.42799548</v>
      </c>
      <c r="AZ25" s="89" t="n">
        <f aca="true">IF(AZ$5=0,AY25,MAX(0,(AY25-AZ$4)*(1+NORMINV(RAND(),INPUTS!$B$28,INPUTS!$B$29))))</f>
        <v>4862435.42799548</v>
      </c>
      <c r="BA25" s="89" t="n">
        <f aca="true">IF(BA$5=0,AZ25,MAX(0,(AZ25-BA$4)*(1+NORMINV(RAND(),INPUTS!$B$28,INPUTS!$B$29))))</f>
        <v>4862435.42799548</v>
      </c>
      <c r="BB25" s="89" t="n">
        <f aca="true">IF(BB$5=0,BA25,MAX(0,(BA25-BB$4)*(1+NORMINV(RAND(),INPUTS!$B$28,INPUTS!$B$29))))</f>
        <v>4862435.42799548</v>
      </c>
      <c r="BC25" s="89" t="n">
        <f aca="true">IF(BC$5=0,BB25,MAX(0,(BB25-BC$4)*(1+NORMINV(RAND(),INPUTS!$B$28,INPUTS!$B$29))))</f>
        <v>4862435.42799548</v>
      </c>
      <c r="BD25" s="89" t="n">
        <f aca="true">IF(BD$5=0,BC25,MAX(0,(BC25-BD$4)*(1+NORMINV(RAND(),INPUTS!$B$28,INPUTS!$B$29))))</f>
        <v>4862435.42799548</v>
      </c>
      <c r="BE25" s="89" t="n">
        <f aca="true">IF(BE$5=0,BD25,MAX(0,(BD25-BE$4)*(1+NORMINV(RAND(),INPUTS!$B$28,INPUTS!$B$29))))</f>
        <v>4862435.42799548</v>
      </c>
      <c r="BF25" s="89" t="n">
        <f aca="true">IF(BF$5=0,BE25,MAX(0,(BE25-BF$4)*(1+NORMINV(RAND(),INPUTS!$B$28,INPUTS!$B$29))))</f>
        <v>4862435.42799548</v>
      </c>
      <c r="BG25" s="89" t="n">
        <f aca="true">IF(BG$5=0,BF25,MAX(0,(BF25-BG$4)*(1+NORMINV(RAND(),INPUTS!$B$28,INPUTS!$B$29))))</f>
        <v>4862435.42799548</v>
      </c>
      <c r="BH25" s="89" t="n">
        <f aca="true">IF(BH$5=0,BG25,MAX(0,(BG25-BH$4)*(1+NORMINV(RAND(),INPUTS!$B$28,INPUTS!$B$29))))</f>
        <v>4862435.42799548</v>
      </c>
      <c r="BI25" s="89" t="n">
        <f aca="true">IF(BI$5=0,BH25,MAX(0,(BH25-BI$4)*(1+NORMINV(RAND(),INPUTS!$B$28,INPUTS!$B$29))))</f>
        <v>4862435.42799548</v>
      </c>
      <c r="BJ25" s="89" t="n">
        <f aca="true">IF(BJ$5=0,BI25,MAX(0,(BI25-BJ$4)*(1+NORMINV(RAND(),INPUTS!$B$28,INPUTS!$B$29))))</f>
        <v>4862435.42799548</v>
      </c>
    </row>
    <row r="26" customFormat="false" ht="15" hidden="false" customHeight="true" outlineLevel="0" collapsed="false">
      <c r="A26" s="87" t="n">
        <v>19</v>
      </c>
      <c r="B26" s="88" t="n">
        <f aca="false">LOOKUP(9.99E+307,C26:BJ26)</f>
        <v>917711.876005078</v>
      </c>
      <c r="C26" s="89" t="n">
        <f aca="true">IF(C$5=0,INPUTS!$B$35,MAX(0,(INPUTS!$B$35-C$4)*(1+NORMINV(RAND(),INPUTS!$B$28,INPUTS!$B$29))))</f>
        <v>1533884.67864179</v>
      </c>
      <c r="D26" s="89" t="n">
        <f aca="true">IF(D$5=0,C26,MAX(0,(C26-D$4)*(1+NORMINV(RAND(),INPUTS!$B$28,INPUTS!$B$29))))</f>
        <v>1358341.2350657</v>
      </c>
      <c r="E26" s="89" t="n">
        <f aca="true">IF(E$5=0,D26,MAX(0,(D26-E$4)*(1+NORMINV(RAND(),INPUTS!$B$28,INPUTS!$B$29))))</f>
        <v>1440372.87810752</v>
      </c>
      <c r="F26" s="89" t="n">
        <f aca="true">IF(F$5=0,E26,MAX(0,(E26-F$4)*(1+NORMINV(RAND(),INPUTS!$B$28,INPUTS!$B$29))))</f>
        <v>1476243.45067413</v>
      </c>
      <c r="G26" s="89" t="n">
        <f aca="true">IF(G$5=0,F26,MAX(0,(F26-G$4)*(1+NORMINV(RAND(),INPUTS!$B$28,INPUTS!$B$29))))</f>
        <v>1754987.85975394</v>
      </c>
      <c r="H26" s="89" t="n">
        <f aca="true">IF(H$5=0,G26,MAX(0,(G26-H$4)*(1+NORMINV(RAND(),INPUTS!$B$28,INPUTS!$B$29))))</f>
        <v>1772280.08702206</v>
      </c>
      <c r="I26" s="89" t="n">
        <f aca="true">IF(I$5=0,H26,MAX(0,(H26-I$4)*(1+NORMINV(RAND(),INPUTS!$B$28,INPUTS!$B$29))))</f>
        <v>1645300.64064111</v>
      </c>
      <c r="J26" s="89" t="n">
        <f aca="true">IF(J$5=0,I26,MAX(0,(I26-J$4)*(1+NORMINV(RAND(),INPUTS!$B$28,INPUTS!$B$29))))</f>
        <v>1790532.07426428</v>
      </c>
      <c r="K26" s="89" t="n">
        <f aca="true">IF(K$5=0,J26,MAX(0,(J26-K$4)*(1+NORMINV(RAND(),INPUTS!$B$28,INPUTS!$B$29))))</f>
        <v>1451029.22904564</v>
      </c>
      <c r="L26" s="89" t="n">
        <f aca="true">IF(L$5=0,K26,MAX(0,(K26-L$4)*(1+NORMINV(RAND(),INPUTS!$B$28,INPUTS!$B$29))))</f>
        <v>1256430.45049385</v>
      </c>
      <c r="M26" s="89" t="n">
        <f aca="true">IF(M$5=0,L26,MAX(0,(L26-M$4)*(1+NORMINV(RAND(),INPUTS!$B$28,INPUTS!$B$29))))</f>
        <v>1109701.5541308</v>
      </c>
      <c r="N26" s="89" t="n">
        <f aca="true">IF(N$5=0,M26,MAX(0,(M26-N$4)*(1+NORMINV(RAND(),INPUTS!$B$28,INPUTS!$B$29))))</f>
        <v>910771.752113985</v>
      </c>
      <c r="O26" s="89" t="n">
        <f aca="true">IF(O$5=0,N26,MAX(0,(N26-O$4)*(1+NORMINV(RAND(),INPUTS!$B$28,INPUTS!$B$29))))</f>
        <v>911664.517664465</v>
      </c>
      <c r="P26" s="89" t="n">
        <f aca="true">IF(P$5=0,O26,MAX(0,(O26-P$4)*(1+NORMINV(RAND(),INPUTS!$B$28,INPUTS!$B$29))))</f>
        <v>787994.98879008</v>
      </c>
      <c r="Q26" s="89" t="n">
        <f aca="true">IF(Q$5=0,P26,MAX(0,(P26-Q$4)*(1+NORMINV(RAND(),INPUTS!$B$28,INPUTS!$B$29))))</f>
        <v>935182.836961679</v>
      </c>
      <c r="R26" s="89" t="n">
        <f aca="true">IF(R$5=0,Q26,MAX(0,(Q26-R$4)*(1+NORMINV(RAND(),INPUTS!$B$28,INPUTS!$B$29))))</f>
        <v>1011095.87156498</v>
      </c>
      <c r="S26" s="89" t="n">
        <f aca="true">IF(S$5=0,R26,MAX(0,(R26-S$4)*(1+NORMINV(RAND(),INPUTS!$B$28,INPUTS!$B$29))))</f>
        <v>993644.042734829</v>
      </c>
      <c r="T26" s="89" t="n">
        <f aca="true">IF(T$5=0,S26,MAX(0,(S26-T$4)*(1+NORMINV(RAND(),INPUTS!$B$28,INPUTS!$B$29))))</f>
        <v>969886.590522872</v>
      </c>
      <c r="U26" s="89" t="n">
        <f aca="true">IF(U$5=0,T26,MAX(0,(T26-U$4)*(1+NORMINV(RAND(),INPUTS!$B$28,INPUTS!$B$29))))</f>
        <v>978649.118424583</v>
      </c>
      <c r="V26" s="89" t="n">
        <f aca="true">IF(V$5=0,U26,MAX(0,(U26-V$4)*(1+NORMINV(RAND(),INPUTS!$B$28,INPUTS!$B$29))))</f>
        <v>924707.108731795</v>
      </c>
      <c r="W26" s="89" t="n">
        <f aca="true">IF(W$5=0,V26,MAX(0,(V26-W$4)*(1+NORMINV(RAND(),INPUTS!$B$28,INPUTS!$B$29))))</f>
        <v>1001158.99755362</v>
      </c>
      <c r="X26" s="89" t="n">
        <f aca="true">IF(X$5=0,W26,MAX(0,(W26-X$4)*(1+NORMINV(RAND(),INPUTS!$B$28,INPUTS!$B$29))))</f>
        <v>986865.142793728</v>
      </c>
      <c r="Y26" s="89" t="n">
        <f aca="true">IF(Y$5=0,X26,MAX(0,(X26-Y$4)*(1+NORMINV(RAND(),INPUTS!$B$28,INPUTS!$B$29))))</f>
        <v>915067.11193665</v>
      </c>
      <c r="Z26" s="89" t="n">
        <f aca="true">IF(Z$5=0,Y26,MAX(0,(Y26-Z$4)*(1+NORMINV(RAND(),INPUTS!$B$28,INPUTS!$B$29))))</f>
        <v>981720.809395503</v>
      </c>
      <c r="AA26" s="89" t="n">
        <f aca="true">IF(AA$5=0,Z26,MAX(0,(Z26-AA$4)*(1+NORMINV(RAND(),INPUTS!$B$28,INPUTS!$B$29))))</f>
        <v>1152477.43174142</v>
      </c>
      <c r="AB26" s="89" t="n">
        <f aca="true">IF(AB$5=0,AA26,MAX(0,(AA26-AB$4)*(1+NORMINV(RAND(),INPUTS!$B$28,INPUTS!$B$29))))</f>
        <v>1141402.08762894</v>
      </c>
      <c r="AC26" s="89" t="n">
        <f aca="true">IF(AC$5=0,AB26,MAX(0,(AB26-AC$4)*(1+NORMINV(RAND(),INPUTS!$B$28,INPUTS!$B$29))))</f>
        <v>1189160.5557438</v>
      </c>
      <c r="AD26" s="89" t="n">
        <f aca="true">IF(AD$5=0,AC26,MAX(0,(AC26-AD$4)*(1+NORMINV(RAND(),INPUTS!$B$28,INPUTS!$B$29))))</f>
        <v>1095943.80562087</v>
      </c>
      <c r="AE26" s="89" t="n">
        <f aca="true">IF(AE$5=0,AD26,MAX(0,(AD26-AE$4)*(1+NORMINV(RAND(),INPUTS!$B$28,INPUTS!$B$29))))</f>
        <v>1132649.92632371</v>
      </c>
      <c r="AF26" s="89" t="n">
        <f aca="true">IF(AF$5=0,AE26,MAX(0,(AE26-AF$4)*(1+NORMINV(RAND(),INPUTS!$B$28,INPUTS!$B$29))))</f>
        <v>1255979.11181196</v>
      </c>
      <c r="AG26" s="89" t="n">
        <f aca="true">IF(AG$5=0,AF26,MAX(0,(AF26-AG$4)*(1+NORMINV(RAND(),INPUTS!$B$28,INPUTS!$B$29))))</f>
        <v>1281754.26143403</v>
      </c>
      <c r="AH26" s="89" t="n">
        <f aca="true">IF(AH$5=0,AG26,MAX(0,(AG26-AH$4)*(1+NORMINV(RAND(),INPUTS!$B$28,INPUTS!$B$29))))</f>
        <v>1059366.33304141</v>
      </c>
      <c r="AI26" s="89" t="n">
        <f aca="true">IF(AI$5=0,AH26,MAX(0,(AH26-AI$4)*(1+NORMINV(RAND(),INPUTS!$B$28,INPUTS!$B$29))))</f>
        <v>996716.070241207</v>
      </c>
      <c r="AJ26" s="89" t="n">
        <f aca="true">IF(AJ$5=0,AI26,MAX(0,(AI26-AJ$4)*(1+NORMINV(RAND(),INPUTS!$B$28,INPUTS!$B$29))))</f>
        <v>1130716.19776717</v>
      </c>
      <c r="AK26" s="89" t="n">
        <f aca="true">IF(AK$5=0,AJ26,MAX(0,(AJ26-AK$4)*(1+NORMINV(RAND(),INPUTS!$B$28,INPUTS!$B$29))))</f>
        <v>1016597.03168865</v>
      </c>
      <c r="AL26" s="89" t="n">
        <f aca="true">IF(AL$5=0,AK26,MAX(0,(AK26-AL$4)*(1+NORMINV(RAND(),INPUTS!$B$28,INPUTS!$B$29))))</f>
        <v>917711.876005078</v>
      </c>
      <c r="AM26" s="89" t="n">
        <f aca="true">IF(AM$5=0,AL26,MAX(0,(AL26-AM$4)*(1+NORMINV(RAND(),INPUTS!$B$28,INPUTS!$B$29))))</f>
        <v>917711.876005078</v>
      </c>
      <c r="AN26" s="89" t="n">
        <f aca="true">IF(AN$5=0,AM26,MAX(0,(AM26-AN$4)*(1+NORMINV(RAND(),INPUTS!$B$28,INPUTS!$B$29))))</f>
        <v>917711.876005078</v>
      </c>
      <c r="AO26" s="89" t="n">
        <f aca="true">IF(AO$5=0,AN26,MAX(0,(AN26-AO$4)*(1+NORMINV(RAND(),INPUTS!$B$28,INPUTS!$B$29))))</f>
        <v>917711.876005078</v>
      </c>
      <c r="AP26" s="89" t="n">
        <f aca="true">IF(AP$5=0,AO26,MAX(0,(AO26-AP$4)*(1+NORMINV(RAND(),INPUTS!$B$28,INPUTS!$B$29))))</f>
        <v>917711.876005078</v>
      </c>
      <c r="AQ26" s="89" t="n">
        <f aca="true">IF(AQ$5=0,AP26,MAX(0,(AP26-AQ$4)*(1+NORMINV(RAND(),INPUTS!$B$28,INPUTS!$B$29))))</f>
        <v>917711.876005078</v>
      </c>
      <c r="AR26" s="89" t="n">
        <f aca="true">IF(AR$5=0,AQ26,MAX(0,(AQ26-AR$4)*(1+NORMINV(RAND(),INPUTS!$B$28,INPUTS!$B$29))))</f>
        <v>917711.876005078</v>
      </c>
      <c r="AS26" s="89" t="n">
        <f aca="true">IF(AS$5=0,AR26,MAX(0,(AR26-AS$4)*(1+NORMINV(RAND(),INPUTS!$B$28,INPUTS!$B$29))))</f>
        <v>917711.876005078</v>
      </c>
      <c r="AT26" s="89" t="n">
        <f aca="true">IF(AT$5=0,AS26,MAX(0,(AS26-AT$4)*(1+NORMINV(RAND(),INPUTS!$B$28,INPUTS!$B$29))))</f>
        <v>917711.876005078</v>
      </c>
      <c r="AU26" s="89" t="n">
        <f aca="true">IF(AU$5=0,AT26,MAX(0,(AT26-AU$4)*(1+NORMINV(RAND(),INPUTS!$B$28,INPUTS!$B$29))))</f>
        <v>917711.876005078</v>
      </c>
      <c r="AV26" s="89" t="n">
        <f aca="true">IF(AV$5=0,AU26,MAX(0,(AU26-AV$4)*(1+NORMINV(RAND(),INPUTS!$B$28,INPUTS!$B$29))))</f>
        <v>917711.876005078</v>
      </c>
      <c r="AW26" s="89" t="n">
        <f aca="true">IF(AW$5=0,AV26,MAX(0,(AV26-AW$4)*(1+NORMINV(RAND(),INPUTS!$B$28,INPUTS!$B$29))))</f>
        <v>917711.876005078</v>
      </c>
      <c r="AX26" s="89" t="n">
        <f aca="true">IF(AX$5=0,AW26,MAX(0,(AW26-AX$4)*(1+NORMINV(RAND(),INPUTS!$B$28,INPUTS!$B$29))))</f>
        <v>917711.876005078</v>
      </c>
      <c r="AY26" s="89" t="n">
        <f aca="true">IF(AY$5=0,AX26,MAX(0,(AX26-AY$4)*(1+NORMINV(RAND(),INPUTS!$B$28,INPUTS!$B$29))))</f>
        <v>917711.876005078</v>
      </c>
      <c r="AZ26" s="89" t="n">
        <f aca="true">IF(AZ$5=0,AY26,MAX(0,(AY26-AZ$4)*(1+NORMINV(RAND(),INPUTS!$B$28,INPUTS!$B$29))))</f>
        <v>917711.876005078</v>
      </c>
      <c r="BA26" s="89" t="n">
        <f aca="true">IF(BA$5=0,AZ26,MAX(0,(AZ26-BA$4)*(1+NORMINV(RAND(),INPUTS!$B$28,INPUTS!$B$29))))</f>
        <v>917711.876005078</v>
      </c>
      <c r="BB26" s="89" t="n">
        <f aca="true">IF(BB$5=0,BA26,MAX(0,(BA26-BB$4)*(1+NORMINV(RAND(),INPUTS!$B$28,INPUTS!$B$29))))</f>
        <v>917711.876005078</v>
      </c>
      <c r="BC26" s="89" t="n">
        <f aca="true">IF(BC$5=0,BB26,MAX(0,(BB26-BC$4)*(1+NORMINV(RAND(),INPUTS!$B$28,INPUTS!$B$29))))</f>
        <v>917711.876005078</v>
      </c>
      <c r="BD26" s="89" t="n">
        <f aca="true">IF(BD$5=0,BC26,MAX(0,(BC26-BD$4)*(1+NORMINV(RAND(),INPUTS!$B$28,INPUTS!$B$29))))</f>
        <v>917711.876005078</v>
      </c>
      <c r="BE26" s="89" t="n">
        <f aca="true">IF(BE$5=0,BD26,MAX(0,(BD26-BE$4)*(1+NORMINV(RAND(),INPUTS!$B$28,INPUTS!$B$29))))</f>
        <v>917711.876005078</v>
      </c>
      <c r="BF26" s="89" t="n">
        <f aca="true">IF(BF$5=0,BE26,MAX(0,(BE26-BF$4)*(1+NORMINV(RAND(),INPUTS!$B$28,INPUTS!$B$29))))</f>
        <v>917711.876005078</v>
      </c>
      <c r="BG26" s="89" t="n">
        <f aca="true">IF(BG$5=0,BF26,MAX(0,(BF26-BG$4)*(1+NORMINV(RAND(),INPUTS!$B$28,INPUTS!$B$29))))</f>
        <v>917711.876005078</v>
      </c>
      <c r="BH26" s="89" t="n">
        <f aca="true">IF(BH$5=0,BG26,MAX(0,(BG26-BH$4)*(1+NORMINV(RAND(),INPUTS!$B$28,INPUTS!$B$29))))</f>
        <v>917711.876005078</v>
      </c>
      <c r="BI26" s="89" t="n">
        <f aca="true">IF(BI$5=0,BH26,MAX(0,(BH26-BI$4)*(1+NORMINV(RAND(),INPUTS!$B$28,INPUTS!$B$29))))</f>
        <v>917711.876005078</v>
      </c>
      <c r="BJ26" s="89" t="n">
        <f aca="true">IF(BJ$5=0,BI26,MAX(0,(BI26-BJ$4)*(1+NORMINV(RAND(),INPUTS!$B$28,INPUTS!$B$29))))</f>
        <v>917711.876005078</v>
      </c>
    </row>
    <row r="27" customFormat="false" ht="15" hidden="false" customHeight="true" outlineLevel="0" collapsed="false">
      <c r="A27" s="87" t="n">
        <v>20</v>
      </c>
      <c r="B27" s="88" t="n">
        <f aca="false">LOOKUP(9.99E+307,C27:BJ27)</f>
        <v>6330208.41881971</v>
      </c>
      <c r="C27" s="89" t="n">
        <f aca="true">IF(C$5=0,INPUTS!$B$35,MAX(0,(INPUTS!$B$35-C$4)*(1+NORMINV(RAND(),INPUTS!$B$28,INPUTS!$B$29))))</f>
        <v>1403015.03433228</v>
      </c>
      <c r="D27" s="89" t="n">
        <f aca="true">IF(D$5=0,C27,MAX(0,(C27-D$4)*(1+NORMINV(RAND(),INPUTS!$B$28,INPUTS!$B$29))))</f>
        <v>1330278.60153698</v>
      </c>
      <c r="E27" s="89" t="n">
        <f aca="true">IF(E$5=0,D27,MAX(0,(D27-E$4)*(1+NORMINV(RAND(),INPUTS!$B$28,INPUTS!$B$29))))</f>
        <v>1336948.87215456</v>
      </c>
      <c r="F27" s="89" t="n">
        <f aca="true">IF(F$5=0,E27,MAX(0,(E27-F$4)*(1+NORMINV(RAND(),INPUTS!$B$28,INPUTS!$B$29))))</f>
        <v>1071185.92493242</v>
      </c>
      <c r="G27" s="89" t="n">
        <f aca="true">IF(G$5=0,F27,MAX(0,(F27-G$4)*(1+NORMINV(RAND(),INPUTS!$B$28,INPUTS!$B$29))))</f>
        <v>1073480.68480096</v>
      </c>
      <c r="H27" s="89" t="n">
        <f aca="true">IF(H$5=0,G27,MAX(0,(G27-H$4)*(1+NORMINV(RAND(),INPUTS!$B$28,INPUTS!$B$29))))</f>
        <v>1062221.84452819</v>
      </c>
      <c r="I27" s="89" t="n">
        <f aca="true">IF(I$5=0,H27,MAX(0,(H27-I$4)*(1+NORMINV(RAND(),INPUTS!$B$28,INPUTS!$B$29))))</f>
        <v>1026927.24104058</v>
      </c>
      <c r="J27" s="89" t="n">
        <f aca="true">IF(J$5=0,I27,MAX(0,(I27-J$4)*(1+NORMINV(RAND(),INPUTS!$B$28,INPUTS!$B$29))))</f>
        <v>1031484.15297646</v>
      </c>
      <c r="K27" s="89" t="n">
        <f aca="true">IF(K$5=0,J27,MAX(0,(J27-K$4)*(1+NORMINV(RAND(),INPUTS!$B$28,INPUTS!$B$29))))</f>
        <v>1155943.09244553</v>
      </c>
      <c r="L27" s="89" t="n">
        <f aca="true">IF(L$5=0,K27,MAX(0,(K27-L$4)*(1+NORMINV(RAND(),INPUTS!$B$28,INPUTS!$B$29))))</f>
        <v>1464689.15145397</v>
      </c>
      <c r="M27" s="89" t="n">
        <f aca="true">IF(M$5=0,L27,MAX(0,(L27-M$4)*(1+NORMINV(RAND(),INPUTS!$B$28,INPUTS!$B$29))))</f>
        <v>1798775.28300678</v>
      </c>
      <c r="N27" s="89" t="n">
        <f aca="true">IF(N$5=0,M27,MAX(0,(M27-N$4)*(1+NORMINV(RAND(),INPUTS!$B$28,INPUTS!$B$29))))</f>
        <v>1737061.30045736</v>
      </c>
      <c r="O27" s="89" t="n">
        <f aca="true">IF(O$5=0,N27,MAX(0,(N27-O$4)*(1+NORMINV(RAND(),INPUTS!$B$28,INPUTS!$B$29))))</f>
        <v>1947443.01347468</v>
      </c>
      <c r="P27" s="89" t="n">
        <f aca="true">IF(P$5=0,O27,MAX(0,(O27-P$4)*(1+NORMINV(RAND(),INPUTS!$B$28,INPUTS!$B$29))))</f>
        <v>1751307.81516498</v>
      </c>
      <c r="Q27" s="89" t="n">
        <f aca="true">IF(Q$5=0,P27,MAX(0,(P27-Q$4)*(1+NORMINV(RAND(),INPUTS!$B$28,INPUTS!$B$29))))</f>
        <v>1865423.23066356</v>
      </c>
      <c r="R27" s="89" t="n">
        <f aca="true">IF(R$5=0,Q27,MAX(0,(Q27-R$4)*(1+NORMINV(RAND(),INPUTS!$B$28,INPUTS!$B$29))))</f>
        <v>1532987.78642004</v>
      </c>
      <c r="S27" s="89" t="n">
        <f aca="true">IF(S$5=0,R27,MAX(0,(R27-S$4)*(1+NORMINV(RAND(),INPUTS!$B$28,INPUTS!$B$29))))</f>
        <v>1793415.83965476</v>
      </c>
      <c r="T27" s="89" t="n">
        <f aca="true">IF(T$5=0,S27,MAX(0,(S27-T$4)*(1+NORMINV(RAND(),INPUTS!$B$28,INPUTS!$B$29))))</f>
        <v>1803043.06504431</v>
      </c>
      <c r="U27" s="89" t="n">
        <f aca="true">IF(U$5=0,T27,MAX(0,(T27-U$4)*(1+NORMINV(RAND(),INPUTS!$B$28,INPUTS!$B$29))))</f>
        <v>1764989.0633866</v>
      </c>
      <c r="V27" s="89" t="n">
        <f aca="true">IF(V$5=0,U27,MAX(0,(U27-V$4)*(1+NORMINV(RAND(),INPUTS!$B$28,INPUTS!$B$29))))</f>
        <v>1860699.29804274</v>
      </c>
      <c r="W27" s="89" t="n">
        <f aca="true">IF(W$5=0,V27,MAX(0,(V27-W$4)*(1+NORMINV(RAND(),INPUTS!$B$28,INPUTS!$B$29))))</f>
        <v>2273795.52599479</v>
      </c>
      <c r="X27" s="89" t="n">
        <f aca="true">IF(X$5=0,W27,MAX(0,(W27-X$4)*(1+NORMINV(RAND(),INPUTS!$B$28,INPUTS!$B$29))))</f>
        <v>2239262.47894106</v>
      </c>
      <c r="Y27" s="89" t="n">
        <f aca="true">IF(Y$5=0,X27,MAX(0,(X27-Y$4)*(1+NORMINV(RAND(),INPUTS!$B$28,INPUTS!$B$29))))</f>
        <v>2214221.39345873</v>
      </c>
      <c r="Z27" s="89" t="n">
        <f aca="true">IF(Z$5=0,Y27,MAX(0,(Y27-Z$4)*(1+NORMINV(RAND(),INPUTS!$B$28,INPUTS!$B$29))))</f>
        <v>2171384.54988985</v>
      </c>
      <c r="AA27" s="89" t="n">
        <f aca="true">IF(AA$5=0,Z27,MAX(0,(Z27-AA$4)*(1+NORMINV(RAND(),INPUTS!$B$28,INPUTS!$B$29))))</f>
        <v>2529430.23006529</v>
      </c>
      <c r="AB27" s="89" t="n">
        <f aca="true">IF(AB$5=0,AA27,MAX(0,(AA27-AB$4)*(1+NORMINV(RAND(),INPUTS!$B$28,INPUTS!$B$29))))</f>
        <v>2721227.80665593</v>
      </c>
      <c r="AC27" s="89" t="n">
        <f aca="true">IF(AC$5=0,AB27,MAX(0,(AB27-AC$4)*(1+NORMINV(RAND(),INPUTS!$B$28,INPUTS!$B$29))))</f>
        <v>2469060.54710037</v>
      </c>
      <c r="AD27" s="89" t="n">
        <f aca="true">IF(AD$5=0,AC27,MAX(0,(AC27-AD$4)*(1+NORMINV(RAND(),INPUTS!$B$28,INPUTS!$B$29))))</f>
        <v>2382597.71181356</v>
      </c>
      <c r="AE27" s="89" t="n">
        <f aca="true">IF(AE$5=0,AD27,MAX(0,(AD27-AE$4)*(1+NORMINV(RAND(),INPUTS!$B$28,INPUTS!$B$29))))</f>
        <v>2529948.47863853</v>
      </c>
      <c r="AF27" s="89" t="n">
        <f aca="true">IF(AF$5=0,AE27,MAX(0,(AE27-AF$4)*(1+NORMINV(RAND(),INPUTS!$B$28,INPUTS!$B$29))))</f>
        <v>3199319.57193046</v>
      </c>
      <c r="AG27" s="89" t="n">
        <f aca="true">IF(AG$5=0,AF27,MAX(0,(AF27-AG$4)*(1+NORMINV(RAND(),INPUTS!$B$28,INPUTS!$B$29))))</f>
        <v>3178937.5000108</v>
      </c>
      <c r="AH27" s="89" t="n">
        <f aca="true">IF(AH$5=0,AG27,MAX(0,(AG27-AH$4)*(1+NORMINV(RAND(),INPUTS!$B$28,INPUTS!$B$29))))</f>
        <v>3902601.50197284</v>
      </c>
      <c r="AI27" s="89" t="n">
        <f aca="true">IF(AI$5=0,AH27,MAX(0,(AH27-AI$4)*(1+NORMINV(RAND(),INPUTS!$B$28,INPUTS!$B$29))))</f>
        <v>4357011.3435819</v>
      </c>
      <c r="AJ27" s="89" t="n">
        <f aca="true">IF(AJ$5=0,AI27,MAX(0,(AI27-AJ$4)*(1+NORMINV(RAND(),INPUTS!$B$28,INPUTS!$B$29))))</f>
        <v>4221217.89358763</v>
      </c>
      <c r="AK27" s="89" t="n">
        <f aca="true">IF(AK$5=0,AJ27,MAX(0,(AJ27-AK$4)*(1+NORMINV(RAND(),INPUTS!$B$28,INPUTS!$B$29))))</f>
        <v>4846377.19289286</v>
      </c>
      <c r="AL27" s="89" t="n">
        <f aca="true">IF(AL$5=0,AK27,MAX(0,(AK27-AL$4)*(1+NORMINV(RAND(),INPUTS!$B$28,INPUTS!$B$29))))</f>
        <v>6330208.41881971</v>
      </c>
      <c r="AM27" s="89" t="n">
        <f aca="true">IF(AM$5=0,AL27,MAX(0,(AL27-AM$4)*(1+NORMINV(RAND(),INPUTS!$B$28,INPUTS!$B$29))))</f>
        <v>6330208.41881971</v>
      </c>
      <c r="AN27" s="89" t="n">
        <f aca="true">IF(AN$5=0,AM27,MAX(0,(AM27-AN$4)*(1+NORMINV(RAND(),INPUTS!$B$28,INPUTS!$B$29))))</f>
        <v>6330208.41881971</v>
      </c>
      <c r="AO27" s="89" t="n">
        <f aca="true">IF(AO$5=0,AN27,MAX(0,(AN27-AO$4)*(1+NORMINV(RAND(),INPUTS!$B$28,INPUTS!$B$29))))</f>
        <v>6330208.41881971</v>
      </c>
      <c r="AP27" s="89" t="n">
        <f aca="true">IF(AP$5=0,AO27,MAX(0,(AO27-AP$4)*(1+NORMINV(RAND(),INPUTS!$B$28,INPUTS!$B$29))))</f>
        <v>6330208.41881971</v>
      </c>
      <c r="AQ27" s="89" t="n">
        <f aca="true">IF(AQ$5=0,AP27,MAX(0,(AP27-AQ$4)*(1+NORMINV(RAND(),INPUTS!$B$28,INPUTS!$B$29))))</f>
        <v>6330208.41881971</v>
      </c>
      <c r="AR27" s="89" t="n">
        <f aca="true">IF(AR$5=0,AQ27,MAX(0,(AQ27-AR$4)*(1+NORMINV(RAND(),INPUTS!$B$28,INPUTS!$B$29))))</f>
        <v>6330208.41881971</v>
      </c>
      <c r="AS27" s="89" t="n">
        <f aca="true">IF(AS$5=0,AR27,MAX(0,(AR27-AS$4)*(1+NORMINV(RAND(),INPUTS!$B$28,INPUTS!$B$29))))</f>
        <v>6330208.41881971</v>
      </c>
      <c r="AT27" s="89" t="n">
        <f aca="true">IF(AT$5=0,AS27,MAX(0,(AS27-AT$4)*(1+NORMINV(RAND(),INPUTS!$B$28,INPUTS!$B$29))))</f>
        <v>6330208.41881971</v>
      </c>
      <c r="AU27" s="89" t="n">
        <f aca="true">IF(AU$5=0,AT27,MAX(0,(AT27-AU$4)*(1+NORMINV(RAND(),INPUTS!$B$28,INPUTS!$B$29))))</f>
        <v>6330208.41881971</v>
      </c>
      <c r="AV27" s="89" t="n">
        <f aca="true">IF(AV$5=0,AU27,MAX(0,(AU27-AV$4)*(1+NORMINV(RAND(),INPUTS!$B$28,INPUTS!$B$29))))</f>
        <v>6330208.41881971</v>
      </c>
      <c r="AW27" s="89" t="n">
        <f aca="true">IF(AW$5=0,AV27,MAX(0,(AV27-AW$4)*(1+NORMINV(RAND(),INPUTS!$B$28,INPUTS!$B$29))))</f>
        <v>6330208.41881971</v>
      </c>
      <c r="AX27" s="89" t="n">
        <f aca="true">IF(AX$5=0,AW27,MAX(0,(AW27-AX$4)*(1+NORMINV(RAND(),INPUTS!$B$28,INPUTS!$B$29))))</f>
        <v>6330208.41881971</v>
      </c>
      <c r="AY27" s="89" t="n">
        <f aca="true">IF(AY$5=0,AX27,MAX(0,(AX27-AY$4)*(1+NORMINV(RAND(),INPUTS!$B$28,INPUTS!$B$29))))</f>
        <v>6330208.41881971</v>
      </c>
      <c r="AZ27" s="89" t="n">
        <f aca="true">IF(AZ$5=0,AY27,MAX(0,(AY27-AZ$4)*(1+NORMINV(RAND(),INPUTS!$B$28,INPUTS!$B$29))))</f>
        <v>6330208.41881971</v>
      </c>
      <c r="BA27" s="89" t="n">
        <f aca="true">IF(BA$5=0,AZ27,MAX(0,(AZ27-BA$4)*(1+NORMINV(RAND(),INPUTS!$B$28,INPUTS!$B$29))))</f>
        <v>6330208.41881971</v>
      </c>
      <c r="BB27" s="89" t="n">
        <f aca="true">IF(BB$5=0,BA27,MAX(0,(BA27-BB$4)*(1+NORMINV(RAND(),INPUTS!$B$28,INPUTS!$B$29))))</f>
        <v>6330208.41881971</v>
      </c>
      <c r="BC27" s="89" t="n">
        <f aca="true">IF(BC$5=0,BB27,MAX(0,(BB27-BC$4)*(1+NORMINV(RAND(),INPUTS!$B$28,INPUTS!$B$29))))</f>
        <v>6330208.41881971</v>
      </c>
      <c r="BD27" s="89" t="n">
        <f aca="true">IF(BD$5=0,BC27,MAX(0,(BC27-BD$4)*(1+NORMINV(RAND(),INPUTS!$B$28,INPUTS!$B$29))))</f>
        <v>6330208.41881971</v>
      </c>
      <c r="BE27" s="89" t="n">
        <f aca="true">IF(BE$5=0,BD27,MAX(0,(BD27-BE$4)*(1+NORMINV(RAND(),INPUTS!$B$28,INPUTS!$B$29))))</f>
        <v>6330208.41881971</v>
      </c>
      <c r="BF27" s="89" t="n">
        <f aca="true">IF(BF$5=0,BE27,MAX(0,(BE27-BF$4)*(1+NORMINV(RAND(),INPUTS!$B$28,INPUTS!$B$29))))</f>
        <v>6330208.41881971</v>
      </c>
      <c r="BG27" s="89" t="n">
        <f aca="true">IF(BG$5=0,BF27,MAX(0,(BF27-BG$4)*(1+NORMINV(RAND(),INPUTS!$B$28,INPUTS!$B$29))))</f>
        <v>6330208.41881971</v>
      </c>
      <c r="BH27" s="89" t="n">
        <f aca="true">IF(BH$5=0,BG27,MAX(0,(BG27-BH$4)*(1+NORMINV(RAND(),INPUTS!$B$28,INPUTS!$B$29))))</f>
        <v>6330208.41881971</v>
      </c>
      <c r="BI27" s="89" t="n">
        <f aca="true">IF(BI$5=0,BH27,MAX(0,(BH27-BI$4)*(1+NORMINV(RAND(),INPUTS!$B$28,INPUTS!$B$29))))</f>
        <v>6330208.41881971</v>
      </c>
      <c r="BJ27" s="89" t="n">
        <f aca="true">IF(BJ$5=0,BI27,MAX(0,(BI27-BJ$4)*(1+NORMINV(RAND(),INPUTS!$B$28,INPUTS!$B$29))))</f>
        <v>6330208.41881971</v>
      </c>
    </row>
    <row r="28" customFormat="false" ht="15" hidden="false" customHeight="true" outlineLevel="0" collapsed="false">
      <c r="A28" s="87" t="n">
        <v>21</v>
      </c>
      <c r="B28" s="88" t="n">
        <f aca="false">LOOKUP(9.99E+307,C28:BJ28)</f>
        <v>2511981.65158106</v>
      </c>
      <c r="C28" s="89" t="n">
        <f aca="true">IF(C$5=0,INPUTS!$B$35,MAX(0,(INPUTS!$B$35-C$4)*(1+NORMINV(RAND(),INPUTS!$B$28,INPUTS!$B$29))))</f>
        <v>1469316.77243611</v>
      </c>
      <c r="D28" s="89" t="n">
        <f aca="true">IF(D$5=0,C28,MAX(0,(C28-D$4)*(1+NORMINV(RAND(),INPUTS!$B$28,INPUTS!$B$29))))</f>
        <v>1592835.80233096</v>
      </c>
      <c r="E28" s="89" t="n">
        <f aca="true">IF(E$5=0,D28,MAX(0,(D28-E$4)*(1+NORMINV(RAND(),INPUTS!$B$28,INPUTS!$B$29))))</f>
        <v>1569176.23411156</v>
      </c>
      <c r="F28" s="89" t="n">
        <f aca="true">IF(F$5=0,E28,MAX(0,(E28-F$4)*(1+NORMINV(RAND(),INPUTS!$B$28,INPUTS!$B$29))))</f>
        <v>1659070.62573096</v>
      </c>
      <c r="G28" s="89" t="n">
        <f aca="true">IF(G$5=0,F28,MAX(0,(F28-G$4)*(1+NORMINV(RAND(),INPUTS!$B$28,INPUTS!$B$29))))</f>
        <v>1704873.03613466</v>
      </c>
      <c r="H28" s="89" t="n">
        <f aca="true">IF(H$5=0,G28,MAX(0,(G28-H$4)*(1+NORMINV(RAND(),INPUTS!$B$28,INPUTS!$B$29))))</f>
        <v>1677771.76904243</v>
      </c>
      <c r="I28" s="89" t="n">
        <f aca="true">IF(I$5=0,H28,MAX(0,(H28-I$4)*(1+NORMINV(RAND(),INPUTS!$B$28,INPUTS!$B$29))))</f>
        <v>1619901.68478507</v>
      </c>
      <c r="J28" s="89" t="n">
        <f aca="true">IF(J$5=0,I28,MAX(0,(I28-J$4)*(1+NORMINV(RAND(),INPUTS!$B$28,INPUTS!$B$29))))</f>
        <v>1625516.40984191</v>
      </c>
      <c r="K28" s="89" t="n">
        <f aca="true">IF(K$5=0,J28,MAX(0,(J28-K$4)*(1+NORMINV(RAND(),INPUTS!$B$28,INPUTS!$B$29))))</f>
        <v>1673448.98864324</v>
      </c>
      <c r="L28" s="89" t="n">
        <f aca="true">IF(L$5=0,K28,MAX(0,(K28-L$4)*(1+NORMINV(RAND(),INPUTS!$B$28,INPUTS!$B$29))))</f>
        <v>1787156.21953702</v>
      </c>
      <c r="M28" s="89" t="n">
        <f aca="true">IF(M$5=0,L28,MAX(0,(L28-M$4)*(1+NORMINV(RAND(),INPUTS!$B$28,INPUTS!$B$29))))</f>
        <v>1953271.61642982</v>
      </c>
      <c r="N28" s="89" t="n">
        <f aca="true">IF(N$5=0,M28,MAX(0,(M28-N$4)*(1+NORMINV(RAND(),INPUTS!$B$28,INPUTS!$B$29))))</f>
        <v>1871128.90754103</v>
      </c>
      <c r="O28" s="89" t="n">
        <f aca="true">IF(O$5=0,N28,MAX(0,(N28-O$4)*(1+NORMINV(RAND(),INPUTS!$B$28,INPUTS!$B$29))))</f>
        <v>1986759.38797507</v>
      </c>
      <c r="P28" s="89" t="n">
        <f aca="true">IF(P$5=0,O28,MAX(0,(O28-P$4)*(1+NORMINV(RAND(),INPUTS!$B$28,INPUTS!$B$29))))</f>
        <v>1613983.22688674</v>
      </c>
      <c r="Q28" s="89" t="n">
        <f aca="true">IF(Q$5=0,P28,MAX(0,(P28-Q$4)*(1+NORMINV(RAND(),INPUTS!$B$28,INPUTS!$B$29))))</f>
        <v>1606754.40073916</v>
      </c>
      <c r="R28" s="89" t="n">
        <f aca="true">IF(R$5=0,Q28,MAX(0,(Q28-R$4)*(1+NORMINV(RAND(),INPUTS!$B$28,INPUTS!$B$29))))</f>
        <v>1664232.42058283</v>
      </c>
      <c r="S28" s="89" t="n">
        <f aca="true">IF(S$5=0,R28,MAX(0,(R28-S$4)*(1+NORMINV(RAND(),INPUTS!$B$28,INPUTS!$B$29))))</f>
        <v>1826688.89423232</v>
      </c>
      <c r="T28" s="89" t="n">
        <f aca="true">IF(T$5=0,S28,MAX(0,(S28-T$4)*(1+NORMINV(RAND(),INPUTS!$B$28,INPUTS!$B$29))))</f>
        <v>2357110.39167244</v>
      </c>
      <c r="U28" s="89" t="n">
        <f aca="true">IF(U$5=0,T28,MAX(0,(T28-U$4)*(1+NORMINV(RAND(),INPUTS!$B$28,INPUTS!$B$29))))</f>
        <v>2211215.2085112</v>
      </c>
      <c r="V28" s="89" t="n">
        <f aca="true">IF(V$5=0,U28,MAX(0,(U28-V$4)*(1+NORMINV(RAND(),INPUTS!$B$28,INPUTS!$B$29))))</f>
        <v>1927226.88492501</v>
      </c>
      <c r="W28" s="89" t="n">
        <f aca="true">IF(W$5=0,V28,MAX(0,(V28-W$4)*(1+NORMINV(RAND(),INPUTS!$B$28,INPUTS!$B$29))))</f>
        <v>2290243.4918024</v>
      </c>
      <c r="X28" s="89" t="n">
        <f aca="true">IF(X$5=0,W28,MAX(0,(W28-X$4)*(1+NORMINV(RAND(),INPUTS!$B$28,INPUTS!$B$29))))</f>
        <v>2136879.93675916</v>
      </c>
      <c r="Y28" s="89" t="n">
        <f aca="true">IF(Y$5=0,X28,MAX(0,(X28-Y$4)*(1+NORMINV(RAND(),INPUTS!$B$28,INPUTS!$B$29))))</f>
        <v>1715548.49314062</v>
      </c>
      <c r="Z28" s="89" t="n">
        <f aca="true">IF(Z$5=0,Y28,MAX(0,(Y28-Z$4)*(1+NORMINV(RAND(),INPUTS!$B$28,INPUTS!$B$29))))</f>
        <v>1955789.87569234</v>
      </c>
      <c r="AA28" s="89" t="n">
        <f aca="true">IF(AA$5=0,Z28,MAX(0,(Z28-AA$4)*(1+NORMINV(RAND(),INPUTS!$B$28,INPUTS!$B$29))))</f>
        <v>2122613.63559207</v>
      </c>
      <c r="AB28" s="89" t="n">
        <f aca="true">IF(AB$5=0,AA28,MAX(0,(AA28-AB$4)*(1+NORMINV(RAND(),INPUTS!$B$28,INPUTS!$B$29))))</f>
        <v>2050276.61364682</v>
      </c>
      <c r="AC28" s="89" t="n">
        <f aca="true">IF(AC$5=0,AB28,MAX(0,(AB28-AC$4)*(1+NORMINV(RAND(),INPUTS!$B$28,INPUTS!$B$29))))</f>
        <v>1946900.88763711</v>
      </c>
      <c r="AD28" s="89" t="n">
        <f aca="true">IF(AD$5=0,AC28,MAX(0,(AC28-AD$4)*(1+NORMINV(RAND(),INPUTS!$B$28,INPUTS!$B$29))))</f>
        <v>2123766.18629764</v>
      </c>
      <c r="AE28" s="89" t="n">
        <f aca="true">IF(AE$5=0,AD28,MAX(0,(AD28-AE$4)*(1+NORMINV(RAND(),INPUTS!$B$28,INPUTS!$B$29))))</f>
        <v>2433750.67007309</v>
      </c>
      <c r="AF28" s="89" t="n">
        <f aca="true">IF(AF$5=0,AE28,MAX(0,(AE28-AF$4)*(1+NORMINV(RAND(),INPUTS!$B$28,INPUTS!$B$29))))</f>
        <v>2451518.7026035</v>
      </c>
      <c r="AG28" s="89" t="n">
        <f aca="true">IF(AG$5=0,AF28,MAX(0,(AF28-AG$4)*(1+NORMINV(RAND(),INPUTS!$B$28,INPUTS!$B$29))))</f>
        <v>2546365.66228783</v>
      </c>
      <c r="AH28" s="89" t="n">
        <f aca="true">IF(AH$5=0,AG28,MAX(0,(AG28-AH$4)*(1+NORMINV(RAND(),INPUTS!$B$28,INPUTS!$B$29))))</f>
        <v>3178365.12988012</v>
      </c>
      <c r="AI28" s="89" t="n">
        <f aca="true">IF(AI$5=0,AH28,MAX(0,(AH28-AI$4)*(1+NORMINV(RAND(),INPUTS!$B$28,INPUTS!$B$29))))</f>
        <v>2696941.76634777</v>
      </c>
      <c r="AJ28" s="89" t="n">
        <f aca="true">IF(AJ$5=0,AI28,MAX(0,(AI28-AJ$4)*(1+NORMINV(RAND(),INPUTS!$B$28,INPUTS!$B$29))))</f>
        <v>2850299.24167862</v>
      </c>
      <c r="AK28" s="89" t="n">
        <f aca="true">IF(AK$5=0,AJ28,MAX(0,(AJ28-AK$4)*(1+NORMINV(RAND(),INPUTS!$B$28,INPUTS!$B$29))))</f>
        <v>2688039.87771108</v>
      </c>
      <c r="AL28" s="89" t="n">
        <f aca="true">IF(AL$5=0,AK28,MAX(0,(AK28-AL$4)*(1+NORMINV(RAND(),INPUTS!$B$28,INPUTS!$B$29))))</f>
        <v>2511981.65158106</v>
      </c>
      <c r="AM28" s="89" t="n">
        <f aca="true">IF(AM$5=0,AL28,MAX(0,(AL28-AM$4)*(1+NORMINV(RAND(),INPUTS!$B$28,INPUTS!$B$29))))</f>
        <v>2511981.65158106</v>
      </c>
      <c r="AN28" s="89" t="n">
        <f aca="true">IF(AN$5=0,AM28,MAX(0,(AM28-AN$4)*(1+NORMINV(RAND(),INPUTS!$B$28,INPUTS!$B$29))))</f>
        <v>2511981.65158106</v>
      </c>
      <c r="AO28" s="89" t="n">
        <f aca="true">IF(AO$5=0,AN28,MAX(0,(AN28-AO$4)*(1+NORMINV(RAND(),INPUTS!$B$28,INPUTS!$B$29))))</f>
        <v>2511981.65158106</v>
      </c>
      <c r="AP28" s="89" t="n">
        <f aca="true">IF(AP$5=0,AO28,MAX(0,(AO28-AP$4)*(1+NORMINV(RAND(),INPUTS!$B$28,INPUTS!$B$29))))</f>
        <v>2511981.65158106</v>
      </c>
      <c r="AQ28" s="89" t="n">
        <f aca="true">IF(AQ$5=0,AP28,MAX(0,(AP28-AQ$4)*(1+NORMINV(RAND(),INPUTS!$B$28,INPUTS!$B$29))))</f>
        <v>2511981.65158106</v>
      </c>
      <c r="AR28" s="89" t="n">
        <f aca="true">IF(AR$5=0,AQ28,MAX(0,(AQ28-AR$4)*(1+NORMINV(RAND(),INPUTS!$B$28,INPUTS!$B$29))))</f>
        <v>2511981.65158106</v>
      </c>
      <c r="AS28" s="89" t="n">
        <f aca="true">IF(AS$5=0,AR28,MAX(0,(AR28-AS$4)*(1+NORMINV(RAND(),INPUTS!$B$28,INPUTS!$B$29))))</f>
        <v>2511981.65158106</v>
      </c>
      <c r="AT28" s="89" t="n">
        <f aca="true">IF(AT$5=0,AS28,MAX(0,(AS28-AT$4)*(1+NORMINV(RAND(),INPUTS!$B$28,INPUTS!$B$29))))</f>
        <v>2511981.65158106</v>
      </c>
      <c r="AU28" s="89" t="n">
        <f aca="true">IF(AU$5=0,AT28,MAX(0,(AT28-AU$4)*(1+NORMINV(RAND(),INPUTS!$B$28,INPUTS!$B$29))))</f>
        <v>2511981.65158106</v>
      </c>
      <c r="AV28" s="89" t="n">
        <f aca="true">IF(AV$5=0,AU28,MAX(0,(AU28-AV$4)*(1+NORMINV(RAND(),INPUTS!$B$28,INPUTS!$B$29))))</f>
        <v>2511981.65158106</v>
      </c>
      <c r="AW28" s="89" t="n">
        <f aca="true">IF(AW$5=0,AV28,MAX(0,(AV28-AW$4)*(1+NORMINV(RAND(),INPUTS!$B$28,INPUTS!$B$29))))</f>
        <v>2511981.65158106</v>
      </c>
      <c r="AX28" s="89" t="n">
        <f aca="true">IF(AX$5=0,AW28,MAX(0,(AW28-AX$4)*(1+NORMINV(RAND(),INPUTS!$B$28,INPUTS!$B$29))))</f>
        <v>2511981.65158106</v>
      </c>
      <c r="AY28" s="89" t="n">
        <f aca="true">IF(AY$5=0,AX28,MAX(0,(AX28-AY$4)*(1+NORMINV(RAND(),INPUTS!$B$28,INPUTS!$B$29))))</f>
        <v>2511981.65158106</v>
      </c>
      <c r="AZ28" s="89" t="n">
        <f aca="true">IF(AZ$5=0,AY28,MAX(0,(AY28-AZ$4)*(1+NORMINV(RAND(),INPUTS!$B$28,INPUTS!$B$29))))</f>
        <v>2511981.65158106</v>
      </c>
      <c r="BA28" s="89" t="n">
        <f aca="true">IF(BA$5=0,AZ28,MAX(0,(AZ28-BA$4)*(1+NORMINV(RAND(),INPUTS!$B$28,INPUTS!$B$29))))</f>
        <v>2511981.65158106</v>
      </c>
      <c r="BB28" s="89" t="n">
        <f aca="true">IF(BB$5=0,BA28,MAX(0,(BA28-BB$4)*(1+NORMINV(RAND(),INPUTS!$B$28,INPUTS!$B$29))))</f>
        <v>2511981.65158106</v>
      </c>
      <c r="BC28" s="89" t="n">
        <f aca="true">IF(BC$5=0,BB28,MAX(0,(BB28-BC$4)*(1+NORMINV(RAND(),INPUTS!$B$28,INPUTS!$B$29))))</f>
        <v>2511981.65158106</v>
      </c>
      <c r="BD28" s="89" t="n">
        <f aca="true">IF(BD$5=0,BC28,MAX(0,(BC28-BD$4)*(1+NORMINV(RAND(),INPUTS!$B$28,INPUTS!$B$29))))</f>
        <v>2511981.65158106</v>
      </c>
      <c r="BE28" s="89" t="n">
        <f aca="true">IF(BE$5=0,BD28,MAX(0,(BD28-BE$4)*(1+NORMINV(RAND(),INPUTS!$B$28,INPUTS!$B$29))))</f>
        <v>2511981.65158106</v>
      </c>
      <c r="BF28" s="89" t="n">
        <f aca="true">IF(BF$5=0,BE28,MAX(0,(BE28-BF$4)*(1+NORMINV(RAND(),INPUTS!$B$28,INPUTS!$B$29))))</f>
        <v>2511981.65158106</v>
      </c>
      <c r="BG28" s="89" t="n">
        <f aca="true">IF(BG$5=0,BF28,MAX(0,(BF28-BG$4)*(1+NORMINV(RAND(),INPUTS!$B$28,INPUTS!$B$29))))</f>
        <v>2511981.65158106</v>
      </c>
      <c r="BH28" s="89" t="n">
        <f aca="true">IF(BH$5=0,BG28,MAX(0,(BG28-BH$4)*(1+NORMINV(RAND(),INPUTS!$B$28,INPUTS!$B$29))))</f>
        <v>2511981.65158106</v>
      </c>
      <c r="BI28" s="89" t="n">
        <f aca="true">IF(BI$5=0,BH28,MAX(0,(BH28-BI$4)*(1+NORMINV(RAND(),INPUTS!$B$28,INPUTS!$B$29))))</f>
        <v>2511981.65158106</v>
      </c>
      <c r="BJ28" s="89" t="n">
        <f aca="true">IF(BJ$5=0,BI28,MAX(0,(BI28-BJ$4)*(1+NORMINV(RAND(),INPUTS!$B$28,INPUTS!$B$29))))</f>
        <v>2511981.65158106</v>
      </c>
    </row>
    <row r="29" customFormat="false" ht="15" hidden="false" customHeight="true" outlineLevel="0" collapsed="false">
      <c r="A29" s="87" t="n">
        <v>22</v>
      </c>
      <c r="B29" s="88" t="n">
        <f aca="false">LOOKUP(9.99E+307,C29:BJ29)</f>
        <v>0</v>
      </c>
      <c r="C29" s="89" t="n">
        <f aca="true">IF(C$5=0,INPUTS!$B$35,MAX(0,(INPUTS!$B$35-C$4)*(1+NORMINV(RAND(),INPUTS!$B$28,INPUTS!$B$29))))</f>
        <v>1268739.34107878</v>
      </c>
      <c r="D29" s="89" t="n">
        <f aca="true">IF(D$5=0,C29,MAX(0,(C29-D$4)*(1+NORMINV(RAND(),INPUTS!$B$28,INPUTS!$B$29))))</f>
        <v>1413786.77033025</v>
      </c>
      <c r="E29" s="89" t="n">
        <f aca="true">IF(E$5=0,D29,MAX(0,(D29-E$4)*(1+NORMINV(RAND(),INPUTS!$B$28,INPUTS!$B$29))))</f>
        <v>1586345.5747883</v>
      </c>
      <c r="F29" s="89" t="n">
        <f aca="true">IF(F$5=0,E29,MAX(0,(E29-F$4)*(1+NORMINV(RAND(),INPUTS!$B$28,INPUTS!$B$29))))</f>
        <v>1087708.58412806</v>
      </c>
      <c r="G29" s="89" t="n">
        <f aca="true">IF(G$5=0,F29,MAX(0,(F29-G$4)*(1+NORMINV(RAND(),INPUTS!$B$28,INPUTS!$B$29))))</f>
        <v>1073852.25346403</v>
      </c>
      <c r="H29" s="89" t="n">
        <f aca="true">IF(H$5=0,G29,MAX(0,(G29-H$4)*(1+NORMINV(RAND(),INPUTS!$B$28,INPUTS!$B$29))))</f>
        <v>1097969.27257839</v>
      </c>
      <c r="I29" s="89" t="n">
        <f aca="true">IF(I$5=0,H29,MAX(0,(H29-I$4)*(1+NORMINV(RAND(),INPUTS!$B$28,INPUTS!$B$29))))</f>
        <v>1052596.2987582</v>
      </c>
      <c r="J29" s="89" t="n">
        <f aca="true">IF(J$5=0,I29,MAX(0,(I29-J$4)*(1+NORMINV(RAND(),INPUTS!$B$28,INPUTS!$B$29))))</f>
        <v>1176477.29622871</v>
      </c>
      <c r="K29" s="89" t="n">
        <f aca="true">IF(K$5=0,J29,MAX(0,(J29-K$4)*(1+NORMINV(RAND(),INPUTS!$B$28,INPUTS!$B$29))))</f>
        <v>1078416.8511565</v>
      </c>
      <c r="L29" s="89" t="n">
        <f aca="true">IF(L$5=0,K29,MAX(0,(K29-L$4)*(1+NORMINV(RAND(),INPUTS!$B$28,INPUTS!$B$29))))</f>
        <v>635860.389988598</v>
      </c>
      <c r="M29" s="89" t="n">
        <f aca="true">IF(M$5=0,L29,MAX(0,(L29-M$4)*(1+NORMINV(RAND(),INPUTS!$B$28,INPUTS!$B$29))))</f>
        <v>558993.391827142</v>
      </c>
      <c r="N29" s="89" t="n">
        <f aca="true">IF(N$5=0,M29,MAX(0,(M29-N$4)*(1+NORMINV(RAND(),INPUTS!$B$28,INPUTS!$B$29))))</f>
        <v>476384.239668177</v>
      </c>
      <c r="O29" s="89" t="n">
        <f aca="true">IF(O$5=0,N29,MAX(0,(N29-O$4)*(1+NORMINV(RAND(),INPUTS!$B$28,INPUTS!$B$29))))</f>
        <v>497292.806028708</v>
      </c>
      <c r="P29" s="89" t="n">
        <f aca="true">IF(P$5=0,O29,MAX(0,(O29-P$4)*(1+NORMINV(RAND(),INPUTS!$B$28,INPUTS!$B$29))))</f>
        <v>488596.198400934</v>
      </c>
      <c r="Q29" s="89" t="n">
        <f aca="true">IF(Q$5=0,P29,MAX(0,(P29-Q$4)*(1+NORMINV(RAND(),INPUTS!$B$28,INPUTS!$B$29))))</f>
        <v>393260.158079307</v>
      </c>
      <c r="R29" s="89" t="n">
        <f aca="true">IF(R$5=0,Q29,MAX(0,(Q29-R$4)*(1+NORMINV(RAND(),INPUTS!$B$28,INPUTS!$B$29))))</f>
        <v>360610.166161135</v>
      </c>
      <c r="S29" s="89" t="n">
        <f aca="true">IF(S$5=0,R29,MAX(0,(R29-S$4)*(1+NORMINV(RAND(),INPUTS!$B$28,INPUTS!$B$29))))</f>
        <v>296005.790267289</v>
      </c>
      <c r="T29" s="89" t="n">
        <f aca="true">IF(T$5=0,S29,MAX(0,(S29-T$4)*(1+NORMINV(RAND(),INPUTS!$B$28,INPUTS!$B$29))))</f>
        <v>243749.284473977</v>
      </c>
      <c r="U29" s="89" t="n">
        <f aca="true">IF(U$5=0,T29,MAX(0,(T29-U$4)*(1+NORMINV(RAND(),INPUTS!$B$28,INPUTS!$B$29))))</f>
        <v>235364.596404663</v>
      </c>
      <c r="V29" s="89" t="n">
        <f aca="true">IF(V$5=0,U29,MAX(0,(U29-V$4)*(1+NORMINV(RAND(),INPUTS!$B$28,INPUTS!$B$29))))</f>
        <v>189832.047158795</v>
      </c>
      <c r="W29" s="89" t="n">
        <f aca="true">IF(W$5=0,V29,MAX(0,(V29-W$4)*(1+NORMINV(RAND(),INPUTS!$B$28,INPUTS!$B$29))))</f>
        <v>141979.215536275</v>
      </c>
      <c r="X29" s="89" t="n">
        <f aca="true">IF(X$5=0,W29,MAX(0,(W29-X$4)*(1+NORMINV(RAND(),INPUTS!$B$28,INPUTS!$B$29))))</f>
        <v>105684.709261835</v>
      </c>
      <c r="Y29" s="89" t="n">
        <f aca="true">IF(Y$5=0,X29,MAX(0,(X29-Y$4)*(1+NORMINV(RAND(),INPUTS!$B$28,INPUTS!$B$29))))</f>
        <v>57314.2862315828</v>
      </c>
      <c r="Z29" s="89" t="n">
        <f aca="true">IF(Z$5=0,Y29,MAX(0,(Y29-Z$4)*(1+NORMINV(RAND(),INPUTS!$B$28,INPUTS!$B$29))))</f>
        <v>0</v>
      </c>
      <c r="AA29" s="89" t="n">
        <f aca="true">IF(AA$5=0,Z29,MAX(0,(Z29-AA$4)*(1+NORMINV(RAND(),INPUTS!$B$28,INPUTS!$B$29))))</f>
        <v>0</v>
      </c>
      <c r="AB29" s="89" t="n">
        <f aca="true">IF(AB$5=0,AA29,MAX(0,(AA29-AB$4)*(1+NORMINV(RAND(),INPUTS!$B$28,INPUTS!$B$29))))</f>
        <v>0</v>
      </c>
      <c r="AC29" s="89" t="n">
        <f aca="true">IF(AC$5=0,AB29,MAX(0,(AB29-AC$4)*(1+NORMINV(RAND(),INPUTS!$B$28,INPUTS!$B$29))))</f>
        <v>0</v>
      </c>
      <c r="AD29" s="89" t="n">
        <f aca="true">IF(AD$5=0,AC29,MAX(0,(AC29-AD$4)*(1+NORMINV(RAND(),INPUTS!$B$28,INPUTS!$B$29))))</f>
        <v>0</v>
      </c>
      <c r="AE29" s="89" t="n">
        <f aca="true">IF(AE$5=0,AD29,MAX(0,(AD29-AE$4)*(1+NORMINV(RAND(),INPUTS!$B$28,INPUTS!$B$29))))</f>
        <v>0</v>
      </c>
      <c r="AF29" s="89" t="n">
        <f aca="true">IF(AF$5=0,AE29,MAX(0,(AE29-AF$4)*(1+NORMINV(RAND(),INPUTS!$B$28,INPUTS!$B$29))))</f>
        <v>0</v>
      </c>
      <c r="AG29" s="89" t="n">
        <f aca="true">IF(AG$5=0,AF29,MAX(0,(AF29-AG$4)*(1+NORMINV(RAND(),INPUTS!$B$28,INPUTS!$B$29))))</f>
        <v>0</v>
      </c>
      <c r="AH29" s="89" t="n">
        <f aca="true">IF(AH$5=0,AG29,MAX(0,(AG29-AH$4)*(1+NORMINV(RAND(),INPUTS!$B$28,INPUTS!$B$29))))</f>
        <v>0</v>
      </c>
      <c r="AI29" s="89" t="n">
        <f aca="true">IF(AI$5=0,AH29,MAX(0,(AH29-AI$4)*(1+NORMINV(RAND(),INPUTS!$B$28,INPUTS!$B$29))))</f>
        <v>0</v>
      </c>
      <c r="AJ29" s="89" t="n">
        <f aca="true">IF(AJ$5=0,AI29,MAX(0,(AI29-AJ$4)*(1+NORMINV(RAND(),INPUTS!$B$28,INPUTS!$B$29))))</f>
        <v>0</v>
      </c>
      <c r="AK29" s="89" t="n">
        <f aca="true">IF(AK$5=0,AJ29,MAX(0,(AJ29-AK$4)*(1+NORMINV(RAND(),INPUTS!$B$28,INPUTS!$B$29))))</f>
        <v>0</v>
      </c>
      <c r="AL29" s="89" t="n">
        <f aca="true">IF(AL$5=0,AK29,MAX(0,(AK29-AL$4)*(1+NORMINV(RAND(),INPUTS!$B$28,INPUTS!$B$29))))</f>
        <v>0</v>
      </c>
      <c r="AM29" s="89" t="n">
        <f aca="true">IF(AM$5=0,AL29,MAX(0,(AL29-AM$4)*(1+NORMINV(RAND(),INPUTS!$B$28,INPUTS!$B$29))))</f>
        <v>0</v>
      </c>
      <c r="AN29" s="89" t="n">
        <f aca="true">IF(AN$5=0,AM29,MAX(0,(AM29-AN$4)*(1+NORMINV(RAND(),INPUTS!$B$28,INPUTS!$B$29))))</f>
        <v>0</v>
      </c>
      <c r="AO29" s="89" t="n">
        <f aca="true">IF(AO$5=0,AN29,MAX(0,(AN29-AO$4)*(1+NORMINV(RAND(),INPUTS!$B$28,INPUTS!$B$29))))</f>
        <v>0</v>
      </c>
      <c r="AP29" s="89" t="n">
        <f aca="true">IF(AP$5=0,AO29,MAX(0,(AO29-AP$4)*(1+NORMINV(RAND(),INPUTS!$B$28,INPUTS!$B$29))))</f>
        <v>0</v>
      </c>
      <c r="AQ29" s="89" t="n">
        <f aca="true">IF(AQ$5=0,AP29,MAX(0,(AP29-AQ$4)*(1+NORMINV(RAND(),INPUTS!$B$28,INPUTS!$B$29))))</f>
        <v>0</v>
      </c>
      <c r="AR29" s="89" t="n">
        <f aca="true">IF(AR$5=0,AQ29,MAX(0,(AQ29-AR$4)*(1+NORMINV(RAND(),INPUTS!$B$28,INPUTS!$B$29))))</f>
        <v>0</v>
      </c>
      <c r="AS29" s="89" t="n">
        <f aca="true">IF(AS$5=0,AR29,MAX(0,(AR29-AS$4)*(1+NORMINV(RAND(),INPUTS!$B$28,INPUTS!$B$29))))</f>
        <v>0</v>
      </c>
      <c r="AT29" s="89" t="n">
        <f aca="true">IF(AT$5=0,AS29,MAX(0,(AS29-AT$4)*(1+NORMINV(RAND(),INPUTS!$B$28,INPUTS!$B$29))))</f>
        <v>0</v>
      </c>
      <c r="AU29" s="89" t="n">
        <f aca="true">IF(AU$5=0,AT29,MAX(0,(AT29-AU$4)*(1+NORMINV(RAND(),INPUTS!$B$28,INPUTS!$B$29))))</f>
        <v>0</v>
      </c>
      <c r="AV29" s="89" t="n">
        <f aca="true">IF(AV$5=0,AU29,MAX(0,(AU29-AV$4)*(1+NORMINV(RAND(),INPUTS!$B$28,INPUTS!$B$29))))</f>
        <v>0</v>
      </c>
      <c r="AW29" s="89" t="n">
        <f aca="true">IF(AW$5=0,AV29,MAX(0,(AV29-AW$4)*(1+NORMINV(RAND(),INPUTS!$B$28,INPUTS!$B$29))))</f>
        <v>0</v>
      </c>
      <c r="AX29" s="89" t="n">
        <f aca="true">IF(AX$5=0,AW29,MAX(0,(AW29-AX$4)*(1+NORMINV(RAND(),INPUTS!$B$28,INPUTS!$B$29))))</f>
        <v>0</v>
      </c>
      <c r="AY29" s="89" t="n">
        <f aca="true">IF(AY$5=0,AX29,MAX(0,(AX29-AY$4)*(1+NORMINV(RAND(),INPUTS!$B$28,INPUTS!$B$29))))</f>
        <v>0</v>
      </c>
      <c r="AZ29" s="89" t="n">
        <f aca="true">IF(AZ$5=0,AY29,MAX(0,(AY29-AZ$4)*(1+NORMINV(RAND(),INPUTS!$B$28,INPUTS!$B$29))))</f>
        <v>0</v>
      </c>
      <c r="BA29" s="89" t="n">
        <f aca="true">IF(BA$5=0,AZ29,MAX(0,(AZ29-BA$4)*(1+NORMINV(RAND(),INPUTS!$B$28,INPUTS!$B$29))))</f>
        <v>0</v>
      </c>
      <c r="BB29" s="89" t="n">
        <f aca="true">IF(BB$5=0,BA29,MAX(0,(BA29-BB$4)*(1+NORMINV(RAND(),INPUTS!$B$28,INPUTS!$B$29))))</f>
        <v>0</v>
      </c>
      <c r="BC29" s="89" t="n">
        <f aca="true">IF(BC$5=0,BB29,MAX(0,(BB29-BC$4)*(1+NORMINV(RAND(),INPUTS!$B$28,INPUTS!$B$29))))</f>
        <v>0</v>
      </c>
      <c r="BD29" s="89" t="n">
        <f aca="true">IF(BD$5=0,BC29,MAX(0,(BC29-BD$4)*(1+NORMINV(RAND(),INPUTS!$B$28,INPUTS!$B$29))))</f>
        <v>0</v>
      </c>
      <c r="BE29" s="89" t="n">
        <f aca="true">IF(BE$5=0,BD29,MAX(0,(BD29-BE$4)*(1+NORMINV(RAND(),INPUTS!$B$28,INPUTS!$B$29))))</f>
        <v>0</v>
      </c>
      <c r="BF29" s="89" t="n">
        <f aca="true">IF(BF$5=0,BE29,MAX(0,(BE29-BF$4)*(1+NORMINV(RAND(),INPUTS!$B$28,INPUTS!$B$29))))</f>
        <v>0</v>
      </c>
      <c r="BG29" s="89" t="n">
        <f aca="true">IF(BG$5=0,BF29,MAX(0,(BF29-BG$4)*(1+NORMINV(RAND(),INPUTS!$B$28,INPUTS!$B$29))))</f>
        <v>0</v>
      </c>
      <c r="BH29" s="89" t="n">
        <f aca="true">IF(BH$5=0,BG29,MAX(0,(BG29-BH$4)*(1+NORMINV(RAND(),INPUTS!$B$28,INPUTS!$B$29))))</f>
        <v>0</v>
      </c>
      <c r="BI29" s="89" t="n">
        <f aca="true">IF(BI$5=0,BH29,MAX(0,(BH29-BI$4)*(1+NORMINV(RAND(),INPUTS!$B$28,INPUTS!$B$29))))</f>
        <v>0</v>
      </c>
      <c r="BJ29" s="89" t="n">
        <f aca="true">IF(BJ$5=0,BI29,MAX(0,(BI29-BJ$4)*(1+NORMINV(RAND(),INPUTS!$B$28,INPUTS!$B$29))))</f>
        <v>0</v>
      </c>
    </row>
    <row r="30" customFormat="false" ht="15" hidden="false" customHeight="true" outlineLevel="0" collapsed="false">
      <c r="A30" s="87" t="n">
        <v>23</v>
      </c>
      <c r="B30" s="88" t="n">
        <f aca="false">LOOKUP(9.99E+307,C30:BJ30)</f>
        <v>2542753.57931634</v>
      </c>
      <c r="C30" s="89" t="n">
        <f aca="true">IF(C$5=0,INPUTS!$B$35,MAX(0,(INPUTS!$B$35-C$4)*(1+NORMINV(RAND(),INPUTS!$B$28,INPUTS!$B$29))))</f>
        <v>1162123.40321703</v>
      </c>
      <c r="D30" s="89" t="n">
        <f aca="true">IF(D$5=0,C30,MAX(0,(C30-D$4)*(1+NORMINV(RAND(),INPUTS!$B$28,INPUTS!$B$29))))</f>
        <v>1182836.5399847</v>
      </c>
      <c r="E30" s="89" t="n">
        <f aca="true">IF(E$5=0,D30,MAX(0,(D30-E$4)*(1+NORMINV(RAND(),INPUTS!$B$28,INPUTS!$B$29))))</f>
        <v>1177284.51069237</v>
      </c>
      <c r="F30" s="89" t="n">
        <f aca="true">IF(F$5=0,E30,MAX(0,(E30-F$4)*(1+NORMINV(RAND(),INPUTS!$B$28,INPUTS!$B$29))))</f>
        <v>1434001.33680346</v>
      </c>
      <c r="G30" s="89" t="n">
        <f aca="true">IF(G$5=0,F30,MAX(0,(F30-G$4)*(1+NORMINV(RAND(),INPUTS!$B$28,INPUTS!$B$29))))</f>
        <v>1292256.96708974</v>
      </c>
      <c r="H30" s="89" t="n">
        <f aca="true">IF(H$5=0,G30,MAX(0,(G30-H$4)*(1+NORMINV(RAND(),INPUTS!$B$28,INPUTS!$B$29))))</f>
        <v>1248691.7030033</v>
      </c>
      <c r="I30" s="89" t="n">
        <f aca="true">IF(I$5=0,H30,MAX(0,(H30-I$4)*(1+NORMINV(RAND(),INPUTS!$B$28,INPUTS!$B$29))))</f>
        <v>1077442.90408363</v>
      </c>
      <c r="J30" s="89" t="n">
        <f aca="true">IF(J$5=0,I30,MAX(0,(I30-J$4)*(1+NORMINV(RAND(),INPUTS!$B$28,INPUTS!$B$29))))</f>
        <v>899445.486820246</v>
      </c>
      <c r="K30" s="89" t="n">
        <f aca="true">IF(K$5=0,J30,MAX(0,(J30-K$4)*(1+NORMINV(RAND(),INPUTS!$B$28,INPUTS!$B$29))))</f>
        <v>979549.769256914</v>
      </c>
      <c r="L30" s="89" t="n">
        <f aca="true">IF(L$5=0,K30,MAX(0,(K30-L$4)*(1+NORMINV(RAND(),INPUTS!$B$28,INPUTS!$B$29))))</f>
        <v>1028662.12667064</v>
      </c>
      <c r="M30" s="89" t="n">
        <f aca="true">IF(M$5=0,L30,MAX(0,(L30-M$4)*(1+NORMINV(RAND(),INPUTS!$B$28,INPUTS!$B$29))))</f>
        <v>1239906.26923934</v>
      </c>
      <c r="N30" s="89" t="n">
        <f aca="true">IF(N$5=0,M30,MAX(0,(M30-N$4)*(1+NORMINV(RAND(),INPUTS!$B$28,INPUTS!$B$29))))</f>
        <v>1247773.03419615</v>
      </c>
      <c r="O30" s="89" t="n">
        <f aca="true">IF(O$5=0,N30,MAX(0,(N30-O$4)*(1+NORMINV(RAND(),INPUTS!$B$28,INPUTS!$B$29))))</f>
        <v>1041383.54469432</v>
      </c>
      <c r="P30" s="89" t="n">
        <f aca="true">IF(P$5=0,O30,MAX(0,(O30-P$4)*(1+NORMINV(RAND(),INPUTS!$B$28,INPUTS!$B$29))))</f>
        <v>1221432.14537611</v>
      </c>
      <c r="Q30" s="89" t="n">
        <f aca="true">IF(Q$5=0,P30,MAX(0,(P30-Q$4)*(1+NORMINV(RAND(),INPUTS!$B$28,INPUTS!$B$29))))</f>
        <v>1202004.19986078</v>
      </c>
      <c r="R30" s="89" t="n">
        <f aca="true">IF(R$5=0,Q30,MAX(0,(Q30-R$4)*(1+NORMINV(RAND(),INPUTS!$B$28,INPUTS!$B$29))))</f>
        <v>1029258.26223801</v>
      </c>
      <c r="S30" s="89" t="n">
        <f aca="true">IF(S$5=0,R30,MAX(0,(R30-S$4)*(1+NORMINV(RAND(),INPUTS!$B$28,INPUTS!$B$29))))</f>
        <v>1060218.10013001</v>
      </c>
      <c r="T30" s="89" t="n">
        <f aca="true">IF(T$5=0,S30,MAX(0,(S30-T$4)*(1+NORMINV(RAND(),INPUTS!$B$28,INPUTS!$B$29))))</f>
        <v>1010720.40446764</v>
      </c>
      <c r="U30" s="89" t="n">
        <f aca="true">IF(U$5=0,T30,MAX(0,(T30-U$4)*(1+NORMINV(RAND(),INPUTS!$B$28,INPUTS!$B$29))))</f>
        <v>1131147.70445246</v>
      </c>
      <c r="V30" s="89" t="n">
        <f aca="true">IF(V$5=0,U30,MAX(0,(U30-V$4)*(1+NORMINV(RAND(),INPUTS!$B$28,INPUTS!$B$29))))</f>
        <v>1145620.81351131</v>
      </c>
      <c r="W30" s="89" t="n">
        <f aca="true">IF(W$5=0,V30,MAX(0,(V30-W$4)*(1+NORMINV(RAND(),INPUTS!$B$28,INPUTS!$B$29))))</f>
        <v>1298871.73883661</v>
      </c>
      <c r="X30" s="89" t="n">
        <f aca="true">IF(X$5=0,W30,MAX(0,(W30-X$4)*(1+NORMINV(RAND(),INPUTS!$B$28,INPUTS!$B$29))))</f>
        <v>1647314.75395434</v>
      </c>
      <c r="Y30" s="89" t="n">
        <f aca="true">IF(Y$5=0,X30,MAX(0,(X30-Y$4)*(1+NORMINV(RAND(),INPUTS!$B$28,INPUTS!$B$29))))</f>
        <v>1697976.89794069</v>
      </c>
      <c r="Z30" s="89" t="n">
        <f aca="true">IF(Z$5=0,Y30,MAX(0,(Y30-Z$4)*(1+NORMINV(RAND(),INPUTS!$B$28,INPUTS!$B$29))))</f>
        <v>1971904.54350139</v>
      </c>
      <c r="AA30" s="89" t="n">
        <f aca="true">IF(AA$5=0,Z30,MAX(0,(Z30-AA$4)*(1+NORMINV(RAND(),INPUTS!$B$28,INPUTS!$B$29))))</f>
        <v>2154477.44533109</v>
      </c>
      <c r="AB30" s="89" t="n">
        <f aca="true">IF(AB$5=0,AA30,MAX(0,(AA30-AB$4)*(1+NORMINV(RAND(),INPUTS!$B$28,INPUTS!$B$29))))</f>
        <v>2067690.80679333</v>
      </c>
      <c r="AC30" s="89" t="n">
        <f aca="true">IF(AC$5=0,AB30,MAX(0,(AB30-AC$4)*(1+NORMINV(RAND(),INPUTS!$B$28,INPUTS!$B$29))))</f>
        <v>2101503.76866052</v>
      </c>
      <c r="AD30" s="89" t="n">
        <f aca="true">IF(AD$5=0,AC30,MAX(0,(AC30-AD$4)*(1+NORMINV(RAND(),INPUTS!$B$28,INPUTS!$B$29))))</f>
        <v>2275048.97580827</v>
      </c>
      <c r="AE30" s="89" t="n">
        <f aca="true">IF(AE$5=0,AD30,MAX(0,(AD30-AE$4)*(1+NORMINV(RAND(),INPUTS!$B$28,INPUTS!$B$29))))</f>
        <v>2419186.00944345</v>
      </c>
      <c r="AF30" s="89" t="n">
        <f aca="true">IF(AF$5=0,AE30,MAX(0,(AE30-AF$4)*(1+NORMINV(RAND(),INPUTS!$B$28,INPUTS!$B$29))))</f>
        <v>2184580.12725837</v>
      </c>
      <c r="AG30" s="89" t="n">
        <f aca="true">IF(AG$5=0,AF30,MAX(0,(AF30-AG$4)*(1+NORMINV(RAND(),INPUTS!$B$28,INPUTS!$B$29))))</f>
        <v>2138714.17753093</v>
      </c>
      <c r="AH30" s="89" t="n">
        <f aca="true">IF(AH$5=0,AG30,MAX(0,(AG30-AH$4)*(1+NORMINV(RAND(),INPUTS!$B$28,INPUTS!$B$29))))</f>
        <v>2274013.18143754</v>
      </c>
      <c r="AI30" s="89" t="n">
        <f aca="true">IF(AI$5=0,AH30,MAX(0,(AH30-AI$4)*(1+NORMINV(RAND(),INPUTS!$B$28,INPUTS!$B$29))))</f>
        <v>2305037.28179386</v>
      </c>
      <c r="AJ30" s="89" t="n">
        <f aca="true">IF(AJ$5=0,AI30,MAX(0,(AI30-AJ$4)*(1+NORMINV(RAND(),INPUTS!$B$28,INPUTS!$B$29))))</f>
        <v>2770077.40098314</v>
      </c>
      <c r="AK30" s="89" t="n">
        <f aca="true">IF(AK$5=0,AJ30,MAX(0,(AJ30-AK$4)*(1+NORMINV(RAND(),INPUTS!$B$28,INPUTS!$B$29))))</f>
        <v>2867189.55863647</v>
      </c>
      <c r="AL30" s="89" t="n">
        <f aca="true">IF(AL$5=0,AK30,MAX(0,(AK30-AL$4)*(1+NORMINV(RAND(),INPUTS!$B$28,INPUTS!$B$29))))</f>
        <v>2542753.57931634</v>
      </c>
      <c r="AM30" s="89" t="n">
        <f aca="true">IF(AM$5=0,AL30,MAX(0,(AL30-AM$4)*(1+NORMINV(RAND(),INPUTS!$B$28,INPUTS!$B$29))))</f>
        <v>2542753.57931634</v>
      </c>
      <c r="AN30" s="89" t="n">
        <f aca="true">IF(AN$5=0,AM30,MAX(0,(AM30-AN$4)*(1+NORMINV(RAND(),INPUTS!$B$28,INPUTS!$B$29))))</f>
        <v>2542753.57931634</v>
      </c>
      <c r="AO30" s="89" t="n">
        <f aca="true">IF(AO$5=0,AN30,MAX(0,(AN30-AO$4)*(1+NORMINV(RAND(),INPUTS!$B$28,INPUTS!$B$29))))</f>
        <v>2542753.57931634</v>
      </c>
      <c r="AP30" s="89" t="n">
        <f aca="true">IF(AP$5=0,AO30,MAX(0,(AO30-AP$4)*(1+NORMINV(RAND(),INPUTS!$B$28,INPUTS!$B$29))))</f>
        <v>2542753.57931634</v>
      </c>
      <c r="AQ30" s="89" t="n">
        <f aca="true">IF(AQ$5=0,AP30,MAX(0,(AP30-AQ$4)*(1+NORMINV(RAND(),INPUTS!$B$28,INPUTS!$B$29))))</f>
        <v>2542753.57931634</v>
      </c>
      <c r="AR30" s="89" t="n">
        <f aca="true">IF(AR$5=0,AQ30,MAX(0,(AQ30-AR$4)*(1+NORMINV(RAND(),INPUTS!$B$28,INPUTS!$B$29))))</f>
        <v>2542753.57931634</v>
      </c>
      <c r="AS30" s="89" t="n">
        <f aca="true">IF(AS$5=0,AR30,MAX(0,(AR30-AS$4)*(1+NORMINV(RAND(),INPUTS!$B$28,INPUTS!$B$29))))</f>
        <v>2542753.57931634</v>
      </c>
      <c r="AT30" s="89" t="n">
        <f aca="true">IF(AT$5=0,AS30,MAX(0,(AS30-AT$4)*(1+NORMINV(RAND(),INPUTS!$B$28,INPUTS!$B$29))))</f>
        <v>2542753.57931634</v>
      </c>
      <c r="AU30" s="89" t="n">
        <f aca="true">IF(AU$5=0,AT30,MAX(0,(AT30-AU$4)*(1+NORMINV(RAND(),INPUTS!$B$28,INPUTS!$B$29))))</f>
        <v>2542753.57931634</v>
      </c>
      <c r="AV30" s="89" t="n">
        <f aca="true">IF(AV$5=0,AU30,MAX(0,(AU30-AV$4)*(1+NORMINV(RAND(),INPUTS!$B$28,INPUTS!$B$29))))</f>
        <v>2542753.57931634</v>
      </c>
      <c r="AW30" s="89" t="n">
        <f aca="true">IF(AW$5=0,AV30,MAX(0,(AV30-AW$4)*(1+NORMINV(RAND(),INPUTS!$B$28,INPUTS!$B$29))))</f>
        <v>2542753.57931634</v>
      </c>
      <c r="AX30" s="89" t="n">
        <f aca="true">IF(AX$5=0,AW30,MAX(0,(AW30-AX$4)*(1+NORMINV(RAND(),INPUTS!$B$28,INPUTS!$B$29))))</f>
        <v>2542753.57931634</v>
      </c>
      <c r="AY30" s="89" t="n">
        <f aca="true">IF(AY$5=0,AX30,MAX(0,(AX30-AY$4)*(1+NORMINV(RAND(),INPUTS!$B$28,INPUTS!$B$29))))</f>
        <v>2542753.57931634</v>
      </c>
      <c r="AZ30" s="89" t="n">
        <f aca="true">IF(AZ$5=0,AY30,MAX(0,(AY30-AZ$4)*(1+NORMINV(RAND(),INPUTS!$B$28,INPUTS!$B$29))))</f>
        <v>2542753.57931634</v>
      </c>
      <c r="BA30" s="89" t="n">
        <f aca="true">IF(BA$5=0,AZ30,MAX(0,(AZ30-BA$4)*(1+NORMINV(RAND(),INPUTS!$B$28,INPUTS!$B$29))))</f>
        <v>2542753.57931634</v>
      </c>
      <c r="BB30" s="89" t="n">
        <f aca="true">IF(BB$5=0,BA30,MAX(0,(BA30-BB$4)*(1+NORMINV(RAND(),INPUTS!$B$28,INPUTS!$B$29))))</f>
        <v>2542753.57931634</v>
      </c>
      <c r="BC30" s="89" t="n">
        <f aca="true">IF(BC$5=0,BB30,MAX(0,(BB30-BC$4)*(1+NORMINV(RAND(),INPUTS!$B$28,INPUTS!$B$29))))</f>
        <v>2542753.57931634</v>
      </c>
      <c r="BD30" s="89" t="n">
        <f aca="true">IF(BD$5=0,BC30,MAX(0,(BC30-BD$4)*(1+NORMINV(RAND(),INPUTS!$B$28,INPUTS!$B$29))))</f>
        <v>2542753.57931634</v>
      </c>
      <c r="BE30" s="89" t="n">
        <f aca="true">IF(BE$5=0,BD30,MAX(0,(BD30-BE$4)*(1+NORMINV(RAND(),INPUTS!$B$28,INPUTS!$B$29))))</f>
        <v>2542753.57931634</v>
      </c>
      <c r="BF30" s="89" t="n">
        <f aca="true">IF(BF$5=0,BE30,MAX(0,(BE30-BF$4)*(1+NORMINV(RAND(),INPUTS!$B$28,INPUTS!$B$29))))</f>
        <v>2542753.57931634</v>
      </c>
      <c r="BG30" s="89" t="n">
        <f aca="true">IF(BG$5=0,BF30,MAX(0,(BF30-BG$4)*(1+NORMINV(RAND(),INPUTS!$B$28,INPUTS!$B$29))))</f>
        <v>2542753.57931634</v>
      </c>
      <c r="BH30" s="89" t="n">
        <f aca="true">IF(BH$5=0,BG30,MAX(0,(BG30-BH$4)*(1+NORMINV(RAND(),INPUTS!$B$28,INPUTS!$B$29))))</f>
        <v>2542753.57931634</v>
      </c>
      <c r="BI30" s="89" t="n">
        <f aca="true">IF(BI$5=0,BH30,MAX(0,(BH30-BI$4)*(1+NORMINV(RAND(),INPUTS!$B$28,INPUTS!$B$29))))</f>
        <v>2542753.57931634</v>
      </c>
      <c r="BJ30" s="89" t="n">
        <f aca="true">IF(BJ$5=0,BI30,MAX(0,(BI30-BJ$4)*(1+NORMINV(RAND(),INPUTS!$B$28,INPUTS!$B$29))))</f>
        <v>2542753.57931634</v>
      </c>
    </row>
    <row r="31" customFormat="false" ht="15" hidden="false" customHeight="true" outlineLevel="0" collapsed="false">
      <c r="A31" s="87" t="n">
        <v>24</v>
      </c>
      <c r="B31" s="88" t="n">
        <f aca="false">LOOKUP(9.99E+307,C31:BJ31)</f>
        <v>8350008.79957031</v>
      </c>
      <c r="C31" s="89" t="n">
        <f aca="true">IF(C$5=0,INPUTS!$B$35,MAX(0,(INPUTS!$B$35-C$4)*(1+NORMINV(RAND(),INPUTS!$B$28,INPUTS!$B$29))))</f>
        <v>1355107.97822941</v>
      </c>
      <c r="D31" s="89" t="n">
        <f aca="true">IF(D$5=0,C31,MAX(0,(C31-D$4)*(1+NORMINV(RAND(),INPUTS!$B$28,INPUTS!$B$29))))</f>
        <v>1548914.97164818</v>
      </c>
      <c r="E31" s="89" t="n">
        <f aca="true">IF(E$5=0,D31,MAX(0,(D31-E$4)*(1+NORMINV(RAND(),INPUTS!$B$28,INPUTS!$B$29))))</f>
        <v>1379839.73844719</v>
      </c>
      <c r="F31" s="89" t="n">
        <f aca="true">IF(F$5=0,E31,MAX(0,(E31-F$4)*(1+NORMINV(RAND(),INPUTS!$B$28,INPUTS!$B$29))))</f>
        <v>1318275.15814687</v>
      </c>
      <c r="G31" s="89" t="n">
        <f aca="true">IF(G$5=0,F31,MAX(0,(F31-G$4)*(1+NORMINV(RAND(),INPUTS!$B$28,INPUTS!$B$29))))</f>
        <v>1326419.07352901</v>
      </c>
      <c r="H31" s="89" t="n">
        <f aca="true">IF(H$5=0,G31,MAX(0,(G31-H$4)*(1+NORMINV(RAND(),INPUTS!$B$28,INPUTS!$B$29))))</f>
        <v>1405092.54514557</v>
      </c>
      <c r="I31" s="89" t="n">
        <f aca="true">IF(I$5=0,H31,MAX(0,(H31-I$4)*(1+NORMINV(RAND(),INPUTS!$B$28,INPUTS!$B$29))))</f>
        <v>1353401.3508829</v>
      </c>
      <c r="J31" s="89" t="n">
        <f aca="true">IF(J$5=0,I31,MAX(0,(I31-J$4)*(1+NORMINV(RAND(),INPUTS!$B$28,INPUTS!$B$29))))</f>
        <v>1360014.51306388</v>
      </c>
      <c r="K31" s="89" t="n">
        <f aca="true">IF(K$5=0,J31,MAX(0,(J31-K$4)*(1+NORMINV(RAND(),INPUTS!$B$28,INPUTS!$B$29))))</f>
        <v>1392357.84780141</v>
      </c>
      <c r="L31" s="89" t="n">
        <f aca="true">IF(L$5=0,K31,MAX(0,(K31-L$4)*(1+NORMINV(RAND(),INPUTS!$B$28,INPUTS!$B$29))))</f>
        <v>1515076.85699989</v>
      </c>
      <c r="M31" s="89" t="n">
        <f aca="true">IF(M$5=0,L31,MAX(0,(L31-M$4)*(1+NORMINV(RAND(),INPUTS!$B$28,INPUTS!$B$29))))</f>
        <v>1621784.81539997</v>
      </c>
      <c r="N31" s="89" t="n">
        <f aca="true">IF(N$5=0,M31,MAX(0,(M31-N$4)*(1+NORMINV(RAND(),INPUTS!$B$28,INPUTS!$B$29))))</f>
        <v>1777829.16633441</v>
      </c>
      <c r="O31" s="89" t="n">
        <f aca="true">IF(O$5=0,N31,MAX(0,(N31-O$4)*(1+NORMINV(RAND(),INPUTS!$B$28,INPUTS!$B$29))))</f>
        <v>1879091.57573943</v>
      </c>
      <c r="P31" s="89" t="n">
        <f aca="true">IF(P$5=0,O31,MAX(0,(O31-P$4)*(1+NORMINV(RAND(),INPUTS!$B$28,INPUTS!$B$29))))</f>
        <v>1950926.3545062</v>
      </c>
      <c r="Q31" s="89" t="n">
        <f aca="true">IF(Q$5=0,P31,MAX(0,(P31-Q$4)*(1+NORMINV(RAND(),INPUTS!$B$28,INPUTS!$B$29))))</f>
        <v>2309982.33640815</v>
      </c>
      <c r="R31" s="89" t="n">
        <f aca="true">IF(R$5=0,Q31,MAX(0,(Q31-R$4)*(1+NORMINV(RAND(),INPUTS!$B$28,INPUTS!$B$29))))</f>
        <v>2388429.88750664</v>
      </c>
      <c r="S31" s="89" t="n">
        <f aca="true">IF(S$5=0,R31,MAX(0,(R31-S$4)*(1+NORMINV(RAND(),INPUTS!$B$28,INPUTS!$B$29))))</f>
        <v>2707430.6028179</v>
      </c>
      <c r="T31" s="89" t="n">
        <f aca="true">IF(T$5=0,S31,MAX(0,(S31-T$4)*(1+NORMINV(RAND(),INPUTS!$B$28,INPUTS!$B$29))))</f>
        <v>3278596.54225298</v>
      </c>
      <c r="U31" s="89" t="n">
        <f aca="true">IF(U$5=0,T31,MAX(0,(T31-U$4)*(1+NORMINV(RAND(),INPUTS!$B$28,INPUTS!$B$29))))</f>
        <v>3508067.41505836</v>
      </c>
      <c r="V31" s="89" t="n">
        <f aca="true">IF(V$5=0,U31,MAX(0,(U31-V$4)*(1+NORMINV(RAND(),INPUTS!$B$28,INPUTS!$B$29))))</f>
        <v>3359309.76348942</v>
      </c>
      <c r="W31" s="89" t="n">
        <f aca="true">IF(W$5=0,V31,MAX(0,(V31-W$4)*(1+NORMINV(RAND(),INPUTS!$B$28,INPUTS!$B$29))))</f>
        <v>3863394.15783798</v>
      </c>
      <c r="X31" s="89" t="n">
        <f aca="true">IF(X$5=0,W31,MAX(0,(W31-X$4)*(1+NORMINV(RAND(),INPUTS!$B$28,INPUTS!$B$29))))</f>
        <v>3887906.17608845</v>
      </c>
      <c r="Y31" s="89" t="n">
        <f aca="true">IF(Y$5=0,X31,MAX(0,(X31-Y$4)*(1+NORMINV(RAND(),INPUTS!$B$28,INPUTS!$B$29))))</f>
        <v>4335047.23949841</v>
      </c>
      <c r="Z31" s="89" t="n">
        <f aca="true">IF(Z$5=0,Y31,MAX(0,(Y31-Z$4)*(1+NORMINV(RAND(),INPUTS!$B$28,INPUTS!$B$29))))</f>
        <v>5108655.61504572</v>
      </c>
      <c r="AA31" s="89" t="n">
        <f aca="true">IF(AA$5=0,Z31,MAX(0,(Z31-AA$4)*(1+NORMINV(RAND(),INPUTS!$B$28,INPUTS!$B$29))))</f>
        <v>5373031.19059003</v>
      </c>
      <c r="AB31" s="89" t="n">
        <f aca="true">IF(AB$5=0,AA31,MAX(0,(AA31-AB$4)*(1+NORMINV(RAND(),INPUTS!$B$28,INPUTS!$B$29))))</f>
        <v>6047723.76665535</v>
      </c>
      <c r="AC31" s="89" t="n">
        <f aca="true">IF(AC$5=0,AB31,MAX(0,(AB31-AC$4)*(1+NORMINV(RAND(),INPUTS!$B$28,INPUTS!$B$29))))</f>
        <v>7512702.51111546</v>
      </c>
      <c r="AD31" s="89" t="n">
        <f aca="true">IF(AD$5=0,AC31,MAX(0,(AC31-AD$4)*(1+NORMINV(RAND(),INPUTS!$B$28,INPUTS!$B$29))))</f>
        <v>6594180.42262492</v>
      </c>
      <c r="AE31" s="89" t="n">
        <f aca="true">IF(AE$5=0,AD31,MAX(0,(AD31-AE$4)*(1+NORMINV(RAND(),INPUTS!$B$28,INPUTS!$B$29))))</f>
        <v>7070755.44490821</v>
      </c>
      <c r="AF31" s="89" t="n">
        <f aca="true">IF(AF$5=0,AE31,MAX(0,(AE31-AF$4)*(1+NORMINV(RAND(),INPUTS!$B$28,INPUTS!$B$29))))</f>
        <v>6639058.73340439</v>
      </c>
      <c r="AG31" s="89" t="n">
        <f aca="true">IF(AG$5=0,AF31,MAX(0,(AF31-AG$4)*(1+NORMINV(RAND(),INPUTS!$B$28,INPUTS!$B$29))))</f>
        <v>9110328.04728435</v>
      </c>
      <c r="AH31" s="89" t="n">
        <f aca="true">IF(AH$5=0,AG31,MAX(0,(AG31-AH$4)*(1+NORMINV(RAND(),INPUTS!$B$28,INPUTS!$B$29))))</f>
        <v>8377286.01831348</v>
      </c>
      <c r="AI31" s="89" t="n">
        <f aca="true">IF(AI$5=0,AH31,MAX(0,(AH31-AI$4)*(1+NORMINV(RAND(),INPUTS!$B$28,INPUTS!$B$29))))</f>
        <v>9433286.82607887</v>
      </c>
      <c r="AJ31" s="89" t="n">
        <f aca="true">IF(AJ$5=0,AI31,MAX(0,(AI31-AJ$4)*(1+NORMINV(RAND(),INPUTS!$B$28,INPUTS!$B$29))))</f>
        <v>8655478.39616392</v>
      </c>
      <c r="AK31" s="89" t="n">
        <f aca="true">IF(AK$5=0,AJ31,MAX(0,(AJ31-AK$4)*(1+NORMINV(RAND(),INPUTS!$B$28,INPUTS!$B$29))))</f>
        <v>8427104.5005908</v>
      </c>
      <c r="AL31" s="89" t="n">
        <f aca="true">IF(AL$5=0,AK31,MAX(0,(AK31-AL$4)*(1+NORMINV(RAND(),INPUTS!$B$28,INPUTS!$B$29))))</f>
        <v>8350008.79957031</v>
      </c>
      <c r="AM31" s="89" t="n">
        <f aca="true">IF(AM$5=0,AL31,MAX(0,(AL31-AM$4)*(1+NORMINV(RAND(),INPUTS!$B$28,INPUTS!$B$29))))</f>
        <v>8350008.79957031</v>
      </c>
      <c r="AN31" s="89" t="n">
        <f aca="true">IF(AN$5=0,AM31,MAX(0,(AM31-AN$4)*(1+NORMINV(RAND(),INPUTS!$B$28,INPUTS!$B$29))))</f>
        <v>8350008.79957031</v>
      </c>
      <c r="AO31" s="89" t="n">
        <f aca="true">IF(AO$5=0,AN31,MAX(0,(AN31-AO$4)*(1+NORMINV(RAND(),INPUTS!$B$28,INPUTS!$B$29))))</f>
        <v>8350008.79957031</v>
      </c>
      <c r="AP31" s="89" t="n">
        <f aca="true">IF(AP$5=0,AO31,MAX(0,(AO31-AP$4)*(1+NORMINV(RAND(),INPUTS!$B$28,INPUTS!$B$29))))</f>
        <v>8350008.79957031</v>
      </c>
      <c r="AQ31" s="89" t="n">
        <f aca="true">IF(AQ$5=0,AP31,MAX(0,(AP31-AQ$4)*(1+NORMINV(RAND(),INPUTS!$B$28,INPUTS!$B$29))))</f>
        <v>8350008.79957031</v>
      </c>
      <c r="AR31" s="89" t="n">
        <f aca="true">IF(AR$5=0,AQ31,MAX(0,(AQ31-AR$4)*(1+NORMINV(RAND(),INPUTS!$B$28,INPUTS!$B$29))))</f>
        <v>8350008.79957031</v>
      </c>
      <c r="AS31" s="89" t="n">
        <f aca="true">IF(AS$5=0,AR31,MAX(0,(AR31-AS$4)*(1+NORMINV(RAND(),INPUTS!$B$28,INPUTS!$B$29))))</f>
        <v>8350008.79957031</v>
      </c>
      <c r="AT31" s="89" t="n">
        <f aca="true">IF(AT$5=0,AS31,MAX(0,(AS31-AT$4)*(1+NORMINV(RAND(),INPUTS!$B$28,INPUTS!$B$29))))</f>
        <v>8350008.79957031</v>
      </c>
      <c r="AU31" s="89" t="n">
        <f aca="true">IF(AU$5=0,AT31,MAX(0,(AT31-AU$4)*(1+NORMINV(RAND(),INPUTS!$B$28,INPUTS!$B$29))))</f>
        <v>8350008.79957031</v>
      </c>
      <c r="AV31" s="89" t="n">
        <f aca="true">IF(AV$5=0,AU31,MAX(0,(AU31-AV$4)*(1+NORMINV(RAND(),INPUTS!$B$28,INPUTS!$B$29))))</f>
        <v>8350008.79957031</v>
      </c>
      <c r="AW31" s="89" t="n">
        <f aca="true">IF(AW$5=0,AV31,MAX(0,(AV31-AW$4)*(1+NORMINV(RAND(),INPUTS!$B$28,INPUTS!$B$29))))</f>
        <v>8350008.79957031</v>
      </c>
      <c r="AX31" s="89" t="n">
        <f aca="true">IF(AX$5=0,AW31,MAX(0,(AW31-AX$4)*(1+NORMINV(RAND(),INPUTS!$B$28,INPUTS!$B$29))))</f>
        <v>8350008.79957031</v>
      </c>
      <c r="AY31" s="89" t="n">
        <f aca="true">IF(AY$5=0,AX31,MAX(0,(AX31-AY$4)*(1+NORMINV(RAND(),INPUTS!$B$28,INPUTS!$B$29))))</f>
        <v>8350008.79957031</v>
      </c>
      <c r="AZ31" s="89" t="n">
        <f aca="true">IF(AZ$5=0,AY31,MAX(0,(AY31-AZ$4)*(1+NORMINV(RAND(),INPUTS!$B$28,INPUTS!$B$29))))</f>
        <v>8350008.79957031</v>
      </c>
      <c r="BA31" s="89" t="n">
        <f aca="true">IF(BA$5=0,AZ31,MAX(0,(AZ31-BA$4)*(1+NORMINV(RAND(),INPUTS!$B$28,INPUTS!$B$29))))</f>
        <v>8350008.79957031</v>
      </c>
      <c r="BB31" s="89" t="n">
        <f aca="true">IF(BB$5=0,BA31,MAX(0,(BA31-BB$4)*(1+NORMINV(RAND(),INPUTS!$B$28,INPUTS!$B$29))))</f>
        <v>8350008.79957031</v>
      </c>
      <c r="BC31" s="89" t="n">
        <f aca="true">IF(BC$5=0,BB31,MAX(0,(BB31-BC$4)*(1+NORMINV(RAND(),INPUTS!$B$28,INPUTS!$B$29))))</f>
        <v>8350008.79957031</v>
      </c>
      <c r="BD31" s="89" t="n">
        <f aca="true">IF(BD$5=0,BC31,MAX(0,(BC31-BD$4)*(1+NORMINV(RAND(),INPUTS!$B$28,INPUTS!$B$29))))</f>
        <v>8350008.79957031</v>
      </c>
      <c r="BE31" s="89" t="n">
        <f aca="true">IF(BE$5=0,BD31,MAX(0,(BD31-BE$4)*(1+NORMINV(RAND(),INPUTS!$B$28,INPUTS!$B$29))))</f>
        <v>8350008.79957031</v>
      </c>
      <c r="BF31" s="89" t="n">
        <f aca="true">IF(BF$5=0,BE31,MAX(0,(BE31-BF$4)*(1+NORMINV(RAND(),INPUTS!$B$28,INPUTS!$B$29))))</f>
        <v>8350008.79957031</v>
      </c>
      <c r="BG31" s="89" t="n">
        <f aca="true">IF(BG$5=0,BF31,MAX(0,(BF31-BG$4)*(1+NORMINV(RAND(),INPUTS!$B$28,INPUTS!$B$29))))</f>
        <v>8350008.79957031</v>
      </c>
      <c r="BH31" s="89" t="n">
        <f aca="true">IF(BH$5=0,BG31,MAX(0,(BG31-BH$4)*(1+NORMINV(RAND(),INPUTS!$B$28,INPUTS!$B$29))))</f>
        <v>8350008.79957031</v>
      </c>
      <c r="BI31" s="89" t="n">
        <f aca="true">IF(BI$5=0,BH31,MAX(0,(BH31-BI$4)*(1+NORMINV(RAND(),INPUTS!$B$28,INPUTS!$B$29))))</f>
        <v>8350008.79957031</v>
      </c>
      <c r="BJ31" s="89" t="n">
        <f aca="true">IF(BJ$5=0,BI31,MAX(0,(BI31-BJ$4)*(1+NORMINV(RAND(),INPUTS!$B$28,INPUTS!$B$29))))</f>
        <v>8350008.79957031</v>
      </c>
    </row>
    <row r="32" customFormat="false" ht="15" hidden="false" customHeight="true" outlineLevel="0" collapsed="false">
      <c r="A32" s="87" t="n">
        <v>25</v>
      </c>
      <c r="B32" s="88" t="n">
        <f aca="false">LOOKUP(9.99E+307,C32:BJ32)</f>
        <v>10744390.5180077</v>
      </c>
      <c r="C32" s="89" t="n">
        <f aca="true">IF(C$5=0,INPUTS!$B$35,MAX(0,(INPUTS!$B$35-C$4)*(1+NORMINV(RAND(),INPUTS!$B$28,INPUTS!$B$29))))</f>
        <v>1739346.99910482</v>
      </c>
      <c r="D32" s="89" t="n">
        <f aca="true">IF(D$5=0,C32,MAX(0,(C32-D$4)*(1+NORMINV(RAND(),INPUTS!$B$28,INPUTS!$B$29))))</f>
        <v>1850617.77436313</v>
      </c>
      <c r="E32" s="89" t="n">
        <f aca="true">IF(E$5=0,D32,MAX(0,(D32-E$4)*(1+NORMINV(RAND(),INPUTS!$B$28,INPUTS!$B$29))))</f>
        <v>2205109.79397549</v>
      </c>
      <c r="F32" s="89" t="n">
        <f aca="true">IF(F$5=0,E32,MAX(0,(E32-F$4)*(1+NORMINV(RAND(),INPUTS!$B$28,INPUTS!$B$29))))</f>
        <v>2405145.29953134</v>
      </c>
      <c r="G32" s="89" t="n">
        <f aca="true">IF(G$5=0,F32,MAX(0,(F32-G$4)*(1+NORMINV(RAND(),INPUTS!$B$28,INPUTS!$B$29))))</f>
        <v>2097944.53586362</v>
      </c>
      <c r="H32" s="89" t="n">
        <f aca="true">IF(H$5=0,G32,MAX(0,(G32-H$4)*(1+NORMINV(RAND(),INPUTS!$B$28,INPUTS!$B$29))))</f>
        <v>2468782.50172638</v>
      </c>
      <c r="I32" s="89" t="n">
        <f aca="true">IF(I$5=0,H32,MAX(0,(H32-I$4)*(1+NORMINV(RAND(),INPUTS!$B$28,INPUTS!$B$29))))</f>
        <v>2696145.45602183</v>
      </c>
      <c r="J32" s="89" t="n">
        <f aca="true">IF(J$5=0,I32,MAX(0,(I32-J$4)*(1+NORMINV(RAND(),INPUTS!$B$28,INPUTS!$B$29))))</f>
        <v>2723695.4588413</v>
      </c>
      <c r="K32" s="89" t="n">
        <f aca="true">IF(K$5=0,J32,MAX(0,(J32-K$4)*(1+NORMINV(RAND(),INPUTS!$B$28,INPUTS!$B$29))))</f>
        <v>2512889.16384849</v>
      </c>
      <c r="L32" s="89" t="n">
        <f aca="true">IF(L$5=0,K32,MAX(0,(K32-L$4)*(1+NORMINV(RAND(),INPUTS!$B$28,INPUTS!$B$29))))</f>
        <v>2559140.44704597</v>
      </c>
      <c r="M32" s="89" t="n">
        <f aca="true">IF(M$5=0,L32,MAX(0,(L32-M$4)*(1+NORMINV(RAND(),INPUTS!$B$28,INPUTS!$B$29))))</f>
        <v>2809709.16048554</v>
      </c>
      <c r="N32" s="89" t="n">
        <f aca="true">IF(N$5=0,M32,MAX(0,(M32-N$4)*(1+NORMINV(RAND(),INPUTS!$B$28,INPUTS!$B$29))))</f>
        <v>2752966.81393347</v>
      </c>
      <c r="O32" s="89" t="n">
        <f aca="true">IF(O$5=0,N32,MAX(0,(N32-O$4)*(1+NORMINV(RAND(),INPUTS!$B$28,INPUTS!$B$29))))</f>
        <v>2534387.39371168</v>
      </c>
      <c r="P32" s="89" t="n">
        <f aca="true">IF(P$5=0,O32,MAX(0,(O32-P$4)*(1+NORMINV(RAND(),INPUTS!$B$28,INPUTS!$B$29))))</f>
        <v>2520712.64801554</v>
      </c>
      <c r="Q32" s="89" t="n">
        <f aca="true">IF(Q$5=0,P32,MAX(0,(P32-Q$4)*(1+NORMINV(RAND(),INPUTS!$B$28,INPUTS!$B$29))))</f>
        <v>2716965.83859768</v>
      </c>
      <c r="R32" s="89" t="n">
        <f aca="true">IF(R$5=0,Q32,MAX(0,(Q32-R$4)*(1+NORMINV(RAND(),INPUTS!$B$28,INPUTS!$B$29))))</f>
        <v>3140602.87615388</v>
      </c>
      <c r="S32" s="89" t="n">
        <f aca="true">IF(S$5=0,R32,MAX(0,(R32-S$4)*(1+NORMINV(RAND(),INPUTS!$B$28,INPUTS!$B$29))))</f>
        <v>3790919.74070893</v>
      </c>
      <c r="T32" s="89" t="n">
        <f aca="true">IF(T$5=0,S32,MAX(0,(S32-T$4)*(1+NORMINV(RAND(),INPUTS!$B$28,INPUTS!$B$29))))</f>
        <v>4429087.90787211</v>
      </c>
      <c r="U32" s="89" t="n">
        <f aca="true">IF(U$5=0,T32,MAX(0,(T32-U$4)*(1+NORMINV(RAND(),INPUTS!$B$28,INPUTS!$B$29))))</f>
        <v>4401224.53271446</v>
      </c>
      <c r="V32" s="89" t="n">
        <f aca="true">IF(V$5=0,U32,MAX(0,(U32-V$4)*(1+NORMINV(RAND(),INPUTS!$B$28,INPUTS!$B$29))))</f>
        <v>4570445.92178492</v>
      </c>
      <c r="W32" s="89" t="n">
        <f aca="true">IF(W$5=0,V32,MAX(0,(V32-W$4)*(1+NORMINV(RAND(),INPUTS!$B$28,INPUTS!$B$29))))</f>
        <v>5488769.67638064</v>
      </c>
      <c r="X32" s="89" t="n">
        <f aca="true">IF(X$5=0,W32,MAX(0,(W32-X$4)*(1+NORMINV(RAND(),INPUTS!$B$28,INPUTS!$B$29))))</f>
        <v>6160834.48341801</v>
      </c>
      <c r="Y32" s="89" t="n">
        <f aca="true">IF(Y$5=0,X32,MAX(0,(X32-Y$4)*(1+NORMINV(RAND(),INPUTS!$B$28,INPUTS!$B$29))))</f>
        <v>6003018.42969435</v>
      </c>
      <c r="Z32" s="89" t="n">
        <f aca="true">IF(Z$5=0,Y32,MAX(0,(Y32-Z$4)*(1+NORMINV(RAND(),INPUTS!$B$28,INPUTS!$B$29))))</f>
        <v>6320695.53030315</v>
      </c>
      <c r="AA32" s="89" t="n">
        <f aca="true">IF(AA$5=0,Z32,MAX(0,(Z32-AA$4)*(1+NORMINV(RAND(),INPUTS!$B$28,INPUTS!$B$29))))</f>
        <v>6244585.03185951</v>
      </c>
      <c r="AB32" s="89" t="n">
        <f aca="true">IF(AB$5=0,AA32,MAX(0,(AA32-AB$4)*(1+NORMINV(RAND(),INPUTS!$B$28,INPUTS!$B$29))))</f>
        <v>6341979.17972361</v>
      </c>
      <c r="AC32" s="89" t="n">
        <f aca="true">IF(AC$5=0,AB32,MAX(0,(AB32-AC$4)*(1+NORMINV(RAND(),INPUTS!$B$28,INPUTS!$B$29))))</f>
        <v>7539578.468748</v>
      </c>
      <c r="AD32" s="89" t="n">
        <f aca="true">IF(AD$5=0,AC32,MAX(0,(AC32-AD$4)*(1+NORMINV(RAND(),INPUTS!$B$28,INPUTS!$B$29))))</f>
        <v>8671128.95658351</v>
      </c>
      <c r="AE32" s="89" t="n">
        <f aca="true">IF(AE$5=0,AD32,MAX(0,(AD32-AE$4)*(1+NORMINV(RAND(),INPUTS!$B$28,INPUTS!$B$29))))</f>
        <v>6294661.88384723</v>
      </c>
      <c r="AF32" s="89" t="n">
        <f aca="true">IF(AF$5=0,AE32,MAX(0,(AE32-AF$4)*(1+NORMINV(RAND(),INPUTS!$B$28,INPUTS!$B$29))))</f>
        <v>7181936.54957923</v>
      </c>
      <c r="AG32" s="89" t="n">
        <f aca="true">IF(AG$5=0,AF32,MAX(0,(AF32-AG$4)*(1+NORMINV(RAND(),INPUTS!$B$28,INPUTS!$B$29))))</f>
        <v>7378062.89780466</v>
      </c>
      <c r="AH32" s="89" t="n">
        <f aca="true">IF(AH$5=0,AG32,MAX(0,(AG32-AH$4)*(1+NORMINV(RAND(),INPUTS!$B$28,INPUTS!$B$29))))</f>
        <v>6297888.04377907</v>
      </c>
      <c r="AI32" s="89" t="n">
        <f aca="true">IF(AI$5=0,AH32,MAX(0,(AH32-AI$4)*(1+NORMINV(RAND(),INPUTS!$B$28,INPUTS!$B$29))))</f>
        <v>7277035.08342394</v>
      </c>
      <c r="AJ32" s="89" t="n">
        <f aca="true">IF(AJ$5=0,AI32,MAX(0,(AI32-AJ$4)*(1+NORMINV(RAND(),INPUTS!$B$28,INPUTS!$B$29))))</f>
        <v>7301940.23285769</v>
      </c>
      <c r="AK32" s="89" t="n">
        <f aca="true">IF(AK$5=0,AJ32,MAX(0,(AJ32-AK$4)*(1+NORMINV(RAND(),INPUTS!$B$28,INPUTS!$B$29))))</f>
        <v>9568161.73566419</v>
      </c>
      <c r="AL32" s="89" t="n">
        <f aca="true">IF(AL$5=0,AK32,MAX(0,(AK32-AL$4)*(1+NORMINV(RAND(),INPUTS!$B$28,INPUTS!$B$29))))</f>
        <v>10744390.5180077</v>
      </c>
      <c r="AM32" s="89" t="n">
        <f aca="true">IF(AM$5=0,AL32,MAX(0,(AL32-AM$4)*(1+NORMINV(RAND(),INPUTS!$B$28,INPUTS!$B$29))))</f>
        <v>10744390.5180077</v>
      </c>
      <c r="AN32" s="89" t="n">
        <f aca="true">IF(AN$5=0,AM32,MAX(0,(AM32-AN$4)*(1+NORMINV(RAND(),INPUTS!$B$28,INPUTS!$B$29))))</f>
        <v>10744390.5180077</v>
      </c>
      <c r="AO32" s="89" t="n">
        <f aca="true">IF(AO$5=0,AN32,MAX(0,(AN32-AO$4)*(1+NORMINV(RAND(),INPUTS!$B$28,INPUTS!$B$29))))</f>
        <v>10744390.5180077</v>
      </c>
      <c r="AP32" s="89" t="n">
        <f aca="true">IF(AP$5=0,AO32,MAX(0,(AO32-AP$4)*(1+NORMINV(RAND(),INPUTS!$B$28,INPUTS!$B$29))))</f>
        <v>10744390.5180077</v>
      </c>
      <c r="AQ32" s="89" t="n">
        <f aca="true">IF(AQ$5=0,AP32,MAX(0,(AP32-AQ$4)*(1+NORMINV(RAND(),INPUTS!$B$28,INPUTS!$B$29))))</f>
        <v>10744390.5180077</v>
      </c>
      <c r="AR32" s="89" t="n">
        <f aca="true">IF(AR$5=0,AQ32,MAX(0,(AQ32-AR$4)*(1+NORMINV(RAND(),INPUTS!$B$28,INPUTS!$B$29))))</f>
        <v>10744390.5180077</v>
      </c>
      <c r="AS32" s="89" t="n">
        <f aca="true">IF(AS$5=0,AR32,MAX(0,(AR32-AS$4)*(1+NORMINV(RAND(),INPUTS!$B$28,INPUTS!$B$29))))</f>
        <v>10744390.5180077</v>
      </c>
      <c r="AT32" s="89" t="n">
        <f aca="true">IF(AT$5=0,AS32,MAX(0,(AS32-AT$4)*(1+NORMINV(RAND(),INPUTS!$B$28,INPUTS!$B$29))))</f>
        <v>10744390.5180077</v>
      </c>
      <c r="AU32" s="89" t="n">
        <f aca="true">IF(AU$5=0,AT32,MAX(0,(AT32-AU$4)*(1+NORMINV(RAND(),INPUTS!$B$28,INPUTS!$B$29))))</f>
        <v>10744390.5180077</v>
      </c>
      <c r="AV32" s="89" t="n">
        <f aca="true">IF(AV$5=0,AU32,MAX(0,(AU32-AV$4)*(1+NORMINV(RAND(),INPUTS!$B$28,INPUTS!$B$29))))</f>
        <v>10744390.5180077</v>
      </c>
      <c r="AW32" s="89" t="n">
        <f aca="true">IF(AW$5=0,AV32,MAX(0,(AV32-AW$4)*(1+NORMINV(RAND(),INPUTS!$B$28,INPUTS!$B$29))))</f>
        <v>10744390.5180077</v>
      </c>
      <c r="AX32" s="89" t="n">
        <f aca="true">IF(AX$5=0,AW32,MAX(0,(AW32-AX$4)*(1+NORMINV(RAND(),INPUTS!$B$28,INPUTS!$B$29))))</f>
        <v>10744390.5180077</v>
      </c>
      <c r="AY32" s="89" t="n">
        <f aca="true">IF(AY$5=0,AX32,MAX(0,(AX32-AY$4)*(1+NORMINV(RAND(),INPUTS!$B$28,INPUTS!$B$29))))</f>
        <v>10744390.5180077</v>
      </c>
      <c r="AZ32" s="89" t="n">
        <f aca="true">IF(AZ$5=0,AY32,MAX(0,(AY32-AZ$4)*(1+NORMINV(RAND(),INPUTS!$B$28,INPUTS!$B$29))))</f>
        <v>10744390.5180077</v>
      </c>
      <c r="BA32" s="89" t="n">
        <f aca="true">IF(BA$5=0,AZ32,MAX(0,(AZ32-BA$4)*(1+NORMINV(RAND(),INPUTS!$B$28,INPUTS!$B$29))))</f>
        <v>10744390.5180077</v>
      </c>
      <c r="BB32" s="89" t="n">
        <f aca="true">IF(BB$5=0,BA32,MAX(0,(BA32-BB$4)*(1+NORMINV(RAND(),INPUTS!$B$28,INPUTS!$B$29))))</f>
        <v>10744390.5180077</v>
      </c>
      <c r="BC32" s="89" t="n">
        <f aca="true">IF(BC$5=0,BB32,MAX(0,(BB32-BC$4)*(1+NORMINV(RAND(),INPUTS!$B$28,INPUTS!$B$29))))</f>
        <v>10744390.5180077</v>
      </c>
      <c r="BD32" s="89" t="n">
        <f aca="true">IF(BD$5=0,BC32,MAX(0,(BC32-BD$4)*(1+NORMINV(RAND(),INPUTS!$B$28,INPUTS!$B$29))))</f>
        <v>10744390.5180077</v>
      </c>
      <c r="BE32" s="89" t="n">
        <f aca="true">IF(BE$5=0,BD32,MAX(0,(BD32-BE$4)*(1+NORMINV(RAND(),INPUTS!$B$28,INPUTS!$B$29))))</f>
        <v>10744390.5180077</v>
      </c>
      <c r="BF32" s="89" t="n">
        <f aca="true">IF(BF$5=0,BE32,MAX(0,(BE32-BF$4)*(1+NORMINV(RAND(),INPUTS!$B$28,INPUTS!$B$29))))</f>
        <v>10744390.5180077</v>
      </c>
      <c r="BG32" s="89" t="n">
        <f aca="true">IF(BG$5=0,BF32,MAX(0,(BF32-BG$4)*(1+NORMINV(RAND(),INPUTS!$B$28,INPUTS!$B$29))))</f>
        <v>10744390.5180077</v>
      </c>
      <c r="BH32" s="89" t="n">
        <f aca="true">IF(BH$5=0,BG32,MAX(0,(BG32-BH$4)*(1+NORMINV(RAND(),INPUTS!$B$28,INPUTS!$B$29))))</f>
        <v>10744390.5180077</v>
      </c>
      <c r="BI32" s="89" t="n">
        <f aca="true">IF(BI$5=0,BH32,MAX(0,(BH32-BI$4)*(1+NORMINV(RAND(),INPUTS!$B$28,INPUTS!$B$29))))</f>
        <v>10744390.5180077</v>
      </c>
      <c r="BJ32" s="89" t="n">
        <f aca="true">IF(BJ$5=0,BI32,MAX(0,(BI32-BJ$4)*(1+NORMINV(RAND(),INPUTS!$B$28,INPUTS!$B$29))))</f>
        <v>10744390.5180077</v>
      </c>
    </row>
    <row r="33" customFormat="false" ht="15" hidden="false" customHeight="true" outlineLevel="0" collapsed="false">
      <c r="A33" s="87" t="n">
        <v>26</v>
      </c>
      <c r="B33" s="88" t="n">
        <f aca="false">LOOKUP(9.99E+307,C33:BJ33)</f>
        <v>4544558.37453582</v>
      </c>
      <c r="C33" s="89" t="n">
        <f aca="true">IF(C$5=0,INPUTS!$B$35,MAX(0,(INPUTS!$B$35-C$4)*(1+NORMINV(RAND(),INPUTS!$B$28,INPUTS!$B$29))))</f>
        <v>1460516.25963531</v>
      </c>
      <c r="D33" s="89" t="n">
        <f aca="true">IF(D$5=0,C33,MAX(0,(C33-D$4)*(1+NORMINV(RAND(),INPUTS!$B$28,INPUTS!$B$29))))</f>
        <v>1218314.82382062</v>
      </c>
      <c r="E33" s="89" t="n">
        <f aca="true">IF(E$5=0,D33,MAX(0,(D33-E$4)*(1+NORMINV(RAND(),INPUTS!$B$28,INPUTS!$B$29))))</f>
        <v>1276699.68224324</v>
      </c>
      <c r="F33" s="89" t="n">
        <f aca="true">IF(F$5=0,E33,MAX(0,(E33-F$4)*(1+NORMINV(RAND(),INPUTS!$B$28,INPUTS!$B$29))))</f>
        <v>1012354.58909366</v>
      </c>
      <c r="G33" s="89" t="n">
        <f aca="true">IF(G$5=0,F33,MAX(0,(F33-G$4)*(1+NORMINV(RAND(),INPUTS!$B$28,INPUTS!$B$29))))</f>
        <v>1150904.28458143</v>
      </c>
      <c r="H33" s="89" t="n">
        <f aca="true">IF(H$5=0,G33,MAX(0,(G33-H$4)*(1+NORMINV(RAND(),INPUTS!$B$28,INPUTS!$B$29))))</f>
        <v>1265090.47537663</v>
      </c>
      <c r="I33" s="89" t="n">
        <f aca="true">IF(I$5=0,H33,MAX(0,(H33-I$4)*(1+NORMINV(RAND(),INPUTS!$B$28,INPUTS!$B$29))))</f>
        <v>1240489.3448765</v>
      </c>
      <c r="J33" s="89" t="n">
        <f aca="true">IF(J$5=0,I33,MAX(0,(I33-J$4)*(1+NORMINV(RAND(),INPUTS!$B$28,INPUTS!$B$29))))</f>
        <v>1516545.77478724</v>
      </c>
      <c r="K33" s="89" t="n">
        <f aca="true">IF(K$5=0,J33,MAX(0,(J33-K$4)*(1+NORMINV(RAND(),INPUTS!$B$28,INPUTS!$B$29))))</f>
        <v>1731898.18701218</v>
      </c>
      <c r="L33" s="89" t="n">
        <f aca="true">IF(L$5=0,K33,MAX(0,(K33-L$4)*(1+NORMINV(RAND(),INPUTS!$B$28,INPUTS!$B$29))))</f>
        <v>1522513.00209604</v>
      </c>
      <c r="M33" s="89" t="n">
        <f aca="true">IF(M$5=0,L33,MAX(0,(L33-M$4)*(1+NORMINV(RAND(),INPUTS!$B$28,INPUTS!$B$29))))</f>
        <v>1581947.11730957</v>
      </c>
      <c r="N33" s="89" t="n">
        <f aca="true">IF(N$5=0,M33,MAX(0,(M33-N$4)*(1+NORMINV(RAND(),INPUTS!$B$28,INPUTS!$B$29))))</f>
        <v>1562513.98201506</v>
      </c>
      <c r="O33" s="89" t="n">
        <f aca="true">IF(O$5=0,N33,MAX(0,(N33-O$4)*(1+NORMINV(RAND(),INPUTS!$B$28,INPUTS!$B$29))))</f>
        <v>1700511.17212501</v>
      </c>
      <c r="P33" s="89" t="n">
        <f aca="true">IF(P$5=0,O33,MAX(0,(O33-P$4)*(1+NORMINV(RAND(),INPUTS!$B$28,INPUTS!$B$29))))</f>
        <v>2196617.58358187</v>
      </c>
      <c r="Q33" s="89" t="n">
        <f aca="true">IF(Q$5=0,P33,MAX(0,(P33-Q$4)*(1+NORMINV(RAND(),INPUTS!$B$28,INPUTS!$B$29))))</f>
        <v>2543213.7311641</v>
      </c>
      <c r="R33" s="89" t="n">
        <f aca="true">IF(R$5=0,Q33,MAX(0,(Q33-R$4)*(1+NORMINV(RAND(),INPUTS!$B$28,INPUTS!$B$29))))</f>
        <v>2660313.81767051</v>
      </c>
      <c r="S33" s="89" t="n">
        <f aca="true">IF(S$5=0,R33,MAX(0,(R33-S$4)*(1+NORMINV(RAND(),INPUTS!$B$28,INPUTS!$B$29))))</f>
        <v>2302411.68306505</v>
      </c>
      <c r="T33" s="89" t="n">
        <f aca="true">IF(T$5=0,S33,MAX(0,(S33-T$4)*(1+NORMINV(RAND(),INPUTS!$B$28,INPUTS!$B$29))))</f>
        <v>2456190.51952197</v>
      </c>
      <c r="U33" s="89" t="n">
        <f aca="true">IF(U$5=0,T33,MAX(0,(T33-U$4)*(1+NORMINV(RAND(),INPUTS!$B$28,INPUTS!$B$29))))</f>
        <v>2615258.5460675</v>
      </c>
      <c r="V33" s="89" t="n">
        <f aca="true">IF(V$5=0,U33,MAX(0,(U33-V$4)*(1+NORMINV(RAND(),INPUTS!$B$28,INPUTS!$B$29))))</f>
        <v>2988490.19888932</v>
      </c>
      <c r="W33" s="89" t="n">
        <f aca="true">IF(W$5=0,V33,MAX(0,(V33-W$4)*(1+NORMINV(RAND(),INPUTS!$B$28,INPUTS!$B$29))))</f>
        <v>2903699.56765271</v>
      </c>
      <c r="X33" s="89" t="n">
        <f aca="true">IF(X$5=0,W33,MAX(0,(W33-X$4)*(1+NORMINV(RAND(),INPUTS!$B$28,INPUTS!$B$29))))</f>
        <v>2950201.76821564</v>
      </c>
      <c r="Y33" s="89" t="n">
        <f aca="true">IF(Y$5=0,X33,MAX(0,(X33-Y$4)*(1+NORMINV(RAND(),INPUTS!$B$28,INPUTS!$B$29))))</f>
        <v>3269144.58591127</v>
      </c>
      <c r="Z33" s="89" t="n">
        <f aca="true">IF(Z$5=0,Y33,MAX(0,(Y33-Z$4)*(1+NORMINV(RAND(),INPUTS!$B$28,INPUTS!$B$29))))</f>
        <v>3235204.98792417</v>
      </c>
      <c r="AA33" s="89" t="n">
        <f aca="true">IF(AA$5=0,Z33,MAX(0,(Z33-AA$4)*(1+NORMINV(RAND(),INPUTS!$B$28,INPUTS!$B$29))))</f>
        <v>3155470.46928938</v>
      </c>
      <c r="AB33" s="89" t="n">
        <f aca="true">IF(AB$5=0,AA33,MAX(0,(AA33-AB$4)*(1+NORMINV(RAND(),INPUTS!$B$28,INPUTS!$B$29))))</f>
        <v>3331732.39631491</v>
      </c>
      <c r="AC33" s="89" t="n">
        <f aca="true">IF(AC$5=0,AB33,MAX(0,(AB33-AC$4)*(1+NORMINV(RAND(),INPUTS!$B$28,INPUTS!$B$29))))</f>
        <v>3229689.05594622</v>
      </c>
      <c r="AD33" s="89" t="n">
        <f aca="true">IF(AD$5=0,AC33,MAX(0,(AC33-AD$4)*(1+NORMINV(RAND(),INPUTS!$B$28,INPUTS!$B$29))))</f>
        <v>3836543.79501192</v>
      </c>
      <c r="AE33" s="89" t="n">
        <f aca="true">IF(AE$5=0,AD33,MAX(0,(AD33-AE$4)*(1+NORMINV(RAND(),INPUTS!$B$28,INPUTS!$B$29))))</f>
        <v>4164681.56589118</v>
      </c>
      <c r="AF33" s="89" t="n">
        <f aca="true">IF(AF$5=0,AE33,MAX(0,(AE33-AF$4)*(1+NORMINV(RAND(),INPUTS!$B$28,INPUTS!$B$29))))</f>
        <v>3913293.20862426</v>
      </c>
      <c r="AG33" s="89" t="n">
        <f aca="true">IF(AG$5=0,AF33,MAX(0,(AF33-AG$4)*(1+NORMINV(RAND(),INPUTS!$B$28,INPUTS!$B$29))))</f>
        <v>3491647.40834767</v>
      </c>
      <c r="AH33" s="89" t="n">
        <f aca="true">IF(AH$5=0,AG33,MAX(0,(AG33-AH$4)*(1+NORMINV(RAND(),INPUTS!$B$28,INPUTS!$B$29))))</f>
        <v>3722224.37416962</v>
      </c>
      <c r="AI33" s="89" t="n">
        <f aca="true">IF(AI$5=0,AH33,MAX(0,(AH33-AI$4)*(1+NORMINV(RAND(),INPUTS!$B$28,INPUTS!$B$29))))</f>
        <v>3747967.10618676</v>
      </c>
      <c r="AJ33" s="89" t="n">
        <f aca="true">IF(AJ$5=0,AI33,MAX(0,(AI33-AJ$4)*(1+NORMINV(RAND(),INPUTS!$B$28,INPUTS!$B$29))))</f>
        <v>4374146.56347969</v>
      </c>
      <c r="AK33" s="89" t="n">
        <f aca="true">IF(AK$5=0,AJ33,MAX(0,(AJ33-AK$4)*(1+NORMINV(RAND(),INPUTS!$B$28,INPUTS!$B$29))))</f>
        <v>4607918.82754686</v>
      </c>
      <c r="AL33" s="89" t="n">
        <f aca="true">IF(AL$5=0,AK33,MAX(0,(AK33-AL$4)*(1+NORMINV(RAND(),INPUTS!$B$28,INPUTS!$B$29))))</f>
        <v>4544558.37453582</v>
      </c>
      <c r="AM33" s="89" t="n">
        <f aca="true">IF(AM$5=0,AL33,MAX(0,(AL33-AM$4)*(1+NORMINV(RAND(),INPUTS!$B$28,INPUTS!$B$29))))</f>
        <v>4544558.37453582</v>
      </c>
      <c r="AN33" s="89" t="n">
        <f aca="true">IF(AN$5=0,AM33,MAX(0,(AM33-AN$4)*(1+NORMINV(RAND(),INPUTS!$B$28,INPUTS!$B$29))))</f>
        <v>4544558.37453582</v>
      </c>
      <c r="AO33" s="89" t="n">
        <f aca="true">IF(AO$5=0,AN33,MAX(0,(AN33-AO$4)*(1+NORMINV(RAND(),INPUTS!$B$28,INPUTS!$B$29))))</f>
        <v>4544558.37453582</v>
      </c>
      <c r="AP33" s="89" t="n">
        <f aca="true">IF(AP$5=0,AO33,MAX(0,(AO33-AP$4)*(1+NORMINV(RAND(),INPUTS!$B$28,INPUTS!$B$29))))</f>
        <v>4544558.37453582</v>
      </c>
      <c r="AQ33" s="89" t="n">
        <f aca="true">IF(AQ$5=0,AP33,MAX(0,(AP33-AQ$4)*(1+NORMINV(RAND(),INPUTS!$B$28,INPUTS!$B$29))))</f>
        <v>4544558.37453582</v>
      </c>
      <c r="AR33" s="89" t="n">
        <f aca="true">IF(AR$5=0,AQ33,MAX(0,(AQ33-AR$4)*(1+NORMINV(RAND(),INPUTS!$B$28,INPUTS!$B$29))))</f>
        <v>4544558.37453582</v>
      </c>
      <c r="AS33" s="89" t="n">
        <f aca="true">IF(AS$5=0,AR33,MAX(0,(AR33-AS$4)*(1+NORMINV(RAND(),INPUTS!$B$28,INPUTS!$B$29))))</f>
        <v>4544558.37453582</v>
      </c>
      <c r="AT33" s="89" t="n">
        <f aca="true">IF(AT$5=0,AS33,MAX(0,(AS33-AT$4)*(1+NORMINV(RAND(),INPUTS!$B$28,INPUTS!$B$29))))</f>
        <v>4544558.37453582</v>
      </c>
      <c r="AU33" s="89" t="n">
        <f aca="true">IF(AU$5=0,AT33,MAX(0,(AT33-AU$4)*(1+NORMINV(RAND(),INPUTS!$B$28,INPUTS!$B$29))))</f>
        <v>4544558.37453582</v>
      </c>
      <c r="AV33" s="89" t="n">
        <f aca="true">IF(AV$5=0,AU33,MAX(0,(AU33-AV$4)*(1+NORMINV(RAND(),INPUTS!$B$28,INPUTS!$B$29))))</f>
        <v>4544558.37453582</v>
      </c>
      <c r="AW33" s="89" t="n">
        <f aca="true">IF(AW$5=0,AV33,MAX(0,(AV33-AW$4)*(1+NORMINV(RAND(),INPUTS!$B$28,INPUTS!$B$29))))</f>
        <v>4544558.37453582</v>
      </c>
      <c r="AX33" s="89" t="n">
        <f aca="true">IF(AX$5=0,AW33,MAX(0,(AW33-AX$4)*(1+NORMINV(RAND(),INPUTS!$B$28,INPUTS!$B$29))))</f>
        <v>4544558.37453582</v>
      </c>
      <c r="AY33" s="89" t="n">
        <f aca="true">IF(AY$5=0,AX33,MAX(0,(AX33-AY$4)*(1+NORMINV(RAND(),INPUTS!$B$28,INPUTS!$B$29))))</f>
        <v>4544558.37453582</v>
      </c>
      <c r="AZ33" s="89" t="n">
        <f aca="true">IF(AZ$5=0,AY33,MAX(0,(AY33-AZ$4)*(1+NORMINV(RAND(),INPUTS!$B$28,INPUTS!$B$29))))</f>
        <v>4544558.37453582</v>
      </c>
      <c r="BA33" s="89" t="n">
        <f aca="true">IF(BA$5=0,AZ33,MAX(0,(AZ33-BA$4)*(1+NORMINV(RAND(),INPUTS!$B$28,INPUTS!$B$29))))</f>
        <v>4544558.37453582</v>
      </c>
      <c r="BB33" s="89" t="n">
        <f aca="true">IF(BB$5=0,BA33,MAX(0,(BA33-BB$4)*(1+NORMINV(RAND(),INPUTS!$B$28,INPUTS!$B$29))))</f>
        <v>4544558.37453582</v>
      </c>
      <c r="BC33" s="89" t="n">
        <f aca="true">IF(BC$5=0,BB33,MAX(0,(BB33-BC$4)*(1+NORMINV(RAND(),INPUTS!$B$28,INPUTS!$B$29))))</f>
        <v>4544558.37453582</v>
      </c>
      <c r="BD33" s="89" t="n">
        <f aca="true">IF(BD$5=0,BC33,MAX(0,(BC33-BD$4)*(1+NORMINV(RAND(),INPUTS!$B$28,INPUTS!$B$29))))</f>
        <v>4544558.37453582</v>
      </c>
      <c r="BE33" s="89" t="n">
        <f aca="true">IF(BE$5=0,BD33,MAX(0,(BD33-BE$4)*(1+NORMINV(RAND(),INPUTS!$B$28,INPUTS!$B$29))))</f>
        <v>4544558.37453582</v>
      </c>
      <c r="BF33" s="89" t="n">
        <f aca="true">IF(BF$5=0,BE33,MAX(0,(BE33-BF$4)*(1+NORMINV(RAND(),INPUTS!$B$28,INPUTS!$B$29))))</f>
        <v>4544558.37453582</v>
      </c>
      <c r="BG33" s="89" t="n">
        <f aca="true">IF(BG$5=0,BF33,MAX(0,(BF33-BG$4)*(1+NORMINV(RAND(),INPUTS!$B$28,INPUTS!$B$29))))</f>
        <v>4544558.37453582</v>
      </c>
      <c r="BH33" s="89" t="n">
        <f aca="true">IF(BH$5=0,BG33,MAX(0,(BG33-BH$4)*(1+NORMINV(RAND(),INPUTS!$B$28,INPUTS!$B$29))))</f>
        <v>4544558.37453582</v>
      </c>
      <c r="BI33" s="89" t="n">
        <f aca="true">IF(BI$5=0,BH33,MAX(0,(BH33-BI$4)*(1+NORMINV(RAND(),INPUTS!$B$28,INPUTS!$B$29))))</f>
        <v>4544558.37453582</v>
      </c>
      <c r="BJ33" s="89" t="n">
        <f aca="true">IF(BJ$5=0,BI33,MAX(0,(BI33-BJ$4)*(1+NORMINV(RAND(),INPUTS!$B$28,INPUTS!$B$29))))</f>
        <v>4544558.37453582</v>
      </c>
    </row>
    <row r="34" customFormat="false" ht="15" hidden="false" customHeight="true" outlineLevel="0" collapsed="false">
      <c r="A34" s="87" t="n">
        <v>27</v>
      </c>
      <c r="B34" s="88" t="n">
        <f aca="false">LOOKUP(9.99E+307,C34:BJ34)</f>
        <v>1837078.43811773</v>
      </c>
      <c r="C34" s="89" t="n">
        <f aca="true">IF(C$5=0,INPUTS!$B$35,MAX(0,(INPUTS!$B$35-C$4)*(1+NORMINV(RAND(),INPUTS!$B$28,INPUTS!$B$29))))</f>
        <v>1286248.5225738</v>
      </c>
      <c r="D34" s="89" t="n">
        <f aca="true">IF(D$5=0,C34,MAX(0,(C34-D$4)*(1+NORMINV(RAND(),INPUTS!$B$28,INPUTS!$B$29))))</f>
        <v>1319019.98794321</v>
      </c>
      <c r="E34" s="89" t="n">
        <f aca="true">IF(E$5=0,D34,MAX(0,(D34-E$4)*(1+NORMINV(RAND(),INPUTS!$B$28,INPUTS!$B$29))))</f>
        <v>1199511.15289881</v>
      </c>
      <c r="F34" s="89" t="n">
        <f aca="true">IF(F$5=0,E34,MAX(0,(E34-F$4)*(1+NORMINV(RAND(),INPUTS!$B$28,INPUTS!$B$29))))</f>
        <v>1155061.60907898</v>
      </c>
      <c r="G34" s="89" t="n">
        <f aca="true">IF(G$5=0,F34,MAX(0,(F34-G$4)*(1+NORMINV(RAND(),INPUTS!$B$28,INPUTS!$B$29))))</f>
        <v>1248240.80985371</v>
      </c>
      <c r="H34" s="89" t="n">
        <f aca="true">IF(H$5=0,G34,MAX(0,(G34-H$4)*(1+NORMINV(RAND(),INPUTS!$B$28,INPUTS!$B$29))))</f>
        <v>1391100.73091316</v>
      </c>
      <c r="I34" s="89" t="n">
        <f aca="true">IF(I$5=0,H34,MAX(0,(H34-I$4)*(1+NORMINV(RAND(),INPUTS!$B$28,INPUTS!$B$29))))</f>
        <v>1408437.64882781</v>
      </c>
      <c r="J34" s="89" t="n">
        <f aca="true">IF(J$5=0,I34,MAX(0,(I34-J$4)*(1+NORMINV(RAND(),INPUTS!$B$28,INPUTS!$B$29))))</f>
        <v>1355622.24580935</v>
      </c>
      <c r="K34" s="89" t="n">
        <f aca="true">IF(K$5=0,J34,MAX(0,(J34-K$4)*(1+NORMINV(RAND(),INPUTS!$B$28,INPUTS!$B$29))))</f>
        <v>1290830.76913448</v>
      </c>
      <c r="L34" s="89" t="n">
        <f aca="true">IF(L$5=0,K34,MAX(0,(K34-L$4)*(1+NORMINV(RAND(),INPUTS!$B$28,INPUTS!$B$29))))</f>
        <v>1268761.99066667</v>
      </c>
      <c r="M34" s="89" t="n">
        <f aca="true">IF(M$5=0,L34,MAX(0,(L34-M$4)*(1+NORMINV(RAND(),INPUTS!$B$28,INPUTS!$B$29))))</f>
        <v>1256958.00193325</v>
      </c>
      <c r="N34" s="89" t="n">
        <f aca="true">IF(N$5=0,M34,MAX(0,(M34-N$4)*(1+NORMINV(RAND(),INPUTS!$B$28,INPUTS!$B$29))))</f>
        <v>1209664.0474995</v>
      </c>
      <c r="O34" s="89" t="n">
        <f aca="true">IF(O$5=0,N34,MAX(0,(N34-O$4)*(1+NORMINV(RAND(),INPUTS!$B$28,INPUTS!$B$29))))</f>
        <v>1305106.85887115</v>
      </c>
      <c r="P34" s="89" t="n">
        <f aca="true">IF(P$5=0,O34,MAX(0,(O34-P$4)*(1+NORMINV(RAND(),INPUTS!$B$28,INPUTS!$B$29))))</f>
        <v>1390790.76889241</v>
      </c>
      <c r="Q34" s="89" t="n">
        <f aca="true">IF(Q$5=0,P34,MAX(0,(P34-Q$4)*(1+NORMINV(RAND(),INPUTS!$B$28,INPUTS!$B$29))))</f>
        <v>1396926.23652262</v>
      </c>
      <c r="R34" s="89" t="n">
        <f aca="true">IF(R$5=0,Q34,MAX(0,(Q34-R$4)*(1+NORMINV(RAND(),INPUTS!$B$28,INPUTS!$B$29))))</f>
        <v>1412041.18605525</v>
      </c>
      <c r="S34" s="89" t="n">
        <f aca="true">IF(S$5=0,R34,MAX(0,(R34-S$4)*(1+NORMINV(RAND(),INPUTS!$B$28,INPUTS!$B$29))))</f>
        <v>1419706.93556514</v>
      </c>
      <c r="T34" s="89" t="n">
        <f aca="true">IF(T$5=0,S34,MAX(0,(S34-T$4)*(1+NORMINV(RAND(),INPUTS!$B$28,INPUTS!$B$29))))</f>
        <v>1450625.49680641</v>
      </c>
      <c r="U34" s="89" t="n">
        <f aca="true">IF(U$5=0,T34,MAX(0,(T34-U$4)*(1+NORMINV(RAND(),INPUTS!$B$28,INPUTS!$B$29))))</f>
        <v>1561439.12992606</v>
      </c>
      <c r="V34" s="89" t="n">
        <f aca="true">IF(V$5=0,U34,MAX(0,(U34-V$4)*(1+NORMINV(RAND(),INPUTS!$B$28,INPUTS!$B$29))))</f>
        <v>1828555.9080552</v>
      </c>
      <c r="W34" s="89" t="n">
        <f aca="true">IF(W$5=0,V34,MAX(0,(V34-W$4)*(1+NORMINV(RAND(),INPUTS!$B$28,INPUTS!$B$29))))</f>
        <v>1987833.45619308</v>
      </c>
      <c r="X34" s="89" t="n">
        <f aca="true">IF(X$5=0,W34,MAX(0,(W34-X$4)*(1+NORMINV(RAND(),INPUTS!$B$28,INPUTS!$B$29))))</f>
        <v>1886027.03328355</v>
      </c>
      <c r="Y34" s="89" t="n">
        <f aca="true">IF(Y$5=0,X34,MAX(0,(X34-Y$4)*(1+NORMINV(RAND(),INPUTS!$B$28,INPUTS!$B$29))))</f>
        <v>1783727.07549773</v>
      </c>
      <c r="Z34" s="89" t="n">
        <f aca="true">IF(Z$5=0,Y34,MAX(0,(Y34-Z$4)*(1+NORMINV(RAND(),INPUTS!$B$28,INPUTS!$B$29))))</f>
        <v>2045721.76838413</v>
      </c>
      <c r="AA34" s="89" t="n">
        <f aca="true">IF(AA$5=0,Z34,MAX(0,(Z34-AA$4)*(1+NORMINV(RAND(),INPUTS!$B$28,INPUTS!$B$29))))</f>
        <v>1786014.16736077</v>
      </c>
      <c r="AB34" s="89" t="n">
        <f aca="true">IF(AB$5=0,AA34,MAX(0,(AA34-AB$4)*(1+NORMINV(RAND(),INPUTS!$B$28,INPUTS!$B$29))))</f>
        <v>1969023.06746227</v>
      </c>
      <c r="AC34" s="89" t="n">
        <f aca="true">IF(AC$5=0,AB34,MAX(0,(AB34-AC$4)*(1+NORMINV(RAND(),INPUTS!$B$28,INPUTS!$B$29))))</f>
        <v>1798658.8797654</v>
      </c>
      <c r="AD34" s="89" t="n">
        <f aca="true">IF(AD$5=0,AC34,MAX(0,(AC34-AD$4)*(1+NORMINV(RAND(),INPUTS!$B$28,INPUTS!$B$29))))</f>
        <v>1973716.76513897</v>
      </c>
      <c r="AE34" s="89" t="n">
        <f aca="true">IF(AE$5=0,AD34,MAX(0,(AD34-AE$4)*(1+NORMINV(RAND(),INPUTS!$B$28,INPUTS!$B$29))))</f>
        <v>1769095.41314048</v>
      </c>
      <c r="AF34" s="89" t="n">
        <f aca="true">IF(AF$5=0,AE34,MAX(0,(AE34-AF$4)*(1+NORMINV(RAND(),INPUTS!$B$28,INPUTS!$B$29))))</f>
        <v>1889834.16165861</v>
      </c>
      <c r="AG34" s="89" t="n">
        <f aca="true">IF(AG$5=0,AF34,MAX(0,(AF34-AG$4)*(1+NORMINV(RAND(),INPUTS!$B$28,INPUTS!$B$29))))</f>
        <v>1998502.68497427</v>
      </c>
      <c r="AH34" s="89" t="n">
        <f aca="true">IF(AH$5=0,AG34,MAX(0,(AG34-AH$4)*(1+NORMINV(RAND(),INPUTS!$B$28,INPUTS!$B$29))))</f>
        <v>2080711.96811281</v>
      </c>
      <c r="AI34" s="89" t="n">
        <f aca="true">IF(AI$5=0,AH34,MAX(0,(AH34-AI$4)*(1+NORMINV(RAND(),INPUTS!$B$28,INPUTS!$B$29))))</f>
        <v>1870105.67614341</v>
      </c>
      <c r="AJ34" s="89" t="n">
        <f aca="true">IF(AJ$5=0,AI34,MAX(0,(AI34-AJ$4)*(1+NORMINV(RAND(),INPUTS!$B$28,INPUTS!$B$29))))</f>
        <v>2143840.26876536</v>
      </c>
      <c r="AK34" s="89" t="n">
        <f aca="true">IF(AK$5=0,AJ34,MAX(0,(AJ34-AK$4)*(1+NORMINV(RAND(),INPUTS!$B$28,INPUTS!$B$29))))</f>
        <v>2149923.43434934</v>
      </c>
      <c r="AL34" s="89" t="n">
        <f aca="true">IF(AL$5=0,AK34,MAX(0,(AK34-AL$4)*(1+NORMINV(RAND(),INPUTS!$B$28,INPUTS!$B$29))))</f>
        <v>1837078.43811773</v>
      </c>
      <c r="AM34" s="89" t="n">
        <f aca="true">IF(AM$5=0,AL34,MAX(0,(AL34-AM$4)*(1+NORMINV(RAND(),INPUTS!$B$28,INPUTS!$B$29))))</f>
        <v>1837078.43811773</v>
      </c>
      <c r="AN34" s="89" t="n">
        <f aca="true">IF(AN$5=0,AM34,MAX(0,(AM34-AN$4)*(1+NORMINV(RAND(),INPUTS!$B$28,INPUTS!$B$29))))</f>
        <v>1837078.43811773</v>
      </c>
      <c r="AO34" s="89" t="n">
        <f aca="true">IF(AO$5=0,AN34,MAX(0,(AN34-AO$4)*(1+NORMINV(RAND(),INPUTS!$B$28,INPUTS!$B$29))))</f>
        <v>1837078.43811773</v>
      </c>
      <c r="AP34" s="89" t="n">
        <f aca="true">IF(AP$5=0,AO34,MAX(0,(AO34-AP$4)*(1+NORMINV(RAND(),INPUTS!$B$28,INPUTS!$B$29))))</f>
        <v>1837078.43811773</v>
      </c>
      <c r="AQ34" s="89" t="n">
        <f aca="true">IF(AQ$5=0,AP34,MAX(0,(AP34-AQ$4)*(1+NORMINV(RAND(),INPUTS!$B$28,INPUTS!$B$29))))</f>
        <v>1837078.43811773</v>
      </c>
      <c r="AR34" s="89" t="n">
        <f aca="true">IF(AR$5=0,AQ34,MAX(0,(AQ34-AR$4)*(1+NORMINV(RAND(),INPUTS!$B$28,INPUTS!$B$29))))</f>
        <v>1837078.43811773</v>
      </c>
      <c r="AS34" s="89" t="n">
        <f aca="true">IF(AS$5=0,AR34,MAX(0,(AR34-AS$4)*(1+NORMINV(RAND(),INPUTS!$B$28,INPUTS!$B$29))))</f>
        <v>1837078.43811773</v>
      </c>
      <c r="AT34" s="89" t="n">
        <f aca="true">IF(AT$5=0,AS34,MAX(0,(AS34-AT$4)*(1+NORMINV(RAND(),INPUTS!$B$28,INPUTS!$B$29))))</f>
        <v>1837078.43811773</v>
      </c>
      <c r="AU34" s="89" t="n">
        <f aca="true">IF(AU$5=0,AT34,MAX(0,(AT34-AU$4)*(1+NORMINV(RAND(),INPUTS!$B$28,INPUTS!$B$29))))</f>
        <v>1837078.43811773</v>
      </c>
      <c r="AV34" s="89" t="n">
        <f aca="true">IF(AV$5=0,AU34,MAX(0,(AU34-AV$4)*(1+NORMINV(RAND(),INPUTS!$B$28,INPUTS!$B$29))))</f>
        <v>1837078.43811773</v>
      </c>
      <c r="AW34" s="89" t="n">
        <f aca="true">IF(AW$5=0,AV34,MAX(0,(AV34-AW$4)*(1+NORMINV(RAND(),INPUTS!$B$28,INPUTS!$B$29))))</f>
        <v>1837078.43811773</v>
      </c>
      <c r="AX34" s="89" t="n">
        <f aca="true">IF(AX$5=0,AW34,MAX(0,(AW34-AX$4)*(1+NORMINV(RAND(),INPUTS!$B$28,INPUTS!$B$29))))</f>
        <v>1837078.43811773</v>
      </c>
      <c r="AY34" s="89" t="n">
        <f aca="true">IF(AY$5=0,AX34,MAX(0,(AX34-AY$4)*(1+NORMINV(RAND(),INPUTS!$B$28,INPUTS!$B$29))))</f>
        <v>1837078.43811773</v>
      </c>
      <c r="AZ34" s="89" t="n">
        <f aca="true">IF(AZ$5=0,AY34,MAX(0,(AY34-AZ$4)*(1+NORMINV(RAND(),INPUTS!$B$28,INPUTS!$B$29))))</f>
        <v>1837078.43811773</v>
      </c>
      <c r="BA34" s="89" t="n">
        <f aca="true">IF(BA$5=0,AZ34,MAX(0,(AZ34-BA$4)*(1+NORMINV(RAND(),INPUTS!$B$28,INPUTS!$B$29))))</f>
        <v>1837078.43811773</v>
      </c>
      <c r="BB34" s="89" t="n">
        <f aca="true">IF(BB$5=0,BA34,MAX(0,(BA34-BB$4)*(1+NORMINV(RAND(),INPUTS!$B$28,INPUTS!$B$29))))</f>
        <v>1837078.43811773</v>
      </c>
      <c r="BC34" s="89" t="n">
        <f aca="true">IF(BC$5=0,BB34,MAX(0,(BB34-BC$4)*(1+NORMINV(RAND(),INPUTS!$B$28,INPUTS!$B$29))))</f>
        <v>1837078.43811773</v>
      </c>
      <c r="BD34" s="89" t="n">
        <f aca="true">IF(BD$5=0,BC34,MAX(0,(BC34-BD$4)*(1+NORMINV(RAND(),INPUTS!$B$28,INPUTS!$B$29))))</f>
        <v>1837078.43811773</v>
      </c>
      <c r="BE34" s="89" t="n">
        <f aca="true">IF(BE$5=0,BD34,MAX(0,(BD34-BE$4)*(1+NORMINV(RAND(),INPUTS!$B$28,INPUTS!$B$29))))</f>
        <v>1837078.43811773</v>
      </c>
      <c r="BF34" s="89" t="n">
        <f aca="true">IF(BF$5=0,BE34,MAX(0,(BE34-BF$4)*(1+NORMINV(RAND(),INPUTS!$B$28,INPUTS!$B$29))))</f>
        <v>1837078.43811773</v>
      </c>
      <c r="BG34" s="89" t="n">
        <f aca="true">IF(BG$5=0,BF34,MAX(0,(BF34-BG$4)*(1+NORMINV(RAND(),INPUTS!$B$28,INPUTS!$B$29))))</f>
        <v>1837078.43811773</v>
      </c>
      <c r="BH34" s="89" t="n">
        <f aca="true">IF(BH$5=0,BG34,MAX(0,(BG34-BH$4)*(1+NORMINV(RAND(),INPUTS!$B$28,INPUTS!$B$29))))</f>
        <v>1837078.43811773</v>
      </c>
      <c r="BI34" s="89" t="n">
        <f aca="true">IF(BI$5=0,BH34,MAX(0,(BH34-BI$4)*(1+NORMINV(RAND(),INPUTS!$B$28,INPUTS!$B$29))))</f>
        <v>1837078.43811773</v>
      </c>
      <c r="BJ34" s="89" t="n">
        <f aca="true">IF(BJ$5=0,BI34,MAX(0,(BI34-BJ$4)*(1+NORMINV(RAND(),INPUTS!$B$28,INPUTS!$B$29))))</f>
        <v>1837078.43811773</v>
      </c>
    </row>
    <row r="35" customFormat="false" ht="15" hidden="false" customHeight="true" outlineLevel="0" collapsed="false">
      <c r="A35" s="87" t="n">
        <v>28</v>
      </c>
      <c r="B35" s="88" t="n">
        <f aca="false">LOOKUP(9.99E+307,C35:BJ35)</f>
        <v>23074483.5802389</v>
      </c>
      <c r="C35" s="89" t="n">
        <f aca="true">IF(C$5=0,INPUTS!$B$35,MAX(0,(INPUTS!$B$35-C$4)*(1+NORMINV(RAND(),INPUTS!$B$28,INPUTS!$B$29))))</f>
        <v>1790698.74415868</v>
      </c>
      <c r="D35" s="89" t="n">
        <f aca="true">IF(D$5=0,C35,MAX(0,(C35-D$4)*(1+NORMINV(RAND(),INPUTS!$B$28,INPUTS!$B$29))))</f>
        <v>1851547.60517906</v>
      </c>
      <c r="E35" s="89" t="n">
        <f aca="true">IF(E$5=0,D35,MAX(0,(D35-E$4)*(1+NORMINV(RAND(),INPUTS!$B$28,INPUTS!$B$29))))</f>
        <v>1941346.22374357</v>
      </c>
      <c r="F35" s="89" t="n">
        <f aca="true">IF(F$5=0,E35,MAX(0,(E35-F$4)*(1+NORMINV(RAND(),INPUTS!$B$28,INPUTS!$B$29))))</f>
        <v>1980562.73015983</v>
      </c>
      <c r="G35" s="89" t="n">
        <f aca="true">IF(G$5=0,F35,MAX(0,(F35-G$4)*(1+NORMINV(RAND(),INPUTS!$B$28,INPUTS!$B$29))))</f>
        <v>2739641.71693003</v>
      </c>
      <c r="H35" s="89" t="n">
        <f aca="true">IF(H$5=0,G35,MAX(0,(G35-H$4)*(1+NORMINV(RAND(),INPUTS!$B$28,INPUTS!$B$29))))</f>
        <v>3045340.24892834</v>
      </c>
      <c r="I35" s="89" t="n">
        <f aca="true">IF(I$5=0,H35,MAX(0,(H35-I$4)*(1+NORMINV(RAND(),INPUTS!$B$28,INPUTS!$B$29))))</f>
        <v>3935613.66113164</v>
      </c>
      <c r="J35" s="89" t="n">
        <f aca="true">IF(J$5=0,I35,MAX(0,(I35-J$4)*(1+NORMINV(RAND(),INPUTS!$B$28,INPUTS!$B$29))))</f>
        <v>4022582.03245859</v>
      </c>
      <c r="K35" s="89" t="n">
        <f aca="true">IF(K$5=0,J35,MAX(0,(J35-K$4)*(1+NORMINV(RAND(),INPUTS!$B$28,INPUTS!$B$29))))</f>
        <v>4750073.1063817</v>
      </c>
      <c r="L35" s="89" t="n">
        <f aca="true">IF(L$5=0,K35,MAX(0,(K35-L$4)*(1+NORMINV(RAND(),INPUTS!$B$28,INPUTS!$B$29))))</f>
        <v>4333196.87978607</v>
      </c>
      <c r="M35" s="89" t="n">
        <f aca="true">IF(M$5=0,L35,MAX(0,(L35-M$4)*(1+NORMINV(RAND(),INPUTS!$B$28,INPUTS!$B$29))))</f>
        <v>3971161.28757197</v>
      </c>
      <c r="N35" s="89" t="n">
        <f aca="true">IF(N$5=0,M35,MAX(0,(M35-N$4)*(1+NORMINV(RAND(),INPUTS!$B$28,INPUTS!$B$29))))</f>
        <v>4779928.10064349</v>
      </c>
      <c r="O35" s="89" t="n">
        <f aca="true">IF(O$5=0,N35,MAX(0,(N35-O$4)*(1+NORMINV(RAND(),INPUTS!$B$28,INPUTS!$B$29))))</f>
        <v>4923819.82096882</v>
      </c>
      <c r="P35" s="89" t="n">
        <f aca="true">IF(P$5=0,O35,MAX(0,(O35-P$4)*(1+NORMINV(RAND(),INPUTS!$B$28,INPUTS!$B$29))))</f>
        <v>5527178.06780522</v>
      </c>
      <c r="Q35" s="89" t="n">
        <f aca="true">IF(Q$5=0,P35,MAX(0,(P35-Q$4)*(1+NORMINV(RAND(),INPUTS!$B$28,INPUTS!$B$29))))</f>
        <v>6708269.07738027</v>
      </c>
      <c r="R35" s="89" t="n">
        <f aca="true">IF(R$5=0,Q35,MAX(0,(Q35-R$4)*(1+NORMINV(RAND(),INPUTS!$B$28,INPUTS!$B$29))))</f>
        <v>8203689.40083653</v>
      </c>
      <c r="S35" s="89" t="n">
        <f aca="true">IF(S$5=0,R35,MAX(0,(R35-S$4)*(1+NORMINV(RAND(),INPUTS!$B$28,INPUTS!$B$29))))</f>
        <v>9056547.50145932</v>
      </c>
      <c r="T35" s="89" t="n">
        <f aca="true">IF(T$5=0,S35,MAX(0,(S35-T$4)*(1+NORMINV(RAND(),INPUTS!$B$28,INPUTS!$B$29))))</f>
        <v>9784098.26492032</v>
      </c>
      <c r="U35" s="89" t="n">
        <f aca="true">IF(U$5=0,T35,MAX(0,(T35-U$4)*(1+NORMINV(RAND(),INPUTS!$B$28,INPUTS!$B$29))))</f>
        <v>10198942.0628746</v>
      </c>
      <c r="V35" s="89" t="n">
        <f aca="true">IF(V$5=0,U35,MAX(0,(U35-V$4)*(1+NORMINV(RAND(),INPUTS!$B$28,INPUTS!$B$29))))</f>
        <v>8966124.42140207</v>
      </c>
      <c r="W35" s="89" t="n">
        <f aca="true">IF(W$5=0,V35,MAX(0,(V35-W$4)*(1+NORMINV(RAND(),INPUTS!$B$28,INPUTS!$B$29))))</f>
        <v>10579038.6373686</v>
      </c>
      <c r="X35" s="89" t="n">
        <f aca="true">IF(X$5=0,W35,MAX(0,(W35-X$4)*(1+NORMINV(RAND(),INPUTS!$B$28,INPUTS!$B$29))))</f>
        <v>12426319.8444355</v>
      </c>
      <c r="Y35" s="89" t="n">
        <f aca="true">IF(Y$5=0,X35,MAX(0,(X35-Y$4)*(1+NORMINV(RAND(),INPUTS!$B$28,INPUTS!$B$29))))</f>
        <v>13479781.8024713</v>
      </c>
      <c r="Z35" s="89" t="n">
        <f aca="true">IF(Z$5=0,Y35,MAX(0,(Y35-Z$4)*(1+NORMINV(RAND(),INPUTS!$B$28,INPUTS!$B$29))))</f>
        <v>14500694.7446472</v>
      </c>
      <c r="AA35" s="89" t="n">
        <f aca="true">IF(AA$5=0,Z35,MAX(0,(Z35-AA$4)*(1+NORMINV(RAND(),INPUTS!$B$28,INPUTS!$B$29))))</f>
        <v>14185268.5918387</v>
      </c>
      <c r="AB35" s="89" t="n">
        <f aca="true">IF(AB$5=0,AA35,MAX(0,(AA35-AB$4)*(1+NORMINV(RAND(),INPUTS!$B$28,INPUTS!$B$29))))</f>
        <v>15781846.321922</v>
      </c>
      <c r="AC35" s="89" t="n">
        <f aca="true">IF(AC$5=0,AB35,MAX(0,(AB35-AC$4)*(1+NORMINV(RAND(),INPUTS!$B$28,INPUTS!$B$29))))</f>
        <v>15769472.8806523</v>
      </c>
      <c r="AD35" s="89" t="n">
        <f aca="true">IF(AD$5=0,AC35,MAX(0,(AC35-AD$4)*(1+NORMINV(RAND(),INPUTS!$B$28,INPUTS!$B$29))))</f>
        <v>14890771.4506301</v>
      </c>
      <c r="AE35" s="89" t="n">
        <f aca="true">IF(AE$5=0,AD35,MAX(0,(AD35-AE$4)*(1+NORMINV(RAND(),INPUTS!$B$28,INPUTS!$B$29))))</f>
        <v>15766444.1462986</v>
      </c>
      <c r="AF35" s="89" t="n">
        <f aca="true">IF(AF$5=0,AE35,MAX(0,(AE35-AF$4)*(1+NORMINV(RAND(),INPUTS!$B$28,INPUTS!$B$29))))</f>
        <v>16636155.6967106</v>
      </c>
      <c r="AG35" s="89" t="n">
        <f aca="true">IF(AG$5=0,AF35,MAX(0,(AF35-AG$4)*(1+NORMINV(RAND(),INPUTS!$B$28,INPUTS!$B$29))))</f>
        <v>20458625.0327379</v>
      </c>
      <c r="AH35" s="89" t="n">
        <f aca="true">IF(AH$5=0,AG35,MAX(0,(AG35-AH$4)*(1+NORMINV(RAND(),INPUTS!$B$28,INPUTS!$B$29))))</f>
        <v>24361961.0318726</v>
      </c>
      <c r="AI35" s="89" t="n">
        <f aca="true">IF(AI$5=0,AH35,MAX(0,(AH35-AI$4)*(1+NORMINV(RAND(),INPUTS!$B$28,INPUTS!$B$29))))</f>
        <v>20287306.9473317</v>
      </c>
      <c r="AJ35" s="89" t="n">
        <f aca="true">IF(AJ$5=0,AI35,MAX(0,(AI35-AJ$4)*(1+NORMINV(RAND(),INPUTS!$B$28,INPUTS!$B$29))))</f>
        <v>21564293.8281939</v>
      </c>
      <c r="AK35" s="89" t="n">
        <f aca="true">IF(AK$5=0,AJ35,MAX(0,(AJ35-AK$4)*(1+NORMINV(RAND(),INPUTS!$B$28,INPUTS!$B$29))))</f>
        <v>20945276.499474</v>
      </c>
      <c r="AL35" s="89" t="n">
        <f aca="true">IF(AL$5=0,AK35,MAX(0,(AK35-AL$4)*(1+NORMINV(RAND(),INPUTS!$B$28,INPUTS!$B$29))))</f>
        <v>23074483.5802389</v>
      </c>
      <c r="AM35" s="89" t="n">
        <f aca="true">IF(AM$5=0,AL35,MAX(0,(AL35-AM$4)*(1+NORMINV(RAND(),INPUTS!$B$28,INPUTS!$B$29))))</f>
        <v>23074483.5802389</v>
      </c>
      <c r="AN35" s="89" t="n">
        <f aca="true">IF(AN$5=0,AM35,MAX(0,(AM35-AN$4)*(1+NORMINV(RAND(),INPUTS!$B$28,INPUTS!$B$29))))</f>
        <v>23074483.5802389</v>
      </c>
      <c r="AO35" s="89" t="n">
        <f aca="true">IF(AO$5=0,AN35,MAX(0,(AN35-AO$4)*(1+NORMINV(RAND(),INPUTS!$B$28,INPUTS!$B$29))))</f>
        <v>23074483.5802389</v>
      </c>
      <c r="AP35" s="89" t="n">
        <f aca="true">IF(AP$5=0,AO35,MAX(0,(AO35-AP$4)*(1+NORMINV(RAND(),INPUTS!$B$28,INPUTS!$B$29))))</f>
        <v>23074483.5802389</v>
      </c>
      <c r="AQ35" s="89" t="n">
        <f aca="true">IF(AQ$5=0,AP35,MAX(0,(AP35-AQ$4)*(1+NORMINV(RAND(),INPUTS!$B$28,INPUTS!$B$29))))</f>
        <v>23074483.5802389</v>
      </c>
      <c r="AR35" s="89" t="n">
        <f aca="true">IF(AR$5=0,AQ35,MAX(0,(AQ35-AR$4)*(1+NORMINV(RAND(),INPUTS!$B$28,INPUTS!$B$29))))</f>
        <v>23074483.5802389</v>
      </c>
      <c r="AS35" s="89" t="n">
        <f aca="true">IF(AS$5=0,AR35,MAX(0,(AR35-AS$4)*(1+NORMINV(RAND(),INPUTS!$B$28,INPUTS!$B$29))))</f>
        <v>23074483.5802389</v>
      </c>
      <c r="AT35" s="89" t="n">
        <f aca="true">IF(AT$5=0,AS35,MAX(0,(AS35-AT$4)*(1+NORMINV(RAND(),INPUTS!$B$28,INPUTS!$B$29))))</f>
        <v>23074483.5802389</v>
      </c>
      <c r="AU35" s="89" t="n">
        <f aca="true">IF(AU$5=0,AT35,MAX(0,(AT35-AU$4)*(1+NORMINV(RAND(),INPUTS!$B$28,INPUTS!$B$29))))</f>
        <v>23074483.5802389</v>
      </c>
      <c r="AV35" s="89" t="n">
        <f aca="true">IF(AV$5=0,AU35,MAX(0,(AU35-AV$4)*(1+NORMINV(RAND(),INPUTS!$B$28,INPUTS!$B$29))))</f>
        <v>23074483.5802389</v>
      </c>
      <c r="AW35" s="89" t="n">
        <f aca="true">IF(AW$5=0,AV35,MAX(0,(AV35-AW$4)*(1+NORMINV(RAND(),INPUTS!$B$28,INPUTS!$B$29))))</f>
        <v>23074483.5802389</v>
      </c>
      <c r="AX35" s="89" t="n">
        <f aca="true">IF(AX$5=0,AW35,MAX(0,(AW35-AX$4)*(1+NORMINV(RAND(),INPUTS!$B$28,INPUTS!$B$29))))</f>
        <v>23074483.5802389</v>
      </c>
      <c r="AY35" s="89" t="n">
        <f aca="true">IF(AY$5=0,AX35,MAX(0,(AX35-AY$4)*(1+NORMINV(RAND(),INPUTS!$B$28,INPUTS!$B$29))))</f>
        <v>23074483.5802389</v>
      </c>
      <c r="AZ35" s="89" t="n">
        <f aca="true">IF(AZ$5=0,AY35,MAX(0,(AY35-AZ$4)*(1+NORMINV(RAND(),INPUTS!$B$28,INPUTS!$B$29))))</f>
        <v>23074483.5802389</v>
      </c>
      <c r="BA35" s="89" t="n">
        <f aca="true">IF(BA$5=0,AZ35,MAX(0,(AZ35-BA$4)*(1+NORMINV(RAND(),INPUTS!$B$28,INPUTS!$B$29))))</f>
        <v>23074483.5802389</v>
      </c>
      <c r="BB35" s="89" t="n">
        <f aca="true">IF(BB$5=0,BA35,MAX(0,(BA35-BB$4)*(1+NORMINV(RAND(),INPUTS!$B$28,INPUTS!$B$29))))</f>
        <v>23074483.5802389</v>
      </c>
      <c r="BC35" s="89" t="n">
        <f aca="true">IF(BC$5=0,BB35,MAX(0,(BB35-BC$4)*(1+NORMINV(RAND(),INPUTS!$B$28,INPUTS!$B$29))))</f>
        <v>23074483.5802389</v>
      </c>
      <c r="BD35" s="89" t="n">
        <f aca="true">IF(BD$5=0,BC35,MAX(0,(BC35-BD$4)*(1+NORMINV(RAND(),INPUTS!$B$28,INPUTS!$B$29))))</f>
        <v>23074483.5802389</v>
      </c>
      <c r="BE35" s="89" t="n">
        <f aca="true">IF(BE$5=0,BD35,MAX(0,(BD35-BE$4)*(1+NORMINV(RAND(),INPUTS!$B$28,INPUTS!$B$29))))</f>
        <v>23074483.5802389</v>
      </c>
      <c r="BF35" s="89" t="n">
        <f aca="true">IF(BF$5=0,BE35,MAX(0,(BE35-BF$4)*(1+NORMINV(RAND(),INPUTS!$B$28,INPUTS!$B$29))))</f>
        <v>23074483.5802389</v>
      </c>
      <c r="BG35" s="89" t="n">
        <f aca="true">IF(BG$5=0,BF35,MAX(0,(BF35-BG$4)*(1+NORMINV(RAND(),INPUTS!$B$28,INPUTS!$B$29))))</f>
        <v>23074483.5802389</v>
      </c>
      <c r="BH35" s="89" t="n">
        <f aca="true">IF(BH$5=0,BG35,MAX(0,(BG35-BH$4)*(1+NORMINV(RAND(),INPUTS!$B$28,INPUTS!$B$29))))</f>
        <v>23074483.5802389</v>
      </c>
      <c r="BI35" s="89" t="n">
        <f aca="true">IF(BI$5=0,BH35,MAX(0,(BH35-BI$4)*(1+NORMINV(RAND(),INPUTS!$B$28,INPUTS!$B$29))))</f>
        <v>23074483.5802389</v>
      </c>
      <c r="BJ35" s="89" t="n">
        <f aca="true">IF(BJ$5=0,BI35,MAX(0,(BI35-BJ$4)*(1+NORMINV(RAND(),INPUTS!$B$28,INPUTS!$B$29))))</f>
        <v>23074483.5802389</v>
      </c>
    </row>
    <row r="36" customFormat="false" ht="15" hidden="false" customHeight="true" outlineLevel="0" collapsed="false">
      <c r="A36" s="87" t="n">
        <v>29</v>
      </c>
      <c r="B36" s="88" t="n">
        <f aca="false">LOOKUP(9.99E+307,C36:BJ36)</f>
        <v>11229292.611868</v>
      </c>
      <c r="C36" s="89" t="n">
        <f aca="true">IF(C$5=0,INPUTS!$B$35,MAX(0,(INPUTS!$B$35-C$4)*(1+NORMINV(RAND(),INPUTS!$B$28,INPUTS!$B$29))))</f>
        <v>1383987.65584699</v>
      </c>
      <c r="D36" s="89" t="n">
        <f aca="true">IF(D$5=0,C36,MAX(0,(C36-D$4)*(1+NORMINV(RAND(),INPUTS!$B$28,INPUTS!$B$29))))</f>
        <v>1231359.4476591</v>
      </c>
      <c r="E36" s="89" t="n">
        <f aca="true">IF(E$5=0,D36,MAX(0,(D36-E$4)*(1+NORMINV(RAND(),INPUTS!$B$28,INPUTS!$B$29))))</f>
        <v>1309419.60716725</v>
      </c>
      <c r="F36" s="89" t="n">
        <f aca="true">IF(F$5=0,E36,MAX(0,(E36-F$4)*(1+NORMINV(RAND(),INPUTS!$B$28,INPUTS!$B$29))))</f>
        <v>1353154.99442064</v>
      </c>
      <c r="G36" s="89" t="n">
        <f aca="true">IF(G$5=0,F36,MAX(0,(F36-G$4)*(1+NORMINV(RAND(),INPUTS!$B$28,INPUTS!$B$29))))</f>
        <v>1486551.60446474</v>
      </c>
      <c r="H36" s="89" t="n">
        <f aca="true">IF(H$5=0,G36,MAX(0,(G36-H$4)*(1+NORMINV(RAND(),INPUTS!$B$28,INPUTS!$B$29))))</f>
        <v>1516182.05578762</v>
      </c>
      <c r="I36" s="89" t="n">
        <f aca="true">IF(I$5=0,H36,MAX(0,(H36-I$4)*(1+NORMINV(RAND(),INPUTS!$B$28,INPUTS!$B$29))))</f>
        <v>1678316.23630783</v>
      </c>
      <c r="J36" s="89" t="n">
        <f aca="true">IF(J$5=0,I36,MAX(0,(I36-J$4)*(1+NORMINV(RAND(),INPUTS!$B$28,INPUTS!$B$29))))</f>
        <v>1848925.06073396</v>
      </c>
      <c r="K36" s="89" t="n">
        <f aca="true">IF(K$5=0,J36,MAX(0,(J36-K$4)*(1+NORMINV(RAND(),INPUTS!$B$28,INPUTS!$B$29))))</f>
        <v>1827625.03429782</v>
      </c>
      <c r="L36" s="89" t="n">
        <f aca="true">IF(L$5=0,K36,MAX(0,(K36-L$4)*(1+NORMINV(RAND(),INPUTS!$B$28,INPUTS!$B$29))))</f>
        <v>1333756.77645917</v>
      </c>
      <c r="M36" s="89" t="n">
        <f aca="true">IF(M$5=0,L36,MAX(0,(L36-M$4)*(1+NORMINV(RAND(),INPUTS!$B$28,INPUTS!$B$29))))</f>
        <v>1404697.0090593</v>
      </c>
      <c r="N36" s="89" t="n">
        <f aca="true">IF(N$5=0,M36,MAX(0,(M36-N$4)*(1+NORMINV(RAND(),INPUTS!$B$28,INPUTS!$B$29))))</f>
        <v>1313210.94716946</v>
      </c>
      <c r="O36" s="89" t="n">
        <f aca="true">IF(O$5=0,N36,MAX(0,(N36-O$4)*(1+NORMINV(RAND(),INPUTS!$B$28,INPUTS!$B$29))))</f>
        <v>1445229.98586875</v>
      </c>
      <c r="P36" s="89" t="n">
        <f aca="true">IF(P$5=0,O36,MAX(0,(O36-P$4)*(1+NORMINV(RAND(),INPUTS!$B$28,INPUTS!$B$29))))</f>
        <v>1459251.54137987</v>
      </c>
      <c r="Q36" s="89" t="n">
        <f aca="true">IF(Q$5=0,P36,MAX(0,(P36-Q$4)*(1+NORMINV(RAND(),INPUTS!$B$28,INPUTS!$B$29))))</f>
        <v>1912465.33980899</v>
      </c>
      <c r="R36" s="89" t="n">
        <f aca="true">IF(R$5=0,Q36,MAX(0,(Q36-R$4)*(1+NORMINV(RAND(),INPUTS!$B$28,INPUTS!$B$29))))</f>
        <v>1853763.35285017</v>
      </c>
      <c r="S36" s="89" t="n">
        <f aca="true">IF(S$5=0,R36,MAX(0,(R36-S$4)*(1+NORMINV(RAND(),INPUTS!$B$28,INPUTS!$B$29))))</f>
        <v>2300000.5114359</v>
      </c>
      <c r="T36" s="89" t="n">
        <f aca="true">IF(T$5=0,S36,MAX(0,(S36-T$4)*(1+NORMINV(RAND(),INPUTS!$B$28,INPUTS!$B$29))))</f>
        <v>2044564.88191881</v>
      </c>
      <c r="U36" s="89" t="n">
        <f aca="true">IF(U$5=0,T36,MAX(0,(T36-U$4)*(1+NORMINV(RAND(),INPUTS!$B$28,INPUTS!$B$29))))</f>
        <v>2342457.92593373</v>
      </c>
      <c r="V36" s="89" t="n">
        <f aca="true">IF(V$5=0,U36,MAX(0,(U36-V$4)*(1+NORMINV(RAND(),INPUTS!$B$28,INPUTS!$B$29))))</f>
        <v>2950440.54515694</v>
      </c>
      <c r="W36" s="89" t="n">
        <f aca="true">IF(W$5=0,V36,MAX(0,(V36-W$4)*(1+NORMINV(RAND(),INPUTS!$B$28,INPUTS!$B$29))))</f>
        <v>2675060.95637693</v>
      </c>
      <c r="X36" s="89" t="n">
        <f aca="true">IF(X$5=0,W36,MAX(0,(W36-X$4)*(1+NORMINV(RAND(),INPUTS!$B$28,INPUTS!$B$29))))</f>
        <v>2863732.87494409</v>
      </c>
      <c r="Y36" s="89" t="n">
        <f aca="true">IF(Y$5=0,X36,MAX(0,(X36-Y$4)*(1+NORMINV(RAND(),INPUTS!$B$28,INPUTS!$B$29))))</f>
        <v>3389673.54931196</v>
      </c>
      <c r="Z36" s="89" t="n">
        <f aca="true">IF(Z$5=0,Y36,MAX(0,(Y36-Z$4)*(1+NORMINV(RAND(),INPUTS!$B$28,INPUTS!$B$29))))</f>
        <v>3507215.56154508</v>
      </c>
      <c r="AA36" s="89" t="n">
        <f aca="true">IF(AA$5=0,Z36,MAX(0,(Z36-AA$4)*(1+NORMINV(RAND(),INPUTS!$B$28,INPUTS!$B$29))))</f>
        <v>3485927.15998459</v>
      </c>
      <c r="AB36" s="89" t="n">
        <f aca="true">IF(AB$5=0,AA36,MAX(0,(AA36-AB$4)*(1+NORMINV(RAND(),INPUTS!$B$28,INPUTS!$B$29))))</f>
        <v>3544889.39044141</v>
      </c>
      <c r="AC36" s="89" t="n">
        <f aca="true">IF(AC$5=0,AB36,MAX(0,(AB36-AC$4)*(1+NORMINV(RAND(),INPUTS!$B$28,INPUTS!$B$29))))</f>
        <v>4474231.99635174</v>
      </c>
      <c r="AD36" s="89" t="n">
        <f aca="true">IF(AD$5=0,AC36,MAX(0,(AC36-AD$4)*(1+NORMINV(RAND(),INPUTS!$B$28,INPUTS!$B$29))))</f>
        <v>4858069.37409921</v>
      </c>
      <c r="AE36" s="89" t="n">
        <f aca="true">IF(AE$5=0,AD36,MAX(0,(AD36-AE$4)*(1+NORMINV(RAND(),INPUTS!$B$28,INPUTS!$B$29))))</f>
        <v>4693769.19107323</v>
      </c>
      <c r="AF36" s="89" t="n">
        <f aca="true">IF(AF$5=0,AE36,MAX(0,(AE36-AF$4)*(1+NORMINV(RAND(),INPUTS!$B$28,INPUTS!$B$29))))</f>
        <v>5553045.02002319</v>
      </c>
      <c r="AG36" s="89" t="n">
        <f aca="true">IF(AG$5=0,AF36,MAX(0,(AF36-AG$4)*(1+NORMINV(RAND(),INPUTS!$B$28,INPUTS!$B$29))))</f>
        <v>4948010.01487641</v>
      </c>
      <c r="AH36" s="89" t="n">
        <f aca="true">IF(AH$5=0,AG36,MAX(0,(AG36-AH$4)*(1+NORMINV(RAND(),INPUTS!$B$28,INPUTS!$B$29))))</f>
        <v>5611219.07117348</v>
      </c>
      <c r="AI36" s="89" t="n">
        <f aca="true">IF(AI$5=0,AH36,MAX(0,(AH36-AI$4)*(1+NORMINV(RAND(),INPUTS!$B$28,INPUTS!$B$29))))</f>
        <v>6984345.67720944</v>
      </c>
      <c r="AJ36" s="89" t="n">
        <f aca="true">IF(AJ$5=0,AI36,MAX(0,(AI36-AJ$4)*(1+NORMINV(RAND(),INPUTS!$B$28,INPUTS!$B$29))))</f>
        <v>8921567.6882198</v>
      </c>
      <c r="AK36" s="89" t="n">
        <f aca="true">IF(AK$5=0,AJ36,MAX(0,(AJ36-AK$4)*(1+NORMINV(RAND(),INPUTS!$B$28,INPUTS!$B$29))))</f>
        <v>11063857.1920651</v>
      </c>
      <c r="AL36" s="89" t="n">
        <f aca="true">IF(AL$5=0,AK36,MAX(0,(AK36-AL$4)*(1+NORMINV(RAND(),INPUTS!$B$28,INPUTS!$B$29))))</f>
        <v>11229292.611868</v>
      </c>
      <c r="AM36" s="89" t="n">
        <f aca="true">IF(AM$5=0,AL36,MAX(0,(AL36-AM$4)*(1+NORMINV(RAND(),INPUTS!$B$28,INPUTS!$B$29))))</f>
        <v>11229292.611868</v>
      </c>
      <c r="AN36" s="89" t="n">
        <f aca="true">IF(AN$5=0,AM36,MAX(0,(AM36-AN$4)*(1+NORMINV(RAND(),INPUTS!$B$28,INPUTS!$B$29))))</f>
        <v>11229292.611868</v>
      </c>
      <c r="AO36" s="89" t="n">
        <f aca="true">IF(AO$5=0,AN36,MAX(0,(AN36-AO$4)*(1+NORMINV(RAND(),INPUTS!$B$28,INPUTS!$B$29))))</f>
        <v>11229292.611868</v>
      </c>
      <c r="AP36" s="89" t="n">
        <f aca="true">IF(AP$5=0,AO36,MAX(0,(AO36-AP$4)*(1+NORMINV(RAND(),INPUTS!$B$28,INPUTS!$B$29))))</f>
        <v>11229292.611868</v>
      </c>
      <c r="AQ36" s="89" t="n">
        <f aca="true">IF(AQ$5=0,AP36,MAX(0,(AP36-AQ$4)*(1+NORMINV(RAND(),INPUTS!$B$28,INPUTS!$B$29))))</f>
        <v>11229292.611868</v>
      </c>
      <c r="AR36" s="89" t="n">
        <f aca="true">IF(AR$5=0,AQ36,MAX(0,(AQ36-AR$4)*(1+NORMINV(RAND(),INPUTS!$B$28,INPUTS!$B$29))))</f>
        <v>11229292.611868</v>
      </c>
      <c r="AS36" s="89" t="n">
        <f aca="true">IF(AS$5=0,AR36,MAX(0,(AR36-AS$4)*(1+NORMINV(RAND(),INPUTS!$B$28,INPUTS!$B$29))))</f>
        <v>11229292.611868</v>
      </c>
      <c r="AT36" s="89" t="n">
        <f aca="true">IF(AT$5=0,AS36,MAX(0,(AS36-AT$4)*(1+NORMINV(RAND(),INPUTS!$B$28,INPUTS!$B$29))))</f>
        <v>11229292.611868</v>
      </c>
      <c r="AU36" s="89" t="n">
        <f aca="true">IF(AU$5=0,AT36,MAX(0,(AT36-AU$4)*(1+NORMINV(RAND(),INPUTS!$B$28,INPUTS!$B$29))))</f>
        <v>11229292.611868</v>
      </c>
      <c r="AV36" s="89" t="n">
        <f aca="true">IF(AV$5=0,AU36,MAX(0,(AU36-AV$4)*(1+NORMINV(RAND(),INPUTS!$B$28,INPUTS!$B$29))))</f>
        <v>11229292.611868</v>
      </c>
      <c r="AW36" s="89" t="n">
        <f aca="true">IF(AW$5=0,AV36,MAX(0,(AV36-AW$4)*(1+NORMINV(RAND(),INPUTS!$B$28,INPUTS!$B$29))))</f>
        <v>11229292.611868</v>
      </c>
      <c r="AX36" s="89" t="n">
        <f aca="true">IF(AX$5=0,AW36,MAX(0,(AW36-AX$4)*(1+NORMINV(RAND(),INPUTS!$B$28,INPUTS!$B$29))))</f>
        <v>11229292.611868</v>
      </c>
      <c r="AY36" s="89" t="n">
        <f aca="true">IF(AY$5=0,AX36,MAX(0,(AX36-AY$4)*(1+NORMINV(RAND(),INPUTS!$B$28,INPUTS!$B$29))))</f>
        <v>11229292.611868</v>
      </c>
      <c r="AZ36" s="89" t="n">
        <f aca="true">IF(AZ$5=0,AY36,MAX(0,(AY36-AZ$4)*(1+NORMINV(RAND(),INPUTS!$B$28,INPUTS!$B$29))))</f>
        <v>11229292.611868</v>
      </c>
      <c r="BA36" s="89" t="n">
        <f aca="true">IF(BA$5=0,AZ36,MAX(0,(AZ36-BA$4)*(1+NORMINV(RAND(),INPUTS!$B$28,INPUTS!$B$29))))</f>
        <v>11229292.611868</v>
      </c>
      <c r="BB36" s="89" t="n">
        <f aca="true">IF(BB$5=0,BA36,MAX(0,(BA36-BB$4)*(1+NORMINV(RAND(),INPUTS!$B$28,INPUTS!$B$29))))</f>
        <v>11229292.611868</v>
      </c>
      <c r="BC36" s="89" t="n">
        <f aca="true">IF(BC$5=0,BB36,MAX(0,(BB36-BC$4)*(1+NORMINV(RAND(),INPUTS!$B$28,INPUTS!$B$29))))</f>
        <v>11229292.611868</v>
      </c>
      <c r="BD36" s="89" t="n">
        <f aca="true">IF(BD$5=0,BC36,MAX(0,(BC36-BD$4)*(1+NORMINV(RAND(),INPUTS!$B$28,INPUTS!$B$29))))</f>
        <v>11229292.611868</v>
      </c>
      <c r="BE36" s="89" t="n">
        <f aca="true">IF(BE$5=0,BD36,MAX(0,(BD36-BE$4)*(1+NORMINV(RAND(),INPUTS!$B$28,INPUTS!$B$29))))</f>
        <v>11229292.611868</v>
      </c>
      <c r="BF36" s="89" t="n">
        <f aca="true">IF(BF$5=0,BE36,MAX(0,(BE36-BF$4)*(1+NORMINV(RAND(),INPUTS!$B$28,INPUTS!$B$29))))</f>
        <v>11229292.611868</v>
      </c>
      <c r="BG36" s="89" t="n">
        <f aca="true">IF(BG$5=0,BF36,MAX(0,(BF36-BG$4)*(1+NORMINV(RAND(),INPUTS!$B$28,INPUTS!$B$29))))</f>
        <v>11229292.611868</v>
      </c>
      <c r="BH36" s="89" t="n">
        <f aca="true">IF(BH$5=0,BG36,MAX(0,(BG36-BH$4)*(1+NORMINV(RAND(),INPUTS!$B$28,INPUTS!$B$29))))</f>
        <v>11229292.611868</v>
      </c>
      <c r="BI36" s="89" t="n">
        <f aca="true">IF(BI$5=0,BH36,MAX(0,(BH36-BI$4)*(1+NORMINV(RAND(),INPUTS!$B$28,INPUTS!$B$29))))</f>
        <v>11229292.611868</v>
      </c>
      <c r="BJ36" s="89" t="n">
        <f aca="true">IF(BJ$5=0,BI36,MAX(0,(BI36-BJ$4)*(1+NORMINV(RAND(),INPUTS!$B$28,INPUTS!$B$29))))</f>
        <v>11229292.611868</v>
      </c>
    </row>
    <row r="37" customFormat="false" ht="15" hidden="false" customHeight="true" outlineLevel="0" collapsed="false">
      <c r="A37" s="87" t="n">
        <v>30</v>
      </c>
      <c r="B37" s="88" t="n">
        <f aca="false">LOOKUP(9.99E+307,C37:BJ37)</f>
        <v>5214793.13457672</v>
      </c>
      <c r="C37" s="89" t="n">
        <f aca="true">IF(C$5=0,INPUTS!$B$35,MAX(0,(INPUTS!$B$35-C$4)*(1+NORMINV(RAND(),INPUTS!$B$28,INPUTS!$B$29))))</f>
        <v>1461232.48570549</v>
      </c>
      <c r="D37" s="89" t="n">
        <f aca="true">IF(D$5=0,C37,MAX(0,(C37-D$4)*(1+NORMINV(RAND(),INPUTS!$B$28,INPUTS!$B$29))))</f>
        <v>1661792.10539125</v>
      </c>
      <c r="E37" s="89" t="n">
        <f aca="true">IF(E$5=0,D37,MAX(0,(D37-E$4)*(1+NORMINV(RAND(),INPUTS!$B$28,INPUTS!$B$29))))</f>
        <v>1580628.66409966</v>
      </c>
      <c r="F37" s="89" t="n">
        <f aca="true">IF(F$5=0,E37,MAX(0,(E37-F$4)*(1+NORMINV(RAND(),INPUTS!$B$28,INPUTS!$B$29))))</f>
        <v>1700983.03990867</v>
      </c>
      <c r="G37" s="89" t="n">
        <f aca="true">IF(G$5=0,F37,MAX(0,(F37-G$4)*(1+NORMINV(RAND(),INPUTS!$B$28,INPUTS!$B$29))))</f>
        <v>1864886.19311112</v>
      </c>
      <c r="H37" s="89" t="n">
        <f aca="true">IF(H$5=0,G37,MAX(0,(G37-H$4)*(1+NORMINV(RAND(),INPUTS!$B$28,INPUTS!$B$29))))</f>
        <v>1830485.9673256</v>
      </c>
      <c r="I37" s="89" t="n">
        <f aca="true">IF(I$5=0,H37,MAX(0,(H37-I$4)*(1+NORMINV(RAND(),INPUTS!$B$28,INPUTS!$B$29))))</f>
        <v>1944535.60080603</v>
      </c>
      <c r="J37" s="89" t="n">
        <f aca="true">IF(J$5=0,I37,MAX(0,(I37-J$4)*(1+NORMINV(RAND(),INPUTS!$B$28,INPUTS!$B$29))))</f>
        <v>1688105.47998074</v>
      </c>
      <c r="K37" s="89" t="n">
        <f aca="true">IF(K$5=0,J37,MAX(0,(J37-K$4)*(1+NORMINV(RAND(),INPUTS!$B$28,INPUTS!$B$29))))</f>
        <v>1822041.35884001</v>
      </c>
      <c r="L37" s="89" t="n">
        <f aca="true">IF(L$5=0,K37,MAX(0,(K37-L$4)*(1+NORMINV(RAND(),INPUTS!$B$28,INPUTS!$B$29))))</f>
        <v>2057069.58708849</v>
      </c>
      <c r="M37" s="89" t="n">
        <f aca="true">IF(M$5=0,L37,MAX(0,(L37-M$4)*(1+NORMINV(RAND(),INPUTS!$B$28,INPUTS!$B$29))))</f>
        <v>2028704.11394374</v>
      </c>
      <c r="N37" s="89" t="n">
        <f aca="true">IF(N$5=0,M37,MAX(0,(M37-N$4)*(1+NORMINV(RAND(),INPUTS!$B$28,INPUTS!$B$29))))</f>
        <v>2096476.33906282</v>
      </c>
      <c r="O37" s="89" t="n">
        <f aca="true">IF(O$5=0,N37,MAX(0,(N37-O$4)*(1+NORMINV(RAND(),INPUTS!$B$28,INPUTS!$B$29))))</f>
        <v>2348041.48003847</v>
      </c>
      <c r="P37" s="89" t="n">
        <f aca="true">IF(P$5=0,O37,MAX(0,(O37-P$4)*(1+NORMINV(RAND(),INPUTS!$B$28,INPUTS!$B$29))))</f>
        <v>2306824.89666187</v>
      </c>
      <c r="Q37" s="89" t="n">
        <f aca="true">IF(Q$5=0,P37,MAX(0,(P37-Q$4)*(1+NORMINV(RAND(),INPUTS!$B$28,INPUTS!$B$29))))</f>
        <v>2139190.3173755</v>
      </c>
      <c r="R37" s="89" t="n">
        <f aca="true">IF(R$5=0,Q37,MAX(0,(Q37-R$4)*(1+NORMINV(RAND(),INPUTS!$B$28,INPUTS!$B$29))))</f>
        <v>2116969.86821314</v>
      </c>
      <c r="S37" s="89" t="n">
        <f aca="true">IF(S$5=0,R37,MAX(0,(R37-S$4)*(1+NORMINV(RAND(),INPUTS!$B$28,INPUTS!$B$29))))</f>
        <v>2294645.25515427</v>
      </c>
      <c r="T37" s="89" t="n">
        <f aca="true">IF(T$5=0,S37,MAX(0,(S37-T$4)*(1+NORMINV(RAND(),INPUTS!$B$28,INPUTS!$B$29))))</f>
        <v>2811527.81002799</v>
      </c>
      <c r="U37" s="89" t="n">
        <f aca="true">IF(U$5=0,T37,MAX(0,(T37-U$4)*(1+NORMINV(RAND(),INPUTS!$B$28,INPUTS!$B$29))))</f>
        <v>2820196.26841699</v>
      </c>
      <c r="V37" s="89" t="n">
        <f aca="true">IF(V$5=0,U37,MAX(0,(U37-V$4)*(1+NORMINV(RAND(),INPUTS!$B$28,INPUTS!$B$29))))</f>
        <v>2922469.53694356</v>
      </c>
      <c r="W37" s="89" t="n">
        <f aca="true">IF(W$5=0,V37,MAX(0,(V37-W$4)*(1+NORMINV(RAND(),INPUTS!$B$28,INPUTS!$B$29))))</f>
        <v>3856337.09909993</v>
      </c>
      <c r="X37" s="89" t="n">
        <f aca="true">IF(X$5=0,W37,MAX(0,(W37-X$4)*(1+NORMINV(RAND(),INPUTS!$B$28,INPUTS!$B$29))))</f>
        <v>3542220.63956582</v>
      </c>
      <c r="Y37" s="89" t="n">
        <f aca="true">IF(Y$5=0,X37,MAX(0,(X37-Y$4)*(1+NORMINV(RAND(),INPUTS!$B$28,INPUTS!$B$29))))</f>
        <v>3538373.39259311</v>
      </c>
      <c r="Z37" s="89" t="n">
        <f aca="true">IF(Z$5=0,Y37,MAX(0,(Y37-Z$4)*(1+NORMINV(RAND(),INPUTS!$B$28,INPUTS!$B$29))))</f>
        <v>3765295.66463257</v>
      </c>
      <c r="AA37" s="89" t="n">
        <f aca="true">IF(AA$5=0,Z37,MAX(0,(Z37-AA$4)*(1+NORMINV(RAND(),INPUTS!$B$28,INPUTS!$B$29))))</f>
        <v>3953719.69710483</v>
      </c>
      <c r="AB37" s="89" t="n">
        <f aca="true">IF(AB$5=0,AA37,MAX(0,(AA37-AB$4)*(1+NORMINV(RAND(),INPUTS!$B$28,INPUTS!$B$29))))</f>
        <v>4343481.60591502</v>
      </c>
      <c r="AC37" s="89" t="n">
        <f aca="true">IF(AC$5=0,AB37,MAX(0,(AB37-AC$4)*(1+NORMINV(RAND(),INPUTS!$B$28,INPUTS!$B$29))))</f>
        <v>4451464.71932328</v>
      </c>
      <c r="AD37" s="89" t="n">
        <f aca="true">IF(AD$5=0,AC37,MAX(0,(AC37-AD$4)*(1+NORMINV(RAND(),INPUTS!$B$28,INPUTS!$B$29))))</f>
        <v>4078661.8426805</v>
      </c>
      <c r="AE37" s="89" t="n">
        <f aca="true">IF(AE$5=0,AD37,MAX(0,(AD37-AE$4)*(1+NORMINV(RAND(),INPUTS!$B$28,INPUTS!$B$29))))</f>
        <v>4202256.29792855</v>
      </c>
      <c r="AF37" s="89" t="n">
        <f aca="true">IF(AF$5=0,AE37,MAX(0,(AE37-AF$4)*(1+NORMINV(RAND(),INPUTS!$B$28,INPUTS!$B$29))))</f>
        <v>4314494.58519598</v>
      </c>
      <c r="AG37" s="89" t="n">
        <f aca="true">IF(AG$5=0,AF37,MAX(0,(AF37-AG$4)*(1+NORMINV(RAND(),INPUTS!$B$28,INPUTS!$B$29))))</f>
        <v>5432077.33320243</v>
      </c>
      <c r="AH37" s="89" t="n">
        <f aca="true">IF(AH$5=0,AG37,MAX(0,(AG37-AH$4)*(1+NORMINV(RAND(),INPUTS!$B$28,INPUTS!$B$29))))</f>
        <v>5260028.40087904</v>
      </c>
      <c r="AI37" s="89" t="n">
        <f aca="true">IF(AI$5=0,AH37,MAX(0,(AH37-AI$4)*(1+NORMINV(RAND(),INPUTS!$B$28,INPUTS!$B$29))))</f>
        <v>5445120.98922035</v>
      </c>
      <c r="AJ37" s="89" t="n">
        <f aca="true">IF(AJ$5=0,AI37,MAX(0,(AI37-AJ$4)*(1+NORMINV(RAND(),INPUTS!$B$28,INPUTS!$B$29))))</f>
        <v>5327252.22143726</v>
      </c>
      <c r="AK37" s="89" t="n">
        <f aca="true">IF(AK$5=0,AJ37,MAX(0,(AJ37-AK$4)*(1+NORMINV(RAND(),INPUTS!$B$28,INPUTS!$B$29))))</f>
        <v>5355227.8069748</v>
      </c>
      <c r="AL37" s="89" t="n">
        <f aca="true">IF(AL$5=0,AK37,MAX(0,(AK37-AL$4)*(1+NORMINV(RAND(),INPUTS!$B$28,INPUTS!$B$29))))</f>
        <v>5214793.13457672</v>
      </c>
      <c r="AM37" s="89" t="n">
        <f aca="true">IF(AM$5=0,AL37,MAX(0,(AL37-AM$4)*(1+NORMINV(RAND(),INPUTS!$B$28,INPUTS!$B$29))))</f>
        <v>5214793.13457672</v>
      </c>
      <c r="AN37" s="89" t="n">
        <f aca="true">IF(AN$5=0,AM37,MAX(0,(AM37-AN$4)*(1+NORMINV(RAND(),INPUTS!$B$28,INPUTS!$B$29))))</f>
        <v>5214793.13457672</v>
      </c>
      <c r="AO37" s="89" t="n">
        <f aca="true">IF(AO$5=0,AN37,MAX(0,(AN37-AO$4)*(1+NORMINV(RAND(),INPUTS!$B$28,INPUTS!$B$29))))</f>
        <v>5214793.13457672</v>
      </c>
      <c r="AP37" s="89" t="n">
        <f aca="true">IF(AP$5=0,AO37,MAX(0,(AO37-AP$4)*(1+NORMINV(RAND(),INPUTS!$B$28,INPUTS!$B$29))))</f>
        <v>5214793.13457672</v>
      </c>
      <c r="AQ37" s="89" t="n">
        <f aca="true">IF(AQ$5=0,AP37,MAX(0,(AP37-AQ$4)*(1+NORMINV(RAND(),INPUTS!$B$28,INPUTS!$B$29))))</f>
        <v>5214793.13457672</v>
      </c>
      <c r="AR37" s="89" t="n">
        <f aca="true">IF(AR$5=0,AQ37,MAX(0,(AQ37-AR$4)*(1+NORMINV(RAND(),INPUTS!$B$28,INPUTS!$B$29))))</f>
        <v>5214793.13457672</v>
      </c>
      <c r="AS37" s="89" t="n">
        <f aca="true">IF(AS$5=0,AR37,MAX(0,(AR37-AS$4)*(1+NORMINV(RAND(),INPUTS!$B$28,INPUTS!$B$29))))</f>
        <v>5214793.13457672</v>
      </c>
      <c r="AT37" s="89" t="n">
        <f aca="true">IF(AT$5=0,AS37,MAX(0,(AS37-AT$4)*(1+NORMINV(RAND(),INPUTS!$B$28,INPUTS!$B$29))))</f>
        <v>5214793.13457672</v>
      </c>
      <c r="AU37" s="89" t="n">
        <f aca="true">IF(AU$5=0,AT37,MAX(0,(AT37-AU$4)*(1+NORMINV(RAND(),INPUTS!$B$28,INPUTS!$B$29))))</f>
        <v>5214793.13457672</v>
      </c>
      <c r="AV37" s="89" t="n">
        <f aca="true">IF(AV$5=0,AU37,MAX(0,(AU37-AV$4)*(1+NORMINV(RAND(),INPUTS!$B$28,INPUTS!$B$29))))</f>
        <v>5214793.13457672</v>
      </c>
      <c r="AW37" s="89" t="n">
        <f aca="true">IF(AW$5=0,AV37,MAX(0,(AV37-AW$4)*(1+NORMINV(RAND(),INPUTS!$B$28,INPUTS!$B$29))))</f>
        <v>5214793.13457672</v>
      </c>
      <c r="AX37" s="89" t="n">
        <f aca="true">IF(AX$5=0,AW37,MAX(0,(AW37-AX$4)*(1+NORMINV(RAND(),INPUTS!$B$28,INPUTS!$B$29))))</f>
        <v>5214793.13457672</v>
      </c>
      <c r="AY37" s="89" t="n">
        <f aca="true">IF(AY$5=0,AX37,MAX(0,(AX37-AY$4)*(1+NORMINV(RAND(),INPUTS!$B$28,INPUTS!$B$29))))</f>
        <v>5214793.13457672</v>
      </c>
      <c r="AZ37" s="89" t="n">
        <f aca="true">IF(AZ$5=0,AY37,MAX(0,(AY37-AZ$4)*(1+NORMINV(RAND(),INPUTS!$B$28,INPUTS!$B$29))))</f>
        <v>5214793.13457672</v>
      </c>
      <c r="BA37" s="89" t="n">
        <f aca="true">IF(BA$5=0,AZ37,MAX(0,(AZ37-BA$4)*(1+NORMINV(RAND(),INPUTS!$B$28,INPUTS!$B$29))))</f>
        <v>5214793.13457672</v>
      </c>
      <c r="BB37" s="89" t="n">
        <f aca="true">IF(BB$5=0,BA37,MAX(0,(BA37-BB$4)*(1+NORMINV(RAND(),INPUTS!$B$28,INPUTS!$B$29))))</f>
        <v>5214793.13457672</v>
      </c>
      <c r="BC37" s="89" t="n">
        <f aca="true">IF(BC$5=0,BB37,MAX(0,(BB37-BC$4)*(1+NORMINV(RAND(),INPUTS!$B$28,INPUTS!$B$29))))</f>
        <v>5214793.13457672</v>
      </c>
      <c r="BD37" s="89" t="n">
        <f aca="true">IF(BD$5=0,BC37,MAX(0,(BC37-BD$4)*(1+NORMINV(RAND(),INPUTS!$B$28,INPUTS!$B$29))))</f>
        <v>5214793.13457672</v>
      </c>
      <c r="BE37" s="89" t="n">
        <f aca="true">IF(BE$5=0,BD37,MAX(0,(BD37-BE$4)*(1+NORMINV(RAND(),INPUTS!$B$28,INPUTS!$B$29))))</f>
        <v>5214793.13457672</v>
      </c>
      <c r="BF37" s="89" t="n">
        <f aca="true">IF(BF$5=0,BE37,MAX(0,(BE37-BF$4)*(1+NORMINV(RAND(),INPUTS!$B$28,INPUTS!$B$29))))</f>
        <v>5214793.13457672</v>
      </c>
      <c r="BG37" s="89" t="n">
        <f aca="true">IF(BG$5=0,BF37,MAX(0,(BF37-BG$4)*(1+NORMINV(RAND(),INPUTS!$B$28,INPUTS!$B$29))))</f>
        <v>5214793.13457672</v>
      </c>
      <c r="BH37" s="89" t="n">
        <f aca="true">IF(BH$5=0,BG37,MAX(0,(BG37-BH$4)*(1+NORMINV(RAND(),INPUTS!$B$28,INPUTS!$B$29))))</f>
        <v>5214793.13457672</v>
      </c>
      <c r="BI37" s="89" t="n">
        <f aca="true">IF(BI$5=0,BH37,MAX(0,(BH37-BI$4)*(1+NORMINV(RAND(),INPUTS!$B$28,INPUTS!$B$29))))</f>
        <v>5214793.13457672</v>
      </c>
      <c r="BJ37" s="89" t="n">
        <f aca="true">IF(BJ$5=0,BI37,MAX(0,(BI37-BJ$4)*(1+NORMINV(RAND(),INPUTS!$B$28,INPUTS!$B$29))))</f>
        <v>5214793.13457672</v>
      </c>
    </row>
    <row r="38" customFormat="false" ht="15" hidden="false" customHeight="true" outlineLevel="0" collapsed="false">
      <c r="A38" s="87" t="n">
        <v>31</v>
      </c>
      <c r="B38" s="88" t="n">
        <f aca="false">LOOKUP(9.99E+307,C38:BJ38)</f>
        <v>302627.574174487</v>
      </c>
      <c r="C38" s="89" t="n">
        <f aca="true">IF(C$5=0,INPUTS!$B$35,MAX(0,(INPUTS!$B$35-C$4)*(1+NORMINV(RAND(),INPUTS!$B$28,INPUTS!$B$29))))</f>
        <v>1348543.68538222</v>
      </c>
      <c r="D38" s="89" t="n">
        <f aca="true">IF(D$5=0,C38,MAX(0,(C38-D$4)*(1+NORMINV(RAND(),INPUTS!$B$28,INPUTS!$B$29))))</f>
        <v>1160924.80697991</v>
      </c>
      <c r="E38" s="89" t="n">
        <f aca="true">IF(E$5=0,D38,MAX(0,(D38-E$4)*(1+NORMINV(RAND(),INPUTS!$B$28,INPUTS!$B$29))))</f>
        <v>984647.20208953</v>
      </c>
      <c r="F38" s="89" t="n">
        <f aca="true">IF(F$5=0,E38,MAX(0,(E38-F$4)*(1+NORMINV(RAND(),INPUTS!$B$28,INPUTS!$B$29))))</f>
        <v>1028580.11719093</v>
      </c>
      <c r="G38" s="89" t="n">
        <f aca="true">IF(G$5=0,F38,MAX(0,(F38-G$4)*(1+NORMINV(RAND(),INPUTS!$B$28,INPUTS!$B$29))))</f>
        <v>861304.140487888</v>
      </c>
      <c r="H38" s="89" t="n">
        <f aca="true">IF(H$5=0,G38,MAX(0,(G38-H$4)*(1+NORMINV(RAND(),INPUTS!$B$28,INPUTS!$B$29))))</f>
        <v>953957.366455003</v>
      </c>
      <c r="I38" s="89" t="n">
        <f aca="true">IF(I$5=0,H38,MAX(0,(H38-I$4)*(1+NORMINV(RAND(),INPUTS!$B$28,INPUTS!$B$29))))</f>
        <v>1092544.24316042</v>
      </c>
      <c r="J38" s="89" t="n">
        <f aca="true">IF(J$5=0,I38,MAX(0,(I38-J$4)*(1+NORMINV(RAND(),INPUTS!$B$28,INPUTS!$B$29))))</f>
        <v>1079834.59345308</v>
      </c>
      <c r="K38" s="89" t="n">
        <f aca="true">IF(K$5=0,J38,MAX(0,(J38-K$4)*(1+NORMINV(RAND(),INPUTS!$B$28,INPUTS!$B$29))))</f>
        <v>988673.906443374</v>
      </c>
      <c r="L38" s="89" t="n">
        <f aca="true">IF(L$5=0,K38,MAX(0,(K38-L$4)*(1+NORMINV(RAND(),INPUTS!$B$28,INPUTS!$B$29))))</f>
        <v>1116603.88441337</v>
      </c>
      <c r="M38" s="89" t="n">
        <f aca="true">IF(M$5=0,L38,MAX(0,(L38-M$4)*(1+NORMINV(RAND(),INPUTS!$B$28,INPUTS!$B$29))))</f>
        <v>1007283.49206604</v>
      </c>
      <c r="N38" s="89" t="n">
        <f aca="true">IF(N$5=0,M38,MAX(0,(M38-N$4)*(1+NORMINV(RAND(),INPUTS!$B$28,INPUTS!$B$29))))</f>
        <v>1124882.35814356</v>
      </c>
      <c r="O38" s="89" t="n">
        <f aca="true">IF(O$5=0,N38,MAX(0,(N38-O$4)*(1+NORMINV(RAND(),INPUTS!$B$28,INPUTS!$B$29))))</f>
        <v>1180506.77592248</v>
      </c>
      <c r="P38" s="89" t="n">
        <f aca="true">IF(P$5=0,O38,MAX(0,(O38-P$4)*(1+NORMINV(RAND(),INPUTS!$B$28,INPUTS!$B$29))))</f>
        <v>1110940.27341555</v>
      </c>
      <c r="Q38" s="89" t="n">
        <f aca="true">IF(Q$5=0,P38,MAX(0,(P38-Q$4)*(1+NORMINV(RAND(),INPUTS!$B$28,INPUTS!$B$29))))</f>
        <v>1199279.02234868</v>
      </c>
      <c r="R38" s="89" t="n">
        <f aca="true">IF(R$5=0,Q38,MAX(0,(Q38-R$4)*(1+NORMINV(RAND(),INPUTS!$B$28,INPUTS!$B$29))))</f>
        <v>1289134.72274867</v>
      </c>
      <c r="S38" s="89" t="n">
        <f aca="true">IF(S$5=0,R38,MAX(0,(R38-S$4)*(1+NORMINV(RAND(),INPUTS!$B$28,INPUTS!$B$29))))</f>
        <v>1536881.54008875</v>
      </c>
      <c r="T38" s="89" t="n">
        <f aca="true">IF(T$5=0,S38,MAX(0,(S38-T$4)*(1+NORMINV(RAND(),INPUTS!$B$28,INPUTS!$B$29))))</f>
        <v>1432439.21502414</v>
      </c>
      <c r="U38" s="89" t="n">
        <f aca="true">IF(U$5=0,T38,MAX(0,(T38-U$4)*(1+NORMINV(RAND(),INPUTS!$B$28,INPUTS!$B$29))))</f>
        <v>1179631.15112549</v>
      </c>
      <c r="V38" s="89" t="n">
        <f aca="true">IF(V$5=0,U38,MAX(0,(U38-V$4)*(1+NORMINV(RAND(),INPUTS!$B$28,INPUTS!$B$29))))</f>
        <v>1037147.53679492</v>
      </c>
      <c r="W38" s="89" t="n">
        <f aca="true">IF(W$5=0,V38,MAX(0,(V38-W$4)*(1+NORMINV(RAND(),INPUTS!$B$28,INPUTS!$B$29))))</f>
        <v>1123516.92951332</v>
      </c>
      <c r="X38" s="89" t="n">
        <f aca="true">IF(X$5=0,W38,MAX(0,(W38-X$4)*(1+NORMINV(RAND(),INPUTS!$B$28,INPUTS!$B$29))))</f>
        <v>1106954.10232578</v>
      </c>
      <c r="Y38" s="89" t="n">
        <f aca="true">IF(Y$5=0,X38,MAX(0,(X38-Y$4)*(1+NORMINV(RAND(),INPUTS!$B$28,INPUTS!$B$29))))</f>
        <v>964570.360580289</v>
      </c>
      <c r="Z38" s="89" t="n">
        <f aca="true">IF(Z$5=0,Y38,MAX(0,(Y38-Z$4)*(1+NORMINV(RAND(),INPUTS!$B$28,INPUTS!$B$29))))</f>
        <v>1035864.5108428</v>
      </c>
      <c r="AA38" s="89" t="n">
        <f aca="true">IF(AA$5=0,Z38,MAX(0,(Z38-AA$4)*(1+NORMINV(RAND(),INPUTS!$B$28,INPUTS!$B$29))))</f>
        <v>819722.169551876</v>
      </c>
      <c r="AB38" s="89" t="n">
        <f aca="true">IF(AB$5=0,AA38,MAX(0,(AA38-AB$4)*(1+NORMINV(RAND(),INPUTS!$B$28,INPUTS!$B$29))))</f>
        <v>865859.164010339</v>
      </c>
      <c r="AC38" s="89" t="n">
        <f aca="true">IF(AC$5=0,AB38,MAX(0,(AB38-AC$4)*(1+NORMINV(RAND(),INPUTS!$B$28,INPUTS!$B$29))))</f>
        <v>811150.006728918</v>
      </c>
      <c r="AD38" s="89" t="n">
        <f aca="true">IF(AD$5=0,AC38,MAX(0,(AC38-AD$4)*(1+NORMINV(RAND(),INPUTS!$B$28,INPUTS!$B$29))))</f>
        <v>758824.604755653</v>
      </c>
      <c r="AE38" s="89" t="n">
        <f aca="true">IF(AE$5=0,AD38,MAX(0,(AD38-AE$4)*(1+NORMINV(RAND(),INPUTS!$B$28,INPUTS!$B$29))))</f>
        <v>793517.135482379</v>
      </c>
      <c r="AF38" s="89" t="n">
        <f aca="true">IF(AF$5=0,AE38,MAX(0,(AE38-AF$4)*(1+NORMINV(RAND(),INPUTS!$B$28,INPUTS!$B$29))))</f>
        <v>724842.13346274</v>
      </c>
      <c r="AG38" s="89" t="n">
        <f aca="true">IF(AG$5=0,AF38,MAX(0,(AF38-AG$4)*(1+NORMINV(RAND(),INPUTS!$B$28,INPUTS!$B$29))))</f>
        <v>694882.317508767</v>
      </c>
      <c r="AH38" s="89" t="n">
        <f aca="true">IF(AH$5=0,AG38,MAX(0,(AG38-AH$4)*(1+NORMINV(RAND(),INPUTS!$B$28,INPUTS!$B$29))))</f>
        <v>669966.715942262</v>
      </c>
      <c r="AI38" s="89" t="n">
        <f aca="true">IF(AI$5=0,AH38,MAX(0,(AH38-AI$4)*(1+NORMINV(RAND(),INPUTS!$B$28,INPUTS!$B$29))))</f>
        <v>650489.984429401</v>
      </c>
      <c r="AJ38" s="89" t="n">
        <f aca="true">IF(AJ$5=0,AI38,MAX(0,(AI38-AJ$4)*(1+NORMINV(RAND(),INPUTS!$B$28,INPUTS!$B$29))))</f>
        <v>458522.724011031</v>
      </c>
      <c r="AK38" s="89" t="n">
        <f aca="true">IF(AK$5=0,AJ38,MAX(0,(AJ38-AK$4)*(1+NORMINV(RAND(),INPUTS!$B$28,INPUTS!$B$29))))</f>
        <v>397608.093991099</v>
      </c>
      <c r="AL38" s="89" t="n">
        <f aca="true">IF(AL$5=0,AK38,MAX(0,(AK38-AL$4)*(1+NORMINV(RAND(),INPUTS!$B$28,INPUTS!$B$29))))</f>
        <v>302627.574174487</v>
      </c>
      <c r="AM38" s="89" t="n">
        <f aca="true">IF(AM$5=0,AL38,MAX(0,(AL38-AM$4)*(1+NORMINV(RAND(),INPUTS!$B$28,INPUTS!$B$29))))</f>
        <v>302627.574174487</v>
      </c>
      <c r="AN38" s="89" t="n">
        <f aca="true">IF(AN$5=0,AM38,MAX(0,(AM38-AN$4)*(1+NORMINV(RAND(),INPUTS!$B$28,INPUTS!$B$29))))</f>
        <v>302627.574174487</v>
      </c>
      <c r="AO38" s="89" t="n">
        <f aca="true">IF(AO$5=0,AN38,MAX(0,(AN38-AO$4)*(1+NORMINV(RAND(),INPUTS!$B$28,INPUTS!$B$29))))</f>
        <v>302627.574174487</v>
      </c>
      <c r="AP38" s="89" t="n">
        <f aca="true">IF(AP$5=0,AO38,MAX(0,(AO38-AP$4)*(1+NORMINV(RAND(),INPUTS!$B$28,INPUTS!$B$29))))</f>
        <v>302627.574174487</v>
      </c>
      <c r="AQ38" s="89" t="n">
        <f aca="true">IF(AQ$5=0,AP38,MAX(0,(AP38-AQ$4)*(1+NORMINV(RAND(),INPUTS!$B$28,INPUTS!$B$29))))</f>
        <v>302627.574174487</v>
      </c>
      <c r="AR38" s="89" t="n">
        <f aca="true">IF(AR$5=0,AQ38,MAX(0,(AQ38-AR$4)*(1+NORMINV(RAND(),INPUTS!$B$28,INPUTS!$B$29))))</f>
        <v>302627.574174487</v>
      </c>
      <c r="AS38" s="89" t="n">
        <f aca="true">IF(AS$5=0,AR38,MAX(0,(AR38-AS$4)*(1+NORMINV(RAND(),INPUTS!$B$28,INPUTS!$B$29))))</f>
        <v>302627.574174487</v>
      </c>
      <c r="AT38" s="89" t="n">
        <f aca="true">IF(AT$5=0,AS38,MAX(0,(AS38-AT$4)*(1+NORMINV(RAND(),INPUTS!$B$28,INPUTS!$B$29))))</f>
        <v>302627.574174487</v>
      </c>
      <c r="AU38" s="89" t="n">
        <f aca="true">IF(AU$5=0,AT38,MAX(0,(AT38-AU$4)*(1+NORMINV(RAND(),INPUTS!$B$28,INPUTS!$B$29))))</f>
        <v>302627.574174487</v>
      </c>
      <c r="AV38" s="89" t="n">
        <f aca="true">IF(AV$5=0,AU38,MAX(0,(AU38-AV$4)*(1+NORMINV(RAND(),INPUTS!$B$28,INPUTS!$B$29))))</f>
        <v>302627.574174487</v>
      </c>
      <c r="AW38" s="89" t="n">
        <f aca="true">IF(AW$5=0,AV38,MAX(0,(AV38-AW$4)*(1+NORMINV(RAND(),INPUTS!$B$28,INPUTS!$B$29))))</f>
        <v>302627.574174487</v>
      </c>
      <c r="AX38" s="89" t="n">
        <f aca="true">IF(AX$5=0,AW38,MAX(0,(AW38-AX$4)*(1+NORMINV(RAND(),INPUTS!$B$28,INPUTS!$B$29))))</f>
        <v>302627.574174487</v>
      </c>
      <c r="AY38" s="89" t="n">
        <f aca="true">IF(AY$5=0,AX38,MAX(0,(AX38-AY$4)*(1+NORMINV(RAND(),INPUTS!$B$28,INPUTS!$B$29))))</f>
        <v>302627.574174487</v>
      </c>
      <c r="AZ38" s="89" t="n">
        <f aca="true">IF(AZ$5=0,AY38,MAX(0,(AY38-AZ$4)*(1+NORMINV(RAND(),INPUTS!$B$28,INPUTS!$B$29))))</f>
        <v>302627.574174487</v>
      </c>
      <c r="BA38" s="89" t="n">
        <f aca="true">IF(BA$5=0,AZ38,MAX(0,(AZ38-BA$4)*(1+NORMINV(RAND(),INPUTS!$B$28,INPUTS!$B$29))))</f>
        <v>302627.574174487</v>
      </c>
      <c r="BB38" s="89" t="n">
        <f aca="true">IF(BB$5=0,BA38,MAX(0,(BA38-BB$4)*(1+NORMINV(RAND(),INPUTS!$B$28,INPUTS!$B$29))))</f>
        <v>302627.574174487</v>
      </c>
      <c r="BC38" s="89" t="n">
        <f aca="true">IF(BC$5=0,BB38,MAX(0,(BB38-BC$4)*(1+NORMINV(RAND(),INPUTS!$B$28,INPUTS!$B$29))))</f>
        <v>302627.574174487</v>
      </c>
      <c r="BD38" s="89" t="n">
        <f aca="true">IF(BD$5=0,BC38,MAX(0,(BC38-BD$4)*(1+NORMINV(RAND(),INPUTS!$B$28,INPUTS!$B$29))))</f>
        <v>302627.574174487</v>
      </c>
      <c r="BE38" s="89" t="n">
        <f aca="true">IF(BE$5=0,BD38,MAX(0,(BD38-BE$4)*(1+NORMINV(RAND(),INPUTS!$B$28,INPUTS!$B$29))))</f>
        <v>302627.574174487</v>
      </c>
      <c r="BF38" s="89" t="n">
        <f aca="true">IF(BF$5=0,BE38,MAX(0,(BE38-BF$4)*(1+NORMINV(RAND(),INPUTS!$B$28,INPUTS!$B$29))))</f>
        <v>302627.574174487</v>
      </c>
      <c r="BG38" s="89" t="n">
        <f aca="true">IF(BG$5=0,BF38,MAX(0,(BF38-BG$4)*(1+NORMINV(RAND(),INPUTS!$B$28,INPUTS!$B$29))))</f>
        <v>302627.574174487</v>
      </c>
      <c r="BH38" s="89" t="n">
        <f aca="true">IF(BH$5=0,BG38,MAX(0,(BG38-BH$4)*(1+NORMINV(RAND(),INPUTS!$B$28,INPUTS!$B$29))))</f>
        <v>302627.574174487</v>
      </c>
      <c r="BI38" s="89" t="n">
        <f aca="true">IF(BI$5=0,BH38,MAX(0,(BH38-BI$4)*(1+NORMINV(RAND(),INPUTS!$B$28,INPUTS!$B$29))))</f>
        <v>302627.574174487</v>
      </c>
      <c r="BJ38" s="89" t="n">
        <f aca="true">IF(BJ$5=0,BI38,MAX(0,(BI38-BJ$4)*(1+NORMINV(RAND(),INPUTS!$B$28,INPUTS!$B$29))))</f>
        <v>302627.574174487</v>
      </c>
    </row>
    <row r="39" customFormat="false" ht="15" hidden="false" customHeight="true" outlineLevel="0" collapsed="false">
      <c r="A39" s="87" t="n">
        <v>32</v>
      </c>
      <c r="B39" s="88" t="n">
        <f aca="false">LOOKUP(9.99E+307,C39:BJ39)</f>
        <v>46434678.9473015</v>
      </c>
      <c r="C39" s="89" t="n">
        <f aca="true">IF(C$5=0,INPUTS!$B$35,MAX(0,(INPUTS!$B$35-C$4)*(1+NORMINV(RAND(),INPUTS!$B$28,INPUTS!$B$29))))</f>
        <v>1624166.80403745</v>
      </c>
      <c r="D39" s="89" t="n">
        <f aca="true">IF(D$5=0,C39,MAX(0,(C39-D$4)*(1+NORMINV(RAND(),INPUTS!$B$28,INPUTS!$B$29))))</f>
        <v>1770460.69560577</v>
      </c>
      <c r="E39" s="89" t="n">
        <f aca="true">IF(E$5=0,D39,MAX(0,(D39-E$4)*(1+NORMINV(RAND(),INPUTS!$B$28,INPUTS!$B$29))))</f>
        <v>1631508.70296172</v>
      </c>
      <c r="F39" s="89" t="n">
        <f aca="true">IF(F$5=0,E39,MAX(0,(E39-F$4)*(1+NORMINV(RAND(),INPUTS!$B$28,INPUTS!$B$29))))</f>
        <v>1807149.86854189</v>
      </c>
      <c r="G39" s="89" t="n">
        <f aca="true">IF(G$5=0,F39,MAX(0,(F39-G$4)*(1+NORMINV(RAND(),INPUTS!$B$28,INPUTS!$B$29))))</f>
        <v>2085271.58092728</v>
      </c>
      <c r="H39" s="89" t="n">
        <f aca="true">IF(H$5=0,G39,MAX(0,(G39-H$4)*(1+NORMINV(RAND(),INPUTS!$B$28,INPUTS!$B$29))))</f>
        <v>2207944.61162974</v>
      </c>
      <c r="I39" s="89" t="n">
        <f aca="true">IF(I$5=0,H39,MAX(0,(H39-I$4)*(1+NORMINV(RAND(),INPUTS!$B$28,INPUTS!$B$29))))</f>
        <v>2025073.77366268</v>
      </c>
      <c r="J39" s="89" t="n">
        <f aca="true">IF(J$5=0,I39,MAX(0,(I39-J$4)*(1+NORMINV(RAND(),INPUTS!$B$28,INPUTS!$B$29))))</f>
        <v>2010629.17403906</v>
      </c>
      <c r="K39" s="89" t="n">
        <f aca="true">IF(K$5=0,J39,MAX(0,(J39-K$4)*(1+NORMINV(RAND(),INPUTS!$B$28,INPUTS!$B$29))))</f>
        <v>2478315.86566416</v>
      </c>
      <c r="L39" s="89" t="n">
        <f aca="true">IF(L$5=0,K39,MAX(0,(K39-L$4)*(1+NORMINV(RAND(),INPUTS!$B$28,INPUTS!$B$29))))</f>
        <v>2866636.08021547</v>
      </c>
      <c r="M39" s="89" t="n">
        <f aca="true">IF(M$5=0,L39,MAX(0,(L39-M$4)*(1+NORMINV(RAND(),INPUTS!$B$28,INPUTS!$B$29))))</f>
        <v>2954851.014275</v>
      </c>
      <c r="N39" s="89" t="n">
        <f aca="true">IF(N$5=0,M39,MAX(0,(M39-N$4)*(1+NORMINV(RAND(),INPUTS!$B$28,INPUTS!$B$29))))</f>
        <v>3221853.08295209</v>
      </c>
      <c r="O39" s="89" t="n">
        <f aca="true">IF(O$5=0,N39,MAX(0,(N39-O$4)*(1+NORMINV(RAND(),INPUTS!$B$28,INPUTS!$B$29))))</f>
        <v>4520292.21541988</v>
      </c>
      <c r="P39" s="89" t="n">
        <f aca="true">IF(P$5=0,O39,MAX(0,(O39-P$4)*(1+NORMINV(RAND(),INPUTS!$B$28,INPUTS!$B$29))))</f>
        <v>4441765.34267836</v>
      </c>
      <c r="Q39" s="89" t="n">
        <f aca="true">IF(Q$5=0,P39,MAX(0,(P39-Q$4)*(1+NORMINV(RAND(),INPUTS!$B$28,INPUTS!$B$29))))</f>
        <v>5575086.58885909</v>
      </c>
      <c r="R39" s="89" t="n">
        <f aca="true">IF(R$5=0,Q39,MAX(0,(Q39-R$4)*(1+NORMINV(RAND(),INPUTS!$B$28,INPUTS!$B$29))))</f>
        <v>5272912.99220672</v>
      </c>
      <c r="S39" s="89" t="n">
        <f aca="true">IF(S$5=0,R39,MAX(0,(R39-S$4)*(1+NORMINV(RAND(),INPUTS!$B$28,INPUTS!$B$29))))</f>
        <v>5506873.96584718</v>
      </c>
      <c r="T39" s="89" t="n">
        <f aca="true">IF(T$5=0,S39,MAX(0,(S39-T$4)*(1+NORMINV(RAND(),INPUTS!$B$28,INPUTS!$B$29))))</f>
        <v>5610231.97219657</v>
      </c>
      <c r="U39" s="89" t="n">
        <f aca="true">IF(U$5=0,T39,MAX(0,(T39-U$4)*(1+NORMINV(RAND(),INPUTS!$B$28,INPUTS!$B$29))))</f>
        <v>6953916.77580771</v>
      </c>
      <c r="V39" s="89" t="n">
        <f aca="true">IF(V$5=0,U39,MAX(0,(U39-V$4)*(1+NORMINV(RAND(),INPUTS!$B$28,INPUTS!$B$29))))</f>
        <v>7858232.05722681</v>
      </c>
      <c r="W39" s="89" t="n">
        <f aca="true">IF(W$5=0,V39,MAX(0,(V39-W$4)*(1+NORMINV(RAND(),INPUTS!$B$28,INPUTS!$B$29))))</f>
        <v>8562741.30844249</v>
      </c>
      <c r="X39" s="89" t="n">
        <f aca="true">IF(X$5=0,W39,MAX(0,(W39-X$4)*(1+NORMINV(RAND(),INPUTS!$B$28,INPUTS!$B$29))))</f>
        <v>9742979.42658101</v>
      </c>
      <c r="Y39" s="89" t="n">
        <f aca="true">IF(Y$5=0,X39,MAX(0,(X39-Y$4)*(1+NORMINV(RAND(),INPUTS!$B$28,INPUTS!$B$29))))</f>
        <v>10488904.9523167</v>
      </c>
      <c r="Z39" s="89" t="n">
        <f aca="true">IF(Z$5=0,Y39,MAX(0,(Y39-Z$4)*(1+NORMINV(RAND(),INPUTS!$B$28,INPUTS!$B$29))))</f>
        <v>12496841.7258162</v>
      </c>
      <c r="AA39" s="89" t="n">
        <f aca="true">IF(AA$5=0,Z39,MAX(0,(Z39-AA$4)*(1+NORMINV(RAND(),INPUTS!$B$28,INPUTS!$B$29))))</f>
        <v>14684477.1112673</v>
      </c>
      <c r="AB39" s="89" t="n">
        <f aca="true">IF(AB$5=0,AA39,MAX(0,(AA39-AB$4)*(1+NORMINV(RAND(),INPUTS!$B$28,INPUTS!$B$29))))</f>
        <v>17716561.5830789</v>
      </c>
      <c r="AC39" s="89" t="n">
        <f aca="true">IF(AC$5=0,AB39,MAX(0,(AB39-AC$4)*(1+NORMINV(RAND(),INPUTS!$B$28,INPUTS!$B$29))))</f>
        <v>19491069.161378</v>
      </c>
      <c r="AD39" s="89" t="n">
        <f aca="true">IF(AD$5=0,AC39,MAX(0,(AC39-AD$4)*(1+NORMINV(RAND(),INPUTS!$B$28,INPUTS!$B$29))))</f>
        <v>18905455.2603067</v>
      </c>
      <c r="AE39" s="89" t="n">
        <f aca="true">IF(AE$5=0,AD39,MAX(0,(AD39-AE$4)*(1+NORMINV(RAND(),INPUTS!$B$28,INPUTS!$B$29))))</f>
        <v>24708286.566395</v>
      </c>
      <c r="AF39" s="89" t="n">
        <f aca="true">IF(AF$5=0,AE39,MAX(0,(AE39-AF$4)*(1+NORMINV(RAND(),INPUTS!$B$28,INPUTS!$B$29))))</f>
        <v>29499584.0048034</v>
      </c>
      <c r="AG39" s="89" t="n">
        <f aca="true">IF(AG$5=0,AF39,MAX(0,(AF39-AG$4)*(1+NORMINV(RAND(),INPUTS!$B$28,INPUTS!$B$29))))</f>
        <v>29816393.9879484</v>
      </c>
      <c r="AH39" s="89" t="n">
        <f aca="true">IF(AH$5=0,AG39,MAX(0,(AG39-AH$4)*(1+NORMINV(RAND(),INPUTS!$B$28,INPUTS!$B$29))))</f>
        <v>32420204.093234</v>
      </c>
      <c r="AI39" s="89" t="n">
        <f aca="true">IF(AI$5=0,AH39,MAX(0,(AH39-AI$4)*(1+NORMINV(RAND(),INPUTS!$B$28,INPUTS!$B$29))))</f>
        <v>34287904.048198</v>
      </c>
      <c r="AJ39" s="89" t="n">
        <f aca="true">IF(AJ$5=0,AI39,MAX(0,(AI39-AJ$4)*(1+NORMINV(RAND(),INPUTS!$B$28,INPUTS!$B$29))))</f>
        <v>39011332.7475123</v>
      </c>
      <c r="AK39" s="89" t="n">
        <f aca="true">IF(AK$5=0,AJ39,MAX(0,(AJ39-AK$4)*(1+NORMINV(RAND(),INPUTS!$B$28,INPUTS!$B$29))))</f>
        <v>37699165.283746</v>
      </c>
      <c r="AL39" s="89" t="n">
        <f aca="true">IF(AL$5=0,AK39,MAX(0,(AK39-AL$4)*(1+NORMINV(RAND(),INPUTS!$B$28,INPUTS!$B$29))))</f>
        <v>46434678.9473015</v>
      </c>
      <c r="AM39" s="89" t="n">
        <f aca="true">IF(AM$5=0,AL39,MAX(0,(AL39-AM$4)*(1+NORMINV(RAND(),INPUTS!$B$28,INPUTS!$B$29))))</f>
        <v>46434678.9473015</v>
      </c>
      <c r="AN39" s="89" t="n">
        <f aca="true">IF(AN$5=0,AM39,MAX(0,(AM39-AN$4)*(1+NORMINV(RAND(),INPUTS!$B$28,INPUTS!$B$29))))</f>
        <v>46434678.9473015</v>
      </c>
      <c r="AO39" s="89" t="n">
        <f aca="true">IF(AO$5=0,AN39,MAX(0,(AN39-AO$4)*(1+NORMINV(RAND(),INPUTS!$B$28,INPUTS!$B$29))))</f>
        <v>46434678.9473015</v>
      </c>
      <c r="AP39" s="89" t="n">
        <f aca="true">IF(AP$5=0,AO39,MAX(0,(AO39-AP$4)*(1+NORMINV(RAND(),INPUTS!$B$28,INPUTS!$B$29))))</f>
        <v>46434678.9473015</v>
      </c>
      <c r="AQ39" s="89" t="n">
        <f aca="true">IF(AQ$5=0,AP39,MAX(0,(AP39-AQ$4)*(1+NORMINV(RAND(),INPUTS!$B$28,INPUTS!$B$29))))</f>
        <v>46434678.9473015</v>
      </c>
      <c r="AR39" s="89" t="n">
        <f aca="true">IF(AR$5=0,AQ39,MAX(0,(AQ39-AR$4)*(1+NORMINV(RAND(),INPUTS!$B$28,INPUTS!$B$29))))</f>
        <v>46434678.9473015</v>
      </c>
      <c r="AS39" s="89" t="n">
        <f aca="true">IF(AS$5=0,AR39,MAX(0,(AR39-AS$4)*(1+NORMINV(RAND(),INPUTS!$B$28,INPUTS!$B$29))))</f>
        <v>46434678.9473015</v>
      </c>
      <c r="AT39" s="89" t="n">
        <f aca="true">IF(AT$5=0,AS39,MAX(0,(AS39-AT$4)*(1+NORMINV(RAND(),INPUTS!$B$28,INPUTS!$B$29))))</f>
        <v>46434678.9473015</v>
      </c>
      <c r="AU39" s="89" t="n">
        <f aca="true">IF(AU$5=0,AT39,MAX(0,(AT39-AU$4)*(1+NORMINV(RAND(),INPUTS!$B$28,INPUTS!$B$29))))</f>
        <v>46434678.9473015</v>
      </c>
      <c r="AV39" s="89" t="n">
        <f aca="true">IF(AV$5=0,AU39,MAX(0,(AU39-AV$4)*(1+NORMINV(RAND(),INPUTS!$B$28,INPUTS!$B$29))))</f>
        <v>46434678.9473015</v>
      </c>
      <c r="AW39" s="89" t="n">
        <f aca="true">IF(AW$5=0,AV39,MAX(0,(AV39-AW$4)*(1+NORMINV(RAND(),INPUTS!$B$28,INPUTS!$B$29))))</f>
        <v>46434678.9473015</v>
      </c>
      <c r="AX39" s="89" t="n">
        <f aca="true">IF(AX$5=0,AW39,MAX(0,(AW39-AX$4)*(1+NORMINV(RAND(),INPUTS!$B$28,INPUTS!$B$29))))</f>
        <v>46434678.9473015</v>
      </c>
      <c r="AY39" s="89" t="n">
        <f aca="true">IF(AY$5=0,AX39,MAX(0,(AX39-AY$4)*(1+NORMINV(RAND(),INPUTS!$B$28,INPUTS!$B$29))))</f>
        <v>46434678.9473015</v>
      </c>
      <c r="AZ39" s="89" t="n">
        <f aca="true">IF(AZ$5=0,AY39,MAX(0,(AY39-AZ$4)*(1+NORMINV(RAND(),INPUTS!$B$28,INPUTS!$B$29))))</f>
        <v>46434678.9473015</v>
      </c>
      <c r="BA39" s="89" t="n">
        <f aca="true">IF(BA$5=0,AZ39,MAX(0,(AZ39-BA$4)*(1+NORMINV(RAND(),INPUTS!$B$28,INPUTS!$B$29))))</f>
        <v>46434678.9473015</v>
      </c>
      <c r="BB39" s="89" t="n">
        <f aca="true">IF(BB$5=0,BA39,MAX(0,(BA39-BB$4)*(1+NORMINV(RAND(),INPUTS!$B$28,INPUTS!$B$29))))</f>
        <v>46434678.9473015</v>
      </c>
      <c r="BC39" s="89" t="n">
        <f aca="true">IF(BC$5=0,BB39,MAX(0,(BB39-BC$4)*(1+NORMINV(RAND(),INPUTS!$B$28,INPUTS!$B$29))))</f>
        <v>46434678.9473015</v>
      </c>
      <c r="BD39" s="89" t="n">
        <f aca="true">IF(BD$5=0,BC39,MAX(0,(BC39-BD$4)*(1+NORMINV(RAND(),INPUTS!$B$28,INPUTS!$B$29))))</f>
        <v>46434678.9473015</v>
      </c>
      <c r="BE39" s="89" t="n">
        <f aca="true">IF(BE$5=0,BD39,MAX(0,(BD39-BE$4)*(1+NORMINV(RAND(),INPUTS!$B$28,INPUTS!$B$29))))</f>
        <v>46434678.9473015</v>
      </c>
      <c r="BF39" s="89" t="n">
        <f aca="true">IF(BF$5=0,BE39,MAX(0,(BE39-BF$4)*(1+NORMINV(RAND(),INPUTS!$B$28,INPUTS!$B$29))))</f>
        <v>46434678.9473015</v>
      </c>
      <c r="BG39" s="89" t="n">
        <f aca="true">IF(BG$5=0,BF39,MAX(0,(BF39-BG$4)*(1+NORMINV(RAND(),INPUTS!$B$28,INPUTS!$B$29))))</f>
        <v>46434678.9473015</v>
      </c>
      <c r="BH39" s="89" t="n">
        <f aca="true">IF(BH$5=0,BG39,MAX(0,(BG39-BH$4)*(1+NORMINV(RAND(),INPUTS!$B$28,INPUTS!$B$29))))</f>
        <v>46434678.9473015</v>
      </c>
      <c r="BI39" s="89" t="n">
        <f aca="true">IF(BI$5=0,BH39,MAX(0,(BH39-BI$4)*(1+NORMINV(RAND(),INPUTS!$B$28,INPUTS!$B$29))))</f>
        <v>46434678.9473015</v>
      </c>
      <c r="BJ39" s="89" t="n">
        <f aca="true">IF(BJ$5=0,BI39,MAX(0,(BI39-BJ$4)*(1+NORMINV(RAND(),INPUTS!$B$28,INPUTS!$B$29))))</f>
        <v>46434678.9473015</v>
      </c>
    </row>
    <row r="40" customFormat="false" ht="15" hidden="false" customHeight="true" outlineLevel="0" collapsed="false">
      <c r="A40" s="87" t="n">
        <v>33</v>
      </c>
      <c r="B40" s="88" t="n">
        <f aca="false">LOOKUP(9.99E+307,C40:BJ40)</f>
        <v>4337265.67466477</v>
      </c>
      <c r="C40" s="89" t="n">
        <f aca="true">IF(C$5=0,INPUTS!$B$35,MAX(0,(INPUTS!$B$35-C$4)*(1+NORMINV(RAND(),INPUTS!$B$28,INPUTS!$B$29))))</f>
        <v>1611071.86352778</v>
      </c>
      <c r="D40" s="89" t="n">
        <f aca="true">IF(D$5=0,C40,MAX(0,(C40-D$4)*(1+NORMINV(RAND(),INPUTS!$B$28,INPUTS!$B$29))))</f>
        <v>1626686.27668654</v>
      </c>
      <c r="E40" s="89" t="n">
        <f aca="true">IF(E$5=0,D40,MAX(0,(D40-E$4)*(1+NORMINV(RAND(),INPUTS!$B$28,INPUTS!$B$29))))</f>
        <v>1857088.85086983</v>
      </c>
      <c r="F40" s="89" t="n">
        <f aca="true">IF(F$5=0,E40,MAX(0,(E40-F$4)*(1+NORMINV(RAND(),INPUTS!$B$28,INPUTS!$B$29))))</f>
        <v>1835355.31020048</v>
      </c>
      <c r="G40" s="89" t="n">
        <f aca="true">IF(G$5=0,F40,MAX(0,(F40-G$4)*(1+NORMINV(RAND(),INPUTS!$B$28,INPUTS!$B$29))))</f>
        <v>1894691.33992523</v>
      </c>
      <c r="H40" s="89" t="n">
        <f aca="true">IF(H$5=0,G40,MAX(0,(G40-H$4)*(1+NORMINV(RAND(),INPUTS!$B$28,INPUTS!$B$29))))</f>
        <v>2288169.2136427</v>
      </c>
      <c r="I40" s="89" t="n">
        <f aca="true">IF(I$5=0,H40,MAX(0,(H40-I$4)*(1+NORMINV(RAND(),INPUTS!$B$28,INPUTS!$B$29))))</f>
        <v>2184909.39793156</v>
      </c>
      <c r="J40" s="89" t="n">
        <f aca="true">IF(J$5=0,I40,MAX(0,(I40-J$4)*(1+NORMINV(RAND(),INPUTS!$B$28,INPUTS!$B$29))))</f>
        <v>1720159.91458102</v>
      </c>
      <c r="K40" s="89" t="n">
        <f aca="true">IF(K$5=0,J40,MAX(0,(J40-K$4)*(1+NORMINV(RAND(),INPUTS!$B$28,INPUTS!$B$29))))</f>
        <v>1568808.33660982</v>
      </c>
      <c r="L40" s="89" t="n">
        <f aca="true">IF(L$5=0,K40,MAX(0,(K40-L$4)*(1+NORMINV(RAND(),INPUTS!$B$28,INPUTS!$B$29))))</f>
        <v>1835191.49173374</v>
      </c>
      <c r="M40" s="89" t="n">
        <f aca="true">IF(M$5=0,L40,MAX(0,(L40-M$4)*(1+NORMINV(RAND(),INPUTS!$B$28,INPUTS!$B$29))))</f>
        <v>1843631.23714559</v>
      </c>
      <c r="N40" s="89" t="n">
        <f aca="true">IF(N$5=0,M40,MAX(0,(M40-N$4)*(1+NORMINV(RAND(),INPUTS!$B$28,INPUTS!$B$29))))</f>
        <v>1475279.59505083</v>
      </c>
      <c r="O40" s="89" t="n">
        <f aca="true">IF(O$5=0,N40,MAX(0,(N40-O$4)*(1+NORMINV(RAND(),INPUTS!$B$28,INPUTS!$B$29))))</f>
        <v>1480597.38282248</v>
      </c>
      <c r="P40" s="89" t="n">
        <f aca="true">IF(P$5=0,O40,MAX(0,(O40-P$4)*(1+NORMINV(RAND(),INPUTS!$B$28,INPUTS!$B$29))))</f>
        <v>1429778.12507403</v>
      </c>
      <c r="Q40" s="89" t="n">
        <f aca="true">IF(Q$5=0,P40,MAX(0,(P40-Q$4)*(1+NORMINV(RAND(),INPUTS!$B$28,INPUTS!$B$29))))</f>
        <v>1500492.38576428</v>
      </c>
      <c r="R40" s="89" t="n">
        <f aca="true">IF(R$5=0,Q40,MAX(0,(Q40-R$4)*(1+NORMINV(RAND(),INPUTS!$B$28,INPUTS!$B$29))))</f>
        <v>1504268.54986122</v>
      </c>
      <c r="S40" s="89" t="n">
        <f aca="true">IF(S$5=0,R40,MAX(0,(R40-S$4)*(1+NORMINV(RAND(),INPUTS!$B$28,INPUTS!$B$29))))</f>
        <v>1463613.14499723</v>
      </c>
      <c r="T40" s="89" t="n">
        <f aca="true">IF(T$5=0,S40,MAX(0,(S40-T$4)*(1+NORMINV(RAND(),INPUTS!$B$28,INPUTS!$B$29))))</f>
        <v>1711956.59453783</v>
      </c>
      <c r="U40" s="89" t="n">
        <f aca="true">IF(U$5=0,T40,MAX(0,(T40-U$4)*(1+NORMINV(RAND(),INPUTS!$B$28,INPUTS!$B$29))))</f>
        <v>1998967.86566939</v>
      </c>
      <c r="V40" s="89" t="n">
        <f aca="true">IF(V$5=0,U40,MAX(0,(U40-V$4)*(1+NORMINV(RAND(),INPUTS!$B$28,INPUTS!$B$29))))</f>
        <v>1917986.64012216</v>
      </c>
      <c r="W40" s="89" t="n">
        <f aca="true">IF(W$5=0,V40,MAX(0,(V40-W$4)*(1+NORMINV(RAND(),INPUTS!$B$28,INPUTS!$B$29))))</f>
        <v>2102278.55197357</v>
      </c>
      <c r="X40" s="89" t="n">
        <f aca="true">IF(X$5=0,W40,MAX(0,(W40-X$4)*(1+NORMINV(RAND(),INPUTS!$B$28,INPUTS!$B$29))))</f>
        <v>1946238.44646324</v>
      </c>
      <c r="Y40" s="89" t="n">
        <f aca="true">IF(Y$5=0,X40,MAX(0,(X40-Y$4)*(1+NORMINV(RAND(),INPUTS!$B$28,INPUTS!$B$29))))</f>
        <v>2256089.8037676</v>
      </c>
      <c r="Z40" s="89" t="n">
        <f aca="true">IF(Z$5=0,Y40,MAX(0,(Y40-Z$4)*(1+NORMINV(RAND(),INPUTS!$B$28,INPUTS!$B$29))))</f>
        <v>2116610.79322177</v>
      </c>
      <c r="AA40" s="89" t="n">
        <f aca="true">IF(AA$5=0,Z40,MAX(0,(Z40-AA$4)*(1+NORMINV(RAND(),INPUTS!$B$28,INPUTS!$B$29))))</f>
        <v>2214111.95508432</v>
      </c>
      <c r="AB40" s="89" t="n">
        <f aca="true">IF(AB$5=0,AA40,MAX(0,(AA40-AB$4)*(1+NORMINV(RAND(),INPUTS!$B$28,INPUTS!$B$29))))</f>
        <v>2238653.59267394</v>
      </c>
      <c r="AC40" s="89" t="n">
        <f aca="true">IF(AC$5=0,AB40,MAX(0,(AB40-AC$4)*(1+NORMINV(RAND(),INPUTS!$B$28,INPUTS!$B$29))))</f>
        <v>2561203.18152333</v>
      </c>
      <c r="AD40" s="89" t="n">
        <f aca="true">IF(AD$5=0,AC40,MAX(0,(AC40-AD$4)*(1+NORMINV(RAND(),INPUTS!$B$28,INPUTS!$B$29))))</f>
        <v>2824358.43364286</v>
      </c>
      <c r="AE40" s="89" t="n">
        <f aca="true">IF(AE$5=0,AD40,MAX(0,(AD40-AE$4)*(1+NORMINV(RAND(),INPUTS!$B$28,INPUTS!$B$29))))</f>
        <v>2623884.02895598</v>
      </c>
      <c r="AF40" s="89" t="n">
        <f aca="true">IF(AF$5=0,AE40,MAX(0,(AE40-AF$4)*(1+NORMINV(RAND(),INPUTS!$B$28,INPUTS!$B$29))))</f>
        <v>2652237.75929941</v>
      </c>
      <c r="AG40" s="89" t="n">
        <f aca="true">IF(AG$5=0,AF40,MAX(0,(AF40-AG$4)*(1+NORMINV(RAND(),INPUTS!$B$28,INPUTS!$B$29))))</f>
        <v>3100031.90007171</v>
      </c>
      <c r="AH40" s="89" t="n">
        <f aca="true">IF(AH$5=0,AG40,MAX(0,(AG40-AH$4)*(1+NORMINV(RAND(),INPUTS!$B$28,INPUTS!$B$29))))</f>
        <v>3113483.3265274</v>
      </c>
      <c r="AI40" s="89" t="n">
        <f aca="true">IF(AI$5=0,AH40,MAX(0,(AH40-AI$4)*(1+NORMINV(RAND(),INPUTS!$B$28,INPUTS!$B$29))))</f>
        <v>3253467.90533158</v>
      </c>
      <c r="AJ40" s="89" t="n">
        <f aca="true">IF(AJ$5=0,AI40,MAX(0,(AI40-AJ$4)*(1+NORMINV(RAND(),INPUTS!$B$28,INPUTS!$B$29))))</f>
        <v>3756944.80778115</v>
      </c>
      <c r="AK40" s="89" t="n">
        <f aca="true">IF(AK$5=0,AJ40,MAX(0,(AJ40-AK$4)*(1+NORMINV(RAND(),INPUTS!$B$28,INPUTS!$B$29))))</f>
        <v>4178277.23876937</v>
      </c>
      <c r="AL40" s="89" t="n">
        <f aca="true">IF(AL$5=0,AK40,MAX(0,(AK40-AL$4)*(1+NORMINV(RAND(),INPUTS!$B$28,INPUTS!$B$29))))</f>
        <v>4337265.67466477</v>
      </c>
      <c r="AM40" s="89" t="n">
        <f aca="true">IF(AM$5=0,AL40,MAX(0,(AL40-AM$4)*(1+NORMINV(RAND(),INPUTS!$B$28,INPUTS!$B$29))))</f>
        <v>4337265.67466477</v>
      </c>
      <c r="AN40" s="89" t="n">
        <f aca="true">IF(AN$5=0,AM40,MAX(0,(AM40-AN$4)*(1+NORMINV(RAND(),INPUTS!$B$28,INPUTS!$B$29))))</f>
        <v>4337265.67466477</v>
      </c>
      <c r="AO40" s="89" t="n">
        <f aca="true">IF(AO$5=0,AN40,MAX(0,(AN40-AO$4)*(1+NORMINV(RAND(),INPUTS!$B$28,INPUTS!$B$29))))</f>
        <v>4337265.67466477</v>
      </c>
      <c r="AP40" s="89" t="n">
        <f aca="true">IF(AP$5=0,AO40,MAX(0,(AO40-AP$4)*(1+NORMINV(RAND(),INPUTS!$B$28,INPUTS!$B$29))))</f>
        <v>4337265.67466477</v>
      </c>
      <c r="AQ40" s="89" t="n">
        <f aca="true">IF(AQ$5=0,AP40,MAX(0,(AP40-AQ$4)*(1+NORMINV(RAND(),INPUTS!$B$28,INPUTS!$B$29))))</f>
        <v>4337265.67466477</v>
      </c>
      <c r="AR40" s="89" t="n">
        <f aca="true">IF(AR$5=0,AQ40,MAX(0,(AQ40-AR$4)*(1+NORMINV(RAND(),INPUTS!$B$28,INPUTS!$B$29))))</f>
        <v>4337265.67466477</v>
      </c>
      <c r="AS40" s="89" t="n">
        <f aca="true">IF(AS$5=0,AR40,MAX(0,(AR40-AS$4)*(1+NORMINV(RAND(),INPUTS!$B$28,INPUTS!$B$29))))</f>
        <v>4337265.67466477</v>
      </c>
      <c r="AT40" s="89" t="n">
        <f aca="true">IF(AT$5=0,AS40,MAX(0,(AS40-AT$4)*(1+NORMINV(RAND(),INPUTS!$B$28,INPUTS!$B$29))))</f>
        <v>4337265.67466477</v>
      </c>
      <c r="AU40" s="89" t="n">
        <f aca="true">IF(AU$5=0,AT40,MAX(0,(AT40-AU$4)*(1+NORMINV(RAND(),INPUTS!$B$28,INPUTS!$B$29))))</f>
        <v>4337265.67466477</v>
      </c>
      <c r="AV40" s="89" t="n">
        <f aca="true">IF(AV$5=0,AU40,MAX(0,(AU40-AV$4)*(1+NORMINV(RAND(),INPUTS!$B$28,INPUTS!$B$29))))</f>
        <v>4337265.67466477</v>
      </c>
      <c r="AW40" s="89" t="n">
        <f aca="true">IF(AW$5=0,AV40,MAX(0,(AV40-AW$4)*(1+NORMINV(RAND(),INPUTS!$B$28,INPUTS!$B$29))))</f>
        <v>4337265.67466477</v>
      </c>
      <c r="AX40" s="89" t="n">
        <f aca="true">IF(AX$5=0,AW40,MAX(0,(AW40-AX$4)*(1+NORMINV(RAND(),INPUTS!$B$28,INPUTS!$B$29))))</f>
        <v>4337265.67466477</v>
      </c>
      <c r="AY40" s="89" t="n">
        <f aca="true">IF(AY$5=0,AX40,MAX(0,(AX40-AY$4)*(1+NORMINV(RAND(),INPUTS!$B$28,INPUTS!$B$29))))</f>
        <v>4337265.67466477</v>
      </c>
      <c r="AZ40" s="89" t="n">
        <f aca="true">IF(AZ$5=0,AY40,MAX(0,(AY40-AZ$4)*(1+NORMINV(RAND(),INPUTS!$B$28,INPUTS!$B$29))))</f>
        <v>4337265.67466477</v>
      </c>
      <c r="BA40" s="89" t="n">
        <f aca="true">IF(BA$5=0,AZ40,MAX(0,(AZ40-BA$4)*(1+NORMINV(RAND(),INPUTS!$B$28,INPUTS!$B$29))))</f>
        <v>4337265.67466477</v>
      </c>
      <c r="BB40" s="89" t="n">
        <f aca="true">IF(BB$5=0,BA40,MAX(0,(BA40-BB$4)*(1+NORMINV(RAND(),INPUTS!$B$28,INPUTS!$B$29))))</f>
        <v>4337265.67466477</v>
      </c>
      <c r="BC40" s="89" t="n">
        <f aca="true">IF(BC$5=0,BB40,MAX(0,(BB40-BC$4)*(1+NORMINV(RAND(),INPUTS!$B$28,INPUTS!$B$29))))</f>
        <v>4337265.67466477</v>
      </c>
      <c r="BD40" s="89" t="n">
        <f aca="true">IF(BD$5=0,BC40,MAX(0,(BC40-BD$4)*(1+NORMINV(RAND(),INPUTS!$B$28,INPUTS!$B$29))))</f>
        <v>4337265.67466477</v>
      </c>
      <c r="BE40" s="89" t="n">
        <f aca="true">IF(BE$5=0,BD40,MAX(0,(BD40-BE$4)*(1+NORMINV(RAND(),INPUTS!$B$28,INPUTS!$B$29))))</f>
        <v>4337265.67466477</v>
      </c>
      <c r="BF40" s="89" t="n">
        <f aca="true">IF(BF$5=0,BE40,MAX(0,(BE40-BF$4)*(1+NORMINV(RAND(),INPUTS!$B$28,INPUTS!$B$29))))</f>
        <v>4337265.67466477</v>
      </c>
      <c r="BG40" s="89" t="n">
        <f aca="true">IF(BG$5=0,BF40,MAX(0,(BF40-BG$4)*(1+NORMINV(RAND(),INPUTS!$B$28,INPUTS!$B$29))))</f>
        <v>4337265.67466477</v>
      </c>
      <c r="BH40" s="89" t="n">
        <f aca="true">IF(BH$5=0,BG40,MAX(0,(BG40-BH$4)*(1+NORMINV(RAND(),INPUTS!$B$28,INPUTS!$B$29))))</f>
        <v>4337265.67466477</v>
      </c>
      <c r="BI40" s="89" t="n">
        <f aca="true">IF(BI$5=0,BH40,MAX(0,(BH40-BI$4)*(1+NORMINV(RAND(),INPUTS!$B$28,INPUTS!$B$29))))</f>
        <v>4337265.67466477</v>
      </c>
      <c r="BJ40" s="89" t="n">
        <f aca="true">IF(BJ$5=0,BI40,MAX(0,(BI40-BJ$4)*(1+NORMINV(RAND(),INPUTS!$B$28,INPUTS!$B$29))))</f>
        <v>4337265.67466477</v>
      </c>
    </row>
    <row r="41" customFormat="false" ht="15" hidden="false" customHeight="true" outlineLevel="0" collapsed="false">
      <c r="A41" s="87" t="n">
        <v>34</v>
      </c>
      <c r="B41" s="88" t="n">
        <f aca="false">LOOKUP(9.99E+307,C41:BJ41)</f>
        <v>3430192.87438012</v>
      </c>
      <c r="C41" s="89" t="n">
        <f aca="true">IF(C$5=0,INPUTS!$B$35,MAX(0,(INPUTS!$B$35-C$4)*(1+NORMINV(RAND(),INPUTS!$B$28,INPUTS!$B$29))))</f>
        <v>1612762.44460689</v>
      </c>
      <c r="D41" s="89" t="n">
        <f aca="true">IF(D$5=0,C41,MAX(0,(C41-D$4)*(1+NORMINV(RAND(),INPUTS!$B$28,INPUTS!$B$29))))</f>
        <v>1641896.27939132</v>
      </c>
      <c r="E41" s="89" t="n">
        <f aca="true">IF(E$5=0,D41,MAX(0,(D41-E$4)*(1+NORMINV(RAND(),INPUTS!$B$28,INPUTS!$B$29))))</f>
        <v>1569738.16013259</v>
      </c>
      <c r="F41" s="89" t="n">
        <f aca="true">IF(F$5=0,E41,MAX(0,(E41-F$4)*(1+NORMINV(RAND(),INPUTS!$B$28,INPUTS!$B$29))))</f>
        <v>1594392.23272114</v>
      </c>
      <c r="G41" s="89" t="n">
        <f aca="true">IF(G$5=0,F41,MAX(0,(F41-G$4)*(1+NORMINV(RAND(),INPUTS!$B$28,INPUTS!$B$29))))</f>
        <v>1603095.04041873</v>
      </c>
      <c r="H41" s="89" t="n">
        <f aca="true">IF(H$5=0,G41,MAX(0,(G41-H$4)*(1+NORMINV(RAND(),INPUTS!$B$28,INPUTS!$B$29))))</f>
        <v>1704221.46032864</v>
      </c>
      <c r="I41" s="89" t="n">
        <f aca="true">IF(I$5=0,H41,MAX(0,(H41-I$4)*(1+NORMINV(RAND(),INPUTS!$B$28,INPUTS!$B$29))))</f>
        <v>1363319.02343179</v>
      </c>
      <c r="J41" s="89" t="n">
        <f aca="true">IF(J$5=0,I41,MAX(0,(I41-J$4)*(1+NORMINV(RAND(),INPUTS!$B$28,INPUTS!$B$29))))</f>
        <v>1235111.65209995</v>
      </c>
      <c r="K41" s="89" t="n">
        <f aca="true">IF(K$5=0,J41,MAX(0,(J41-K$4)*(1+NORMINV(RAND(),INPUTS!$B$28,INPUTS!$B$29))))</f>
        <v>1480246.6635977</v>
      </c>
      <c r="L41" s="89" t="n">
        <f aca="true">IF(L$5=0,K41,MAX(0,(K41-L$4)*(1+NORMINV(RAND(),INPUTS!$B$28,INPUTS!$B$29))))</f>
        <v>1642348.56636257</v>
      </c>
      <c r="M41" s="89" t="n">
        <f aca="true">IF(M$5=0,L41,MAX(0,(L41-M$4)*(1+NORMINV(RAND(),INPUTS!$B$28,INPUTS!$B$29))))</f>
        <v>1522158.78754406</v>
      </c>
      <c r="N41" s="89" t="n">
        <f aca="true">IF(N$5=0,M41,MAX(0,(M41-N$4)*(1+NORMINV(RAND(),INPUTS!$B$28,INPUTS!$B$29))))</f>
        <v>1780555.03270157</v>
      </c>
      <c r="O41" s="89" t="n">
        <f aca="true">IF(O$5=0,N41,MAX(0,(N41-O$4)*(1+NORMINV(RAND(),INPUTS!$B$28,INPUTS!$B$29))))</f>
        <v>1718396.52612466</v>
      </c>
      <c r="P41" s="89" t="n">
        <f aca="true">IF(P$5=0,O41,MAX(0,(O41-P$4)*(1+NORMINV(RAND(),INPUTS!$B$28,INPUTS!$B$29))))</f>
        <v>1966934.49207646</v>
      </c>
      <c r="Q41" s="89" t="n">
        <f aca="true">IF(Q$5=0,P41,MAX(0,(P41-Q$4)*(1+NORMINV(RAND(),INPUTS!$B$28,INPUTS!$B$29))))</f>
        <v>2319409.04378962</v>
      </c>
      <c r="R41" s="89" t="n">
        <f aca="true">IF(R$5=0,Q41,MAX(0,(Q41-R$4)*(1+NORMINV(RAND(),INPUTS!$B$28,INPUTS!$B$29))))</f>
        <v>2105703.85309789</v>
      </c>
      <c r="S41" s="89" t="n">
        <f aca="true">IF(S$5=0,R41,MAX(0,(R41-S$4)*(1+NORMINV(RAND(),INPUTS!$B$28,INPUTS!$B$29))))</f>
        <v>2178111.27643815</v>
      </c>
      <c r="T41" s="89" t="n">
        <f aca="true">IF(T$5=0,S41,MAX(0,(S41-T$4)*(1+NORMINV(RAND(),INPUTS!$B$28,INPUTS!$B$29))))</f>
        <v>1759853.51781741</v>
      </c>
      <c r="U41" s="89" t="n">
        <f aca="true">IF(U$5=0,T41,MAX(0,(T41-U$4)*(1+NORMINV(RAND(),INPUTS!$B$28,INPUTS!$B$29))))</f>
        <v>1757160.98646047</v>
      </c>
      <c r="V41" s="89" t="n">
        <f aca="true">IF(V$5=0,U41,MAX(0,(U41-V$4)*(1+NORMINV(RAND(),INPUTS!$B$28,INPUTS!$B$29))))</f>
        <v>1764799.4554852</v>
      </c>
      <c r="W41" s="89" t="n">
        <f aca="true">IF(W$5=0,V41,MAX(0,(V41-W$4)*(1+NORMINV(RAND(),INPUTS!$B$28,INPUTS!$B$29))))</f>
        <v>1858048.23523287</v>
      </c>
      <c r="X41" s="89" t="n">
        <f aca="true">IF(X$5=0,W41,MAX(0,(W41-X$4)*(1+NORMINV(RAND(),INPUTS!$B$28,INPUTS!$B$29))))</f>
        <v>1904338.31281315</v>
      </c>
      <c r="Y41" s="89" t="n">
        <f aca="true">IF(Y$5=0,X41,MAX(0,(X41-Y$4)*(1+NORMINV(RAND(),INPUTS!$B$28,INPUTS!$B$29))))</f>
        <v>1987291.38839093</v>
      </c>
      <c r="Z41" s="89" t="n">
        <f aca="true">IF(Z$5=0,Y41,MAX(0,(Y41-Z$4)*(1+NORMINV(RAND(),INPUTS!$B$28,INPUTS!$B$29))))</f>
        <v>2278681.46721363</v>
      </c>
      <c r="AA41" s="89" t="n">
        <f aca="true">IF(AA$5=0,Z41,MAX(0,(Z41-AA$4)*(1+NORMINV(RAND(),INPUTS!$B$28,INPUTS!$B$29))))</f>
        <v>2568010.82138593</v>
      </c>
      <c r="AB41" s="89" t="n">
        <f aca="true">IF(AB$5=0,AA41,MAX(0,(AA41-AB$4)*(1+NORMINV(RAND(),INPUTS!$B$28,INPUTS!$B$29))))</f>
        <v>2503257.88849416</v>
      </c>
      <c r="AC41" s="89" t="n">
        <f aca="true">IF(AC$5=0,AB41,MAX(0,(AB41-AC$4)*(1+NORMINV(RAND(),INPUTS!$B$28,INPUTS!$B$29))))</f>
        <v>2368804.54027199</v>
      </c>
      <c r="AD41" s="89" t="n">
        <f aca="true">IF(AD$5=0,AC41,MAX(0,(AC41-AD$4)*(1+NORMINV(RAND(),INPUTS!$B$28,INPUTS!$B$29))))</f>
        <v>2920010.56518306</v>
      </c>
      <c r="AE41" s="89" t="n">
        <f aca="true">IF(AE$5=0,AD41,MAX(0,(AD41-AE$4)*(1+NORMINV(RAND(),INPUTS!$B$28,INPUTS!$B$29))))</f>
        <v>2352281.23564645</v>
      </c>
      <c r="AF41" s="89" t="n">
        <f aca="true">IF(AF$5=0,AE41,MAX(0,(AE41-AF$4)*(1+NORMINV(RAND(),INPUTS!$B$28,INPUTS!$B$29))))</f>
        <v>2437398.29404192</v>
      </c>
      <c r="AG41" s="89" t="n">
        <f aca="true">IF(AG$5=0,AF41,MAX(0,(AF41-AG$4)*(1+NORMINV(RAND(),INPUTS!$B$28,INPUTS!$B$29))))</f>
        <v>2990689.67984072</v>
      </c>
      <c r="AH41" s="89" t="n">
        <f aca="true">IF(AH$5=0,AG41,MAX(0,(AG41-AH$4)*(1+NORMINV(RAND(),INPUTS!$B$28,INPUTS!$B$29))))</f>
        <v>3186919.75154391</v>
      </c>
      <c r="AI41" s="89" t="n">
        <f aca="true">IF(AI$5=0,AH41,MAX(0,(AH41-AI$4)*(1+NORMINV(RAND(),INPUTS!$B$28,INPUTS!$B$29))))</f>
        <v>2922719.5989908</v>
      </c>
      <c r="AJ41" s="89" t="n">
        <f aca="true">IF(AJ$5=0,AI41,MAX(0,(AI41-AJ$4)*(1+NORMINV(RAND(),INPUTS!$B$28,INPUTS!$B$29))))</f>
        <v>3246721.25231162</v>
      </c>
      <c r="AK41" s="89" t="n">
        <f aca="true">IF(AK$5=0,AJ41,MAX(0,(AJ41-AK$4)*(1+NORMINV(RAND(),INPUTS!$B$28,INPUTS!$B$29))))</f>
        <v>3630820.02739689</v>
      </c>
      <c r="AL41" s="89" t="n">
        <f aca="true">IF(AL$5=0,AK41,MAX(0,(AK41-AL$4)*(1+NORMINV(RAND(),INPUTS!$B$28,INPUTS!$B$29))))</f>
        <v>3430192.87438012</v>
      </c>
      <c r="AM41" s="89" t="n">
        <f aca="true">IF(AM$5=0,AL41,MAX(0,(AL41-AM$4)*(1+NORMINV(RAND(),INPUTS!$B$28,INPUTS!$B$29))))</f>
        <v>3430192.87438012</v>
      </c>
      <c r="AN41" s="89" t="n">
        <f aca="true">IF(AN$5=0,AM41,MAX(0,(AM41-AN$4)*(1+NORMINV(RAND(),INPUTS!$B$28,INPUTS!$B$29))))</f>
        <v>3430192.87438012</v>
      </c>
      <c r="AO41" s="89" t="n">
        <f aca="true">IF(AO$5=0,AN41,MAX(0,(AN41-AO$4)*(1+NORMINV(RAND(),INPUTS!$B$28,INPUTS!$B$29))))</f>
        <v>3430192.87438012</v>
      </c>
      <c r="AP41" s="89" t="n">
        <f aca="true">IF(AP$5=0,AO41,MAX(0,(AO41-AP$4)*(1+NORMINV(RAND(),INPUTS!$B$28,INPUTS!$B$29))))</f>
        <v>3430192.87438012</v>
      </c>
      <c r="AQ41" s="89" t="n">
        <f aca="true">IF(AQ$5=0,AP41,MAX(0,(AP41-AQ$4)*(1+NORMINV(RAND(),INPUTS!$B$28,INPUTS!$B$29))))</f>
        <v>3430192.87438012</v>
      </c>
      <c r="AR41" s="89" t="n">
        <f aca="true">IF(AR$5=0,AQ41,MAX(0,(AQ41-AR$4)*(1+NORMINV(RAND(),INPUTS!$B$28,INPUTS!$B$29))))</f>
        <v>3430192.87438012</v>
      </c>
      <c r="AS41" s="89" t="n">
        <f aca="true">IF(AS$5=0,AR41,MAX(0,(AR41-AS$4)*(1+NORMINV(RAND(),INPUTS!$B$28,INPUTS!$B$29))))</f>
        <v>3430192.87438012</v>
      </c>
      <c r="AT41" s="89" t="n">
        <f aca="true">IF(AT$5=0,AS41,MAX(0,(AS41-AT$4)*(1+NORMINV(RAND(),INPUTS!$B$28,INPUTS!$B$29))))</f>
        <v>3430192.87438012</v>
      </c>
      <c r="AU41" s="89" t="n">
        <f aca="true">IF(AU$5=0,AT41,MAX(0,(AT41-AU$4)*(1+NORMINV(RAND(),INPUTS!$B$28,INPUTS!$B$29))))</f>
        <v>3430192.87438012</v>
      </c>
      <c r="AV41" s="89" t="n">
        <f aca="true">IF(AV$5=0,AU41,MAX(0,(AU41-AV$4)*(1+NORMINV(RAND(),INPUTS!$B$28,INPUTS!$B$29))))</f>
        <v>3430192.87438012</v>
      </c>
      <c r="AW41" s="89" t="n">
        <f aca="true">IF(AW$5=0,AV41,MAX(0,(AV41-AW$4)*(1+NORMINV(RAND(),INPUTS!$B$28,INPUTS!$B$29))))</f>
        <v>3430192.87438012</v>
      </c>
      <c r="AX41" s="89" t="n">
        <f aca="true">IF(AX$5=0,AW41,MAX(0,(AW41-AX$4)*(1+NORMINV(RAND(),INPUTS!$B$28,INPUTS!$B$29))))</f>
        <v>3430192.87438012</v>
      </c>
      <c r="AY41" s="89" t="n">
        <f aca="true">IF(AY$5=0,AX41,MAX(0,(AX41-AY$4)*(1+NORMINV(RAND(),INPUTS!$B$28,INPUTS!$B$29))))</f>
        <v>3430192.87438012</v>
      </c>
      <c r="AZ41" s="89" t="n">
        <f aca="true">IF(AZ$5=0,AY41,MAX(0,(AY41-AZ$4)*(1+NORMINV(RAND(),INPUTS!$B$28,INPUTS!$B$29))))</f>
        <v>3430192.87438012</v>
      </c>
      <c r="BA41" s="89" t="n">
        <f aca="true">IF(BA$5=0,AZ41,MAX(0,(AZ41-BA$4)*(1+NORMINV(RAND(),INPUTS!$B$28,INPUTS!$B$29))))</f>
        <v>3430192.87438012</v>
      </c>
      <c r="BB41" s="89" t="n">
        <f aca="true">IF(BB$5=0,BA41,MAX(0,(BA41-BB$4)*(1+NORMINV(RAND(),INPUTS!$B$28,INPUTS!$B$29))))</f>
        <v>3430192.87438012</v>
      </c>
      <c r="BC41" s="89" t="n">
        <f aca="true">IF(BC$5=0,BB41,MAX(0,(BB41-BC$4)*(1+NORMINV(RAND(),INPUTS!$B$28,INPUTS!$B$29))))</f>
        <v>3430192.87438012</v>
      </c>
      <c r="BD41" s="89" t="n">
        <f aca="true">IF(BD$5=0,BC41,MAX(0,(BC41-BD$4)*(1+NORMINV(RAND(),INPUTS!$B$28,INPUTS!$B$29))))</f>
        <v>3430192.87438012</v>
      </c>
      <c r="BE41" s="89" t="n">
        <f aca="true">IF(BE$5=0,BD41,MAX(0,(BD41-BE$4)*(1+NORMINV(RAND(),INPUTS!$B$28,INPUTS!$B$29))))</f>
        <v>3430192.87438012</v>
      </c>
      <c r="BF41" s="89" t="n">
        <f aca="true">IF(BF$5=0,BE41,MAX(0,(BE41-BF$4)*(1+NORMINV(RAND(),INPUTS!$B$28,INPUTS!$B$29))))</f>
        <v>3430192.87438012</v>
      </c>
      <c r="BG41" s="89" t="n">
        <f aca="true">IF(BG$5=0,BF41,MAX(0,(BF41-BG$4)*(1+NORMINV(RAND(),INPUTS!$B$28,INPUTS!$B$29))))</f>
        <v>3430192.87438012</v>
      </c>
      <c r="BH41" s="89" t="n">
        <f aca="true">IF(BH$5=0,BG41,MAX(0,(BG41-BH$4)*(1+NORMINV(RAND(),INPUTS!$B$28,INPUTS!$B$29))))</f>
        <v>3430192.87438012</v>
      </c>
      <c r="BI41" s="89" t="n">
        <f aca="true">IF(BI$5=0,BH41,MAX(0,(BH41-BI$4)*(1+NORMINV(RAND(),INPUTS!$B$28,INPUTS!$B$29))))</f>
        <v>3430192.87438012</v>
      </c>
      <c r="BJ41" s="89" t="n">
        <f aca="true">IF(BJ$5=0,BI41,MAX(0,(BI41-BJ$4)*(1+NORMINV(RAND(),INPUTS!$B$28,INPUTS!$B$29))))</f>
        <v>3430192.87438012</v>
      </c>
    </row>
    <row r="42" customFormat="false" ht="15" hidden="false" customHeight="true" outlineLevel="0" collapsed="false">
      <c r="A42" s="87" t="n">
        <v>35</v>
      </c>
      <c r="B42" s="88" t="n">
        <f aca="false">LOOKUP(9.99E+307,C42:BJ42)</f>
        <v>6356808.58257192</v>
      </c>
      <c r="C42" s="89" t="n">
        <f aca="true">IF(C$5=0,INPUTS!$B$35,MAX(0,(INPUTS!$B$35-C$4)*(1+NORMINV(RAND(),INPUTS!$B$28,INPUTS!$B$29))))</f>
        <v>1518404.65705005</v>
      </c>
      <c r="D42" s="89" t="n">
        <f aca="true">IF(D$5=0,C42,MAX(0,(C42-D$4)*(1+NORMINV(RAND(),INPUTS!$B$28,INPUTS!$B$29))))</f>
        <v>1506196.39316868</v>
      </c>
      <c r="E42" s="89" t="n">
        <f aca="true">IF(E$5=0,D42,MAX(0,(D42-E$4)*(1+NORMINV(RAND(),INPUTS!$B$28,INPUTS!$B$29))))</f>
        <v>1272994.56092941</v>
      </c>
      <c r="F42" s="89" t="n">
        <f aca="true">IF(F$5=0,E42,MAX(0,(E42-F$4)*(1+NORMINV(RAND(),INPUTS!$B$28,INPUTS!$B$29))))</f>
        <v>1356527.57984339</v>
      </c>
      <c r="G42" s="89" t="n">
        <f aca="true">IF(G$5=0,F42,MAX(0,(F42-G$4)*(1+NORMINV(RAND(),INPUTS!$B$28,INPUTS!$B$29))))</f>
        <v>1235368.43770451</v>
      </c>
      <c r="H42" s="89" t="n">
        <f aca="true">IF(H$5=0,G42,MAX(0,(G42-H$4)*(1+NORMINV(RAND(),INPUTS!$B$28,INPUTS!$B$29))))</f>
        <v>1301013.93373712</v>
      </c>
      <c r="I42" s="89" t="n">
        <f aca="true">IF(I$5=0,H42,MAX(0,(H42-I$4)*(1+NORMINV(RAND(),INPUTS!$B$28,INPUTS!$B$29))))</f>
        <v>1377444.1361252</v>
      </c>
      <c r="J42" s="89" t="n">
        <f aca="true">IF(J$5=0,I42,MAX(0,(I42-J$4)*(1+NORMINV(RAND(),INPUTS!$B$28,INPUTS!$B$29))))</f>
        <v>1542445.32948912</v>
      </c>
      <c r="K42" s="89" t="n">
        <f aca="true">IF(K$5=0,J42,MAX(0,(J42-K$4)*(1+NORMINV(RAND(),INPUTS!$B$28,INPUTS!$B$29))))</f>
        <v>1579078.516136</v>
      </c>
      <c r="L42" s="89" t="n">
        <f aca="true">IF(L$5=0,K42,MAX(0,(K42-L$4)*(1+NORMINV(RAND(),INPUTS!$B$28,INPUTS!$B$29))))</f>
        <v>1783296.73287511</v>
      </c>
      <c r="M42" s="89" t="n">
        <f aca="true">IF(M$5=0,L42,MAX(0,(L42-M$4)*(1+NORMINV(RAND(),INPUTS!$B$28,INPUTS!$B$29))))</f>
        <v>1832808.3573619</v>
      </c>
      <c r="N42" s="89" t="n">
        <f aca="true">IF(N$5=0,M42,MAX(0,(M42-N$4)*(1+NORMINV(RAND(),INPUTS!$B$28,INPUTS!$B$29))))</f>
        <v>2104493.8109386</v>
      </c>
      <c r="O42" s="89" t="n">
        <f aca="true">IF(O$5=0,N42,MAX(0,(N42-O$4)*(1+NORMINV(RAND(),INPUTS!$B$28,INPUTS!$B$29))))</f>
        <v>2435858.83933561</v>
      </c>
      <c r="P42" s="89" t="n">
        <f aca="true">IF(P$5=0,O42,MAX(0,(O42-P$4)*(1+NORMINV(RAND(),INPUTS!$B$28,INPUTS!$B$29))))</f>
        <v>2755655.10003365</v>
      </c>
      <c r="Q42" s="89" t="n">
        <f aca="true">IF(Q$5=0,P42,MAX(0,(P42-Q$4)*(1+NORMINV(RAND(),INPUTS!$B$28,INPUTS!$B$29))))</f>
        <v>3200637.54183988</v>
      </c>
      <c r="R42" s="89" t="n">
        <f aca="true">IF(R$5=0,Q42,MAX(0,(Q42-R$4)*(1+NORMINV(RAND(),INPUTS!$B$28,INPUTS!$B$29))))</f>
        <v>3823573.0226739</v>
      </c>
      <c r="S42" s="89" t="n">
        <f aca="true">IF(S$5=0,R42,MAX(0,(R42-S$4)*(1+NORMINV(RAND(),INPUTS!$B$28,INPUTS!$B$29))))</f>
        <v>3862584.96266717</v>
      </c>
      <c r="T42" s="89" t="n">
        <f aca="true">IF(T$5=0,S42,MAX(0,(S42-T$4)*(1+NORMINV(RAND(),INPUTS!$B$28,INPUTS!$B$29))))</f>
        <v>3429651.45024912</v>
      </c>
      <c r="U42" s="89" t="n">
        <f aca="true">IF(U$5=0,T42,MAX(0,(T42-U$4)*(1+NORMINV(RAND(),INPUTS!$B$28,INPUTS!$B$29))))</f>
        <v>3385989.82333519</v>
      </c>
      <c r="V42" s="89" t="n">
        <f aca="true">IF(V$5=0,U42,MAX(0,(U42-V$4)*(1+NORMINV(RAND(),INPUTS!$B$28,INPUTS!$B$29))))</f>
        <v>3132902.82603075</v>
      </c>
      <c r="W42" s="89" t="n">
        <f aca="true">IF(W$5=0,V42,MAX(0,(V42-W$4)*(1+NORMINV(RAND(),INPUTS!$B$28,INPUTS!$B$29))))</f>
        <v>3861514.65407686</v>
      </c>
      <c r="X42" s="89" t="n">
        <f aca="true">IF(X$5=0,W42,MAX(0,(W42-X$4)*(1+NORMINV(RAND(),INPUTS!$B$28,INPUTS!$B$29))))</f>
        <v>3865273.32363285</v>
      </c>
      <c r="Y42" s="89" t="n">
        <f aca="true">IF(Y$5=0,X42,MAX(0,(X42-Y$4)*(1+NORMINV(RAND(),INPUTS!$B$28,INPUTS!$B$29))))</f>
        <v>3862690.6381972</v>
      </c>
      <c r="Z42" s="89" t="n">
        <f aca="true">IF(Z$5=0,Y42,MAX(0,(Y42-Z$4)*(1+NORMINV(RAND(),INPUTS!$B$28,INPUTS!$B$29))))</f>
        <v>3929829.92573848</v>
      </c>
      <c r="AA42" s="89" t="n">
        <f aca="true">IF(AA$5=0,Z42,MAX(0,(Z42-AA$4)*(1+NORMINV(RAND(),INPUTS!$B$28,INPUTS!$B$29))))</f>
        <v>4190962.33293665</v>
      </c>
      <c r="AB42" s="89" t="n">
        <f aca="true">IF(AB$5=0,AA42,MAX(0,(AA42-AB$4)*(1+NORMINV(RAND(),INPUTS!$B$28,INPUTS!$B$29))))</f>
        <v>3530823.94942029</v>
      </c>
      <c r="AC42" s="89" t="n">
        <f aca="true">IF(AC$5=0,AB42,MAX(0,(AB42-AC$4)*(1+NORMINV(RAND(),INPUTS!$B$28,INPUTS!$B$29))))</f>
        <v>3501109.05712903</v>
      </c>
      <c r="AD42" s="89" t="n">
        <f aca="true">IF(AD$5=0,AC42,MAX(0,(AC42-AD$4)*(1+NORMINV(RAND(),INPUTS!$B$28,INPUTS!$B$29))))</f>
        <v>2869807.94189555</v>
      </c>
      <c r="AE42" s="89" t="n">
        <f aca="true">IF(AE$5=0,AD42,MAX(0,(AD42-AE$4)*(1+NORMINV(RAND(),INPUTS!$B$28,INPUTS!$B$29))))</f>
        <v>3111543.91751107</v>
      </c>
      <c r="AF42" s="89" t="n">
        <f aca="true">IF(AF$5=0,AE42,MAX(0,(AE42-AF$4)*(1+NORMINV(RAND(),INPUTS!$B$28,INPUTS!$B$29))))</f>
        <v>3587487.57676817</v>
      </c>
      <c r="AG42" s="89" t="n">
        <f aca="true">IF(AG$5=0,AF42,MAX(0,(AF42-AG$4)*(1+NORMINV(RAND(),INPUTS!$B$28,INPUTS!$B$29))))</f>
        <v>4222601.37847009</v>
      </c>
      <c r="AH42" s="89" t="n">
        <f aca="true">IF(AH$5=0,AG42,MAX(0,(AG42-AH$4)*(1+NORMINV(RAND(),INPUTS!$B$28,INPUTS!$B$29))))</f>
        <v>4395983.40809057</v>
      </c>
      <c r="AI42" s="89" t="n">
        <f aca="true">IF(AI$5=0,AH42,MAX(0,(AH42-AI$4)*(1+NORMINV(RAND(),INPUTS!$B$28,INPUTS!$B$29))))</f>
        <v>5072553.30528313</v>
      </c>
      <c r="AJ42" s="89" t="n">
        <f aca="true">IF(AJ$5=0,AI42,MAX(0,(AI42-AJ$4)*(1+NORMINV(RAND(),INPUTS!$B$28,INPUTS!$B$29))))</f>
        <v>4972633.07121577</v>
      </c>
      <c r="AK42" s="89" t="n">
        <f aca="true">IF(AK$5=0,AJ42,MAX(0,(AJ42-AK$4)*(1+NORMINV(RAND(),INPUTS!$B$28,INPUTS!$B$29))))</f>
        <v>6055039.58210173</v>
      </c>
      <c r="AL42" s="89" t="n">
        <f aca="true">IF(AL$5=0,AK42,MAX(0,(AK42-AL$4)*(1+NORMINV(RAND(),INPUTS!$B$28,INPUTS!$B$29))))</f>
        <v>6356808.58257192</v>
      </c>
      <c r="AM42" s="89" t="n">
        <f aca="true">IF(AM$5=0,AL42,MAX(0,(AL42-AM$4)*(1+NORMINV(RAND(),INPUTS!$B$28,INPUTS!$B$29))))</f>
        <v>6356808.58257192</v>
      </c>
      <c r="AN42" s="89" t="n">
        <f aca="true">IF(AN$5=0,AM42,MAX(0,(AM42-AN$4)*(1+NORMINV(RAND(),INPUTS!$B$28,INPUTS!$B$29))))</f>
        <v>6356808.58257192</v>
      </c>
      <c r="AO42" s="89" t="n">
        <f aca="true">IF(AO$5=0,AN42,MAX(0,(AN42-AO$4)*(1+NORMINV(RAND(),INPUTS!$B$28,INPUTS!$B$29))))</f>
        <v>6356808.58257192</v>
      </c>
      <c r="AP42" s="89" t="n">
        <f aca="true">IF(AP$5=0,AO42,MAX(0,(AO42-AP$4)*(1+NORMINV(RAND(),INPUTS!$B$28,INPUTS!$B$29))))</f>
        <v>6356808.58257192</v>
      </c>
      <c r="AQ42" s="89" t="n">
        <f aca="true">IF(AQ$5=0,AP42,MAX(0,(AP42-AQ$4)*(1+NORMINV(RAND(),INPUTS!$B$28,INPUTS!$B$29))))</f>
        <v>6356808.58257192</v>
      </c>
      <c r="AR42" s="89" t="n">
        <f aca="true">IF(AR$5=0,AQ42,MAX(0,(AQ42-AR$4)*(1+NORMINV(RAND(),INPUTS!$B$28,INPUTS!$B$29))))</f>
        <v>6356808.58257192</v>
      </c>
      <c r="AS42" s="89" t="n">
        <f aca="true">IF(AS$5=0,AR42,MAX(0,(AR42-AS$4)*(1+NORMINV(RAND(),INPUTS!$B$28,INPUTS!$B$29))))</f>
        <v>6356808.58257192</v>
      </c>
      <c r="AT42" s="89" t="n">
        <f aca="true">IF(AT$5=0,AS42,MAX(0,(AS42-AT$4)*(1+NORMINV(RAND(),INPUTS!$B$28,INPUTS!$B$29))))</f>
        <v>6356808.58257192</v>
      </c>
      <c r="AU42" s="89" t="n">
        <f aca="true">IF(AU$5=0,AT42,MAX(0,(AT42-AU$4)*(1+NORMINV(RAND(),INPUTS!$B$28,INPUTS!$B$29))))</f>
        <v>6356808.58257192</v>
      </c>
      <c r="AV42" s="89" t="n">
        <f aca="true">IF(AV$5=0,AU42,MAX(0,(AU42-AV$4)*(1+NORMINV(RAND(),INPUTS!$B$28,INPUTS!$B$29))))</f>
        <v>6356808.58257192</v>
      </c>
      <c r="AW42" s="89" t="n">
        <f aca="true">IF(AW$5=0,AV42,MAX(0,(AV42-AW$4)*(1+NORMINV(RAND(),INPUTS!$B$28,INPUTS!$B$29))))</f>
        <v>6356808.58257192</v>
      </c>
      <c r="AX42" s="89" t="n">
        <f aca="true">IF(AX$5=0,AW42,MAX(0,(AW42-AX$4)*(1+NORMINV(RAND(),INPUTS!$B$28,INPUTS!$B$29))))</f>
        <v>6356808.58257192</v>
      </c>
      <c r="AY42" s="89" t="n">
        <f aca="true">IF(AY$5=0,AX42,MAX(0,(AX42-AY$4)*(1+NORMINV(RAND(),INPUTS!$B$28,INPUTS!$B$29))))</f>
        <v>6356808.58257192</v>
      </c>
      <c r="AZ42" s="89" t="n">
        <f aca="true">IF(AZ$5=0,AY42,MAX(0,(AY42-AZ$4)*(1+NORMINV(RAND(),INPUTS!$B$28,INPUTS!$B$29))))</f>
        <v>6356808.58257192</v>
      </c>
      <c r="BA42" s="89" t="n">
        <f aca="true">IF(BA$5=0,AZ42,MAX(0,(AZ42-BA$4)*(1+NORMINV(RAND(),INPUTS!$B$28,INPUTS!$B$29))))</f>
        <v>6356808.58257192</v>
      </c>
      <c r="BB42" s="89" t="n">
        <f aca="true">IF(BB$5=0,BA42,MAX(0,(BA42-BB$4)*(1+NORMINV(RAND(),INPUTS!$B$28,INPUTS!$B$29))))</f>
        <v>6356808.58257192</v>
      </c>
      <c r="BC42" s="89" t="n">
        <f aca="true">IF(BC$5=0,BB42,MAX(0,(BB42-BC$4)*(1+NORMINV(RAND(),INPUTS!$B$28,INPUTS!$B$29))))</f>
        <v>6356808.58257192</v>
      </c>
      <c r="BD42" s="89" t="n">
        <f aca="true">IF(BD$5=0,BC42,MAX(0,(BC42-BD$4)*(1+NORMINV(RAND(),INPUTS!$B$28,INPUTS!$B$29))))</f>
        <v>6356808.58257192</v>
      </c>
      <c r="BE42" s="89" t="n">
        <f aca="true">IF(BE$5=0,BD42,MAX(0,(BD42-BE$4)*(1+NORMINV(RAND(),INPUTS!$B$28,INPUTS!$B$29))))</f>
        <v>6356808.58257192</v>
      </c>
      <c r="BF42" s="89" t="n">
        <f aca="true">IF(BF$5=0,BE42,MAX(0,(BE42-BF$4)*(1+NORMINV(RAND(),INPUTS!$B$28,INPUTS!$B$29))))</f>
        <v>6356808.58257192</v>
      </c>
      <c r="BG42" s="89" t="n">
        <f aca="true">IF(BG$5=0,BF42,MAX(0,(BF42-BG$4)*(1+NORMINV(RAND(),INPUTS!$B$28,INPUTS!$B$29))))</f>
        <v>6356808.58257192</v>
      </c>
      <c r="BH42" s="89" t="n">
        <f aca="true">IF(BH$5=0,BG42,MAX(0,(BG42-BH$4)*(1+NORMINV(RAND(),INPUTS!$B$28,INPUTS!$B$29))))</f>
        <v>6356808.58257192</v>
      </c>
      <c r="BI42" s="89" t="n">
        <f aca="true">IF(BI$5=0,BH42,MAX(0,(BH42-BI$4)*(1+NORMINV(RAND(),INPUTS!$B$28,INPUTS!$B$29))))</f>
        <v>6356808.58257192</v>
      </c>
      <c r="BJ42" s="89" t="n">
        <f aca="true">IF(BJ$5=0,BI42,MAX(0,(BI42-BJ$4)*(1+NORMINV(RAND(),INPUTS!$B$28,INPUTS!$B$29))))</f>
        <v>6356808.58257192</v>
      </c>
    </row>
    <row r="43" customFormat="false" ht="15" hidden="false" customHeight="true" outlineLevel="0" collapsed="false">
      <c r="A43" s="87" t="n">
        <v>36</v>
      </c>
      <c r="B43" s="88" t="n">
        <f aca="false">LOOKUP(9.99E+307,C43:BJ43)</f>
        <v>14104635.6362135</v>
      </c>
      <c r="C43" s="89" t="n">
        <f aca="true">IF(C$5=0,INPUTS!$B$35,MAX(0,(INPUTS!$B$35-C$4)*(1+NORMINV(RAND(),INPUTS!$B$28,INPUTS!$B$29))))</f>
        <v>1391197.16172008</v>
      </c>
      <c r="D43" s="89" t="n">
        <f aca="true">IF(D$5=0,C43,MAX(0,(C43-D$4)*(1+NORMINV(RAND(),INPUTS!$B$28,INPUTS!$B$29))))</f>
        <v>1332432.70661809</v>
      </c>
      <c r="E43" s="89" t="n">
        <f aca="true">IF(E$5=0,D43,MAX(0,(D43-E$4)*(1+NORMINV(RAND(),INPUTS!$B$28,INPUTS!$B$29))))</f>
        <v>1480109.28541312</v>
      </c>
      <c r="F43" s="89" t="n">
        <f aca="true">IF(F$5=0,E43,MAX(0,(E43-F$4)*(1+NORMINV(RAND(),INPUTS!$B$28,INPUTS!$B$29))))</f>
        <v>1459161.07745119</v>
      </c>
      <c r="G43" s="89" t="n">
        <f aca="true">IF(G$5=0,F43,MAX(0,(F43-G$4)*(1+NORMINV(RAND(),INPUTS!$B$28,INPUTS!$B$29))))</f>
        <v>1626935.69289414</v>
      </c>
      <c r="H43" s="89" t="n">
        <f aca="true">IF(H$5=0,G43,MAX(0,(G43-H$4)*(1+NORMINV(RAND(),INPUTS!$B$28,INPUTS!$B$29))))</f>
        <v>1513480.18583502</v>
      </c>
      <c r="I43" s="89" t="n">
        <f aca="true">IF(I$5=0,H43,MAX(0,(H43-I$4)*(1+NORMINV(RAND(),INPUTS!$B$28,INPUTS!$B$29))))</f>
        <v>1701477.26520815</v>
      </c>
      <c r="J43" s="89" t="n">
        <f aca="true">IF(J$5=0,I43,MAX(0,(I43-J$4)*(1+NORMINV(RAND(),INPUTS!$B$28,INPUTS!$B$29))))</f>
        <v>1998931.07097324</v>
      </c>
      <c r="K43" s="89" t="n">
        <f aca="true">IF(K$5=0,J43,MAX(0,(J43-K$4)*(1+NORMINV(RAND(),INPUTS!$B$28,INPUTS!$B$29))))</f>
        <v>2498333.84543505</v>
      </c>
      <c r="L43" s="89" t="n">
        <f aca="true">IF(L$5=0,K43,MAX(0,(K43-L$4)*(1+NORMINV(RAND(),INPUTS!$B$28,INPUTS!$B$29))))</f>
        <v>3253086.93863946</v>
      </c>
      <c r="M43" s="89" t="n">
        <f aca="true">IF(M$5=0,L43,MAX(0,(L43-M$4)*(1+NORMINV(RAND(),INPUTS!$B$28,INPUTS!$B$29))))</f>
        <v>3830649.72529525</v>
      </c>
      <c r="N43" s="89" t="n">
        <f aca="true">IF(N$5=0,M43,MAX(0,(M43-N$4)*(1+NORMINV(RAND(),INPUTS!$B$28,INPUTS!$B$29))))</f>
        <v>3881477.60199466</v>
      </c>
      <c r="O43" s="89" t="n">
        <f aca="true">IF(O$5=0,N43,MAX(0,(N43-O$4)*(1+NORMINV(RAND(),INPUTS!$B$28,INPUTS!$B$29))))</f>
        <v>4081461.58450321</v>
      </c>
      <c r="P43" s="89" t="n">
        <f aca="true">IF(P$5=0,O43,MAX(0,(O43-P$4)*(1+NORMINV(RAND(),INPUTS!$B$28,INPUTS!$B$29))))</f>
        <v>4237679.88144137</v>
      </c>
      <c r="Q43" s="89" t="n">
        <f aca="true">IF(Q$5=0,P43,MAX(0,(P43-Q$4)*(1+NORMINV(RAND(),INPUTS!$B$28,INPUTS!$B$29))))</f>
        <v>4318523.00298047</v>
      </c>
      <c r="R43" s="89" t="n">
        <f aca="true">IF(R$5=0,Q43,MAX(0,(Q43-R$4)*(1+NORMINV(RAND(),INPUTS!$B$28,INPUTS!$B$29))))</f>
        <v>4547412.65088366</v>
      </c>
      <c r="S43" s="89" t="n">
        <f aca="true">IF(S$5=0,R43,MAX(0,(R43-S$4)*(1+NORMINV(RAND(),INPUTS!$B$28,INPUTS!$B$29))))</f>
        <v>4885390.53620462</v>
      </c>
      <c r="T43" s="89" t="n">
        <f aca="true">IF(T$5=0,S43,MAX(0,(S43-T$4)*(1+NORMINV(RAND(),INPUTS!$B$28,INPUTS!$B$29))))</f>
        <v>4981002.68608788</v>
      </c>
      <c r="U43" s="89" t="n">
        <f aca="true">IF(U$5=0,T43,MAX(0,(T43-U$4)*(1+NORMINV(RAND(),INPUTS!$B$28,INPUTS!$B$29))))</f>
        <v>5854419.63537713</v>
      </c>
      <c r="V43" s="89" t="n">
        <f aca="true">IF(V$5=0,U43,MAX(0,(U43-V$4)*(1+NORMINV(RAND(),INPUTS!$B$28,INPUTS!$B$29))))</f>
        <v>6880967.84756209</v>
      </c>
      <c r="W43" s="89" t="n">
        <f aca="true">IF(W$5=0,V43,MAX(0,(V43-W$4)*(1+NORMINV(RAND(),INPUTS!$B$28,INPUTS!$B$29))))</f>
        <v>8949103.19704832</v>
      </c>
      <c r="X43" s="89" t="n">
        <f aca="true">IF(X$5=0,W43,MAX(0,(W43-X$4)*(1+NORMINV(RAND(),INPUTS!$B$28,INPUTS!$B$29))))</f>
        <v>8996649.86663315</v>
      </c>
      <c r="Y43" s="89" t="n">
        <f aca="true">IF(Y$5=0,X43,MAX(0,(X43-Y$4)*(1+NORMINV(RAND(),INPUTS!$B$28,INPUTS!$B$29))))</f>
        <v>10067772.6892593</v>
      </c>
      <c r="Z43" s="89" t="n">
        <f aca="true">IF(Z$5=0,Y43,MAX(0,(Y43-Z$4)*(1+NORMINV(RAND(),INPUTS!$B$28,INPUTS!$B$29))))</f>
        <v>11394430.1863314</v>
      </c>
      <c r="AA43" s="89" t="n">
        <f aca="true">IF(AA$5=0,Z43,MAX(0,(Z43-AA$4)*(1+NORMINV(RAND(),INPUTS!$B$28,INPUTS!$B$29))))</f>
        <v>10540613.7534499</v>
      </c>
      <c r="AB43" s="89" t="n">
        <f aca="true">IF(AB$5=0,AA43,MAX(0,(AA43-AB$4)*(1+NORMINV(RAND(),INPUTS!$B$28,INPUTS!$B$29))))</f>
        <v>11343920.6494033</v>
      </c>
      <c r="AC43" s="89" t="n">
        <f aca="true">IF(AC$5=0,AB43,MAX(0,(AB43-AC$4)*(1+NORMINV(RAND(),INPUTS!$B$28,INPUTS!$B$29))))</f>
        <v>12863789.6117137</v>
      </c>
      <c r="AD43" s="89" t="n">
        <f aca="true">IF(AD$5=0,AC43,MAX(0,(AC43-AD$4)*(1+NORMINV(RAND(),INPUTS!$B$28,INPUTS!$B$29))))</f>
        <v>12686361.5798336</v>
      </c>
      <c r="AE43" s="89" t="n">
        <f aca="true">IF(AE$5=0,AD43,MAX(0,(AD43-AE$4)*(1+NORMINV(RAND(),INPUTS!$B$28,INPUTS!$B$29))))</f>
        <v>14120907.0162862</v>
      </c>
      <c r="AF43" s="89" t="n">
        <f aca="true">IF(AF$5=0,AE43,MAX(0,(AE43-AF$4)*(1+NORMINV(RAND(),INPUTS!$B$28,INPUTS!$B$29))))</f>
        <v>12035981.7182426</v>
      </c>
      <c r="AG43" s="89" t="n">
        <f aca="true">IF(AG$5=0,AF43,MAX(0,(AF43-AG$4)*(1+NORMINV(RAND(),INPUTS!$B$28,INPUTS!$B$29))))</f>
        <v>13368148.0680216</v>
      </c>
      <c r="AH43" s="89" t="n">
        <f aca="true">IF(AH$5=0,AG43,MAX(0,(AG43-AH$4)*(1+NORMINV(RAND(),INPUTS!$B$28,INPUTS!$B$29))))</f>
        <v>10651981.2872384</v>
      </c>
      <c r="AI43" s="89" t="n">
        <f aca="true">IF(AI$5=0,AH43,MAX(0,(AH43-AI$4)*(1+NORMINV(RAND(),INPUTS!$B$28,INPUTS!$B$29))))</f>
        <v>11938454.9372848</v>
      </c>
      <c r="AJ43" s="89" t="n">
        <f aca="true">IF(AJ$5=0,AI43,MAX(0,(AI43-AJ$4)*(1+NORMINV(RAND(),INPUTS!$B$28,INPUTS!$B$29))))</f>
        <v>12414147.1018678</v>
      </c>
      <c r="AK43" s="89" t="n">
        <f aca="true">IF(AK$5=0,AJ43,MAX(0,(AJ43-AK$4)*(1+NORMINV(RAND(),INPUTS!$B$28,INPUTS!$B$29))))</f>
        <v>13118256.6537981</v>
      </c>
      <c r="AL43" s="89" t="n">
        <f aca="true">IF(AL$5=0,AK43,MAX(0,(AK43-AL$4)*(1+NORMINV(RAND(),INPUTS!$B$28,INPUTS!$B$29))))</f>
        <v>14104635.6362135</v>
      </c>
      <c r="AM43" s="89" t="n">
        <f aca="true">IF(AM$5=0,AL43,MAX(0,(AL43-AM$4)*(1+NORMINV(RAND(),INPUTS!$B$28,INPUTS!$B$29))))</f>
        <v>14104635.6362135</v>
      </c>
      <c r="AN43" s="89" t="n">
        <f aca="true">IF(AN$5=0,AM43,MAX(0,(AM43-AN$4)*(1+NORMINV(RAND(),INPUTS!$B$28,INPUTS!$B$29))))</f>
        <v>14104635.6362135</v>
      </c>
      <c r="AO43" s="89" t="n">
        <f aca="true">IF(AO$5=0,AN43,MAX(0,(AN43-AO$4)*(1+NORMINV(RAND(),INPUTS!$B$28,INPUTS!$B$29))))</f>
        <v>14104635.6362135</v>
      </c>
      <c r="AP43" s="89" t="n">
        <f aca="true">IF(AP$5=0,AO43,MAX(0,(AO43-AP$4)*(1+NORMINV(RAND(),INPUTS!$B$28,INPUTS!$B$29))))</f>
        <v>14104635.6362135</v>
      </c>
      <c r="AQ43" s="89" t="n">
        <f aca="true">IF(AQ$5=0,AP43,MAX(0,(AP43-AQ$4)*(1+NORMINV(RAND(),INPUTS!$B$28,INPUTS!$B$29))))</f>
        <v>14104635.6362135</v>
      </c>
      <c r="AR43" s="89" t="n">
        <f aca="true">IF(AR$5=0,AQ43,MAX(0,(AQ43-AR$4)*(1+NORMINV(RAND(),INPUTS!$B$28,INPUTS!$B$29))))</f>
        <v>14104635.6362135</v>
      </c>
      <c r="AS43" s="89" t="n">
        <f aca="true">IF(AS$5=0,AR43,MAX(0,(AR43-AS$4)*(1+NORMINV(RAND(),INPUTS!$B$28,INPUTS!$B$29))))</f>
        <v>14104635.6362135</v>
      </c>
      <c r="AT43" s="89" t="n">
        <f aca="true">IF(AT$5=0,AS43,MAX(0,(AS43-AT$4)*(1+NORMINV(RAND(),INPUTS!$B$28,INPUTS!$B$29))))</f>
        <v>14104635.6362135</v>
      </c>
      <c r="AU43" s="89" t="n">
        <f aca="true">IF(AU$5=0,AT43,MAX(0,(AT43-AU$4)*(1+NORMINV(RAND(),INPUTS!$B$28,INPUTS!$B$29))))</f>
        <v>14104635.6362135</v>
      </c>
      <c r="AV43" s="89" t="n">
        <f aca="true">IF(AV$5=0,AU43,MAX(0,(AU43-AV$4)*(1+NORMINV(RAND(),INPUTS!$B$28,INPUTS!$B$29))))</f>
        <v>14104635.6362135</v>
      </c>
      <c r="AW43" s="89" t="n">
        <f aca="true">IF(AW$5=0,AV43,MAX(0,(AV43-AW$4)*(1+NORMINV(RAND(),INPUTS!$B$28,INPUTS!$B$29))))</f>
        <v>14104635.6362135</v>
      </c>
      <c r="AX43" s="89" t="n">
        <f aca="true">IF(AX$5=0,AW43,MAX(0,(AW43-AX$4)*(1+NORMINV(RAND(),INPUTS!$B$28,INPUTS!$B$29))))</f>
        <v>14104635.6362135</v>
      </c>
      <c r="AY43" s="89" t="n">
        <f aca="true">IF(AY$5=0,AX43,MAX(0,(AX43-AY$4)*(1+NORMINV(RAND(),INPUTS!$B$28,INPUTS!$B$29))))</f>
        <v>14104635.6362135</v>
      </c>
      <c r="AZ43" s="89" t="n">
        <f aca="true">IF(AZ$5=0,AY43,MAX(0,(AY43-AZ$4)*(1+NORMINV(RAND(),INPUTS!$B$28,INPUTS!$B$29))))</f>
        <v>14104635.6362135</v>
      </c>
      <c r="BA43" s="89" t="n">
        <f aca="true">IF(BA$5=0,AZ43,MAX(0,(AZ43-BA$4)*(1+NORMINV(RAND(),INPUTS!$B$28,INPUTS!$B$29))))</f>
        <v>14104635.6362135</v>
      </c>
      <c r="BB43" s="89" t="n">
        <f aca="true">IF(BB$5=0,BA43,MAX(0,(BA43-BB$4)*(1+NORMINV(RAND(),INPUTS!$B$28,INPUTS!$B$29))))</f>
        <v>14104635.6362135</v>
      </c>
      <c r="BC43" s="89" t="n">
        <f aca="true">IF(BC$5=0,BB43,MAX(0,(BB43-BC$4)*(1+NORMINV(RAND(),INPUTS!$B$28,INPUTS!$B$29))))</f>
        <v>14104635.6362135</v>
      </c>
      <c r="BD43" s="89" t="n">
        <f aca="true">IF(BD$5=0,BC43,MAX(0,(BC43-BD$4)*(1+NORMINV(RAND(),INPUTS!$B$28,INPUTS!$B$29))))</f>
        <v>14104635.6362135</v>
      </c>
      <c r="BE43" s="89" t="n">
        <f aca="true">IF(BE$5=0,BD43,MAX(0,(BD43-BE$4)*(1+NORMINV(RAND(),INPUTS!$B$28,INPUTS!$B$29))))</f>
        <v>14104635.6362135</v>
      </c>
      <c r="BF43" s="89" t="n">
        <f aca="true">IF(BF$5=0,BE43,MAX(0,(BE43-BF$4)*(1+NORMINV(RAND(),INPUTS!$B$28,INPUTS!$B$29))))</f>
        <v>14104635.6362135</v>
      </c>
      <c r="BG43" s="89" t="n">
        <f aca="true">IF(BG$5=0,BF43,MAX(0,(BF43-BG$4)*(1+NORMINV(RAND(),INPUTS!$B$28,INPUTS!$B$29))))</f>
        <v>14104635.6362135</v>
      </c>
      <c r="BH43" s="89" t="n">
        <f aca="true">IF(BH$5=0,BG43,MAX(0,(BG43-BH$4)*(1+NORMINV(RAND(),INPUTS!$B$28,INPUTS!$B$29))))</f>
        <v>14104635.6362135</v>
      </c>
      <c r="BI43" s="89" t="n">
        <f aca="true">IF(BI$5=0,BH43,MAX(0,(BH43-BI$4)*(1+NORMINV(RAND(),INPUTS!$B$28,INPUTS!$B$29))))</f>
        <v>14104635.6362135</v>
      </c>
      <c r="BJ43" s="89" t="n">
        <f aca="true">IF(BJ$5=0,BI43,MAX(0,(BI43-BJ$4)*(1+NORMINV(RAND(),INPUTS!$B$28,INPUTS!$B$29))))</f>
        <v>14104635.6362135</v>
      </c>
    </row>
    <row r="44" customFormat="false" ht="15" hidden="false" customHeight="true" outlineLevel="0" collapsed="false">
      <c r="A44" s="87" t="n">
        <v>37</v>
      </c>
      <c r="B44" s="88" t="n">
        <f aca="false">LOOKUP(9.99E+307,C44:BJ44)</f>
        <v>13458974.326008</v>
      </c>
      <c r="C44" s="89" t="n">
        <f aca="true">IF(C$5=0,INPUTS!$B$35,MAX(0,(INPUTS!$B$35-C$4)*(1+NORMINV(RAND(),INPUTS!$B$28,INPUTS!$B$29))))</f>
        <v>1563743.8418856</v>
      </c>
      <c r="D44" s="89" t="n">
        <f aca="true">IF(D$5=0,C44,MAX(0,(C44-D$4)*(1+NORMINV(RAND(),INPUTS!$B$28,INPUTS!$B$29))))</f>
        <v>1775793.80505988</v>
      </c>
      <c r="E44" s="89" t="n">
        <f aca="true">IF(E$5=0,D44,MAX(0,(D44-E$4)*(1+NORMINV(RAND(),INPUTS!$B$28,INPUTS!$B$29))))</f>
        <v>2041685.06305388</v>
      </c>
      <c r="F44" s="89" t="n">
        <f aca="true">IF(F$5=0,E44,MAX(0,(E44-F$4)*(1+NORMINV(RAND(),INPUTS!$B$28,INPUTS!$B$29))))</f>
        <v>2008382.26283092</v>
      </c>
      <c r="G44" s="89" t="n">
        <f aca="true">IF(G$5=0,F44,MAX(0,(F44-G$4)*(1+NORMINV(RAND(),INPUTS!$B$28,INPUTS!$B$29))))</f>
        <v>2512837.84156237</v>
      </c>
      <c r="H44" s="89" t="n">
        <f aca="true">IF(H$5=0,G44,MAX(0,(G44-H$4)*(1+NORMINV(RAND(),INPUTS!$B$28,INPUTS!$B$29))))</f>
        <v>2772472.92766391</v>
      </c>
      <c r="I44" s="89" t="n">
        <f aca="true">IF(I$5=0,H44,MAX(0,(H44-I$4)*(1+NORMINV(RAND(),INPUTS!$B$28,INPUTS!$B$29))))</f>
        <v>3319850.10069475</v>
      </c>
      <c r="J44" s="89" t="n">
        <f aca="true">IF(J$5=0,I44,MAX(0,(I44-J$4)*(1+NORMINV(RAND(),INPUTS!$B$28,INPUTS!$B$29))))</f>
        <v>3435079.70198608</v>
      </c>
      <c r="K44" s="89" t="n">
        <f aca="true">IF(K$5=0,J44,MAX(0,(J44-K$4)*(1+NORMINV(RAND(),INPUTS!$B$28,INPUTS!$B$29))))</f>
        <v>3963519.19073908</v>
      </c>
      <c r="L44" s="89" t="n">
        <f aca="true">IF(L$5=0,K44,MAX(0,(K44-L$4)*(1+NORMINV(RAND(),INPUTS!$B$28,INPUTS!$B$29))))</f>
        <v>4175724.77657291</v>
      </c>
      <c r="M44" s="89" t="n">
        <f aca="true">IF(M$5=0,L44,MAX(0,(L44-M$4)*(1+NORMINV(RAND(),INPUTS!$B$28,INPUTS!$B$29))))</f>
        <v>3865084.75691958</v>
      </c>
      <c r="N44" s="89" t="n">
        <f aca="true">IF(N$5=0,M44,MAX(0,(M44-N$4)*(1+NORMINV(RAND(),INPUTS!$B$28,INPUTS!$B$29))))</f>
        <v>4006416.42326613</v>
      </c>
      <c r="O44" s="89" t="n">
        <f aca="true">IF(O$5=0,N44,MAX(0,(N44-O$4)*(1+NORMINV(RAND(),INPUTS!$B$28,INPUTS!$B$29))))</f>
        <v>4149032.80100214</v>
      </c>
      <c r="P44" s="89" t="n">
        <f aca="true">IF(P$5=0,O44,MAX(0,(O44-P$4)*(1+NORMINV(RAND(),INPUTS!$B$28,INPUTS!$B$29))))</f>
        <v>4439053.23723941</v>
      </c>
      <c r="Q44" s="89" t="n">
        <f aca="true">IF(Q$5=0,P44,MAX(0,(P44-Q$4)*(1+NORMINV(RAND(),INPUTS!$B$28,INPUTS!$B$29))))</f>
        <v>5453536.89906664</v>
      </c>
      <c r="R44" s="89" t="n">
        <f aca="true">IF(R$5=0,Q44,MAX(0,(Q44-R$4)*(1+NORMINV(RAND(),INPUTS!$B$28,INPUTS!$B$29))))</f>
        <v>5709744.51438995</v>
      </c>
      <c r="S44" s="89" t="n">
        <f aca="true">IF(S$5=0,R44,MAX(0,(R44-S$4)*(1+NORMINV(RAND(),INPUTS!$B$28,INPUTS!$B$29))))</f>
        <v>6058962.8102697</v>
      </c>
      <c r="T44" s="89" t="n">
        <f aca="true">IF(T$5=0,S44,MAX(0,(S44-T$4)*(1+NORMINV(RAND(),INPUTS!$B$28,INPUTS!$B$29))))</f>
        <v>4950082.99295481</v>
      </c>
      <c r="U44" s="89" t="n">
        <f aca="true">IF(U$5=0,T44,MAX(0,(T44-U$4)*(1+NORMINV(RAND(),INPUTS!$B$28,INPUTS!$B$29))))</f>
        <v>5985790.20442936</v>
      </c>
      <c r="V44" s="89" t="n">
        <f aca="true">IF(V$5=0,U44,MAX(0,(U44-V$4)*(1+NORMINV(RAND(),INPUTS!$B$28,INPUTS!$B$29))))</f>
        <v>6722681.79708869</v>
      </c>
      <c r="W44" s="89" t="n">
        <f aca="true">IF(W$5=0,V44,MAX(0,(V44-W$4)*(1+NORMINV(RAND(),INPUTS!$B$28,INPUTS!$B$29))))</f>
        <v>7040386.97449705</v>
      </c>
      <c r="X44" s="89" t="n">
        <f aca="true">IF(X$5=0,W44,MAX(0,(W44-X$4)*(1+NORMINV(RAND(),INPUTS!$B$28,INPUTS!$B$29))))</f>
        <v>7064769.99219298</v>
      </c>
      <c r="Y44" s="89" t="n">
        <f aca="true">IF(Y$5=0,X44,MAX(0,(X44-Y$4)*(1+NORMINV(RAND(),INPUTS!$B$28,INPUTS!$B$29))))</f>
        <v>7511535.62675788</v>
      </c>
      <c r="Z44" s="89" t="n">
        <f aca="true">IF(Z$5=0,Y44,MAX(0,(Y44-Z$4)*(1+NORMINV(RAND(),INPUTS!$B$28,INPUTS!$B$29))))</f>
        <v>7441139.07629785</v>
      </c>
      <c r="AA44" s="89" t="n">
        <f aca="true">IF(AA$5=0,Z44,MAX(0,(Z44-AA$4)*(1+NORMINV(RAND(),INPUTS!$B$28,INPUTS!$B$29))))</f>
        <v>6754150.82286387</v>
      </c>
      <c r="AB44" s="89" t="n">
        <f aca="true">IF(AB$5=0,AA44,MAX(0,(AA44-AB$4)*(1+NORMINV(RAND(),INPUTS!$B$28,INPUTS!$B$29))))</f>
        <v>7772596.76044451</v>
      </c>
      <c r="AC44" s="89" t="n">
        <f aca="true">IF(AC$5=0,AB44,MAX(0,(AB44-AC$4)*(1+NORMINV(RAND(),INPUTS!$B$28,INPUTS!$B$29))))</f>
        <v>7802874.17737051</v>
      </c>
      <c r="AD44" s="89" t="n">
        <f aca="true">IF(AD$5=0,AC44,MAX(0,(AC44-AD$4)*(1+NORMINV(RAND(),INPUTS!$B$28,INPUTS!$B$29))))</f>
        <v>9708681.75536061</v>
      </c>
      <c r="AE44" s="89" t="n">
        <f aca="true">IF(AE$5=0,AD44,MAX(0,(AD44-AE$4)*(1+NORMINV(RAND(),INPUTS!$B$28,INPUTS!$B$29))))</f>
        <v>9031805.59621512</v>
      </c>
      <c r="AF44" s="89" t="n">
        <f aca="true">IF(AF$5=0,AE44,MAX(0,(AE44-AF$4)*(1+NORMINV(RAND(),INPUTS!$B$28,INPUTS!$B$29))))</f>
        <v>10023048.6718572</v>
      </c>
      <c r="AG44" s="89" t="n">
        <f aca="true">IF(AG$5=0,AF44,MAX(0,(AF44-AG$4)*(1+NORMINV(RAND(),INPUTS!$B$28,INPUTS!$B$29))))</f>
        <v>9124788.97887717</v>
      </c>
      <c r="AH44" s="89" t="n">
        <f aca="true">IF(AH$5=0,AG44,MAX(0,(AG44-AH$4)*(1+NORMINV(RAND(),INPUTS!$B$28,INPUTS!$B$29))))</f>
        <v>11346967.4266872</v>
      </c>
      <c r="AI44" s="89" t="n">
        <f aca="true">IF(AI$5=0,AH44,MAX(0,(AH44-AI$4)*(1+NORMINV(RAND(),INPUTS!$B$28,INPUTS!$B$29))))</f>
        <v>12884256.6972098</v>
      </c>
      <c r="AJ44" s="89" t="n">
        <f aca="true">IF(AJ$5=0,AI44,MAX(0,(AI44-AJ$4)*(1+NORMINV(RAND(),INPUTS!$B$28,INPUTS!$B$29))))</f>
        <v>13412888.9250333</v>
      </c>
      <c r="AK44" s="89" t="n">
        <f aca="true">IF(AK$5=0,AJ44,MAX(0,(AJ44-AK$4)*(1+NORMINV(RAND(),INPUTS!$B$28,INPUTS!$B$29))))</f>
        <v>12145850.2790029</v>
      </c>
      <c r="AL44" s="89" t="n">
        <f aca="true">IF(AL$5=0,AK44,MAX(0,(AK44-AL$4)*(1+NORMINV(RAND(),INPUTS!$B$28,INPUTS!$B$29))))</f>
        <v>13458974.326008</v>
      </c>
      <c r="AM44" s="89" t="n">
        <f aca="true">IF(AM$5=0,AL44,MAX(0,(AL44-AM$4)*(1+NORMINV(RAND(),INPUTS!$B$28,INPUTS!$B$29))))</f>
        <v>13458974.326008</v>
      </c>
      <c r="AN44" s="89" t="n">
        <f aca="true">IF(AN$5=0,AM44,MAX(0,(AM44-AN$4)*(1+NORMINV(RAND(),INPUTS!$B$28,INPUTS!$B$29))))</f>
        <v>13458974.326008</v>
      </c>
      <c r="AO44" s="89" t="n">
        <f aca="true">IF(AO$5=0,AN44,MAX(0,(AN44-AO$4)*(1+NORMINV(RAND(),INPUTS!$B$28,INPUTS!$B$29))))</f>
        <v>13458974.326008</v>
      </c>
      <c r="AP44" s="89" t="n">
        <f aca="true">IF(AP$5=0,AO44,MAX(0,(AO44-AP$4)*(1+NORMINV(RAND(),INPUTS!$B$28,INPUTS!$B$29))))</f>
        <v>13458974.326008</v>
      </c>
      <c r="AQ44" s="89" t="n">
        <f aca="true">IF(AQ$5=0,AP44,MAX(0,(AP44-AQ$4)*(1+NORMINV(RAND(),INPUTS!$B$28,INPUTS!$B$29))))</f>
        <v>13458974.326008</v>
      </c>
      <c r="AR44" s="89" t="n">
        <f aca="true">IF(AR$5=0,AQ44,MAX(0,(AQ44-AR$4)*(1+NORMINV(RAND(),INPUTS!$B$28,INPUTS!$B$29))))</f>
        <v>13458974.326008</v>
      </c>
      <c r="AS44" s="89" t="n">
        <f aca="true">IF(AS$5=0,AR44,MAX(0,(AR44-AS$4)*(1+NORMINV(RAND(),INPUTS!$B$28,INPUTS!$B$29))))</f>
        <v>13458974.326008</v>
      </c>
      <c r="AT44" s="89" t="n">
        <f aca="true">IF(AT$5=0,AS44,MAX(0,(AS44-AT$4)*(1+NORMINV(RAND(),INPUTS!$B$28,INPUTS!$B$29))))</f>
        <v>13458974.326008</v>
      </c>
      <c r="AU44" s="89" t="n">
        <f aca="true">IF(AU$5=0,AT44,MAX(0,(AT44-AU$4)*(1+NORMINV(RAND(),INPUTS!$B$28,INPUTS!$B$29))))</f>
        <v>13458974.326008</v>
      </c>
      <c r="AV44" s="89" t="n">
        <f aca="true">IF(AV$5=0,AU44,MAX(0,(AU44-AV$4)*(1+NORMINV(RAND(),INPUTS!$B$28,INPUTS!$B$29))))</f>
        <v>13458974.326008</v>
      </c>
      <c r="AW44" s="89" t="n">
        <f aca="true">IF(AW$5=0,AV44,MAX(0,(AV44-AW$4)*(1+NORMINV(RAND(),INPUTS!$B$28,INPUTS!$B$29))))</f>
        <v>13458974.326008</v>
      </c>
      <c r="AX44" s="89" t="n">
        <f aca="true">IF(AX$5=0,AW44,MAX(0,(AW44-AX$4)*(1+NORMINV(RAND(),INPUTS!$B$28,INPUTS!$B$29))))</f>
        <v>13458974.326008</v>
      </c>
      <c r="AY44" s="89" t="n">
        <f aca="true">IF(AY$5=0,AX44,MAX(0,(AX44-AY$4)*(1+NORMINV(RAND(),INPUTS!$B$28,INPUTS!$B$29))))</f>
        <v>13458974.326008</v>
      </c>
      <c r="AZ44" s="89" t="n">
        <f aca="true">IF(AZ$5=0,AY44,MAX(0,(AY44-AZ$4)*(1+NORMINV(RAND(),INPUTS!$B$28,INPUTS!$B$29))))</f>
        <v>13458974.326008</v>
      </c>
      <c r="BA44" s="89" t="n">
        <f aca="true">IF(BA$5=0,AZ44,MAX(0,(AZ44-BA$4)*(1+NORMINV(RAND(),INPUTS!$B$28,INPUTS!$B$29))))</f>
        <v>13458974.326008</v>
      </c>
      <c r="BB44" s="89" t="n">
        <f aca="true">IF(BB$5=0,BA44,MAX(0,(BA44-BB$4)*(1+NORMINV(RAND(),INPUTS!$B$28,INPUTS!$B$29))))</f>
        <v>13458974.326008</v>
      </c>
      <c r="BC44" s="89" t="n">
        <f aca="true">IF(BC$5=0,BB44,MAX(0,(BB44-BC$4)*(1+NORMINV(RAND(),INPUTS!$B$28,INPUTS!$B$29))))</f>
        <v>13458974.326008</v>
      </c>
      <c r="BD44" s="89" t="n">
        <f aca="true">IF(BD$5=0,BC44,MAX(0,(BC44-BD$4)*(1+NORMINV(RAND(),INPUTS!$B$28,INPUTS!$B$29))))</f>
        <v>13458974.326008</v>
      </c>
      <c r="BE44" s="89" t="n">
        <f aca="true">IF(BE$5=0,BD44,MAX(0,(BD44-BE$4)*(1+NORMINV(RAND(),INPUTS!$B$28,INPUTS!$B$29))))</f>
        <v>13458974.326008</v>
      </c>
      <c r="BF44" s="89" t="n">
        <f aca="true">IF(BF$5=0,BE44,MAX(0,(BE44-BF$4)*(1+NORMINV(RAND(),INPUTS!$B$28,INPUTS!$B$29))))</f>
        <v>13458974.326008</v>
      </c>
      <c r="BG44" s="89" t="n">
        <f aca="true">IF(BG$5=0,BF44,MAX(0,(BF44-BG$4)*(1+NORMINV(RAND(),INPUTS!$B$28,INPUTS!$B$29))))</f>
        <v>13458974.326008</v>
      </c>
      <c r="BH44" s="89" t="n">
        <f aca="true">IF(BH$5=0,BG44,MAX(0,(BG44-BH$4)*(1+NORMINV(RAND(),INPUTS!$B$28,INPUTS!$B$29))))</f>
        <v>13458974.326008</v>
      </c>
      <c r="BI44" s="89" t="n">
        <f aca="true">IF(BI$5=0,BH44,MAX(0,(BH44-BI$4)*(1+NORMINV(RAND(),INPUTS!$B$28,INPUTS!$B$29))))</f>
        <v>13458974.326008</v>
      </c>
      <c r="BJ44" s="89" t="n">
        <f aca="true">IF(BJ$5=0,BI44,MAX(0,(BI44-BJ$4)*(1+NORMINV(RAND(),INPUTS!$B$28,INPUTS!$B$29))))</f>
        <v>13458974.326008</v>
      </c>
    </row>
    <row r="45" customFormat="false" ht="15" hidden="false" customHeight="true" outlineLevel="0" collapsed="false">
      <c r="A45" s="87" t="n">
        <v>38</v>
      </c>
      <c r="B45" s="88" t="n">
        <f aca="false">LOOKUP(9.99E+307,C45:BJ45)</f>
        <v>5674896.65879103</v>
      </c>
      <c r="C45" s="89" t="n">
        <f aca="true">IF(C$5=0,INPUTS!$B$35,MAX(0,(INPUTS!$B$35-C$4)*(1+NORMINV(RAND(),INPUTS!$B$28,INPUTS!$B$29))))</f>
        <v>1565865.09242617</v>
      </c>
      <c r="D45" s="89" t="n">
        <f aca="true">IF(D$5=0,C45,MAX(0,(C45-D$4)*(1+NORMINV(RAND(),INPUTS!$B$28,INPUTS!$B$29))))</f>
        <v>1488366.01819333</v>
      </c>
      <c r="E45" s="89" t="n">
        <f aca="true">IF(E$5=0,D45,MAX(0,(D45-E$4)*(1+NORMINV(RAND(),INPUTS!$B$28,INPUTS!$B$29))))</f>
        <v>1615380.99519394</v>
      </c>
      <c r="F45" s="89" t="n">
        <f aca="true">IF(F$5=0,E45,MAX(0,(E45-F$4)*(1+NORMINV(RAND(),INPUTS!$B$28,INPUTS!$B$29))))</f>
        <v>1566219.91782442</v>
      </c>
      <c r="G45" s="89" t="n">
        <f aca="true">IF(G$5=0,F45,MAX(0,(F45-G$4)*(1+NORMINV(RAND(),INPUTS!$B$28,INPUTS!$B$29))))</f>
        <v>1513473.81391736</v>
      </c>
      <c r="H45" s="89" t="n">
        <f aca="true">IF(H$5=0,G45,MAX(0,(G45-H$4)*(1+NORMINV(RAND(),INPUTS!$B$28,INPUTS!$B$29))))</f>
        <v>1588103.7136506</v>
      </c>
      <c r="I45" s="89" t="n">
        <f aca="true">IF(I$5=0,H45,MAX(0,(H45-I$4)*(1+NORMINV(RAND(),INPUTS!$B$28,INPUTS!$B$29))))</f>
        <v>1507350.12590174</v>
      </c>
      <c r="J45" s="89" t="n">
        <f aca="true">IF(J$5=0,I45,MAX(0,(I45-J$4)*(1+NORMINV(RAND(),INPUTS!$B$28,INPUTS!$B$29))))</f>
        <v>1604208.20240073</v>
      </c>
      <c r="K45" s="89" t="n">
        <f aca="true">IF(K$5=0,J45,MAX(0,(J45-K$4)*(1+NORMINV(RAND(),INPUTS!$B$28,INPUTS!$B$29))))</f>
        <v>1532460.13602486</v>
      </c>
      <c r="L45" s="89" t="n">
        <f aca="true">IF(L$5=0,K45,MAX(0,(K45-L$4)*(1+NORMINV(RAND(),INPUTS!$B$28,INPUTS!$B$29))))</f>
        <v>1537290.63293857</v>
      </c>
      <c r="M45" s="89" t="n">
        <f aca="true">IF(M$5=0,L45,MAX(0,(L45-M$4)*(1+NORMINV(RAND(),INPUTS!$B$28,INPUTS!$B$29))))</f>
        <v>1755844.76478027</v>
      </c>
      <c r="N45" s="89" t="n">
        <f aca="true">IF(N$5=0,M45,MAX(0,(M45-N$4)*(1+NORMINV(RAND(),INPUTS!$B$28,INPUTS!$B$29))))</f>
        <v>1841854.26202133</v>
      </c>
      <c r="O45" s="89" t="n">
        <f aca="true">IF(O$5=0,N45,MAX(0,(N45-O$4)*(1+NORMINV(RAND(),INPUTS!$B$28,INPUTS!$B$29))))</f>
        <v>1985115.04378309</v>
      </c>
      <c r="P45" s="89" t="n">
        <f aca="true">IF(P$5=0,O45,MAX(0,(O45-P$4)*(1+NORMINV(RAND(),INPUTS!$B$28,INPUTS!$B$29))))</f>
        <v>1903260.15267472</v>
      </c>
      <c r="Q45" s="89" t="n">
        <f aca="true">IF(Q$5=0,P45,MAX(0,(P45-Q$4)*(1+NORMINV(RAND(),INPUTS!$B$28,INPUTS!$B$29))))</f>
        <v>1714533.44347425</v>
      </c>
      <c r="R45" s="89" t="n">
        <f aca="true">IF(R$5=0,Q45,MAX(0,(Q45-R$4)*(1+NORMINV(RAND(),INPUTS!$B$28,INPUTS!$B$29))))</f>
        <v>2050323.67407775</v>
      </c>
      <c r="S45" s="89" t="n">
        <f aca="true">IF(S$5=0,R45,MAX(0,(R45-S$4)*(1+NORMINV(RAND(),INPUTS!$B$28,INPUTS!$B$29))))</f>
        <v>2167360.75983999</v>
      </c>
      <c r="T45" s="89" t="n">
        <f aca="true">IF(T$5=0,S45,MAX(0,(S45-T$4)*(1+NORMINV(RAND(),INPUTS!$B$28,INPUTS!$B$29))))</f>
        <v>2343577.07171015</v>
      </c>
      <c r="U45" s="89" t="n">
        <f aca="true">IF(U$5=0,T45,MAX(0,(T45-U$4)*(1+NORMINV(RAND(),INPUTS!$B$28,INPUTS!$B$29))))</f>
        <v>2638404.93074028</v>
      </c>
      <c r="V45" s="89" t="n">
        <f aca="true">IF(V$5=0,U45,MAX(0,(U45-V$4)*(1+NORMINV(RAND(),INPUTS!$B$28,INPUTS!$B$29))))</f>
        <v>2372701.41945759</v>
      </c>
      <c r="W45" s="89" t="n">
        <f aca="true">IF(W$5=0,V45,MAX(0,(V45-W$4)*(1+NORMINV(RAND(),INPUTS!$B$28,INPUTS!$B$29))))</f>
        <v>2706835.48656372</v>
      </c>
      <c r="X45" s="89" t="n">
        <f aca="true">IF(X$5=0,W45,MAX(0,(W45-X$4)*(1+NORMINV(RAND(),INPUTS!$B$28,INPUTS!$B$29))))</f>
        <v>2281205.33458573</v>
      </c>
      <c r="Y45" s="89" t="n">
        <f aca="true">IF(Y$5=0,X45,MAX(0,(X45-Y$4)*(1+NORMINV(RAND(),INPUTS!$B$28,INPUTS!$B$29))))</f>
        <v>1989187.6537868</v>
      </c>
      <c r="Z45" s="89" t="n">
        <f aca="true">IF(Z$5=0,Y45,MAX(0,(Y45-Z$4)*(1+NORMINV(RAND(),INPUTS!$B$28,INPUTS!$B$29))))</f>
        <v>2064914.21881828</v>
      </c>
      <c r="AA45" s="89" t="n">
        <f aca="true">IF(AA$5=0,Z45,MAX(0,(Z45-AA$4)*(1+NORMINV(RAND(),INPUTS!$B$28,INPUTS!$B$29))))</f>
        <v>2130891.9664759</v>
      </c>
      <c r="AB45" s="89" t="n">
        <f aca="true">IF(AB$5=0,AA45,MAX(0,(AA45-AB$4)*(1+NORMINV(RAND(),INPUTS!$B$28,INPUTS!$B$29))))</f>
        <v>2737259.15090498</v>
      </c>
      <c r="AC45" s="89" t="n">
        <f aca="true">IF(AC$5=0,AB45,MAX(0,(AB45-AC$4)*(1+NORMINV(RAND(),INPUTS!$B$28,INPUTS!$B$29))))</f>
        <v>2993849.89030499</v>
      </c>
      <c r="AD45" s="89" t="n">
        <f aca="true">IF(AD$5=0,AC45,MAX(0,(AC45-AD$4)*(1+NORMINV(RAND(),INPUTS!$B$28,INPUTS!$B$29))))</f>
        <v>3329425.4972842</v>
      </c>
      <c r="AE45" s="89" t="n">
        <f aca="true">IF(AE$5=0,AD45,MAX(0,(AD45-AE$4)*(1+NORMINV(RAND(),INPUTS!$B$28,INPUTS!$B$29))))</f>
        <v>3283483.18990898</v>
      </c>
      <c r="AF45" s="89" t="n">
        <f aca="true">IF(AF$5=0,AE45,MAX(0,(AE45-AF$4)*(1+NORMINV(RAND(),INPUTS!$B$28,INPUTS!$B$29))))</f>
        <v>2876860.28348573</v>
      </c>
      <c r="AG45" s="89" t="n">
        <f aca="true">IF(AG$5=0,AF45,MAX(0,(AF45-AG$4)*(1+NORMINV(RAND(),INPUTS!$B$28,INPUTS!$B$29))))</f>
        <v>2872925.91146074</v>
      </c>
      <c r="AH45" s="89" t="n">
        <f aca="true">IF(AH$5=0,AG45,MAX(0,(AG45-AH$4)*(1+NORMINV(RAND(),INPUTS!$B$28,INPUTS!$B$29))))</f>
        <v>3345613.14576156</v>
      </c>
      <c r="AI45" s="89" t="n">
        <f aca="true">IF(AI$5=0,AH45,MAX(0,(AH45-AI$4)*(1+NORMINV(RAND(),INPUTS!$B$28,INPUTS!$B$29))))</f>
        <v>3909848.3464927</v>
      </c>
      <c r="AJ45" s="89" t="n">
        <f aca="true">IF(AJ$5=0,AI45,MAX(0,(AI45-AJ$4)*(1+NORMINV(RAND(),INPUTS!$B$28,INPUTS!$B$29))))</f>
        <v>4938755.98284267</v>
      </c>
      <c r="AK45" s="89" t="n">
        <f aca="true">IF(AK$5=0,AJ45,MAX(0,(AJ45-AK$4)*(1+NORMINV(RAND(),INPUTS!$B$28,INPUTS!$B$29))))</f>
        <v>4935589.63400118</v>
      </c>
      <c r="AL45" s="89" t="n">
        <f aca="true">IF(AL$5=0,AK45,MAX(0,(AK45-AL$4)*(1+NORMINV(RAND(),INPUTS!$B$28,INPUTS!$B$29))))</f>
        <v>5674896.65879103</v>
      </c>
      <c r="AM45" s="89" t="n">
        <f aca="true">IF(AM$5=0,AL45,MAX(0,(AL45-AM$4)*(1+NORMINV(RAND(),INPUTS!$B$28,INPUTS!$B$29))))</f>
        <v>5674896.65879103</v>
      </c>
      <c r="AN45" s="89" t="n">
        <f aca="true">IF(AN$5=0,AM45,MAX(0,(AM45-AN$4)*(1+NORMINV(RAND(),INPUTS!$B$28,INPUTS!$B$29))))</f>
        <v>5674896.65879103</v>
      </c>
      <c r="AO45" s="89" t="n">
        <f aca="true">IF(AO$5=0,AN45,MAX(0,(AN45-AO$4)*(1+NORMINV(RAND(),INPUTS!$B$28,INPUTS!$B$29))))</f>
        <v>5674896.65879103</v>
      </c>
      <c r="AP45" s="89" t="n">
        <f aca="true">IF(AP$5=0,AO45,MAX(0,(AO45-AP$4)*(1+NORMINV(RAND(),INPUTS!$B$28,INPUTS!$B$29))))</f>
        <v>5674896.65879103</v>
      </c>
      <c r="AQ45" s="89" t="n">
        <f aca="true">IF(AQ$5=0,AP45,MAX(0,(AP45-AQ$4)*(1+NORMINV(RAND(),INPUTS!$B$28,INPUTS!$B$29))))</f>
        <v>5674896.65879103</v>
      </c>
      <c r="AR45" s="89" t="n">
        <f aca="true">IF(AR$5=0,AQ45,MAX(0,(AQ45-AR$4)*(1+NORMINV(RAND(),INPUTS!$B$28,INPUTS!$B$29))))</f>
        <v>5674896.65879103</v>
      </c>
      <c r="AS45" s="89" t="n">
        <f aca="true">IF(AS$5=0,AR45,MAX(0,(AR45-AS$4)*(1+NORMINV(RAND(),INPUTS!$B$28,INPUTS!$B$29))))</f>
        <v>5674896.65879103</v>
      </c>
      <c r="AT45" s="89" t="n">
        <f aca="true">IF(AT$5=0,AS45,MAX(0,(AS45-AT$4)*(1+NORMINV(RAND(),INPUTS!$B$28,INPUTS!$B$29))))</f>
        <v>5674896.65879103</v>
      </c>
      <c r="AU45" s="89" t="n">
        <f aca="true">IF(AU$5=0,AT45,MAX(0,(AT45-AU$4)*(1+NORMINV(RAND(),INPUTS!$B$28,INPUTS!$B$29))))</f>
        <v>5674896.65879103</v>
      </c>
      <c r="AV45" s="89" t="n">
        <f aca="true">IF(AV$5=0,AU45,MAX(0,(AU45-AV$4)*(1+NORMINV(RAND(),INPUTS!$B$28,INPUTS!$B$29))))</f>
        <v>5674896.65879103</v>
      </c>
      <c r="AW45" s="89" t="n">
        <f aca="true">IF(AW$5=0,AV45,MAX(0,(AV45-AW$4)*(1+NORMINV(RAND(),INPUTS!$B$28,INPUTS!$B$29))))</f>
        <v>5674896.65879103</v>
      </c>
      <c r="AX45" s="89" t="n">
        <f aca="true">IF(AX$5=0,AW45,MAX(0,(AW45-AX$4)*(1+NORMINV(RAND(),INPUTS!$B$28,INPUTS!$B$29))))</f>
        <v>5674896.65879103</v>
      </c>
      <c r="AY45" s="89" t="n">
        <f aca="true">IF(AY$5=0,AX45,MAX(0,(AX45-AY$4)*(1+NORMINV(RAND(),INPUTS!$B$28,INPUTS!$B$29))))</f>
        <v>5674896.65879103</v>
      </c>
      <c r="AZ45" s="89" t="n">
        <f aca="true">IF(AZ$5=0,AY45,MAX(0,(AY45-AZ$4)*(1+NORMINV(RAND(),INPUTS!$B$28,INPUTS!$B$29))))</f>
        <v>5674896.65879103</v>
      </c>
      <c r="BA45" s="89" t="n">
        <f aca="true">IF(BA$5=0,AZ45,MAX(0,(AZ45-BA$4)*(1+NORMINV(RAND(),INPUTS!$B$28,INPUTS!$B$29))))</f>
        <v>5674896.65879103</v>
      </c>
      <c r="BB45" s="89" t="n">
        <f aca="true">IF(BB$5=0,BA45,MAX(0,(BA45-BB$4)*(1+NORMINV(RAND(),INPUTS!$B$28,INPUTS!$B$29))))</f>
        <v>5674896.65879103</v>
      </c>
      <c r="BC45" s="89" t="n">
        <f aca="true">IF(BC$5=0,BB45,MAX(0,(BB45-BC$4)*(1+NORMINV(RAND(),INPUTS!$B$28,INPUTS!$B$29))))</f>
        <v>5674896.65879103</v>
      </c>
      <c r="BD45" s="89" t="n">
        <f aca="true">IF(BD$5=0,BC45,MAX(0,(BC45-BD$4)*(1+NORMINV(RAND(),INPUTS!$B$28,INPUTS!$B$29))))</f>
        <v>5674896.65879103</v>
      </c>
      <c r="BE45" s="89" t="n">
        <f aca="true">IF(BE$5=0,BD45,MAX(0,(BD45-BE$4)*(1+NORMINV(RAND(),INPUTS!$B$28,INPUTS!$B$29))))</f>
        <v>5674896.65879103</v>
      </c>
      <c r="BF45" s="89" t="n">
        <f aca="true">IF(BF$5=0,BE45,MAX(0,(BE45-BF$4)*(1+NORMINV(RAND(),INPUTS!$B$28,INPUTS!$B$29))))</f>
        <v>5674896.65879103</v>
      </c>
      <c r="BG45" s="89" t="n">
        <f aca="true">IF(BG$5=0,BF45,MAX(0,(BF45-BG$4)*(1+NORMINV(RAND(),INPUTS!$B$28,INPUTS!$B$29))))</f>
        <v>5674896.65879103</v>
      </c>
      <c r="BH45" s="89" t="n">
        <f aca="true">IF(BH$5=0,BG45,MAX(0,(BG45-BH$4)*(1+NORMINV(RAND(),INPUTS!$B$28,INPUTS!$B$29))))</f>
        <v>5674896.65879103</v>
      </c>
      <c r="BI45" s="89" t="n">
        <f aca="true">IF(BI$5=0,BH45,MAX(0,(BH45-BI$4)*(1+NORMINV(RAND(),INPUTS!$B$28,INPUTS!$B$29))))</f>
        <v>5674896.65879103</v>
      </c>
      <c r="BJ45" s="89" t="n">
        <f aca="true">IF(BJ$5=0,BI45,MAX(0,(BI45-BJ$4)*(1+NORMINV(RAND(),INPUTS!$B$28,INPUTS!$B$29))))</f>
        <v>5674896.65879103</v>
      </c>
    </row>
    <row r="46" customFormat="false" ht="15" hidden="false" customHeight="true" outlineLevel="0" collapsed="false">
      <c r="A46" s="87" t="n">
        <v>39</v>
      </c>
      <c r="B46" s="88" t="n">
        <f aca="false">LOOKUP(9.99E+307,C46:BJ46)</f>
        <v>5645246.72799863</v>
      </c>
      <c r="C46" s="89" t="n">
        <f aca="true">IF(C$5=0,INPUTS!$B$35,MAX(0,(INPUTS!$B$35-C$4)*(1+NORMINV(RAND(),INPUTS!$B$28,INPUTS!$B$29))))</f>
        <v>1594121.1699142</v>
      </c>
      <c r="D46" s="89" t="n">
        <f aca="true">IF(D$5=0,C46,MAX(0,(C46-D$4)*(1+NORMINV(RAND(),INPUTS!$B$28,INPUTS!$B$29))))</f>
        <v>1416098.37950155</v>
      </c>
      <c r="E46" s="89" t="n">
        <f aca="true">IF(E$5=0,D46,MAX(0,(D46-E$4)*(1+NORMINV(RAND(),INPUTS!$B$28,INPUTS!$B$29))))</f>
        <v>1667121.68704493</v>
      </c>
      <c r="F46" s="89" t="n">
        <f aca="true">IF(F$5=0,E46,MAX(0,(E46-F$4)*(1+NORMINV(RAND(),INPUTS!$B$28,INPUTS!$B$29))))</f>
        <v>2192207.84198531</v>
      </c>
      <c r="G46" s="89" t="n">
        <f aca="true">IF(G$5=0,F46,MAX(0,(F46-G$4)*(1+NORMINV(RAND(),INPUTS!$B$28,INPUTS!$B$29))))</f>
        <v>2489669.62190931</v>
      </c>
      <c r="H46" s="89" t="n">
        <f aca="true">IF(H$5=0,G46,MAX(0,(G46-H$4)*(1+NORMINV(RAND(),INPUTS!$B$28,INPUTS!$B$29))))</f>
        <v>2340559.51577169</v>
      </c>
      <c r="I46" s="89" t="n">
        <f aca="true">IF(I$5=0,H46,MAX(0,(H46-I$4)*(1+NORMINV(RAND(),INPUTS!$B$28,INPUTS!$B$29))))</f>
        <v>3020274.07793164</v>
      </c>
      <c r="J46" s="89" t="n">
        <f aca="true">IF(J$5=0,I46,MAX(0,(I46-J$4)*(1+NORMINV(RAND(),INPUTS!$B$28,INPUTS!$B$29))))</f>
        <v>3159750.57443996</v>
      </c>
      <c r="K46" s="89" t="n">
        <f aca="true">IF(K$5=0,J46,MAX(0,(J46-K$4)*(1+NORMINV(RAND(),INPUTS!$B$28,INPUTS!$B$29))))</f>
        <v>3168361.01164148</v>
      </c>
      <c r="L46" s="89" t="n">
        <f aca="true">IF(L$5=0,K46,MAX(0,(K46-L$4)*(1+NORMINV(RAND(),INPUTS!$B$28,INPUTS!$B$29))))</f>
        <v>4133655.67274867</v>
      </c>
      <c r="M46" s="89" t="n">
        <f aca="true">IF(M$5=0,L46,MAX(0,(L46-M$4)*(1+NORMINV(RAND(),INPUTS!$B$28,INPUTS!$B$29))))</f>
        <v>3274174.87803395</v>
      </c>
      <c r="N46" s="89" t="n">
        <f aca="true">IF(N$5=0,M46,MAX(0,(M46-N$4)*(1+NORMINV(RAND(),INPUTS!$B$28,INPUTS!$B$29))))</f>
        <v>2883416.86049457</v>
      </c>
      <c r="O46" s="89" t="n">
        <f aca="true">IF(O$5=0,N46,MAX(0,(N46-O$4)*(1+NORMINV(RAND(),INPUTS!$B$28,INPUTS!$B$29))))</f>
        <v>2648916.84065411</v>
      </c>
      <c r="P46" s="89" t="n">
        <f aca="true">IF(P$5=0,O46,MAX(0,(O46-P$4)*(1+NORMINV(RAND(),INPUTS!$B$28,INPUTS!$B$29))))</f>
        <v>3253532.58458406</v>
      </c>
      <c r="Q46" s="89" t="n">
        <f aca="true">IF(Q$5=0,P46,MAX(0,(P46-Q$4)*(1+NORMINV(RAND(),INPUTS!$B$28,INPUTS!$B$29))))</f>
        <v>3266890.12342627</v>
      </c>
      <c r="R46" s="89" t="n">
        <f aca="true">IF(R$5=0,Q46,MAX(0,(Q46-R$4)*(1+NORMINV(RAND(),INPUTS!$B$28,INPUTS!$B$29))))</f>
        <v>3786544.29056449</v>
      </c>
      <c r="S46" s="89" t="n">
        <f aca="true">IF(S$5=0,R46,MAX(0,(R46-S$4)*(1+NORMINV(RAND(),INPUTS!$B$28,INPUTS!$B$29))))</f>
        <v>3939810.35100252</v>
      </c>
      <c r="T46" s="89" t="n">
        <f aca="true">IF(T$5=0,S46,MAX(0,(S46-T$4)*(1+NORMINV(RAND(),INPUTS!$B$28,INPUTS!$B$29))))</f>
        <v>3499756.6991214</v>
      </c>
      <c r="U46" s="89" t="n">
        <f aca="true">IF(U$5=0,T46,MAX(0,(T46-U$4)*(1+NORMINV(RAND(),INPUTS!$B$28,INPUTS!$B$29))))</f>
        <v>3253103.75593249</v>
      </c>
      <c r="V46" s="89" t="n">
        <f aca="true">IF(V$5=0,U46,MAX(0,(U46-V$4)*(1+NORMINV(RAND(),INPUTS!$B$28,INPUTS!$B$29))))</f>
        <v>3476427.87323382</v>
      </c>
      <c r="W46" s="89" t="n">
        <f aca="true">IF(W$5=0,V46,MAX(0,(V46-W$4)*(1+NORMINV(RAND(),INPUTS!$B$28,INPUTS!$B$29))))</f>
        <v>3406779.27428387</v>
      </c>
      <c r="X46" s="89" t="n">
        <f aca="true">IF(X$5=0,W46,MAX(0,(W46-X$4)*(1+NORMINV(RAND(),INPUTS!$B$28,INPUTS!$B$29))))</f>
        <v>3586865.10120246</v>
      </c>
      <c r="Y46" s="89" t="n">
        <f aca="true">IF(Y$5=0,X46,MAX(0,(X46-Y$4)*(1+NORMINV(RAND(),INPUTS!$B$28,INPUTS!$B$29))))</f>
        <v>3295081.91095487</v>
      </c>
      <c r="Z46" s="89" t="n">
        <f aca="true">IF(Z$5=0,Y46,MAX(0,(Y46-Z$4)*(1+NORMINV(RAND(),INPUTS!$B$28,INPUTS!$B$29))))</f>
        <v>3045841.3008437</v>
      </c>
      <c r="AA46" s="89" t="n">
        <f aca="true">IF(AA$5=0,Z46,MAX(0,(Z46-AA$4)*(1+NORMINV(RAND(),INPUTS!$B$28,INPUTS!$B$29))))</f>
        <v>4055534.87148647</v>
      </c>
      <c r="AB46" s="89" t="n">
        <f aca="true">IF(AB$5=0,AA46,MAX(0,(AA46-AB$4)*(1+NORMINV(RAND(),INPUTS!$B$28,INPUTS!$B$29))))</f>
        <v>4021972.0679813</v>
      </c>
      <c r="AC46" s="89" t="n">
        <f aca="true">IF(AC$5=0,AB46,MAX(0,(AB46-AC$4)*(1+NORMINV(RAND(),INPUTS!$B$28,INPUTS!$B$29))))</f>
        <v>3838927.80415472</v>
      </c>
      <c r="AD46" s="89" t="n">
        <f aca="true">IF(AD$5=0,AC46,MAX(0,(AC46-AD$4)*(1+NORMINV(RAND(),INPUTS!$B$28,INPUTS!$B$29))))</f>
        <v>3577947.48501498</v>
      </c>
      <c r="AE46" s="89" t="n">
        <f aca="true">IF(AE$5=0,AD46,MAX(0,(AD46-AE$4)*(1+NORMINV(RAND(),INPUTS!$B$28,INPUTS!$B$29))))</f>
        <v>3615297.44894121</v>
      </c>
      <c r="AF46" s="89" t="n">
        <f aca="true">IF(AF$5=0,AE46,MAX(0,(AE46-AF$4)*(1+NORMINV(RAND(),INPUTS!$B$28,INPUTS!$B$29))))</f>
        <v>3808697.96068698</v>
      </c>
      <c r="AG46" s="89" t="n">
        <f aca="true">IF(AG$5=0,AF46,MAX(0,(AF46-AG$4)*(1+NORMINV(RAND(),INPUTS!$B$28,INPUTS!$B$29))))</f>
        <v>4220142.56655329</v>
      </c>
      <c r="AH46" s="89" t="n">
        <f aca="true">IF(AH$5=0,AG46,MAX(0,(AG46-AH$4)*(1+NORMINV(RAND(),INPUTS!$B$28,INPUTS!$B$29))))</f>
        <v>4512226.82571238</v>
      </c>
      <c r="AI46" s="89" t="n">
        <f aca="true">IF(AI$5=0,AH46,MAX(0,(AH46-AI$4)*(1+NORMINV(RAND(),INPUTS!$B$28,INPUTS!$B$29))))</f>
        <v>4699947.80497553</v>
      </c>
      <c r="AJ46" s="89" t="n">
        <f aca="true">IF(AJ$5=0,AI46,MAX(0,(AI46-AJ$4)*(1+NORMINV(RAND(),INPUTS!$B$28,INPUTS!$B$29))))</f>
        <v>4206631.78990877</v>
      </c>
      <c r="AK46" s="89" t="n">
        <f aca="true">IF(AK$5=0,AJ46,MAX(0,(AJ46-AK$4)*(1+NORMINV(RAND(),INPUTS!$B$28,INPUTS!$B$29))))</f>
        <v>4767226.42014506</v>
      </c>
      <c r="AL46" s="89" t="n">
        <f aca="true">IF(AL$5=0,AK46,MAX(0,(AK46-AL$4)*(1+NORMINV(RAND(),INPUTS!$B$28,INPUTS!$B$29))))</f>
        <v>5645246.72799863</v>
      </c>
      <c r="AM46" s="89" t="n">
        <f aca="true">IF(AM$5=0,AL46,MAX(0,(AL46-AM$4)*(1+NORMINV(RAND(),INPUTS!$B$28,INPUTS!$B$29))))</f>
        <v>5645246.72799863</v>
      </c>
      <c r="AN46" s="89" t="n">
        <f aca="true">IF(AN$5=0,AM46,MAX(0,(AM46-AN$4)*(1+NORMINV(RAND(),INPUTS!$B$28,INPUTS!$B$29))))</f>
        <v>5645246.72799863</v>
      </c>
      <c r="AO46" s="89" t="n">
        <f aca="true">IF(AO$5=0,AN46,MAX(0,(AN46-AO$4)*(1+NORMINV(RAND(),INPUTS!$B$28,INPUTS!$B$29))))</f>
        <v>5645246.72799863</v>
      </c>
      <c r="AP46" s="89" t="n">
        <f aca="true">IF(AP$5=0,AO46,MAX(0,(AO46-AP$4)*(1+NORMINV(RAND(),INPUTS!$B$28,INPUTS!$B$29))))</f>
        <v>5645246.72799863</v>
      </c>
      <c r="AQ46" s="89" t="n">
        <f aca="true">IF(AQ$5=0,AP46,MAX(0,(AP46-AQ$4)*(1+NORMINV(RAND(),INPUTS!$B$28,INPUTS!$B$29))))</f>
        <v>5645246.72799863</v>
      </c>
      <c r="AR46" s="89" t="n">
        <f aca="true">IF(AR$5=0,AQ46,MAX(0,(AQ46-AR$4)*(1+NORMINV(RAND(),INPUTS!$B$28,INPUTS!$B$29))))</f>
        <v>5645246.72799863</v>
      </c>
      <c r="AS46" s="89" t="n">
        <f aca="true">IF(AS$5=0,AR46,MAX(0,(AR46-AS$4)*(1+NORMINV(RAND(),INPUTS!$B$28,INPUTS!$B$29))))</f>
        <v>5645246.72799863</v>
      </c>
      <c r="AT46" s="89" t="n">
        <f aca="true">IF(AT$5=0,AS46,MAX(0,(AS46-AT$4)*(1+NORMINV(RAND(),INPUTS!$B$28,INPUTS!$B$29))))</f>
        <v>5645246.72799863</v>
      </c>
      <c r="AU46" s="89" t="n">
        <f aca="true">IF(AU$5=0,AT46,MAX(0,(AT46-AU$4)*(1+NORMINV(RAND(),INPUTS!$B$28,INPUTS!$B$29))))</f>
        <v>5645246.72799863</v>
      </c>
      <c r="AV46" s="89" t="n">
        <f aca="true">IF(AV$5=0,AU46,MAX(0,(AU46-AV$4)*(1+NORMINV(RAND(),INPUTS!$B$28,INPUTS!$B$29))))</f>
        <v>5645246.72799863</v>
      </c>
      <c r="AW46" s="89" t="n">
        <f aca="true">IF(AW$5=0,AV46,MAX(0,(AV46-AW$4)*(1+NORMINV(RAND(),INPUTS!$B$28,INPUTS!$B$29))))</f>
        <v>5645246.72799863</v>
      </c>
      <c r="AX46" s="89" t="n">
        <f aca="true">IF(AX$5=0,AW46,MAX(0,(AW46-AX$4)*(1+NORMINV(RAND(),INPUTS!$B$28,INPUTS!$B$29))))</f>
        <v>5645246.72799863</v>
      </c>
      <c r="AY46" s="89" t="n">
        <f aca="true">IF(AY$5=0,AX46,MAX(0,(AX46-AY$4)*(1+NORMINV(RAND(),INPUTS!$B$28,INPUTS!$B$29))))</f>
        <v>5645246.72799863</v>
      </c>
      <c r="AZ46" s="89" t="n">
        <f aca="true">IF(AZ$5=0,AY46,MAX(0,(AY46-AZ$4)*(1+NORMINV(RAND(),INPUTS!$B$28,INPUTS!$B$29))))</f>
        <v>5645246.72799863</v>
      </c>
      <c r="BA46" s="89" t="n">
        <f aca="true">IF(BA$5=0,AZ46,MAX(0,(AZ46-BA$4)*(1+NORMINV(RAND(),INPUTS!$B$28,INPUTS!$B$29))))</f>
        <v>5645246.72799863</v>
      </c>
      <c r="BB46" s="89" t="n">
        <f aca="true">IF(BB$5=0,BA46,MAX(0,(BA46-BB$4)*(1+NORMINV(RAND(),INPUTS!$B$28,INPUTS!$B$29))))</f>
        <v>5645246.72799863</v>
      </c>
      <c r="BC46" s="89" t="n">
        <f aca="true">IF(BC$5=0,BB46,MAX(0,(BB46-BC$4)*(1+NORMINV(RAND(),INPUTS!$B$28,INPUTS!$B$29))))</f>
        <v>5645246.72799863</v>
      </c>
      <c r="BD46" s="89" t="n">
        <f aca="true">IF(BD$5=0,BC46,MAX(0,(BC46-BD$4)*(1+NORMINV(RAND(),INPUTS!$B$28,INPUTS!$B$29))))</f>
        <v>5645246.72799863</v>
      </c>
      <c r="BE46" s="89" t="n">
        <f aca="true">IF(BE$5=0,BD46,MAX(0,(BD46-BE$4)*(1+NORMINV(RAND(),INPUTS!$B$28,INPUTS!$B$29))))</f>
        <v>5645246.72799863</v>
      </c>
      <c r="BF46" s="89" t="n">
        <f aca="true">IF(BF$5=0,BE46,MAX(0,(BE46-BF$4)*(1+NORMINV(RAND(),INPUTS!$B$28,INPUTS!$B$29))))</f>
        <v>5645246.72799863</v>
      </c>
      <c r="BG46" s="89" t="n">
        <f aca="true">IF(BG$5=0,BF46,MAX(0,(BF46-BG$4)*(1+NORMINV(RAND(),INPUTS!$B$28,INPUTS!$B$29))))</f>
        <v>5645246.72799863</v>
      </c>
      <c r="BH46" s="89" t="n">
        <f aca="true">IF(BH$5=0,BG46,MAX(0,(BG46-BH$4)*(1+NORMINV(RAND(),INPUTS!$B$28,INPUTS!$B$29))))</f>
        <v>5645246.72799863</v>
      </c>
      <c r="BI46" s="89" t="n">
        <f aca="true">IF(BI$5=0,BH46,MAX(0,(BH46-BI$4)*(1+NORMINV(RAND(),INPUTS!$B$28,INPUTS!$B$29))))</f>
        <v>5645246.72799863</v>
      </c>
      <c r="BJ46" s="89" t="n">
        <f aca="true">IF(BJ$5=0,BI46,MAX(0,(BI46-BJ$4)*(1+NORMINV(RAND(),INPUTS!$B$28,INPUTS!$B$29))))</f>
        <v>5645246.72799863</v>
      </c>
    </row>
    <row r="47" customFormat="false" ht="15" hidden="false" customHeight="true" outlineLevel="0" collapsed="false">
      <c r="A47" s="87" t="n">
        <v>40</v>
      </c>
      <c r="B47" s="88" t="n">
        <f aca="false">LOOKUP(9.99E+307,C47:BJ47)</f>
        <v>6493054.82282668</v>
      </c>
      <c r="C47" s="89" t="n">
        <f aca="true">IF(C$5=0,INPUTS!$B$35,MAX(0,(INPUTS!$B$35-C$4)*(1+NORMINV(RAND(),INPUTS!$B$28,INPUTS!$B$29))))</f>
        <v>1489676.59359292</v>
      </c>
      <c r="D47" s="89" t="n">
        <f aca="true">IF(D$5=0,C47,MAX(0,(C47-D$4)*(1+NORMINV(RAND(),INPUTS!$B$28,INPUTS!$B$29))))</f>
        <v>1533727.50884772</v>
      </c>
      <c r="E47" s="89" t="n">
        <f aca="true">IF(E$5=0,D47,MAX(0,(D47-E$4)*(1+NORMINV(RAND(),INPUTS!$B$28,INPUTS!$B$29))))</f>
        <v>1510426.79206789</v>
      </c>
      <c r="F47" s="89" t="n">
        <f aca="true">IF(F$5=0,E47,MAX(0,(E47-F$4)*(1+NORMINV(RAND(),INPUTS!$B$28,INPUTS!$B$29))))</f>
        <v>1662613.57706604</v>
      </c>
      <c r="G47" s="89" t="n">
        <f aca="true">IF(G$5=0,F47,MAX(0,(F47-G$4)*(1+NORMINV(RAND(),INPUTS!$B$28,INPUTS!$B$29))))</f>
        <v>1534424.28470273</v>
      </c>
      <c r="H47" s="89" t="n">
        <f aca="true">IF(H$5=0,G47,MAX(0,(G47-H$4)*(1+NORMINV(RAND(),INPUTS!$B$28,INPUTS!$B$29))))</f>
        <v>1692014.36528412</v>
      </c>
      <c r="I47" s="89" t="n">
        <f aca="true">IF(I$5=0,H47,MAX(0,(H47-I$4)*(1+NORMINV(RAND(),INPUTS!$B$28,INPUTS!$B$29))))</f>
        <v>1568801.43610001</v>
      </c>
      <c r="J47" s="89" t="n">
        <f aca="true">IF(J$5=0,I47,MAX(0,(I47-J$4)*(1+NORMINV(RAND(),INPUTS!$B$28,INPUTS!$B$29))))</f>
        <v>1972505.12236834</v>
      </c>
      <c r="K47" s="89" t="n">
        <f aca="true">IF(K$5=0,J47,MAX(0,(J47-K$4)*(1+NORMINV(RAND(),INPUTS!$B$28,INPUTS!$B$29))))</f>
        <v>1960160.95140079</v>
      </c>
      <c r="L47" s="89" t="n">
        <f aca="true">IF(L$5=0,K47,MAX(0,(K47-L$4)*(1+NORMINV(RAND(),INPUTS!$B$28,INPUTS!$B$29))))</f>
        <v>2162605.38846261</v>
      </c>
      <c r="M47" s="89" t="n">
        <f aca="true">IF(M$5=0,L47,MAX(0,(L47-M$4)*(1+NORMINV(RAND(),INPUTS!$B$28,INPUTS!$B$29))))</f>
        <v>2202240.70831525</v>
      </c>
      <c r="N47" s="89" t="n">
        <f aca="true">IF(N$5=0,M47,MAX(0,(M47-N$4)*(1+NORMINV(RAND(),INPUTS!$B$28,INPUTS!$B$29))))</f>
        <v>2328822.14399045</v>
      </c>
      <c r="O47" s="89" t="n">
        <f aca="true">IF(O$5=0,N47,MAX(0,(N47-O$4)*(1+NORMINV(RAND(),INPUTS!$B$28,INPUTS!$B$29))))</f>
        <v>2766816.83190835</v>
      </c>
      <c r="P47" s="89" t="n">
        <f aca="true">IF(P$5=0,O47,MAX(0,(O47-P$4)*(1+NORMINV(RAND(),INPUTS!$B$28,INPUTS!$B$29))))</f>
        <v>3114721.13835295</v>
      </c>
      <c r="Q47" s="89" t="n">
        <f aca="true">IF(Q$5=0,P47,MAX(0,(P47-Q$4)*(1+NORMINV(RAND(),INPUTS!$B$28,INPUTS!$B$29))))</f>
        <v>2737680.00174611</v>
      </c>
      <c r="R47" s="89" t="n">
        <f aca="true">IF(R$5=0,Q47,MAX(0,(Q47-R$4)*(1+NORMINV(RAND(),INPUTS!$B$28,INPUTS!$B$29))))</f>
        <v>3711501.07077309</v>
      </c>
      <c r="S47" s="89" t="n">
        <f aca="true">IF(S$5=0,R47,MAX(0,(R47-S$4)*(1+NORMINV(RAND(),INPUTS!$B$28,INPUTS!$B$29))))</f>
        <v>3522975.78150839</v>
      </c>
      <c r="T47" s="89" t="n">
        <f aca="true">IF(T$5=0,S47,MAX(0,(S47-T$4)*(1+NORMINV(RAND(),INPUTS!$B$28,INPUTS!$B$29))))</f>
        <v>3628122.00196208</v>
      </c>
      <c r="U47" s="89" t="n">
        <f aca="true">IF(U$5=0,T47,MAX(0,(T47-U$4)*(1+NORMINV(RAND(),INPUTS!$B$28,INPUTS!$B$29))))</f>
        <v>4170688.88136769</v>
      </c>
      <c r="V47" s="89" t="n">
        <f aca="true">IF(V$5=0,U47,MAX(0,(U47-V$4)*(1+NORMINV(RAND(),INPUTS!$B$28,INPUTS!$B$29))))</f>
        <v>4561870.64261667</v>
      </c>
      <c r="W47" s="89" t="n">
        <f aca="true">IF(W$5=0,V47,MAX(0,(V47-W$4)*(1+NORMINV(RAND(),INPUTS!$B$28,INPUTS!$B$29))))</f>
        <v>5043827.81044972</v>
      </c>
      <c r="X47" s="89" t="n">
        <f aca="true">IF(X$5=0,W47,MAX(0,(W47-X$4)*(1+NORMINV(RAND(),INPUTS!$B$28,INPUTS!$B$29))))</f>
        <v>6038258.58694146</v>
      </c>
      <c r="Y47" s="89" t="n">
        <f aca="true">IF(Y$5=0,X47,MAX(0,(X47-Y$4)*(1+NORMINV(RAND(),INPUTS!$B$28,INPUTS!$B$29))))</f>
        <v>4570571.7809746</v>
      </c>
      <c r="Z47" s="89" t="n">
        <f aca="true">IF(Z$5=0,Y47,MAX(0,(Y47-Z$4)*(1+NORMINV(RAND(),INPUTS!$B$28,INPUTS!$B$29))))</f>
        <v>4394316.10858715</v>
      </c>
      <c r="AA47" s="89" t="n">
        <f aca="true">IF(AA$5=0,Z47,MAX(0,(Z47-AA$4)*(1+NORMINV(RAND(),INPUTS!$B$28,INPUTS!$B$29))))</f>
        <v>4385758.0513447</v>
      </c>
      <c r="AB47" s="89" t="n">
        <f aca="true">IF(AB$5=0,AA47,MAX(0,(AA47-AB$4)*(1+NORMINV(RAND(),INPUTS!$B$28,INPUTS!$B$29))))</f>
        <v>3790493.7420202</v>
      </c>
      <c r="AC47" s="89" t="n">
        <f aca="true">IF(AC$5=0,AB47,MAX(0,(AB47-AC$4)*(1+NORMINV(RAND(),INPUTS!$B$28,INPUTS!$B$29))))</f>
        <v>3288997.09693365</v>
      </c>
      <c r="AD47" s="89" t="n">
        <f aca="true">IF(AD$5=0,AC47,MAX(0,(AC47-AD$4)*(1+NORMINV(RAND(),INPUTS!$B$28,INPUTS!$B$29))))</f>
        <v>3688533.6964743</v>
      </c>
      <c r="AE47" s="89" t="n">
        <f aca="true">IF(AE$5=0,AD47,MAX(0,(AD47-AE$4)*(1+NORMINV(RAND(),INPUTS!$B$28,INPUTS!$B$29))))</f>
        <v>4280439.83491104</v>
      </c>
      <c r="AF47" s="89" t="n">
        <f aca="true">IF(AF$5=0,AE47,MAX(0,(AE47-AF$4)*(1+NORMINV(RAND(),INPUTS!$B$28,INPUTS!$B$29))))</f>
        <v>4618283.8004702</v>
      </c>
      <c r="AG47" s="89" t="n">
        <f aca="true">IF(AG$5=0,AF47,MAX(0,(AF47-AG$4)*(1+NORMINV(RAND(),INPUTS!$B$28,INPUTS!$B$29))))</f>
        <v>4864870.9865363</v>
      </c>
      <c r="AH47" s="89" t="n">
        <f aca="true">IF(AH$5=0,AG47,MAX(0,(AG47-AH$4)*(1+NORMINV(RAND(),INPUTS!$B$28,INPUTS!$B$29))))</f>
        <v>5766967.31175116</v>
      </c>
      <c r="AI47" s="89" t="n">
        <f aca="true">IF(AI$5=0,AH47,MAX(0,(AH47-AI$4)*(1+NORMINV(RAND(),INPUTS!$B$28,INPUTS!$B$29))))</f>
        <v>5026660.3020026</v>
      </c>
      <c r="AJ47" s="89" t="n">
        <f aca="true">IF(AJ$5=0,AI47,MAX(0,(AI47-AJ$4)*(1+NORMINV(RAND(),INPUTS!$B$28,INPUTS!$B$29))))</f>
        <v>6163864.62204232</v>
      </c>
      <c r="AK47" s="89" t="n">
        <f aca="true">IF(AK$5=0,AJ47,MAX(0,(AJ47-AK$4)*(1+NORMINV(RAND(),INPUTS!$B$28,INPUTS!$B$29))))</f>
        <v>6241576.92244364</v>
      </c>
      <c r="AL47" s="89" t="n">
        <f aca="true">IF(AL$5=0,AK47,MAX(0,(AK47-AL$4)*(1+NORMINV(RAND(),INPUTS!$B$28,INPUTS!$B$29))))</f>
        <v>6493054.82282668</v>
      </c>
      <c r="AM47" s="89" t="n">
        <f aca="true">IF(AM$5=0,AL47,MAX(0,(AL47-AM$4)*(1+NORMINV(RAND(),INPUTS!$B$28,INPUTS!$B$29))))</f>
        <v>6493054.82282668</v>
      </c>
      <c r="AN47" s="89" t="n">
        <f aca="true">IF(AN$5=0,AM47,MAX(0,(AM47-AN$4)*(1+NORMINV(RAND(),INPUTS!$B$28,INPUTS!$B$29))))</f>
        <v>6493054.82282668</v>
      </c>
      <c r="AO47" s="89" t="n">
        <f aca="true">IF(AO$5=0,AN47,MAX(0,(AN47-AO$4)*(1+NORMINV(RAND(),INPUTS!$B$28,INPUTS!$B$29))))</f>
        <v>6493054.82282668</v>
      </c>
      <c r="AP47" s="89" t="n">
        <f aca="true">IF(AP$5=0,AO47,MAX(0,(AO47-AP$4)*(1+NORMINV(RAND(),INPUTS!$B$28,INPUTS!$B$29))))</f>
        <v>6493054.82282668</v>
      </c>
      <c r="AQ47" s="89" t="n">
        <f aca="true">IF(AQ$5=0,AP47,MAX(0,(AP47-AQ$4)*(1+NORMINV(RAND(),INPUTS!$B$28,INPUTS!$B$29))))</f>
        <v>6493054.82282668</v>
      </c>
      <c r="AR47" s="89" t="n">
        <f aca="true">IF(AR$5=0,AQ47,MAX(0,(AQ47-AR$4)*(1+NORMINV(RAND(),INPUTS!$B$28,INPUTS!$B$29))))</f>
        <v>6493054.82282668</v>
      </c>
      <c r="AS47" s="89" t="n">
        <f aca="true">IF(AS$5=0,AR47,MAX(0,(AR47-AS$4)*(1+NORMINV(RAND(),INPUTS!$B$28,INPUTS!$B$29))))</f>
        <v>6493054.82282668</v>
      </c>
      <c r="AT47" s="89" t="n">
        <f aca="true">IF(AT$5=0,AS47,MAX(0,(AS47-AT$4)*(1+NORMINV(RAND(),INPUTS!$B$28,INPUTS!$B$29))))</f>
        <v>6493054.82282668</v>
      </c>
      <c r="AU47" s="89" t="n">
        <f aca="true">IF(AU$5=0,AT47,MAX(0,(AT47-AU$4)*(1+NORMINV(RAND(),INPUTS!$B$28,INPUTS!$B$29))))</f>
        <v>6493054.82282668</v>
      </c>
      <c r="AV47" s="89" t="n">
        <f aca="true">IF(AV$5=0,AU47,MAX(0,(AU47-AV$4)*(1+NORMINV(RAND(),INPUTS!$B$28,INPUTS!$B$29))))</f>
        <v>6493054.82282668</v>
      </c>
      <c r="AW47" s="89" t="n">
        <f aca="true">IF(AW$5=0,AV47,MAX(0,(AV47-AW$4)*(1+NORMINV(RAND(),INPUTS!$B$28,INPUTS!$B$29))))</f>
        <v>6493054.82282668</v>
      </c>
      <c r="AX47" s="89" t="n">
        <f aca="true">IF(AX$5=0,AW47,MAX(0,(AW47-AX$4)*(1+NORMINV(RAND(),INPUTS!$B$28,INPUTS!$B$29))))</f>
        <v>6493054.82282668</v>
      </c>
      <c r="AY47" s="89" t="n">
        <f aca="true">IF(AY$5=0,AX47,MAX(0,(AX47-AY$4)*(1+NORMINV(RAND(),INPUTS!$B$28,INPUTS!$B$29))))</f>
        <v>6493054.82282668</v>
      </c>
      <c r="AZ47" s="89" t="n">
        <f aca="true">IF(AZ$5=0,AY47,MAX(0,(AY47-AZ$4)*(1+NORMINV(RAND(),INPUTS!$B$28,INPUTS!$B$29))))</f>
        <v>6493054.82282668</v>
      </c>
      <c r="BA47" s="89" t="n">
        <f aca="true">IF(BA$5=0,AZ47,MAX(0,(AZ47-BA$4)*(1+NORMINV(RAND(),INPUTS!$B$28,INPUTS!$B$29))))</f>
        <v>6493054.82282668</v>
      </c>
      <c r="BB47" s="89" t="n">
        <f aca="true">IF(BB$5=0,BA47,MAX(0,(BA47-BB$4)*(1+NORMINV(RAND(),INPUTS!$B$28,INPUTS!$B$29))))</f>
        <v>6493054.82282668</v>
      </c>
      <c r="BC47" s="89" t="n">
        <f aca="true">IF(BC$5=0,BB47,MAX(0,(BB47-BC$4)*(1+NORMINV(RAND(),INPUTS!$B$28,INPUTS!$B$29))))</f>
        <v>6493054.82282668</v>
      </c>
      <c r="BD47" s="89" t="n">
        <f aca="true">IF(BD$5=0,BC47,MAX(0,(BC47-BD$4)*(1+NORMINV(RAND(),INPUTS!$B$28,INPUTS!$B$29))))</f>
        <v>6493054.82282668</v>
      </c>
      <c r="BE47" s="89" t="n">
        <f aca="true">IF(BE$5=0,BD47,MAX(0,(BD47-BE$4)*(1+NORMINV(RAND(),INPUTS!$B$28,INPUTS!$B$29))))</f>
        <v>6493054.82282668</v>
      </c>
      <c r="BF47" s="89" t="n">
        <f aca="true">IF(BF$5=0,BE47,MAX(0,(BE47-BF$4)*(1+NORMINV(RAND(),INPUTS!$B$28,INPUTS!$B$29))))</f>
        <v>6493054.82282668</v>
      </c>
      <c r="BG47" s="89" t="n">
        <f aca="true">IF(BG$5=0,BF47,MAX(0,(BF47-BG$4)*(1+NORMINV(RAND(),INPUTS!$B$28,INPUTS!$B$29))))</f>
        <v>6493054.82282668</v>
      </c>
      <c r="BH47" s="89" t="n">
        <f aca="true">IF(BH$5=0,BG47,MAX(0,(BG47-BH$4)*(1+NORMINV(RAND(),INPUTS!$B$28,INPUTS!$B$29))))</f>
        <v>6493054.82282668</v>
      </c>
      <c r="BI47" s="89" t="n">
        <f aca="true">IF(BI$5=0,BH47,MAX(0,(BH47-BI$4)*(1+NORMINV(RAND(),INPUTS!$B$28,INPUTS!$B$29))))</f>
        <v>6493054.82282668</v>
      </c>
      <c r="BJ47" s="89" t="n">
        <f aca="true">IF(BJ$5=0,BI47,MAX(0,(BI47-BJ$4)*(1+NORMINV(RAND(),INPUTS!$B$28,INPUTS!$B$29))))</f>
        <v>6493054.82282668</v>
      </c>
    </row>
    <row r="48" customFormat="false" ht="15" hidden="false" customHeight="true" outlineLevel="0" collapsed="false">
      <c r="A48" s="87" t="n">
        <v>41</v>
      </c>
      <c r="B48" s="88" t="n">
        <f aca="false">LOOKUP(9.99E+307,C48:BJ48)</f>
        <v>17960864.9233717</v>
      </c>
      <c r="C48" s="89" t="n">
        <f aca="true">IF(C$5=0,INPUTS!$B$35,MAX(0,(INPUTS!$B$35-C$4)*(1+NORMINV(RAND(),INPUTS!$B$28,INPUTS!$B$29))))</f>
        <v>1429925.80758265</v>
      </c>
      <c r="D48" s="89" t="n">
        <f aca="true">IF(D$5=0,C48,MAX(0,(C48-D$4)*(1+NORMINV(RAND(),INPUTS!$B$28,INPUTS!$B$29))))</f>
        <v>1557169.30959649</v>
      </c>
      <c r="E48" s="89" t="n">
        <f aca="true">IF(E$5=0,D48,MAX(0,(D48-E$4)*(1+NORMINV(RAND(),INPUTS!$B$28,INPUTS!$B$29))))</f>
        <v>1821709.79499302</v>
      </c>
      <c r="F48" s="89" t="n">
        <f aca="true">IF(F$5=0,E48,MAX(0,(E48-F$4)*(1+NORMINV(RAND(),INPUTS!$B$28,INPUTS!$B$29))))</f>
        <v>1981716.98129598</v>
      </c>
      <c r="G48" s="89" t="n">
        <f aca="true">IF(G$5=0,F48,MAX(0,(F48-G$4)*(1+NORMINV(RAND(),INPUTS!$B$28,INPUTS!$B$29))))</f>
        <v>1958323.62694291</v>
      </c>
      <c r="H48" s="89" t="n">
        <f aca="true">IF(H$5=0,G48,MAX(0,(G48-H$4)*(1+NORMINV(RAND(),INPUTS!$B$28,INPUTS!$B$29))))</f>
        <v>2092595.53483456</v>
      </c>
      <c r="I48" s="89" t="n">
        <f aca="true">IF(I$5=0,H48,MAX(0,(H48-I$4)*(1+NORMINV(RAND(),INPUTS!$B$28,INPUTS!$B$29))))</f>
        <v>1954314.16615661</v>
      </c>
      <c r="J48" s="89" t="n">
        <f aca="true">IF(J$5=0,I48,MAX(0,(I48-J$4)*(1+NORMINV(RAND(),INPUTS!$B$28,INPUTS!$B$29))))</f>
        <v>2169048.77104427</v>
      </c>
      <c r="K48" s="89" t="n">
        <f aca="true">IF(K$5=0,J48,MAX(0,(J48-K$4)*(1+NORMINV(RAND(),INPUTS!$B$28,INPUTS!$B$29))))</f>
        <v>2182983.83461696</v>
      </c>
      <c r="L48" s="89" t="n">
        <f aca="true">IF(L$5=0,K48,MAX(0,(K48-L$4)*(1+NORMINV(RAND(),INPUTS!$B$28,INPUTS!$B$29))))</f>
        <v>2591243.03906657</v>
      </c>
      <c r="M48" s="89" t="n">
        <f aca="true">IF(M$5=0,L48,MAX(0,(L48-M$4)*(1+NORMINV(RAND(),INPUTS!$B$28,INPUTS!$B$29))))</f>
        <v>2701627.54245036</v>
      </c>
      <c r="N48" s="89" t="n">
        <f aca="true">IF(N$5=0,M48,MAX(0,(M48-N$4)*(1+NORMINV(RAND(),INPUTS!$B$28,INPUTS!$B$29))))</f>
        <v>2610141.42340526</v>
      </c>
      <c r="O48" s="89" t="n">
        <f aca="true">IF(O$5=0,N48,MAX(0,(N48-O$4)*(1+NORMINV(RAND(),INPUTS!$B$28,INPUTS!$B$29))))</f>
        <v>2151385.12435198</v>
      </c>
      <c r="P48" s="89" t="n">
        <f aca="true">IF(P$5=0,O48,MAX(0,(O48-P$4)*(1+NORMINV(RAND(),INPUTS!$B$28,INPUTS!$B$29))))</f>
        <v>2211168.45674318</v>
      </c>
      <c r="Q48" s="89" t="n">
        <f aca="true">IF(Q$5=0,P48,MAX(0,(P48-Q$4)*(1+NORMINV(RAND(),INPUTS!$B$28,INPUTS!$B$29))))</f>
        <v>2638519.76299307</v>
      </c>
      <c r="R48" s="89" t="n">
        <f aca="true">IF(R$5=0,Q48,MAX(0,(Q48-R$4)*(1+NORMINV(RAND(),INPUTS!$B$28,INPUTS!$B$29))))</f>
        <v>3382918.76805913</v>
      </c>
      <c r="S48" s="89" t="n">
        <f aca="true">IF(S$5=0,R48,MAX(0,(R48-S$4)*(1+NORMINV(RAND(),INPUTS!$B$28,INPUTS!$B$29))))</f>
        <v>3521202.92560716</v>
      </c>
      <c r="T48" s="89" t="n">
        <f aca="true">IF(T$5=0,S48,MAX(0,(S48-T$4)*(1+NORMINV(RAND(),INPUTS!$B$28,INPUTS!$B$29))))</f>
        <v>4061073.58981402</v>
      </c>
      <c r="U48" s="89" t="n">
        <f aca="true">IF(U$5=0,T48,MAX(0,(T48-U$4)*(1+NORMINV(RAND(),INPUTS!$B$28,INPUTS!$B$29))))</f>
        <v>4803172.96706221</v>
      </c>
      <c r="V48" s="89" t="n">
        <f aca="true">IF(V$5=0,U48,MAX(0,(U48-V$4)*(1+NORMINV(RAND(),INPUTS!$B$28,INPUTS!$B$29))))</f>
        <v>4424120.16125602</v>
      </c>
      <c r="W48" s="89" t="n">
        <f aca="true">IF(W$5=0,V48,MAX(0,(V48-W$4)*(1+NORMINV(RAND(),INPUTS!$B$28,INPUTS!$B$29))))</f>
        <v>4606866.38608958</v>
      </c>
      <c r="X48" s="89" t="n">
        <f aca="true">IF(X$5=0,W48,MAX(0,(W48-X$4)*(1+NORMINV(RAND(),INPUTS!$B$28,INPUTS!$B$29))))</f>
        <v>5544381.36881611</v>
      </c>
      <c r="Y48" s="89" t="n">
        <f aca="true">IF(Y$5=0,X48,MAX(0,(X48-Y$4)*(1+NORMINV(RAND(),INPUTS!$B$28,INPUTS!$B$29))))</f>
        <v>6156403.18079059</v>
      </c>
      <c r="Z48" s="89" t="n">
        <f aca="true">IF(Z$5=0,Y48,MAX(0,(Y48-Z$4)*(1+NORMINV(RAND(),INPUTS!$B$28,INPUTS!$B$29))))</f>
        <v>5649583.99664243</v>
      </c>
      <c r="AA48" s="89" t="n">
        <f aca="true">IF(AA$5=0,Z48,MAX(0,(Z48-AA$4)*(1+NORMINV(RAND(),INPUTS!$B$28,INPUTS!$B$29))))</f>
        <v>5710214.10818895</v>
      </c>
      <c r="AB48" s="89" t="n">
        <f aca="true">IF(AB$5=0,AA48,MAX(0,(AA48-AB$4)*(1+NORMINV(RAND(),INPUTS!$B$28,INPUTS!$B$29))))</f>
        <v>6736804.65873059</v>
      </c>
      <c r="AC48" s="89" t="n">
        <f aca="true">IF(AC$5=0,AB48,MAX(0,(AB48-AC$4)*(1+NORMINV(RAND(),INPUTS!$B$28,INPUTS!$B$29))))</f>
        <v>7426095.09625914</v>
      </c>
      <c r="AD48" s="89" t="n">
        <f aca="true">IF(AD$5=0,AC48,MAX(0,(AC48-AD$4)*(1+NORMINV(RAND(),INPUTS!$B$28,INPUTS!$B$29))))</f>
        <v>9067418.28478116</v>
      </c>
      <c r="AE48" s="89" t="n">
        <f aca="true">IF(AE$5=0,AD48,MAX(0,(AD48-AE$4)*(1+NORMINV(RAND(),INPUTS!$B$28,INPUTS!$B$29))))</f>
        <v>9898170.75583301</v>
      </c>
      <c r="AF48" s="89" t="n">
        <f aca="true">IF(AF$5=0,AE48,MAX(0,(AE48-AF$4)*(1+NORMINV(RAND(),INPUTS!$B$28,INPUTS!$B$29))))</f>
        <v>10834144.1857762</v>
      </c>
      <c r="AG48" s="89" t="n">
        <f aca="true">IF(AG$5=0,AF48,MAX(0,(AF48-AG$4)*(1+NORMINV(RAND(),INPUTS!$B$28,INPUTS!$B$29))))</f>
        <v>11004135.5252107</v>
      </c>
      <c r="AH48" s="89" t="n">
        <f aca="true">IF(AH$5=0,AG48,MAX(0,(AG48-AH$4)*(1+NORMINV(RAND(),INPUTS!$B$28,INPUTS!$B$29))))</f>
        <v>15114451.8474591</v>
      </c>
      <c r="AI48" s="89" t="n">
        <f aca="true">IF(AI$5=0,AH48,MAX(0,(AH48-AI$4)*(1+NORMINV(RAND(),INPUTS!$B$28,INPUTS!$B$29))))</f>
        <v>19186488.5130463</v>
      </c>
      <c r="AJ48" s="89" t="n">
        <f aca="true">IF(AJ$5=0,AI48,MAX(0,(AI48-AJ$4)*(1+NORMINV(RAND(),INPUTS!$B$28,INPUTS!$B$29))))</f>
        <v>17431298.8656484</v>
      </c>
      <c r="AK48" s="89" t="n">
        <f aca="true">IF(AK$5=0,AJ48,MAX(0,(AJ48-AK$4)*(1+NORMINV(RAND(),INPUTS!$B$28,INPUTS!$B$29))))</f>
        <v>15776818.4700695</v>
      </c>
      <c r="AL48" s="89" t="n">
        <f aca="true">IF(AL$5=0,AK48,MAX(0,(AK48-AL$4)*(1+NORMINV(RAND(),INPUTS!$B$28,INPUTS!$B$29))))</f>
        <v>17960864.9233717</v>
      </c>
      <c r="AM48" s="89" t="n">
        <f aca="true">IF(AM$5=0,AL48,MAX(0,(AL48-AM$4)*(1+NORMINV(RAND(),INPUTS!$B$28,INPUTS!$B$29))))</f>
        <v>17960864.9233717</v>
      </c>
      <c r="AN48" s="89" t="n">
        <f aca="true">IF(AN$5=0,AM48,MAX(0,(AM48-AN$4)*(1+NORMINV(RAND(),INPUTS!$B$28,INPUTS!$B$29))))</f>
        <v>17960864.9233717</v>
      </c>
      <c r="AO48" s="89" t="n">
        <f aca="true">IF(AO$5=0,AN48,MAX(0,(AN48-AO$4)*(1+NORMINV(RAND(),INPUTS!$B$28,INPUTS!$B$29))))</f>
        <v>17960864.9233717</v>
      </c>
      <c r="AP48" s="89" t="n">
        <f aca="true">IF(AP$5=0,AO48,MAX(0,(AO48-AP$4)*(1+NORMINV(RAND(),INPUTS!$B$28,INPUTS!$B$29))))</f>
        <v>17960864.9233717</v>
      </c>
      <c r="AQ48" s="89" t="n">
        <f aca="true">IF(AQ$5=0,AP48,MAX(0,(AP48-AQ$4)*(1+NORMINV(RAND(),INPUTS!$B$28,INPUTS!$B$29))))</f>
        <v>17960864.9233717</v>
      </c>
      <c r="AR48" s="89" t="n">
        <f aca="true">IF(AR$5=0,AQ48,MAX(0,(AQ48-AR$4)*(1+NORMINV(RAND(),INPUTS!$B$28,INPUTS!$B$29))))</f>
        <v>17960864.9233717</v>
      </c>
      <c r="AS48" s="89" t="n">
        <f aca="true">IF(AS$5=0,AR48,MAX(0,(AR48-AS$4)*(1+NORMINV(RAND(),INPUTS!$B$28,INPUTS!$B$29))))</f>
        <v>17960864.9233717</v>
      </c>
      <c r="AT48" s="89" t="n">
        <f aca="true">IF(AT$5=0,AS48,MAX(0,(AS48-AT$4)*(1+NORMINV(RAND(),INPUTS!$B$28,INPUTS!$B$29))))</f>
        <v>17960864.9233717</v>
      </c>
      <c r="AU48" s="89" t="n">
        <f aca="true">IF(AU$5=0,AT48,MAX(0,(AT48-AU$4)*(1+NORMINV(RAND(),INPUTS!$B$28,INPUTS!$B$29))))</f>
        <v>17960864.9233717</v>
      </c>
      <c r="AV48" s="89" t="n">
        <f aca="true">IF(AV$5=0,AU48,MAX(0,(AU48-AV$4)*(1+NORMINV(RAND(),INPUTS!$B$28,INPUTS!$B$29))))</f>
        <v>17960864.9233717</v>
      </c>
      <c r="AW48" s="89" t="n">
        <f aca="true">IF(AW$5=0,AV48,MAX(0,(AV48-AW$4)*(1+NORMINV(RAND(),INPUTS!$B$28,INPUTS!$B$29))))</f>
        <v>17960864.9233717</v>
      </c>
      <c r="AX48" s="89" t="n">
        <f aca="true">IF(AX$5=0,AW48,MAX(0,(AW48-AX$4)*(1+NORMINV(RAND(),INPUTS!$B$28,INPUTS!$B$29))))</f>
        <v>17960864.9233717</v>
      </c>
      <c r="AY48" s="89" t="n">
        <f aca="true">IF(AY$5=0,AX48,MAX(0,(AX48-AY$4)*(1+NORMINV(RAND(),INPUTS!$B$28,INPUTS!$B$29))))</f>
        <v>17960864.9233717</v>
      </c>
      <c r="AZ48" s="89" t="n">
        <f aca="true">IF(AZ$5=0,AY48,MAX(0,(AY48-AZ$4)*(1+NORMINV(RAND(),INPUTS!$B$28,INPUTS!$B$29))))</f>
        <v>17960864.9233717</v>
      </c>
      <c r="BA48" s="89" t="n">
        <f aca="true">IF(BA$5=0,AZ48,MAX(0,(AZ48-BA$4)*(1+NORMINV(RAND(),INPUTS!$B$28,INPUTS!$B$29))))</f>
        <v>17960864.9233717</v>
      </c>
      <c r="BB48" s="89" t="n">
        <f aca="true">IF(BB$5=0,BA48,MAX(0,(BA48-BB$4)*(1+NORMINV(RAND(),INPUTS!$B$28,INPUTS!$B$29))))</f>
        <v>17960864.9233717</v>
      </c>
      <c r="BC48" s="89" t="n">
        <f aca="true">IF(BC$5=0,BB48,MAX(0,(BB48-BC$4)*(1+NORMINV(RAND(),INPUTS!$B$28,INPUTS!$B$29))))</f>
        <v>17960864.9233717</v>
      </c>
      <c r="BD48" s="89" t="n">
        <f aca="true">IF(BD$5=0,BC48,MAX(0,(BC48-BD$4)*(1+NORMINV(RAND(),INPUTS!$B$28,INPUTS!$B$29))))</f>
        <v>17960864.9233717</v>
      </c>
      <c r="BE48" s="89" t="n">
        <f aca="true">IF(BE$5=0,BD48,MAX(0,(BD48-BE$4)*(1+NORMINV(RAND(),INPUTS!$B$28,INPUTS!$B$29))))</f>
        <v>17960864.9233717</v>
      </c>
      <c r="BF48" s="89" t="n">
        <f aca="true">IF(BF$5=0,BE48,MAX(0,(BE48-BF$4)*(1+NORMINV(RAND(),INPUTS!$B$28,INPUTS!$B$29))))</f>
        <v>17960864.9233717</v>
      </c>
      <c r="BG48" s="89" t="n">
        <f aca="true">IF(BG$5=0,BF48,MAX(0,(BF48-BG$4)*(1+NORMINV(RAND(),INPUTS!$B$28,INPUTS!$B$29))))</f>
        <v>17960864.9233717</v>
      </c>
      <c r="BH48" s="89" t="n">
        <f aca="true">IF(BH$5=0,BG48,MAX(0,(BG48-BH$4)*(1+NORMINV(RAND(),INPUTS!$B$28,INPUTS!$B$29))))</f>
        <v>17960864.9233717</v>
      </c>
      <c r="BI48" s="89" t="n">
        <f aca="true">IF(BI$5=0,BH48,MAX(0,(BH48-BI$4)*(1+NORMINV(RAND(),INPUTS!$B$28,INPUTS!$B$29))))</f>
        <v>17960864.9233717</v>
      </c>
      <c r="BJ48" s="89" t="n">
        <f aca="true">IF(BJ$5=0,BI48,MAX(0,(BI48-BJ$4)*(1+NORMINV(RAND(),INPUTS!$B$28,INPUTS!$B$29))))</f>
        <v>17960864.9233717</v>
      </c>
    </row>
    <row r="49" customFormat="false" ht="15" hidden="false" customHeight="true" outlineLevel="0" collapsed="false">
      <c r="A49" s="87" t="n">
        <v>42</v>
      </c>
      <c r="B49" s="88" t="n">
        <f aca="false">LOOKUP(9.99E+307,C49:BJ49)</f>
        <v>4162696.35120293</v>
      </c>
      <c r="C49" s="89" t="n">
        <f aca="true">IF(C$5=0,INPUTS!$B$35,MAX(0,(INPUTS!$B$35-C$4)*(1+NORMINV(RAND(),INPUTS!$B$28,INPUTS!$B$29))))</f>
        <v>1679618.91225542</v>
      </c>
      <c r="D49" s="89" t="n">
        <f aca="true">IF(D$5=0,C49,MAX(0,(C49-D$4)*(1+NORMINV(RAND(),INPUTS!$B$28,INPUTS!$B$29))))</f>
        <v>1533517.89285743</v>
      </c>
      <c r="E49" s="89" t="n">
        <f aca="true">IF(E$5=0,D49,MAX(0,(D49-E$4)*(1+NORMINV(RAND(),INPUTS!$B$28,INPUTS!$B$29))))</f>
        <v>1395933.19514598</v>
      </c>
      <c r="F49" s="89" t="n">
        <f aca="true">IF(F$5=0,E49,MAX(0,(E49-F$4)*(1+NORMINV(RAND(),INPUTS!$B$28,INPUTS!$B$29))))</f>
        <v>1420800.47725172</v>
      </c>
      <c r="G49" s="89" t="n">
        <f aca="true">IF(G$5=0,F49,MAX(0,(F49-G$4)*(1+NORMINV(RAND(),INPUTS!$B$28,INPUTS!$B$29))))</f>
        <v>1397658.97672215</v>
      </c>
      <c r="H49" s="89" t="n">
        <f aca="true">IF(H$5=0,G49,MAX(0,(G49-H$4)*(1+NORMINV(RAND(),INPUTS!$B$28,INPUTS!$B$29))))</f>
        <v>1619874.05535498</v>
      </c>
      <c r="I49" s="89" t="n">
        <f aca="true">IF(I$5=0,H49,MAX(0,(H49-I$4)*(1+NORMINV(RAND(),INPUTS!$B$28,INPUTS!$B$29))))</f>
        <v>1476090.57451862</v>
      </c>
      <c r="J49" s="89" t="n">
        <f aca="true">IF(J$5=0,I49,MAX(0,(I49-J$4)*(1+NORMINV(RAND(),INPUTS!$B$28,INPUTS!$B$29))))</f>
        <v>1652040.59962683</v>
      </c>
      <c r="K49" s="89" t="n">
        <f aca="true">IF(K$5=0,J49,MAX(0,(J49-K$4)*(1+NORMINV(RAND(),INPUTS!$B$28,INPUTS!$B$29))))</f>
        <v>1817443.15923078</v>
      </c>
      <c r="L49" s="89" t="n">
        <f aca="true">IF(L$5=0,K49,MAX(0,(K49-L$4)*(1+NORMINV(RAND(),INPUTS!$B$28,INPUTS!$B$29))))</f>
        <v>1901488.98388724</v>
      </c>
      <c r="M49" s="89" t="n">
        <f aca="true">IF(M$5=0,L49,MAX(0,(L49-M$4)*(1+NORMINV(RAND(),INPUTS!$B$28,INPUTS!$B$29))))</f>
        <v>1946044.55866449</v>
      </c>
      <c r="N49" s="89" t="n">
        <f aca="true">IF(N$5=0,M49,MAX(0,(M49-N$4)*(1+NORMINV(RAND(),INPUTS!$B$28,INPUTS!$B$29))))</f>
        <v>2078625.18956081</v>
      </c>
      <c r="O49" s="89" t="n">
        <f aca="true">IF(O$5=0,N49,MAX(0,(N49-O$4)*(1+NORMINV(RAND(),INPUTS!$B$28,INPUTS!$B$29))))</f>
        <v>1820527.15921071</v>
      </c>
      <c r="P49" s="89" t="n">
        <f aca="true">IF(P$5=0,O49,MAX(0,(O49-P$4)*(1+NORMINV(RAND(),INPUTS!$B$28,INPUTS!$B$29))))</f>
        <v>1992252.23256307</v>
      </c>
      <c r="Q49" s="89" t="n">
        <f aca="true">IF(Q$5=0,P49,MAX(0,(P49-Q$4)*(1+NORMINV(RAND(),INPUTS!$B$28,INPUTS!$B$29))))</f>
        <v>2238522.53830993</v>
      </c>
      <c r="R49" s="89" t="n">
        <f aca="true">IF(R$5=0,Q49,MAX(0,(Q49-R$4)*(1+NORMINV(RAND(),INPUTS!$B$28,INPUTS!$B$29))))</f>
        <v>2243277.17153547</v>
      </c>
      <c r="S49" s="89" t="n">
        <f aca="true">IF(S$5=0,R49,MAX(0,(R49-S$4)*(1+NORMINV(RAND(),INPUTS!$B$28,INPUTS!$B$29))))</f>
        <v>1958232.52492326</v>
      </c>
      <c r="T49" s="89" t="n">
        <f aca="true">IF(T$5=0,S49,MAX(0,(S49-T$4)*(1+NORMINV(RAND(),INPUTS!$B$28,INPUTS!$B$29))))</f>
        <v>1830037.71672253</v>
      </c>
      <c r="U49" s="89" t="n">
        <f aca="true">IF(U$5=0,T49,MAX(0,(T49-U$4)*(1+NORMINV(RAND(),INPUTS!$B$28,INPUTS!$B$29))))</f>
        <v>1916502.45559832</v>
      </c>
      <c r="V49" s="89" t="n">
        <f aca="true">IF(V$5=0,U49,MAX(0,(U49-V$4)*(1+NORMINV(RAND(),INPUTS!$B$28,INPUTS!$B$29))))</f>
        <v>2251552.27255572</v>
      </c>
      <c r="W49" s="89" t="n">
        <f aca="true">IF(W$5=0,V49,MAX(0,(V49-W$4)*(1+NORMINV(RAND(),INPUTS!$B$28,INPUTS!$B$29))))</f>
        <v>2716828.3361315</v>
      </c>
      <c r="X49" s="89" t="n">
        <f aca="true">IF(X$5=0,W49,MAX(0,(W49-X$4)*(1+NORMINV(RAND(),INPUTS!$B$28,INPUTS!$B$29))))</f>
        <v>2139075.07188079</v>
      </c>
      <c r="Y49" s="89" t="n">
        <f aca="true">IF(Y$5=0,X49,MAX(0,(X49-Y$4)*(1+NORMINV(RAND(),INPUTS!$B$28,INPUTS!$B$29))))</f>
        <v>2560385.9004598</v>
      </c>
      <c r="Z49" s="89" t="n">
        <f aca="true">IF(Z$5=0,Y49,MAX(0,(Y49-Z$4)*(1+NORMINV(RAND(),INPUTS!$B$28,INPUTS!$B$29))))</f>
        <v>2868073.9402428</v>
      </c>
      <c r="AA49" s="89" t="n">
        <f aca="true">IF(AA$5=0,Z49,MAX(0,(Z49-AA$4)*(1+NORMINV(RAND(),INPUTS!$B$28,INPUTS!$B$29))))</f>
        <v>2906674.40713454</v>
      </c>
      <c r="AB49" s="89" t="n">
        <f aca="true">IF(AB$5=0,AA49,MAX(0,(AA49-AB$4)*(1+NORMINV(RAND(),INPUTS!$B$28,INPUTS!$B$29))))</f>
        <v>3152428.58508181</v>
      </c>
      <c r="AC49" s="89" t="n">
        <f aca="true">IF(AC$5=0,AB49,MAX(0,(AB49-AC$4)*(1+NORMINV(RAND(),INPUTS!$B$28,INPUTS!$B$29))))</f>
        <v>3010439.43191443</v>
      </c>
      <c r="AD49" s="89" t="n">
        <f aca="true">IF(AD$5=0,AC49,MAX(0,(AC49-AD$4)*(1+NORMINV(RAND(),INPUTS!$B$28,INPUTS!$B$29))))</f>
        <v>3250510.30249931</v>
      </c>
      <c r="AE49" s="89" t="n">
        <f aca="true">IF(AE$5=0,AD49,MAX(0,(AD49-AE$4)*(1+NORMINV(RAND(),INPUTS!$B$28,INPUTS!$B$29))))</f>
        <v>2926124.57953588</v>
      </c>
      <c r="AF49" s="89" t="n">
        <f aca="true">IF(AF$5=0,AE49,MAX(0,(AE49-AF$4)*(1+NORMINV(RAND(),INPUTS!$B$28,INPUTS!$B$29))))</f>
        <v>3103579.56703746</v>
      </c>
      <c r="AG49" s="89" t="n">
        <f aca="true">IF(AG$5=0,AF49,MAX(0,(AF49-AG$4)*(1+NORMINV(RAND(),INPUTS!$B$28,INPUTS!$B$29))))</f>
        <v>3655908.37155053</v>
      </c>
      <c r="AH49" s="89" t="n">
        <f aca="true">IF(AH$5=0,AG49,MAX(0,(AG49-AH$4)*(1+NORMINV(RAND(),INPUTS!$B$28,INPUTS!$B$29))))</f>
        <v>3525418.92344737</v>
      </c>
      <c r="AI49" s="89" t="n">
        <f aca="true">IF(AI$5=0,AH49,MAX(0,(AH49-AI$4)*(1+NORMINV(RAND(),INPUTS!$B$28,INPUTS!$B$29))))</f>
        <v>3570018.28067562</v>
      </c>
      <c r="AJ49" s="89" t="n">
        <f aca="true">IF(AJ$5=0,AI49,MAX(0,(AI49-AJ$4)*(1+NORMINV(RAND(),INPUTS!$B$28,INPUTS!$B$29))))</f>
        <v>4057166.16759336</v>
      </c>
      <c r="AK49" s="89" t="n">
        <f aca="true">IF(AK$5=0,AJ49,MAX(0,(AJ49-AK$4)*(1+NORMINV(RAND(),INPUTS!$B$28,INPUTS!$B$29))))</f>
        <v>4053567.76139973</v>
      </c>
      <c r="AL49" s="89" t="n">
        <f aca="true">IF(AL$5=0,AK49,MAX(0,(AK49-AL$4)*(1+NORMINV(RAND(),INPUTS!$B$28,INPUTS!$B$29))))</f>
        <v>4162696.35120293</v>
      </c>
      <c r="AM49" s="89" t="n">
        <f aca="true">IF(AM$5=0,AL49,MAX(0,(AL49-AM$4)*(1+NORMINV(RAND(),INPUTS!$B$28,INPUTS!$B$29))))</f>
        <v>4162696.35120293</v>
      </c>
      <c r="AN49" s="89" t="n">
        <f aca="true">IF(AN$5=0,AM49,MAX(0,(AM49-AN$4)*(1+NORMINV(RAND(),INPUTS!$B$28,INPUTS!$B$29))))</f>
        <v>4162696.35120293</v>
      </c>
      <c r="AO49" s="89" t="n">
        <f aca="true">IF(AO$5=0,AN49,MAX(0,(AN49-AO$4)*(1+NORMINV(RAND(),INPUTS!$B$28,INPUTS!$B$29))))</f>
        <v>4162696.35120293</v>
      </c>
      <c r="AP49" s="89" t="n">
        <f aca="true">IF(AP$5=0,AO49,MAX(0,(AO49-AP$4)*(1+NORMINV(RAND(),INPUTS!$B$28,INPUTS!$B$29))))</f>
        <v>4162696.35120293</v>
      </c>
      <c r="AQ49" s="89" t="n">
        <f aca="true">IF(AQ$5=0,AP49,MAX(0,(AP49-AQ$4)*(1+NORMINV(RAND(),INPUTS!$B$28,INPUTS!$B$29))))</f>
        <v>4162696.35120293</v>
      </c>
      <c r="AR49" s="89" t="n">
        <f aca="true">IF(AR$5=0,AQ49,MAX(0,(AQ49-AR$4)*(1+NORMINV(RAND(),INPUTS!$B$28,INPUTS!$B$29))))</f>
        <v>4162696.35120293</v>
      </c>
      <c r="AS49" s="89" t="n">
        <f aca="true">IF(AS$5=0,AR49,MAX(0,(AR49-AS$4)*(1+NORMINV(RAND(),INPUTS!$B$28,INPUTS!$B$29))))</f>
        <v>4162696.35120293</v>
      </c>
      <c r="AT49" s="89" t="n">
        <f aca="true">IF(AT$5=0,AS49,MAX(0,(AS49-AT$4)*(1+NORMINV(RAND(),INPUTS!$B$28,INPUTS!$B$29))))</f>
        <v>4162696.35120293</v>
      </c>
      <c r="AU49" s="89" t="n">
        <f aca="true">IF(AU$5=0,AT49,MAX(0,(AT49-AU$4)*(1+NORMINV(RAND(),INPUTS!$B$28,INPUTS!$B$29))))</f>
        <v>4162696.35120293</v>
      </c>
      <c r="AV49" s="89" t="n">
        <f aca="true">IF(AV$5=0,AU49,MAX(0,(AU49-AV$4)*(1+NORMINV(RAND(),INPUTS!$B$28,INPUTS!$B$29))))</f>
        <v>4162696.35120293</v>
      </c>
      <c r="AW49" s="89" t="n">
        <f aca="true">IF(AW$5=0,AV49,MAX(0,(AV49-AW$4)*(1+NORMINV(RAND(),INPUTS!$B$28,INPUTS!$B$29))))</f>
        <v>4162696.35120293</v>
      </c>
      <c r="AX49" s="89" t="n">
        <f aca="true">IF(AX$5=0,AW49,MAX(0,(AW49-AX$4)*(1+NORMINV(RAND(),INPUTS!$B$28,INPUTS!$B$29))))</f>
        <v>4162696.35120293</v>
      </c>
      <c r="AY49" s="89" t="n">
        <f aca="true">IF(AY$5=0,AX49,MAX(0,(AX49-AY$4)*(1+NORMINV(RAND(),INPUTS!$B$28,INPUTS!$B$29))))</f>
        <v>4162696.35120293</v>
      </c>
      <c r="AZ49" s="89" t="n">
        <f aca="true">IF(AZ$5=0,AY49,MAX(0,(AY49-AZ$4)*(1+NORMINV(RAND(),INPUTS!$B$28,INPUTS!$B$29))))</f>
        <v>4162696.35120293</v>
      </c>
      <c r="BA49" s="89" t="n">
        <f aca="true">IF(BA$5=0,AZ49,MAX(0,(AZ49-BA$4)*(1+NORMINV(RAND(),INPUTS!$B$28,INPUTS!$B$29))))</f>
        <v>4162696.35120293</v>
      </c>
      <c r="BB49" s="89" t="n">
        <f aca="true">IF(BB$5=0,BA49,MAX(0,(BA49-BB$4)*(1+NORMINV(RAND(),INPUTS!$B$28,INPUTS!$B$29))))</f>
        <v>4162696.35120293</v>
      </c>
      <c r="BC49" s="89" t="n">
        <f aca="true">IF(BC$5=0,BB49,MAX(0,(BB49-BC$4)*(1+NORMINV(RAND(),INPUTS!$B$28,INPUTS!$B$29))))</f>
        <v>4162696.35120293</v>
      </c>
      <c r="BD49" s="89" t="n">
        <f aca="true">IF(BD$5=0,BC49,MAX(0,(BC49-BD$4)*(1+NORMINV(RAND(),INPUTS!$B$28,INPUTS!$B$29))))</f>
        <v>4162696.35120293</v>
      </c>
      <c r="BE49" s="89" t="n">
        <f aca="true">IF(BE$5=0,BD49,MAX(0,(BD49-BE$4)*(1+NORMINV(RAND(),INPUTS!$B$28,INPUTS!$B$29))))</f>
        <v>4162696.35120293</v>
      </c>
      <c r="BF49" s="89" t="n">
        <f aca="true">IF(BF$5=0,BE49,MAX(0,(BE49-BF$4)*(1+NORMINV(RAND(),INPUTS!$B$28,INPUTS!$B$29))))</f>
        <v>4162696.35120293</v>
      </c>
      <c r="BG49" s="89" t="n">
        <f aca="true">IF(BG$5=0,BF49,MAX(0,(BF49-BG$4)*(1+NORMINV(RAND(),INPUTS!$B$28,INPUTS!$B$29))))</f>
        <v>4162696.35120293</v>
      </c>
      <c r="BH49" s="89" t="n">
        <f aca="true">IF(BH$5=0,BG49,MAX(0,(BG49-BH$4)*(1+NORMINV(RAND(),INPUTS!$B$28,INPUTS!$B$29))))</f>
        <v>4162696.35120293</v>
      </c>
      <c r="BI49" s="89" t="n">
        <f aca="true">IF(BI$5=0,BH49,MAX(0,(BH49-BI$4)*(1+NORMINV(RAND(),INPUTS!$B$28,INPUTS!$B$29))))</f>
        <v>4162696.35120293</v>
      </c>
      <c r="BJ49" s="89" t="n">
        <f aca="true">IF(BJ$5=0,BI49,MAX(0,(BI49-BJ$4)*(1+NORMINV(RAND(),INPUTS!$B$28,INPUTS!$B$29))))</f>
        <v>4162696.35120293</v>
      </c>
    </row>
    <row r="50" customFormat="false" ht="15" hidden="false" customHeight="true" outlineLevel="0" collapsed="false">
      <c r="A50" s="87" t="n">
        <v>43</v>
      </c>
      <c r="B50" s="88" t="n">
        <f aca="false">LOOKUP(9.99E+307,C50:BJ50)</f>
        <v>1619840.02188571</v>
      </c>
      <c r="C50" s="89" t="n">
        <f aca="true">IF(C$5=0,INPUTS!$B$35,MAX(0,(INPUTS!$B$35-C$4)*(1+NORMINV(RAND(),INPUTS!$B$28,INPUTS!$B$29))))</f>
        <v>1354242.77019693</v>
      </c>
      <c r="D50" s="89" t="n">
        <f aca="true">IF(D$5=0,C50,MAX(0,(C50-D$4)*(1+NORMINV(RAND(),INPUTS!$B$28,INPUTS!$B$29))))</f>
        <v>1449529.90428628</v>
      </c>
      <c r="E50" s="89" t="n">
        <f aca="true">IF(E$5=0,D50,MAX(0,(D50-E$4)*(1+NORMINV(RAND(),INPUTS!$B$28,INPUTS!$B$29))))</f>
        <v>1371319.13222371</v>
      </c>
      <c r="F50" s="89" t="n">
        <f aca="true">IF(F$5=0,E50,MAX(0,(E50-F$4)*(1+NORMINV(RAND(),INPUTS!$B$28,INPUTS!$B$29))))</f>
        <v>1191968.29921852</v>
      </c>
      <c r="G50" s="89" t="n">
        <f aca="true">IF(G$5=0,F50,MAX(0,(F50-G$4)*(1+NORMINV(RAND(),INPUTS!$B$28,INPUTS!$B$29))))</f>
        <v>1170664.89961927</v>
      </c>
      <c r="H50" s="89" t="n">
        <f aca="true">IF(H$5=0,G50,MAX(0,(G50-H$4)*(1+NORMINV(RAND(),INPUTS!$B$28,INPUTS!$B$29))))</f>
        <v>1187750.68939797</v>
      </c>
      <c r="I50" s="89" t="n">
        <f aca="true">IF(I$5=0,H50,MAX(0,(H50-I$4)*(1+NORMINV(RAND(),INPUTS!$B$28,INPUTS!$B$29))))</f>
        <v>1460048.26642917</v>
      </c>
      <c r="J50" s="89" t="n">
        <f aca="true">IF(J$5=0,I50,MAX(0,(I50-J$4)*(1+NORMINV(RAND(),INPUTS!$B$28,INPUTS!$B$29))))</f>
        <v>1526020.27439519</v>
      </c>
      <c r="K50" s="89" t="n">
        <f aca="true">IF(K$5=0,J50,MAX(0,(J50-K$4)*(1+NORMINV(RAND(),INPUTS!$B$28,INPUTS!$B$29))))</f>
        <v>1644176.81541097</v>
      </c>
      <c r="L50" s="89" t="n">
        <f aca="true">IF(L$5=0,K50,MAX(0,(K50-L$4)*(1+NORMINV(RAND(),INPUTS!$B$28,INPUTS!$B$29))))</f>
        <v>1539130.50418657</v>
      </c>
      <c r="M50" s="89" t="n">
        <f aca="true">IF(M$5=0,L50,MAX(0,(L50-M$4)*(1+NORMINV(RAND(),INPUTS!$B$28,INPUTS!$B$29))))</f>
        <v>1607812.38912697</v>
      </c>
      <c r="N50" s="89" t="n">
        <f aca="true">IF(N$5=0,M50,MAX(0,(M50-N$4)*(1+NORMINV(RAND(),INPUTS!$B$28,INPUTS!$B$29))))</f>
        <v>1338518.26099257</v>
      </c>
      <c r="O50" s="89" t="n">
        <f aca="true">IF(O$5=0,N50,MAX(0,(N50-O$4)*(1+NORMINV(RAND(),INPUTS!$B$28,INPUTS!$B$29))))</f>
        <v>1224114.77041527</v>
      </c>
      <c r="P50" s="89" t="n">
        <f aca="true">IF(P$5=0,O50,MAX(0,(O50-P$4)*(1+NORMINV(RAND(),INPUTS!$B$28,INPUTS!$B$29))))</f>
        <v>1180898.24155201</v>
      </c>
      <c r="Q50" s="89" t="n">
        <f aca="true">IF(Q$5=0,P50,MAX(0,(P50-Q$4)*(1+NORMINV(RAND(),INPUTS!$B$28,INPUTS!$B$29))))</f>
        <v>1336622.7191807</v>
      </c>
      <c r="R50" s="89" t="n">
        <f aca="true">IF(R$5=0,Q50,MAX(0,(Q50-R$4)*(1+NORMINV(RAND(),INPUTS!$B$28,INPUTS!$B$29))))</f>
        <v>1456478.16862521</v>
      </c>
      <c r="S50" s="89" t="n">
        <f aca="true">IF(S$5=0,R50,MAX(0,(R50-S$4)*(1+NORMINV(RAND(),INPUTS!$B$28,INPUTS!$B$29))))</f>
        <v>1613987.65648854</v>
      </c>
      <c r="T50" s="89" t="n">
        <f aca="true">IF(T$5=0,S50,MAX(0,(S50-T$4)*(1+NORMINV(RAND(),INPUTS!$B$28,INPUTS!$B$29))))</f>
        <v>1673709.05318612</v>
      </c>
      <c r="U50" s="89" t="n">
        <f aca="true">IF(U$5=0,T50,MAX(0,(T50-U$4)*(1+NORMINV(RAND(),INPUTS!$B$28,INPUTS!$B$29))))</f>
        <v>1541516.39218929</v>
      </c>
      <c r="V50" s="89" t="n">
        <f aca="true">IF(V$5=0,U50,MAX(0,(U50-V$4)*(1+NORMINV(RAND(),INPUTS!$B$28,INPUTS!$B$29))))</f>
        <v>1171712.7104182</v>
      </c>
      <c r="W50" s="89" t="n">
        <f aca="true">IF(W$5=0,V50,MAX(0,(V50-W$4)*(1+NORMINV(RAND(),INPUTS!$B$28,INPUTS!$B$29))))</f>
        <v>1357266.56273722</v>
      </c>
      <c r="X50" s="89" t="n">
        <f aca="true">IF(X$5=0,W50,MAX(0,(W50-X$4)*(1+NORMINV(RAND(),INPUTS!$B$28,INPUTS!$B$29))))</f>
        <v>1530036.16610022</v>
      </c>
      <c r="Y50" s="89" t="n">
        <f aca="true">IF(Y$5=0,X50,MAX(0,(X50-Y$4)*(1+NORMINV(RAND(),INPUTS!$B$28,INPUTS!$B$29))))</f>
        <v>1212641.60047874</v>
      </c>
      <c r="Z50" s="89" t="n">
        <f aca="true">IF(Z$5=0,Y50,MAX(0,(Y50-Z$4)*(1+NORMINV(RAND(),INPUTS!$B$28,INPUTS!$B$29))))</f>
        <v>1374273.2871708</v>
      </c>
      <c r="AA50" s="89" t="n">
        <f aca="true">IF(AA$5=0,Z50,MAX(0,(Z50-AA$4)*(1+NORMINV(RAND(),INPUTS!$B$28,INPUTS!$B$29))))</f>
        <v>1379514.15362554</v>
      </c>
      <c r="AB50" s="89" t="n">
        <f aca="true">IF(AB$5=0,AA50,MAX(0,(AA50-AB$4)*(1+NORMINV(RAND(),INPUTS!$B$28,INPUTS!$B$29))))</f>
        <v>1311569.22303587</v>
      </c>
      <c r="AC50" s="89" t="n">
        <f aca="true">IF(AC$5=0,AB50,MAX(0,(AB50-AC$4)*(1+NORMINV(RAND(),INPUTS!$B$28,INPUTS!$B$29))))</f>
        <v>1541753.61033808</v>
      </c>
      <c r="AD50" s="89" t="n">
        <f aca="true">IF(AD$5=0,AC50,MAX(0,(AC50-AD$4)*(1+NORMINV(RAND(),INPUTS!$B$28,INPUTS!$B$29))))</f>
        <v>1434546.95078243</v>
      </c>
      <c r="AE50" s="89" t="n">
        <f aca="true">IF(AE$5=0,AD50,MAX(0,(AD50-AE$4)*(1+NORMINV(RAND(),INPUTS!$B$28,INPUTS!$B$29))))</f>
        <v>1378208.63744067</v>
      </c>
      <c r="AF50" s="89" t="n">
        <f aca="true">IF(AF$5=0,AE50,MAX(0,(AE50-AF$4)*(1+NORMINV(RAND(),INPUTS!$B$28,INPUTS!$B$29))))</f>
        <v>1709700.99825661</v>
      </c>
      <c r="AG50" s="89" t="n">
        <f aca="true">IF(AG$5=0,AF50,MAX(0,(AF50-AG$4)*(1+NORMINV(RAND(),INPUTS!$B$28,INPUTS!$B$29))))</f>
        <v>2077923.8392408</v>
      </c>
      <c r="AH50" s="89" t="n">
        <f aca="true">IF(AH$5=0,AG50,MAX(0,(AG50-AH$4)*(1+NORMINV(RAND(),INPUTS!$B$28,INPUTS!$B$29))))</f>
        <v>2298780.6573557</v>
      </c>
      <c r="AI50" s="89" t="n">
        <f aca="true">IF(AI$5=0,AH50,MAX(0,(AH50-AI$4)*(1+NORMINV(RAND(),INPUTS!$B$28,INPUTS!$B$29))))</f>
        <v>1959172.75933963</v>
      </c>
      <c r="AJ50" s="89" t="n">
        <f aca="true">IF(AJ$5=0,AI50,MAX(0,(AI50-AJ$4)*(1+NORMINV(RAND(),INPUTS!$B$28,INPUTS!$B$29))))</f>
        <v>2083342.59015232</v>
      </c>
      <c r="AK50" s="89" t="n">
        <f aca="true">IF(AK$5=0,AJ50,MAX(0,(AJ50-AK$4)*(1+NORMINV(RAND(),INPUTS!$B$28,INPUTS!$B$29))))</f>
        <v>1874376.25409008</v>
      </c>
      <c r="AL50" s="89" t="n">
        <f aca="true">IF(AL$5=0,AK50,MAX(0,(AK50-AL$4)*(1+NORMINV(RAND(),INPUTS!$B$28,INPUTS!$B$29))))</f>
        <v>1619840.02188571</v>
      </c>
      <c r="AM50" s="89" t="n">
        <f aca="true">IF(AM$5=0,AL50,MAX(0,(AL50-AM$4)*(1+NORMINV(RAND(),INPUTS!$B$28,INPUTS!$B$29))))</f>
        <v>1619840.02188571</v>
      </c>
      <c r="AN50" s="89" t="n">
        <f aca="true">IF(AN$5=0,AM50,MAX(0,(AM50-AN$4)*(1+NORMINV(RAND(),INPUTS!$B$28,INPUTS!$B$29))))</f>
        <v>1619840.02188571</v>
      </c>
      <c r="AO50" s="89" t="n">
        <f aca="true">IF(AO$5=0,AN50,MAX(0,(AN50-AO$4)*(1+NORMINV(RAND(),INPUTS!$B$28,INPUTS!$B$29))))</f>
        <v>1619840.02188571</v>
      </c>
      <c r="AP50" s="89" t="n">
        <f aca="true">IF(AP$5=0,AO50,MAX(0,(AO50-AP$4)*(1+NORMINV(RAND(),INPUTS!$B$28,INPUTS!$B$29))))</f>
        <v>1619840.02188571</v>
      </c>
      <c r="AQ50" s="89" t="n">
        <f aca="true">IF(AQ$5=0,AP50,MAX(0,(AP50-AQ$4)*(1+NORMINV(RAND(),INPUTS!$B$28,INPUTS!$B$29))))</f>
        <v>1619840.02188571</v>
      </c>
      <c r="AR50" s="89" t="n">
        <f aca="true">IF(AR$5=0,AQ50,MAX(0,(AQ50-AR$4)*(1+NORMINV(RAND(),INPUTS!$B$28,INPUTS!$B$29))))</f>
        <v>1619840.02188571</v>
      </c>
      <c r="AS50" s="89" t="n">
        <f aca="true">IF(AS$5=0,AR50,MAX(0,(AR50-AS$4)*(1+NORMINV(RAND(),INPUTS!$B$28,INPUTS!$B$29))))</f>
        <v>1619840.02188571</v>
      </c>
      <c r="AT50" s="89" t="n">
        <f aca="true">IF(AT$5=0,AS50,MAX(0,(AS50-AT$4)*(1+NORMINV(RAND(),INPUTS!$B$28,INPUTS!$B$29))))</f>
        <v>1619840.02188571</v>
      </c>
      <c r="AU50" s="89" t="n">
        <f aca="true">IF(AU$5=0,AT50,MAX(0,(AT50-AU$4)*(1+NORMINV(RAND(),INPUTS!$B$28,INPUTS!$B$29))))</f>
        <v>1619840.02188571</v>
      </c>
      <c r="AV50" s="89" t="n">
        <f aca="true">IF(AV$5=0,AU50,MAX(0,(AU50-AV$4)*(1+NORMINV(RAND(),INPUTS!$B$28,INPUTS!$B$29))))</f>
        <v>1619840.02188571</v>
      </c>
      <c r="AW50" s="89" t="n">
        <f aca="true">IF(AW$5=0,AV50,MAX(0,(AV50-AW$4)*(1+NORMINV(RAND(),INPUTS!$B$28,INPUTS!$B$29))))</f>
        <v>1619840.02188571</v>
      </c>
      <c r="AX50" s="89" t="n">
        <f aca="true">IF(AX$5=0,AW50,MAX(0,(AW50-AX$4)*(1+NORMINV(RAND(),INPUTS!$B$28,INPUTS!$B$29))))</f>
        <v>1619840.02188571</v>
      </c>
      <c r="AY50" s="89" t="n">
        <f aca="true">IF(AY$5=0,AX50,MAX(0,(AX50-AY$4)*(1+NORMINV(RAND(),INPUTS!$B$28,INPUTS!$B$29))))</f>
        <v>1619840.02188571</v>
      </c>
      <c r="AZ50" s="89" t="n">
        <f aca="true">IF(AZ$5=0,AY50,MAX(0,(AY50-AZ$4)*(1+NORMINV(RAND(),INPUTS!$B$28,INPUTS!$B$29))))</f>
        <v>1619840.02188571</v>
      </c>
      <c r="BA50" s="89" t="n">
        <f aca="true">IF(BA$5=0,AZ50,MAX(0,(AZ50-BA$4)*(1+NORMINV(RAND(),INPUTS!$B$28,INPUTS!$B$29))))</f>
        <v>1619840.02188571</v>
      </c>
      <c r="BB50" s="89" t="n">
        <f aca="true">IF(BB$5=0,BA50,MAX(0,(BA50-BB$4)*(1+NORMINV(RAND(),INPUTS!$B$28,INPUTS!$B$29))))</f>
        <v>1619840.02188571</v>
      </c>
      <c r="BC50" s="89" t="n">
        <f aca="true">IF(BC$5=0,BB50,MAX(0,(BB50-BC$4)*(1+NORMINV(RAND(),INPUTS!$B$28,INPUTS!$B$29))))</f>
        <v>1619840.02188571</v>
      </c>
      <c r="BD50" s="89" t="n">
        <f aca="true">IF(BD$5=0,BC50,MAX(0,(BC50-BD$4)*(1+NORMINV(RAND(),INPUTS!$B$28,INPUTS!$B$29))))</f>
        <v>1619840.02188571</v>
      </c>
      <c r="BE50" s="89" t="n">
        <f aca="true">IF(BE$5=0,BD50,MAX(0,(BD50-BE$4)*(1+NORMINV(RAND(),INPUTS!$B$28,INPUTS!$B$29))))</f>
        <v>1619840.02188571</v>
      </c>
      <c r="BF50" s="89" t="n">
        <f aca="true">IF(BF$5=0,BE50,MAX(0,(BE50-BF$4)*(1+NORMINV(RAND(),INPUTS!$B$28,INPUTS!$B$29))))</f>
        <v>1619840.02188571</v>
      </c>
      <c r="BG50" s="89" t="n">
        <f aca="true">IF(BG$5=0,BF50,MAX(0,(BF50-BG$4)*(1+NORMINV(RAND(),INPUTS!$B$28,INPUTS!$B$29))))</f>
        <v>1619840.02188571</v>
      </c>
      <c r="BH50" s="89" t="n">
        <f aca="true">IF(BH$5=0,BG50,MAX(0,(BG50-BH$4)*(1+NORMINV(RAND(),INPUTS!$B$28,INPUTS!$B$29))))</f>
        <v>1619840.02188571</v>
      </c>
      <c r="BI50" s="89" t="n">
        <f aca="true">IF(BI$5=0,BH50,MAX(0,(BH50-BI$4)*(1+NORMINV(RAND(),INPUTS!$B$28,INPUTS!$B$29))))</f>
        <v>1619840.02188571</v>
      </c>
      <c r="BJ50" s="89" t="n">
        <f aca="true">IF(BJ$5=0,BI50,MAX(0,(BI50-BJ$4)*(1+NORMINV(RAND(),INPUTS!$B$28,INPUTS!$B$29))))</f>
        <v>1619840.02188571</v>
      </c>
    </row>
    <row r="51" customFormat="false" ht="15" hidden="false" customHeight="true" outlineLevel="0" collapsed="false">
      <c r="A51" s="87" t="n">
        <v>44</v>
      </c>
      <c r="B51" s="88" t="n">
        <f aca="false">LOOKUP(9.99E+307,C51:BJ51)</f>
        <v>16453419.7961844</v>
      </c>
      <c r="C51" s="89" t="n">
        <f aca="true">IF(C$5=0,INPUTS!$B$35,MAX(0,(INPUTS!$B$35-C$4)*(1+NORMINV(RAND(),INPUTS!$B$28,INPUTS!$B$29))))</f>
        <v>1524900.18545312</v>
      </c>
      <c r="D51" s="89" t="n">
        <f aca="true">IF(D$5=0,C51,MAX(0,(C51-D$4)*(1+NORMINV(RAND(),INPUTS!$B$28,INPUTS!$B$29))))</f>
        <v>1617883.06459653</v>
      </c>
      <c r="E51" s="89" t="n">
        <f aca="true">IF(E$5=0,D51,MAX(0,(D51-E$4)*(1+NORMINV(RAND(),INPUTS!$B$28,INPUTS!$B$29))))</f>
        <v>1719440.96801773</v>
      </c>
      <c r="F51" s="89" t="n">
        <f aca="true">IF(F$5=0,E51,MAX(0,(E51-F$4)*(1+NORMINV(RAND(),INPUTS!$B$28,INPUTS!$B$29))))</f>
        <v>1610849.98662144</v>
      </c>
      <c r="G51" s="89" t="n">
        <f aca="true">IF(G$5=0,F51,MAX(0,(F51-G$4)*(1+NORMINV(RAND(),INPUTS!$B$28,INPUTS!$B$29))))</f>
        <v>1450763.04766605</v>
      </c>
      <c r="H51" s="89" t="n">
        <f aca="true">IF(H$5=0,G51,MAX(0,(G51-H$4)*(1+NORMINV(RAND(),INPUTS!$B$28,INPUTS!$B$29))))</f>
        <v>1656508.95585488</v>
      </c>
      <c r="I51" s="89" t="n">
        <f aca="true">IF(I$5=0,H51,MAX(0,(H51-I$4)*(1+NORMINV(RAND(),INPUTS!$B$28,INPUTS!$B$29))))</f>
        <v>1689654.46558461</v>
      </c>
      <c r="J51" s="89" t="n">
        <f aca="true">IF(J$5=0,I51,MAX(0,(I51-J$4)*(1+NORMINV(RAND(),INPUTS!$B$28,INPUTS!$B$29))))</f>
        <v>1961062.10584815</v>
      </c>
      <c r="K51" s="89" t="n">
        <f aca="true">IF(K$5=0,J51,MAX(0,(J51-K$4)*(1+NORMINV(RAND(),INPUTS!$B$28,INPUTS!$B$29))))</f>
        <v>2201540.8094016</v>
      </c>
      <c r="L51" s="89" t="n">
        <f aca="true">IF(L$5=0,K51,MAX(0,(K51-L$4)*(1+NORMINV(RAND(),INPUTS!$B$28,INPUTS!$B$29))))</f>
        <v>2684607.33833473</v>
      </c>
      <c r="M51" s="89" t="n">
        <f aca="true">IF(M$5=0,L51,MAX(0,(L51-M$4)*(1+NORMINV(RAND(),INPUTS!$B$28,INPUTS!$B$29))))</f>
        <v>2822104.63682251</v>
      </c>
      <c r="N51" s="89" t="n">
        <f aca="true">IF(N$5=0,M51,MAX(0,(M51-N$4)*(1+NORMINV(RAND(),INPUTS!$B$28,INPUTS!$B$29))))</f>
        <v>3110076.08157851</v>
      </c>
      <c r="O51" s="89" t="n">
        <f aca="true">IF(O$5=0,N51,MAX(0,(N51-O$4)*(1+NORMINV(RAND(),INPUTS!$B$28,INPUTS!$B$29))))</f>
        <v>3665472.86909881</v>
      </c>
      <c r="P51" s="89" t="n">
        <f aca="true">IF(P$5=0,O51,MAX(0,(O51-P$4)*(1+NORMINV(RAND(),INPUTS!$B$28,INPUTS!$B$29))))</f>
        <v>4770102.88458324</v>
      </c>
      <c r="Q51" s="89" t="n">
        <f aca="true">IF(Q$5=0,P51,MAX(0,(P51-Q$4)*(1+NORMINV(RAND(),INPUTS!$B$28,INPUTS!$B$29))))</f>
        <v>4663458.60999475</v>
      </c>
      <c r="R51" s="89" t="n">
        <f aca="true">IF(R$5=0,Q51,MAX(0,(Q51-R$4)*(1+NORMINV(RAND(),INPUTS!$B$28,INPUTS!$B$29))))</f>
        <v>5880089.88929248</v>
      </c>
      <c r="S51" s="89" t="n">
        <f aca="true">IF(S$5=0,R51,MAX(0,(R51-S$4)*(1+NORMINV(RAND(),INPUTS!$B$28,INPUTS!$B$29))))</f>
        <v>7383148.90196134</v>
      </c>
      <c r="T51" s="89" t="n">
        <f aca="true">IF(T$5=0,S51,MAX(0,(S51-T$4)*(1+NORMINV(RAND(),INPUTS!$B$28,INPUTS!$B$29))))</f>
        <v>6953929.19673504</v>
      </c>
      <c r="U51" s="89" t="n">
        <f aca="true">IF(U$5=0,T51,MAX(0,(T51-U$4)*(1+NORMINV(RAND(),INPUTS!$B$28,INPUTS!$B$29))))</f>
        <v>7312163.36879859</v>
      </c>
      <c r="V51" s="89" t="n">
        <f aca="true">IF(V$5=0,U51,MAX(0,(U51-V$4)*(1+NORMINV(RAND(),INPUTS!$B$28,INPUTS!$B$29))))</f>
        <v>8521852.01080297</v>
      </c>
      <c r="W51" s="89" t="n">
        <f aca="true">IF(W$5=0,V51,MAX(0,(V51-W$4)*(1+NORMINV(RAND(),INPUTS!$B$28,INPUTS!$B$29))))</f>
        <v>8587681.79816149</v>
      </c>
      <c r="X51" s="89" t="n">
        <f aca="true">IF(X$5=0,W51,MAX(0,(W51-X$4)*(1+NORMINV(RAND(),INPUTS!$B$28,INPUTS!$B$29))))</f>
        <v>11106209.145724</v>
      </c>
      <c r="Y51" s="89" t="n">
        <f aca="true">IF(Y$5=0,X51,MAX(0,(X51-Y$4)*(1+NORMINV(RAND(),INPUTS!$B$28,INPUTS!$B$29))))</f>
        <v>12264925.3006874</v>
      </c>
      <c r="Z51" s="89" t="n">
        <f aca="true">IF(Z$5=0,Y51,MAX(0,(Y51-Z$4)*(1+NORMINV(RAND(),INPUTS!$B$28,INPUTS!$B$29))))</f>
        <v>16609665.7494072</v>
      </c>
      <c r="AA51" s="89" t="n">
        <f aca="true">IF(AA$5=0,Z51,MAX(0,(Z51-AA$4)*(1+NORMINV(RAND(),INPUTS!$B$28,INPUTS!$B$29))))</f>
        <v>17189022.0687881</v>
      </c>
      <c r="AB51" s="89" t="n">
        <f aca="true">IF(AB$5=0,AA51,MAX(0,(AA51-AB$4)*(1+NORMINV(RAND(),INPUTS!$B$28,INPUTS!$B$29))))</f>
        <v>19812025.6264732</v>
      </c>
      <c r="AC51" s="89" t="n">
        <f aca="true">IF(AC$5=0,AB51,MAX(0,(AB51-AC$4)*(1+NORMINV(RAND(),INPUTS!$B$28,INPUTS!$B$29))))</f>
        <v>19618768.364275</v>
      </c>
      <c r="AD51" s="89" t="n">
        <f aca="true">IF(AD$5=0,AC51,MAX(0,(AC51-AD$4)*(1+NORMINV(RAND(),INPUTS!$B$28,INPUTS!$B$29))))</f>
        <v>20593768.771094</v>
      </c>
      <c r="AE51" s="89" t="n">
        <f aca="true">IF(AE$5=0,AD51,MAX(0,(AD51-AE$4)*(1+NORMINV(RAND(),INPUTS!$B$28,INPUTS!$B$29))))</f>
        <v>20683789.064254</v>
      </c>
      <c r="AF51" s="89" t="n">
        <f aca="true">IF(AF$5=0,AE51,MAX(0,(AE51-AF$4)*(1+NORMINV(RAND(),INPUTS!$B$28,INPUTS!$B$29))))</f>
        <v>20426346.4097665</v>
      </c>
      <c r="AG51" s="89" t="n">
        <f aca="true">IF(AG$5=0,AF51,MAX(0,(AF51-AG$4)*(1+NORMINV(RAND(),INPUTS!$B$28,INPUTS!$B$29))))</f>
        <v>18010006.8524347</v>
      </c>
      <c r="AH51" s="89" t="n">
        <f aca="true">IF(AH$5=0,AG51,MAX(0,(AG51-AH$4)*(1+NORMINV(RAND(),INPUTS!$B$28,INPUTS!$B$29))))</f>
        <v>14949465.5395001</v>
      </c>
      <c r="AI51" s="89" t="n">
        <f aca="true">IF(AI$5=0,AH51,MAX(0,(AH51-AI$4)*(1+NORMINV(RAND(),INPUTS!$B$28,INPUTS!$B$29))))</f>
        <v>14171443.9109642</v>
      </c>
      <c r="AJ51" s="89" t="n">
        <f aca="true">IF(AJ$5=0,AI51,MAX(0,(AI51-AJ$4)*(1+NORMINV(RAND(),INPUTS!$B$28,INPUTS!$B$29))))</f>
        <v>17274666.8826361</v>
      </c>
      <c r="AK51" s="89" t="n">
        <f aca="true">IF(AK$5=0,AJ51,MAX(0,(AJ51-AK$4)*(1+NORMINV(RAND(),INPUTS!$B$28,INPUTS!$B$29))))</f>
        <v>19386599.3270813</v>
      </c>
      <c r="AL51" s="89" t="n">
        <f aca="true">IF(AL$5=0,AK51,MAX(0,(AK51-AL$4)*(1+NORMINV(RAND(),INPUTS!$B$28,INPUTS!$B$29))))</f>
        <v>16453419.7961844</v>
      </c>
      <c r="AM51" s="89" t="n">
        <f aca="true">IF(AM$5=0,AL51,MAX(0,(AL51-AM$4)*(1+NORMINV(RAND(),INPUTS!$B$28,INPUTS!$B$29))))</f>
        <v>16453419.7961844</v>
      </c>
      <c r="AN51" s="89" t="n">
        <f aca="true">IF(AN$5=0,AM51,MAX(0,(AM51-AN$4)*(1+NORMINV(RAND(),INPUTS!$B$28,INPUTS!$B$29))))</f>
        <v>16453419.7961844</v>
      </c>
      <c r="AO51" s="89" t="n">
        <f aca="true">IF(AO$5=0,AN51,MAX(0,(AN51-AO$4)*(1+NORMINV(RAND(),INPUTS!$B$28,INPUTS!$B$29))))</f>
        <v>16453419.7961844</v>
      </c>
      <c r="AP51" s="89" t="n">
        <f aca="true">IF(AP$5=0,AO51,MAX(0,(AO51-AP$4)*(1+NORMINV(RAND(),INPUTS!$B$28,INPUTS!$B$29))))</f>
        <v>16453419.7961844</v>
      </c>
      <c r="AQ51" s="89" t="n">
        <f aca="true">IF(AQ$5=0,AP51,MAX(0,(AP51-AQ$4)*(1+NORMINV(RAND(),INPUTS!$B$28,INPUTS!$B$29))))</f>
        <v>16453419.7961844</v>
      </c>
      <c r="AR51" s="89" t="n">
        <f aca="true">IF(AR$5=0,AQ51,MAX(0,(AQ51-AR$4)*(1+NORMINV(RAND(),INPUTS!$B$28,INPUTS!$B$29))))</f>
        <v>16453419.7961844</v>
      </c>
      <c r="AS51" s="89" t="n">
        <f aca="true">IF(AS$5=0,AR51,MAX(0,(AR51-AS$4)*(1+NORMINV(RAND(),INPUTS!$B$28,INPUTS!$B$29))))</f>
        <v>16453419.7961844</v>
      </c>
      <c r="AT51" s="89" t="n">
        <f aca="true">IF(AT$5=0,AS51,MAX(0,(AS51-AT$4)*(1+NORMINV(RAND(),INPUTS!$B$28,INPUTS!$B$29))))</f>
        <v>16453419.7961844</v>
      </c>
      <c r="AU51" s="89" t="n">
        <f aca="true">IF(AU$5=0,AT51,MAX(0,(AT51-AU$4)*(1+NORMINV(RAND(),INPUTS!$B$28,INPUTS!$B$29))))</f>
        <v>16453419.7961844</v>
      </c>
      <c r="AV51" s="89" t="n">
        <f aca="true">IF(AV$5=0,AU51,MAX(0,(AU51-AV$4)*(1+NORMINV(RAND(),INPUTS!$B$28,INPUTS!$B$29))))</f>
        <v>16453419.7961844</v>
      </c>
      <c r="AW51" s="89" t="n">
        <f aca="true">IF(AW$5=0,AV51,MAX(0,(AV51-AW$4)*(1+NORMINV(RAND(),INPUTS!$B$28,INPUTS!$B$29))))</f>
        <v>16453419.7961844</v>
      </c>
      <c r="AX51" s="89" t="n">
        <f aca="true">IF(AX$5=0,AW51,MAX(0,(AW51-AX$4)*(1+NORMINV(RAND(),INPUTS!$B$28,INPUTS!$B$29))))</f>
        <v>16453419.7961844</v>
      </c>
      <c r="AY51" s="89" t="n">
        <f aca="true">IF(AY$5=0,AX51,MAX(0,(AX51-AY$4)*(1+NORMINV(RAND(),INPUTS!$B$28,INPUTS!$B$29))))</f>
        <v>16453419.7961844</v>
      </c>
      <c r="AZ51" s="89" t="n">
        <f aca="true">IF(AZ$5=0,AY51,MAX(0,(AY51-AZ$4)*(1+NORMINV(RAND(),INPUTS!$B$28,INPUTS!$B$29))))</f>
        <v>16453419.7961844</v>
      </c>
      <c r="BA51" s="89" t="n">
        <f aca="true">IF(BA$5=0,AZ51,MAX(0,(AZ51-BA$4)*(1+NORMINV(RAND(),INPUTS!$B$28,INPUTS!$B$29))))</f>
        <v>16453419.7961844</v>
      </c>
      <c r="BB51" s="89" t="n">
        <f aca="true">IF(BB$5=0,BA51,MAX(0,(BA51-BB$4)*(1+NORMINV(RAND(),INPUTS!$B$28,INPUTS!$B$29))))</f>
        <v>16453419.7961844</v>
      </c>
      <c r="BC51" s="89" t="n">
        <f aca="true">IF(BC$5=0,BB51,MAX(0,(BB51-BC$4)*(1+NORMINV(RAND(),INPUTS!$B$28,INPUTS!$B$29))))</f>
        <v>16453419.7961844</v>
      </c>
      <c r="BD51" s="89" t="n">
        <f aca="true">IF(BD$5=0,BC51,MAX(0,(BC51-BD$4)*(1+NORMINV(RAND(),INPUTS!$B$28,INPUTS!$B$29))))</f>
        <v>16453419.7961844</v>
      </c>
      <c r="BE51" s="89" t="n">
        <f aca="true">IF(BE$5=0,BD51,MAX(0,(BD51-BE$4)*(1+NORMINV(RAND(),INPUTS!$B$28,INPUTS!$B$29))))</f>
        <v>16453419.7961844</v>
      </c>
      <c r="BF51" s="89" t="n">
        <f aca="true">IF(BF$5=0,BE51,MAX(0,(BE51-BF$4)*(1+NORMINV(RAND(),INPUTS!$B$28,INPUTS!$B$29))))</f>
        <v>16453419.7961844</v>
      </c>
      <c r="BG51" s="89" t="n">
        <f aca="true">IF(BG$5=0,BF51,MAX(0,(BF51-BG$4)*(1+NORMINV(RAND(),INPUTS!$B$28,INPUTS!$B$29))))</f>
        <v>16453419.7961844</v>
      </c>
      <c r="BH51" s="89" t="n">
        <f aca="true">IF(BH$5=0,BG51,MAX(0,(BG51-BH$4)*(1+NORMINV(RAND(),INPUTS!$B$28,INPUTS!$B$29))))</f>
        <v>16453419.7961844</v>
      </c>
      <c r="BI51" s="89" t="n">
        <f aca="true">IF(BI$5=0,BH51,MAX(0,(BH51-BI$4)*(1+NORMINV(RAND(),INPUTS!$B$28,INPUTS!$B$29))))</f>
        <v>16453419.7961844</v>
      </c>
      <c r="BJ51" s="89" t="n">
        <f aca="true">IF(BJ$5=0,BI51,MAX(0,(BI51-BJ$4)*(1+NORMINV(RAND(),INPUTS!$B$28,INPUTS!$B$29))))</f>
        <v>16453419.7961844</v>
      </c>
    </row>
    <row r="52" customFormat="false" ht="15" hidden="false" customHeight="true" outlineLevel="0" collapsed="false">
      <c r="A52" s="87" t="n">
        <v>45</v>
      </c>
      <c r="B52" s="88" t="n">
        <f aca="false">LOOKUP(9.99E+307,C52:BJ52)</f>
        <v>2968032.93163029</v>
      </c>
      <c r="C52" s="89" t="n">
        <f aca="true">IF(C$5=0,INPUTS!$B$35,MAX(0,(INPUTS!$B$35-C$4)*(1+NORMINV(RAND(),INPUTS!$B$28,INPUTS!$B$29))))</f>
        <v>1489237.06459484</v>
      </c>
      <c r="D52" s="89" t="n">
        <f aca="true">IF(D$5=0,C52,MAX(0,(C52-D$4)*(1+NORMINV(RAND(),INPUTS!$B$28,INPUTS!$B$29))))</f>
        <v>1411884.99906528</v>
      </c>
      <c r="E52" s="89" t="n">
        <f aca="true">IF(E$5=0,D52,MAX(0,(D52-E$4)*(1+NORMINV(RAND(),INPUTS!$B$28,INPUTS!$B$29))))</f>
        <v>1901575.0100595</v>
      </c>
      <c r="F52" s="89" t="n">
        <f aca="true">IF(F$5=0,E52,MAX(0,(E52-F$4)*(1+NORMINV(RAND(),INPUTS!$B$28,INPUTS!$B$29))))</f>
        <v>1830128.17518684</v>
      </c>
      <c r="G52" s="89" t="n">
        <f aca="true">IF(G$5=0,F52,MAX(0,(F52-G$4)*(1+NORMINV(RAND(),INPUTS!$B$28,INPUTS!$B$29))))</f>
        <v>1645002.44000021</v>
      </c>
      <c r="H52" s="89" t="n">
        <f aca="true">IF(H$5=0,G52,MAX(0,(G52-H$4)*(1+NORMINV(RAND(),INPUTS!$B$28,INPUTS!$B$29))))</f>
        <v>1882777.82061249</v>
      </c>
      <c r="I52" s="89" t="n">
        <f aca="true">IF(I$5=0,H52,MAX(0,(H52-I$4)*(1+NORMINV(RAND(),INPUTS!$B$28,INPUTS!$B$29))))</f>
        <v>2310966.63199905</v>
      </c>
      <c r="J52" s="89" t="n">
        <f aca="true">IF(J$5=0,I52,MAX(0,(I52-J$4)*(1+NORMINV(RAND(),INPUTS!$B$28,INPUTS!$B$29))))</f>
        <v>2453992.71783939</v>
      </c>
      <c r="K52" s="89" t="n">
        <f aca="true">IF(K$5=0,J52,MAX(0,(J52-K$4)*(1+NORMINV(RAND(),INPUTS!$B$28,INPUTS!$B$29))))</f>
        <v>2256738.43481567</v>
      </c>
      <c r="L52" s="89" t="n">
        <f aca="true">IF(L$5=0,K52,MAX(0,(K52-L$4)*(1+NORMINV(RAND(),INPUTS!$B$28,INPUTS!$B$29))))</f>
        <v>1805859.6228584</v>
      </c>
      <c r="M52" s="89" t="n">
        <f aca="true">IF(M$5=0,L52,MAX(0,(L52-M$4)*(1+NORMINV(RAND(),INPUTS!$B$28,INPUTS!$B$29))))</f>
        <v>1456542.40538821</v>
      </c>
      <c r="N52" s="89" t="n">
        <f aca="true">IF(N$5=0,M52,MAX(0,(M52-N$4)*(1+NORMINV(RAND(),INPUTS!$B$28,INPUTS!$B$29))))</f>
        <v>1434609.68501672</v>
      </c>
      <c r="O52" s="89" t="n">
        <f aca="true">IF(O$5=0,N52,MAX(0,(N52-O$4)*(1+NORMINV(RAND(),INPUTS!$B$28,INPUTS!$B$29))))</f>
        <v>1715846.77416268</v>
      </c>
      <c r="P52" s="89" t="n">
        <f aca="true">IF(P$5=0,O52,MAX(0,(O52-P$4)*(1+NORMINV(RAND(),INPUTS!$B$28,INPUTS!$B$29))))</f>
        <v>2147930.13567254</v>
      </c>
      <c r="Q52" s="89" t="n">
        <f aca="true">IF(Q$5=0,P52,MAX(0,(P52-Q$4)*(1+NORMINV(RAND(),INPUTS!$B$28,INPUTS!$B$29))))</f>
        <v>2556589.6387674</v>
      </c>
      <c r="R52" s="89" t="n">
        <f aca="true">IF(R$5=0,Q52,MAX(0,(Q52-R$4)*(1+NORMINV(RAND(),INPUTS!$B$28,INPUTS!$B$29))))</f>
        <v>2923904.43952367</v>
      </c>
      <c r="S52" s="89" t="n">
        <f aca="true">IF(S$5=0,R52,MAX(0,(R52-S$4)*(1+NORMINV(RAND(),INPUTS!$B$28,INPUTS!$B$29))))</f>
        <v>3225119.5768392</v>
      </c>
      <c r="T52" s="89" t="n">
        <f aca="true">IF(T$5=0,S52,MAX(0,(S52-T$4)*(1+NORMINV(RAND(),INPUTS!$B$28,INPUTS!$B$29))))</f>
        <v>3265772.89304218</v>
      </c>
      <c r="U52" s="89" t="n">
        <f aca="true">IF(U$5=0,T52,MAX(0,(T52-U$4)*(1+NORMINV(RAND(),INPUTS!$B$28,INPUTS!$B$29))))</f>
        <v>3170511.93949912</v>
      </c>
      <c r="V52" s="89" t="n">
        <f aca="true">IF(V$5=0,U52,MAX(0,(U52-V$4)*(1+NORMINV(RAND(),INPUTS!$B$28,INPUTS!$B$29))))</f>
        <v>3006105.76874935</v>
      </c>
      <c r="W52" s="89" t="n">
        <f aca="true">IF(W$5=0,V52,MAX(0,(V52-W$4)*(1+NORMINV(RAND(),INPUTS!$B$28,INPUTS!$B$29))))</f>
        <v>3009813.56567705</v>
      </c>
      <c r="X52" s="89" t="n">
        <f aca="true">IF(X$5=0,W52,MAX(0,(W52-X$4)*(1+NORMINV(RAND(),INPUTS!$B$28,INPUTS!$B$29))))</f>
        <v>2943507.6816621</v>
      </c>
      <c r="Y52" s="89" t="n">
        <f aca="true">IF(Y$5=0,X52,MAX(0,(X52-Y$4)*(1+NORMINV(RAND(),INPUTS!$B$28,INPUTS!$B$29))))</f>
        <v>3087030.03948158</v>
      </c>
      <c r="Z52" s="89" t="n">
        <f aca="true">IF(Z$5=0,Y52,MAX(0,(Y52-Z$4)*(1+NORMINV(RAND(),INPUTS!$B$28,INPUTS!$B$29))))</f>
        <v>3435450.63897662</v>
      </c>
      <c r="AA52" s="89" t="n">
        <f aca="true">IF(AA$5=0,Z52,MAX(0,(Z52-AA$4)*(1+NORMINV(RAND(),INPUTS!$B$28,INPUTS!$B$29))))</f>
        <v>2814366.06480505</v>
      </c>
      <c r="AB52" s="89" t="n">
        <f aca="true">IF(AB$5=0,AA52,MAX(0,(AA52-AB$4)*(1+NORMINV(RAND(),INPUTS!$B$28,INPUTS!$B$29))))</f>
        <v>2422954.05735143</v>
      </c>
      <c r="AC52" s="89" t="n">
        <f aca="true">IF(AC$5=0,AB52,MAX(0,(AB52-AC$4)*(1+NORMINV(RAND(),INPUTS!$B$28,INPUTS!$B$29))))</f>
        <v>2732616.51040097</v>
      </c>
      <c r="AD52" s="89" t="n">
        <f aca="true">IF(AD$5=0,AC52,MAX(0,(AC52-AD$4)*(1+NORMINV(RAND(),INPUTS!$B$28,INPUTS!$B$29))))</f>
        <v>2735049.53734424</v>
      </c>
      <c r="AE52" s="89" t="n">
        <f aca="true">IF(AE$5=0,AD52,MAX(0,(AD52-AE$4)*(1+NORMINV(RAND(),INPUTS!$B$28,INPUTS!$B$29))))</f>
        <v>2944873.75930908</v>
      </c>
      <c r="AF52" s="89" t="n">
        <f aca="true">IF(AF$5=0,AE52,MAX(0,(AE52-AF$4)*(1+NORMINV(RAND(),INPUTS!$B$28,INPUTS!$B$29))))</f>
        <v>2694222.82700837</v>
      </c>
      <c r="AG52" s="89" t="n">
        <f aca="true">IF(AG$5=0,AF52,MAX(0,(AF52-AG$4)*(1+NORMINV(RAND(),INPUTS!$B$28,INPUTS!$B$29))))</f>
        <v>2504316.32451482</v>
      </c>
      <c r="AH52" s="89" t="n">
        <f aca="true">IF(AH$5=0,AG52,MAX(0,(AG52-AH$4)*(1+NORMINV(RAND(),INPUTS!$B$28,INPUTS!$B$29))))</f>
        <v>2644001.34369827</v>
      </c>
      <c r="AI52" s="89" t="n">
        <f aca="true">IF(AI$5=0,AH52,MAX(0,(AH52-AI$4)*(1+NORMINV(RAND(),INPUTS!$B$28,INPUTS!$B$29))))</f>
        <v>2711440.70017382</v>
      </c>
      <c r="AJ52" s="89" t="n">
        <f aca="true">IF(AJ$5=0,AI52,MAX(0,(AI52-AJ$4)*(1+NORMINV(RAND(),INPUTS!$B$28,INPUTS!$B$29))))</f>
        <v>2486274.60466112</v>
      </c>
      <c r="AK52" s="89" t="n">
        <f aca="true">IF(AK$5=0,AJ52,MAX(0,(AJ52-AK$4)*(1+NORMINV(RAND(),INPUTS!$B$28,INPUTS!$B$29))))</f>
        <v>3009257.12670371</v>
      </c>
      <c r="AL52" s="89" t="n">
        <f aca="true">IF(AL$5=0,AK52,MAX(0,(AK52-AL$4)*(1+NORMINV(RAND(),INPUTS!$B$28,INPUTS!$B$29))))</f>
        <v>2968032.93163029</v>
      </c>
      <c r="AM52" s="89" t="n">
        <f aca="true">IF(AM$5=0,AL52,MAX(0,(AL52-AM$4)*(1+NORMINV(RAND(),INPUTS!$B$28,INPUTS!$B$29))))</f>
        <v>2968032.93163029</v>
      </c>
      <c r="AN52" s="89" t="n">
        <f aca="true">IF(AN$5=0,AM52,MAX(0,(AM52-AN$4)*(1+NORMINV(RAND(),INPUTS!$B$28,INPUTS!$B$29))))</f>
        <v>2968032.93163029</v>
      </c>
      <c r="AO52" s="89" t="n">
        <f aca="true">IF(AO$5=0,AN52,MAX(0,(AN52-AO$4)*(1+NORMINV(RAND(),INPUTS!$B$28,INPUTS!$B$29))))</f>
        <v>2968032.93163029</v>
      </c>
      <c r="AP52" s="89" t="n">
        <f aca="true">IF(AP$5=0,AO52,MAX(0,(AO52-AP$4)*(1+NORMINV(RAND(),INPUTS!$B$28,INPUTS!$B$29))))</f>
        <v>2968032.93163029</v>
      </c>
      <c r="AQ52" s="89" t="n">
        <f aca="true">IF(AQ$5=0,AP52,MAX(0,(AP52-AQ$4)*(1+NORMINV(RAND(),INPUTS!$B$28,INPUTS!$B$29))))</f>
        <v>2968032.93163029</v>
      </c>
      <c r="AR52" s="89" t="n">
        <f aca="true">IF(AR$5=0,AQ52,MAX(0,(AQ52-AR$4)*(1+NORMINV(RAND(),INPUTS!$B$28,INPUTS!$B$29))))</f>
        <v>2968032.93163029</v>
      </c>
      <c r="AS52" s="89" t="n">
        <f aca="true">IF(AS$5=0,AR52,MAX(0,(AR52-AS$4)*(1+NORMINV(RAND(),INPUTS!$B$28,INPUTS!$B$29))))</f>
        <v>2968032.93163029</v>
      </c>
      <c r="AT52" s="89" t="n">
        <f aca="true">IF(AT$5=0,AS52,MAX(0,(AS52-AT$4)*(1+NORMINV(RAND(),INPUTS!$B$28,INPUTS!$B$29))))</f>
        <v>2968032.93163029</v>
      </c>
      <c r="AU52" s="89" t="n">
        <f aca="true">IF(AU$5=0,AT52,MAX(0,(AT52-AU$4)*(1+NORMINV(RAND(),INPUTS!$B$28,INPUTS!$B$29))))</f>
        <v>2968032.93163029</v>
      </c>
      <c r="AV52" s="89" t="n">
        <f aca="true">IF(AV$5=0,AU52,MAX(0,(AU52-AV$4)*(1+NORMINV(RAND(),INPUTS!$B$28,INPUTS!$B$29))))</f>
        <v>2968032.93163029</v>
      </c>
      <c r="AW52" s="89" t="n">
        <f aca="true">IF(AW$5=0,AV52,MAX(0,(AV52-AW$4)*(1+NORMINV(RAND(),INPUTS!$B$28,INPUTS!$B$29))))</f>
        <v>2968032.93163029</v>
      </c>
      <c r="AX52" s="89" t="n">
        <f aca="true">IF(AX$5=0,AW52,MAX(0,(AW52-AX$4)*(1+NORMINV(RAND(),INPUTS!$B$28,INPUTS!$B$29))))</f>
        <v>2968032.93163029</v>
      </c>
      <c r="AY52" s="89" t="n">
        <f aca="true">IF(AY$5=0,AX52,MAX(0,(AX52-AY$4)*(1+NORMINV(RAND(),INPUTS!$B$28,INPUTS!$B$29))))</f>
        <v>2968032.93163029</v>
      </c>
      <c r="AZ52" s="89" t="n">
        <f aca="true">IF(AZ$5=0,AY52,MAX(0,(AY52-AZ$4)*(1+NORMINV(RAND(),INPUTS!$B$28,INPUTS!$B$29))))</f>
        <v>2968032.93163029</v>
      </c>
      <c r="BA52" s="89" t="n">
        <f aca="true">IF(BA$5=0,AZ52,MAX(0,(AZ52-BA$4)*(1+NORMINV(RAND(),INPUTS!$B$28,INPUTS!$B$29))))</f>
        <v>2968032.93163029</v>
      </c>
      <c r="BB52" s="89" t="n">
        <f aca="true">IF(BB$5=0,BA52,MAX(0,(BA52-BB$4)*(1+NORMINV(RAND(),INPUTS!$B$28,INPUTS!$B$29))))</f>
        <v>2968032.93163029</v>
      </c>
      <c r="BC52" s="89" t="n">
        <f aca="true">IF(BC$5=0,BB52,MAX(0,(BB52-BC$4)*(1+NORMINV(RAND(),INPUTS!$B$28,INPUTS!$B$29))))</f>
        <v>2968032.93163029</v>
      </c>
      <c r="BD52" s="89" t="n">
        <f aca="true">IF(BD$5=0,BC52,MAX(0,(BC52-BD$4)*(1+NORMINV(RAND(),INPUTS!$B$28,INPUTS!$B$29))))</f>
        <v>2968032.93163029</v>
      </c>
      <c r="BE52" s="89" t="n">
        <f aca="true">IF(BE$5=0,BD52,MAX(0,(BD52-BE$4)*(1+NORMINV(RAND(),INPUTS!$B$28,INPUTS!$B$29))))</f>
        <v>2968032.93163029</v>
      </c>
      <c r="BF52" s="89" t="n">
        <f aca="true">IF(BF$5=0,BE52,MAX(0,(BE52-BF$4)*(1+NORMINV(RAND(),INPUTS!$B$28,INPUTS!$B$29))))</f>
        <v>2968032.93163029</v>
      </c>
      <c r="BG52" s="89" t="n">
        <f aca="true">IF(BG$5=0,BF52,MAX(0,(BF52-BG$4)*(1+NORMINV(RAND(),INPUTS!$B$28,INPUTS!$B$29))))</f>
        <v>2968032.93163029</v>
      </c>
      <c r="BH52" s="89" t="n">
        <f aca="true">IF(BH$5=0,BG52,MAX(0,(BG52-BH$4)*(1+NORMINV(RAND(),INPUTS!$B$28,INPUTS!$B$29))))</f>
        <v>2968032.93163029</v>
      </c>
      <c r="BI52" s="89" t="n">
        <f aca="true">IF(BI$5=0,BH52,MAX(0,(BH52-BI$4)*(1+NORMINV(RAND(),INPUTS!$B$28,INPUTS!$B$29))))</f>
        <v>2968032.93163029</v>
      </c>
      <c r="BJ52" s="89" t="n">
        <f aca="true">IF(BJ$5=0,BI52,MAX(0,(BI52-BJ$4)*(1+NORMINV(RAND(),INPUTS!$B$28,INPUTS!$B$29))))</f>
        <v>2968032.93163029</v>
      </c>
    </row>
    <row r="53" customFormat="false" ht="15" hidden="false" customHeight="true" outlineLevel="0" collapsed="false">
      <c r="A53" s="87" t="n">
        <v>46</v>
      </c>
      <c r="B53" s="88" t="n">
        <f aca="false">LOOKUP(9.99E+307,C53:BJ53)</f>
        <v>3927.44513720073</v>
      </c>
      <c r="C53" s="89" t="n">
        <f aca="true">IF(C$5=0,INPUTS!$B$35,MAX(0,(INPUTS!$B$35-C$4)*(1+NORMINV(RAND(),INPUTS!$B$28,INPUTS!$B$29))))</f>
        <v>1623991.38140525</v>
      </c>
      <c r="D53" s="89" t="n">
        <f aca="true">IF(D$5=0,C53,MAX(0,(C53-D$4)*(1+NORMINV(RAND(),INPUTS!$B$28,INPUTS!$B$29))))</f>
        <v>1182269.08457465</v>
      </c>
      <c r="E53" s="89" t="n">
        <f aca="true">IF(E$5=0,D53,MAX(0,(D53-E$4)*(1+NORMINV(RAND(),INPUTS!$B$28,INPUTS!$B$29))))</f>
        <v>1224719.23922328</v>
      </c>
      <c r="F53" s="89" t="n">
        <f aca="true">IF(F$5=0,E53,MAX(0,(E53-F$4)*(1+NORMINV(RAND(),INPUTS!$B$28,INPUTS!$B$29))))</f>
        <v>1112318.30296242</v>
      </c>
      <c r="G53" s="89" t="n">
        <f aca="true">IF(G$5=0,F53,MAX(0,(F53-G$4)*(1+NORMINV(RAND(),INPUTS!$B$28,INPUTS!$B$29))))</f>
        <v>1145209.97018257</v>
      </c>
      <c r="H53" s="89" t="n">
        <f aca="true">IF(H$5=0,G53,MAX(0,(G53-H$4)*(1+NORMINV(RAND(),INPUTS!$B$28,INPUTS!$B$29))))</f>
        <v>1181778.00104592</v>
      </c>
      <c r="I53" s="89" t="n">
        <f aca="true">IF(I$5=0,H53,MAX(0,(H53-I$4)*(1+NORMINV(RAND(),INPUTS!$B$28,INPUTS!$B$29))))</f>
        <v>1400479.32239529</v>
      </c>
      <c r="J53" s="89" t="n">
        <f aca="true">IF(J$5=0,I53,MAX(0,(I53-J$4)*(1+NORMINV(RAND(),INPUTS!$B$28,INPUTS!$B$29))))</f>
        <v>1151655.44210721</v>
      </c>
      <c r="K53" s="89" t="n">
        <f aca="true">IF(K$5=0,J53,MAX(0,(J53-K$4)*(1+NORMINV(RAND(),INPUTS!$B$28,INPUTS!$B$29))))</f>
        <v>1259863.11521296</v>
      </c>
      <c r="L53" s="89" t="n">
        <f aca="true">IF(L$5=0,K53,MAX(0,(K53-L$4)*(1+NORMINV(RAND(),INPUTS!$B$28,INPUTS!$B$29))))</f>
        <v>1250847.33072204</v>
      </c>
      <c r="M53" s="89" t="n">
        <f aca="true">IF(M$5=0,L53,MAX(0,(L53-M$4)*(1+NORMINV(RAND(),INPUTS!$B$28,INPUTS!$B$29))))</f>
        <v>1387903.44471992</v>
      </c>
      <c r="N53" s="89" t="n">
        <f aca="true">IF(N$5=0,M53,MAX(0,(M53-N$4)*(1+NORMINV(RAND(),INPUTS!$B$28,INPUTS!$B$29))))</f>
        <v>1403300.80665542</v>
      </c>
      <c r="O53" s="89" t="n">
        <f aca="true">IF(O$5=0,N53,MAX(0,(N53-O$4)*(1+NORMINV(RAND(),INPUTS!$B$28,INPUTS!$B$29))))</f>
        <v>1353330.62873937</v>
      </c>
      <c r="P53" s="89" t="n">
        <f aca="true">IF(P$5=0,O53,MAX(0,(O53-P$4)*(1+NORMINV(RAND(),INPUTS!$B$28,INPUTS!$B$29))))</f>
        <v>1247845.08957136</v>
      </c>
      <c r="Q53" s="89" t="n">
        <f aca="true">IF(Q$5=0,P53,MAX(0,(P53-Q$4)*(1+NORMINV(RAND(),INPUTS!$B$28,INPUTS!$B$29))))</f>
        <v>1257454.33452327</v>
      </c>
      <c r="R53" s="89" t="n">
        <f aca="true">IF(R$5=0,Q53,MAX(0,(Q53-R$4)*(1+NORMINV(RAND(),INPUTS!$B$28,INPUTS!$B$29))))</f>
        <v>1186108.79025888</v>
      </c>
      <c r="S53" s="89" t="n">
        <f aca="true">IF(S$5=0,R53,MAX(0,(R53-S$4)*(1+NORMINV(RAND(),INPUTS!$B$28,INPUTS!$B$29))))</f>
        <v>947005.367903627</v>
      </c>
      <c r="T53" s="89" t="n">
        <f aca="true">IF(T$5=0,S53,MAX(0,(S53-T$4)*(1+NORMINV(RAND(),INPUTS!$B$28,INPUTS!$B$29))))</f>
        <v>818126.952128235</v>
      </c>
      <c r="U53" s="89" t="n">
        <f aca="true">IF(U$5=0,T53,MAX(0,(T53-U$4)*(1+NORMINV(RAND(),INPUTS!$B$28,INPUTS!$B$29))))</f>
        <v>823257.70482187</v>
      </c>
      <c r="V53" s="89" t="n">
        <f aca="true">IF(V$5=0,U53,MAX(0,(U53-V$4)*(1+NORMINV(RAND(),INPUTS!$B$28,INPUTS!$B$29))))</f>
        <v>860223.155629592</v>
      </c>
      <c r="W53" s="89" t="n">
        <f aca="true">IF(W$5=0,V53,MAX(0,(V53-W$4)*(1+NORMINV(RAND(),INPUTS!$B$28,INPUTS!$B$29))))</f>
        <v>818624.882979154</v>
      </c>
      <c r="X53" s="89" t="n">
        <f aca="true">IF(X$5=0,W53,MAX(0,(W53-X$4)*(1+NORMINV(RAND(),INPUTS!$B$28,INPUTS!$B$29))))</f>
        <v>633970.06743793</v>
      </c>
      <c r="Y53" s="89" t="n">
        <f aca="true">IF(Y$5=0,X53,MAX(0,(X53-Y$4)*(1+NORMINV(RAND(),INPUTS!$B$28,INPUTS!$B$29))))</f>
        <v>605238.937337308</v>
      </c>
      <c r="Z53" s="89" t="n">
        <f aca="true">IF(Z$5=0,Y53,MAX(0,(Y53-Z$4)*(1+NORMINV(RAND(),INPUTS!$B$28,INPUTS!$B$29))))</f>
        <v>536717.368977882</v>
      </c>
      <c r="AA53" s="89" t="n">
        <f aca="true">IF(AA$5=0,Z53,MAX(0,(Z53-AA$4)*(1+NORMINV(RAND(),INPUTS!$B$28,INPUTS!$B$29))))</f>
        <v>461406.933805364</v>
      </c>
      <c r="AB53" s="89" t="n">
        <f aca="true">IF(AB$5=0,AA53,MAX(0,(AA53-AB$4)*(1+NORMINV(RAND(),INPUTS!$B$28,INPUTS!$B$29))))</f>
        <v>451447.15085318</v>
      </c>
      <c r="AC53" s="89" t="n">
        <f aca="true">IF(AC$5=0,AB53,MAX(0,(AB53-AC$4)*(1+NORMINV(RAND(),INPUTS!$B$28,INPUTS!$B$29))))</f>
        <v>447448.811621923</v>
      </c>
      <c r="AD53" s="89" t="n">
        <f aca="true">IF(AD$5=0,AC53,MAX(0,(AC53-AD$4)*(1+NORMINV(RAND(),INPUTS!$B$28,INPUTS!$B$29))))</f>
        <v>393219.035159127</v>
      </c>
      <c r="AE53" s="89" t="n">
        <f aca="true">IF(AE$5=0,AD53,MAX(0,(AD53-AE$4)*(1+NORMINV(RAND(),INPUTS!$B$28,INPUTS!$B$29))))</f>
        <v>375220.846674373</v>
      </c>
      <c r="AF53" s="89" t="n">
        <f aca="true">IF(AF$5=0,AE53,MAX(0,(AE53-AF$4)*(1+NORMINV(RAND(),INPUTS!$B$28,INPUTS!$B$29))))</f>
        <v>374538.68097331</v>
      </c>
      <c r="AG53" s="89" t="n">
        <f aca="true">IF(AG$5=0,AF53,MAX(0,(AF53-AG$4)*(1+NORMINV(RAND(),INPUTS!$B$28,INPUTS!$B$29))))</f>
        <v>324782.013438612</v>
      </c>
      <c r="AH53" s="89" t="n">
        <f aca="true">IF(AH$5=0,AG53,MAX(0,(AG53-AH$4)*(1+NORMINV(RAND(),INPUTS!$B$28,INPUTS!$B$29))))</f>
        <v>285000.063762386</v>
      </c>
      <c r="AI53" s="89" t="n">
        <f aca="true">IF(AI$5=0,AH53,MAX(0,(AH53-AI$4)*(1+NORMINV(RAND(),INPUTS!$B$28,INPUTS!$B$29))))</f>
        <v>183823.007792938</v>
      </c>
      <c r="AJ53" s="89" t="n">
        <f aca="true">IF(AJ$5=0,AI53,MAX(0,(AI53-AJ$4)*(1+NORMINV(RAND(),INPUTS!$B$28,INPUTS!$B$29))))</f>
        <v>143356.780778312</v>
      </c>
      <c r="AK53" s="89" t="n">
        <f aca="true">IF(AK$5=0,AJ53,MAX(0,(AJ53-AK$4)*(1+NORMINV(RAND(),INPUTS!$B$28,INPUTS!$B$29))))</f>
        <v>82956.9389963635</v>
      </c>
      <c r="AL53" s="89" t="n">
        <f aca="true">IF(AL$5=0,AK53,MAX(0,(AK53-AL$4)*(1+NORMINV(RAND(),INPUTS!$B$28,INPUTS!$B$29))))</f>
        <v>3927.44513720073</v>
      </c>
      <c r="AM53" s="89" t="n">
        <f aca="true">IF(AM$5=0,AL53,MAX(0,(AL53-AM$4)*(1+NORMINV(RAND(),INPUTS!$B$28,INPUTS!$B$29))))</f>
        <v>3927.44513720073</v>
      </c>
      <c r="AN53" s="89" t="n">
        <f aca="true">IF(AN$5=0,AM53,MAX(0,(AM53-AN$4)*(1+NORMINV(RAND(),INPUTS!$B$28,INPUTS!$B$29))))</f>
        <v>3927.44513720073</v>
      </c>
      <c r="AO53" s="89" t="n">
        <f aca="true">IF(AO$5=0,AN53,MAX(0,(AN53-AO$4)*(1+NORMINV(RAND(),INPUTS!$B$28,INPUTS!$B$29))))</f>
        <v>3927.44513720073</v>
      </c>
      <c r="AP53" s="89" t="n">
        <f aca="true">IF(AP$5=0,AO53,MAX(0,(AO53-AP$4)*(1+NORMINV(RAND(),INPUTS!$B$28,INPUTS!$B$29))))</f>
        <v>3927.44513720073</v>
      </c>
      <c r="AQ53" s="89" t="n">
        <f aca="true">IF(AQ$5=0,AP53,MAX(0,(AP53-AQ$4)*(1+NORMINV(RAND(),INPUTS!$B$28,INPUTS!$B$29))))</f>
        <v>3927.44513720073</v>
      </c>
      <c r="AR53" s="89" t="n">
        <f aca="true">IF(AR$5=0,AQ53,MAX(0,(AQ53-AR$4)*(1+NORMINV(RAND(),INPUTS!$B$28,INPUTS!$B$29))))</f>
        <v>3927.44513720073</v>
      </c>
      <c r="AS53" s="89" t="n">
        <f aca="true">IF(AS$5=0,AR53,MAX(0,(AR53-AS$4)*(1+NORMINV(RAND(),INPUTS!$B$28,INPUTS!$B$29))))</f>
        <v>3927.44513720073</v>
      </c>
      <c r="AT53" s="89" t="n">
        <f aca="true">IF(AT$5=0,AS53,MAX(0,(AS53-AT$4)*(1+NORMINV(RAND(),INPUTS!$B$28,INPUTS!$B$29))))</f>
        <v>3927.44513720073</v>
      </c>
      <c r="AU53" s="89" t="n">
        <f aca="true">IF(AU$5=0,AT53,MAX(0,(AT53-AU$4)*(1+NORMINV(RAND(),INPUTS!$B$28,INPUTS!$B$29))))</f>
        <v>3927.44513720073</v>
      </c>
      <c r="AV53" s="89" t="n">
        <f aca="true">IF(AV$5=0,AU53,MAX(0,(AU53-AV$4)*(1+NORMINV(RAND(),INPUTS!$B$28,INPUTS!$B$29))))</f>
        <v>3927.44513720073</v>
      </c>
      <c r="AW53" s="89" t="n">
        <f aca="true">IF(AW$5=0,AV53,MAX(0,(AV53-AW$4)*(1+NORMINV(RAND(),INPUTS!$B$28,INPUTS!$B$29))))</f>
        <v>3927.44513720073</v>
      </c>
      <c r="AX53" s="89" t="n">
        <f aca="true">IF(AX$5=0,AW53,MAX(0,(AW53-AX$4)*(1+NORMINV(RAND(),INPUTS!$B$28,INPUTS!$B$29))))</f>
        <v>3927.44513720073</v>
      </c>
      <c r="AY53" s="89" t="n">
        <f aca="true">IF(AY$5=0,AX53,MAX(0,(AX53-AY$4)*(1+NORMINV(RAND(),INPUTS!$B$28,INPUTS!$B$29))))</f>
        <v>3927.44513720073</v>
      </c>
      <c r="AZ53" s="89" t="n">
        <f aca="true">IF(AZ$5=0,AY53,MAX(0,(AY53-AZ$4)*(1+NORMINV(RAND(),INPUTS!$B$28,INPUTS!$B$29))))</f>
        <v>3927.44513720073</v>
      </c>
      <c r="BA53" s="89" t="n">
        <f aca="true">IF(BA$5=0,AZ53,MAX(0,(AZ53-BA$4)*(1+NORMINV(RAND(),INPUTS!$B$28,INPUTS!$B$29))))</f>
        <v>3927.44513720073</v>
      </c>
      <c r="BB53" s="89" t="n">
        <f aca="true">IF(BB$5=0,BA53,MAX(0,(BA53-BB$4)*(1+NORMINV(RAND(),INPUTS!$B$28,INPUTS!$B$29))))</f>
        <v>3927.44513720073</v>
      </c>
      <c r="BC53" s="89" t="n">
        <f aca="true">IF(BC$5=0,BB53,MAX(0,(BB53-BC$4)*(1+NORMINV(RAND(),INPUTS!$B$28,INPUTS!$B$29))))</f>
        <v>3927.44513720073</v>
      </c>
      <c r="BD53" s="89" t="n">
        <f aca="true">IF(BD$5=0,BC53,MAX(0,(BC53-BD$4)*(1+NORMINV(RAND(),INPUTS!$B$28,INPUTS!$B$29))))</f>
        <v>3927.44513720073</v>
      </c>
      <c r="BE53" s="89" t="n">
        <f aca="true">IF(BE$5=0,BD53,MAX(0,(BD53-BE$4)*(1+NORMINV(RAND(),INPUTS!$B$28,INPUTS!$B$29))))</f>
        <v>3927.44513720073</v>
      </c>
      <c r="BF53" s="89" t="n">
        <f aca="true">IF(BF$5=0,BE53,MAX(0,(BE53-BF$4)*(1+NORMINV(RAND(),INPUTS!$B$28,INPUTS!$B$29))))</f>
        <v>3927.44513720073</v>
      </c>
      <c r="BG53" s="89" t="n">
        <f aca="true">IF(BG$5=0,BF53,MAX(0,(BF53-BG$4)*(1+NORMINV(RAND(),INPUTS!$B$28,INPUTS!$B$29))))</f>
        <v>3927.44513720073</v>
      </c>
      <c r="BH53" s="89" t="n">
        <f aca="true">IF(BH$5=0,BG53,MAX(0,(BG53-BH$4)*(1+NORMINV(RAND(),INPUTS!$B$28,INPUTS!$B$29))))</f>
        <v>3927.44513720073</v>
      </c>
      <c r="BI53" s="89" t="n">
        <f aca="true">IF(BI$5=0,BH53,MAX(0,(BH53-BI$4)*(1+NORMINV(RAND(),INPUTS!$B$28,INPUTS!$B$29))))</f>
        <v>3927.44513720073</v>
      </c>
      <c r="BJ53" s="89" t="n">
        <f aca="true">IF(BJ$5=0,BI53,MAX(0,(BI53-BJ$4)*(1+NORMINV(RAND(),INPUTS!$B$28,INPUTS!$B$29))))</f>
        <v>3927.44513720073</v>
      </c>
    </row>
    <row r="54" customFormat="false" ht="15" hidden="false" customHeight="true" outlineLevel="0" collapsed="false">
      <c r="A54" s="87" t="n">
        <v>47</v>
      </c>
      <c r="B54" s="88" t="n">
        <f aca="false">LOOKUP(9.99E+307,C54:BJ54)</f>
        <v>0</v>
      </c>
      <c r="C54" s="89" t="n">
        <f aca="true">IF(C$5=0,INPUTS!$B$35,MAX(0,(INPUTS!$B$35-C$4)*(1+NORMINV(RAND(),INPUTS!$B$28,INPUTS!$B$29))))</f>
        <v>1228664.84112724</v>
      </c>
      <c r="D54" s="89" t="n">
        <f aca="true">IF(D$5=0,C54,MAX(0,(C54-D$4)*(1+NORMINV(RAND(),INPUTS!$B$28,INPUTS!$B$29))))</f>
        <v>1370784.36779194</v>
      </c>
      <c r="E54" s="89" t="n">
        <f aca="true">IF(E$5=0,D54,MAX(0,(D54-E$4)*(1+NORMINV(RAND(),INPUTS!$B$28,INPUTS!$B$29))))</f>
        <v>1176726.73000293</v>
      </c>
      <c r="F54" s="89" t="n">
        <f aca="true">IF(F$5=0,E54,MAX(0,(E54-F$4)*(1+NORMINV(RAND(),INPUTS!$B$28,INPUTS!$B$29))))</f>
        <v>995478.533223015</v>
      </c>
      <c r="G54" s="89" t="n">
        <f aca="true">IF(G$5=0,F54,MAX(0,(F54-G$4)*(1+NORMINV(RAND(),INPUTS!$B$28,INPUTS!$B$29))))</f>
        <v>1247466.23845723</v>
      </c>
      <c r="H54" s="89" t="n">
        <f aca="true">IF(H$5=0,G54,MAX(0,(G54-H$4)*(1+NORMINV(RAND(),INPUTS!$B$28,INPUTS!$B$29))))</f>
        <v>867650.046851392</v>
      </c>
      <c r="I54" s="89" t="n">
        <f aca="true">IF(I$5=0,H54,MAX(0,(H54-I$4)*(1+NORMINV(RAND(),INPUTS!$B$28,INPUTS!$B$29))))</f>
        <v>759950.647678759</v>
      </c>
      <c r="J54" s="89" t="n">
        <f aca="true">IF(J$5=0,I54,MAX(0,(I54-J$4)*(1+NORMINV(RAND(),INPUTS!$B$28,INPUTS!$B$29))))</f>
        <v>672925.035248689</v>
      </c>
      <c r="K54" s="89" t="n">
        <f aca="true">IF(K$5=0,J54,MAX(0,(J54-K$4)*(1+NORMINV(RAND(),INPUTS!$B$28,INPUTS!$B$29))))</f>
        <v>519869.212977177</v>
      </c>
      <c r="L54" s="89" t="n">
        <f aca="true">IF(L$5=0,K54,MAX(0,(K54-L$4)*(1+NORMINV(RAND(),INPUTS!$B$28,INPUTS!$B$29))))</f>
        <v>473730.421184187</v>
      </c>
      <c r="M54" s="89" t="n">
        <f aca="true">IF(M$5=0,L54,MAX(0,(L54-M$4)*(1+NORMINV(RAND(),INPUTS!$B$28,INPUTS!$B$29))))</f>
        <v>439748.022168526</v>
      </c>
      <c r="N54" s="89" t="n">
        <f aca="true">IF(N$5=0,M54,MAX(0,(M54-N$4)*(1+NORMINV(RAND(),INPUTS!$B$28,INPUTS!$B$29))))</f>
        <v>444498.159580006</v>
      </c>
      <c r="O54" s="89" t="n">
        <f aca="true">IF(O$5=0,N54,MAX(0,(N54-O$4)*(1+NORMINV(RAND(),INPUTS!$B$28,INPUTS!$B$29))))</f>
        <v>471587.389387585</v>
      </c>
      <c r="P54" s="89" t="n">
        <f aca="true">IF(P$5=0,O54,MAX(0,(O54-P$4)*(1+NORMINV(RAND(),INPUTS!$B$28,INPUTS!$B$29))))</f>
        <v>339686.62492402</v>
      </c>
      <c r="Q54" s="89" t="n">
        <f aca="true">IF(Q$5=0,P54,MAX(0,(P54-Q$4)*(1+NORMINV(RAND(),INPUTS!$B$28,INPUTS!$B$29))))</f>
        <v>371663.276262667</v>
      </c>
      <c r="R54" s="89" t="n">
        <f aca="true">IF(R$5=0,Q54,MAX(0,(Q54-R$4)*(1+NORMINV(RAND(),INPUTS!$B$28,INPUTS!$B$29))))</f>
        <v>412322.305706575</v>
      </c>
      <c r="S54" s="89" t="n">
        <f aca="true">IF(S$5=0,R54,MAX(0,(R54-S$4)*(1+NORMINV(RAND(),INPUTS!$B$28,INPUTS!$B$29))))</f>
        <v>336971.968880493</v>
      </c>
      <c r="T54" s="89" t="n">
        <f aca="true">IF(T$5=0,S54,MAX(0,(S54-T$4)*(1+NORMINV(RAND(),INPUTS!$B$28,INPUTS!$B$29))))</f>
        <v>333598.582973298</v>
      </c>
      <c r="U54" s="89" t="n">
        <f aca="true">IF(U$5=0,T54,MAX(0,(T54-U$4)*(1+NORMINV(RAND(),INPUTS!$B$28,INPUTS!$B$29))))</f>
        <v>321076.93862377</v>
      </c>
      <c r="V54" s="89" t="n">
        <f aca="true">IF(V$5=0,U54,MAX(0,(U54-V$4)*(1+NORMINV(RAND(),INPUTS!$B$28,INPUTS!$B$29))))</f>
        <v>243660.813016656</v>
      </c>
      <c r="W54" s="89" t="n">
        <f aca="true">IF(W$5=0,V54,MAX(0,(V54-W$4)*(1+NORMINV(RAND(),INPUTS!$B$28,INPUTS!$B$29))))</f>
        <v>194693.000039628</v>
      </c>
      <c r="X54" s="89" t="n">
        <f aca="true">IF(X$5=0,W54,MAX(0,(W54-X$4)*(1+NORMINV(RAND(),INPUTS!$B$28,INPUTS!$B$29))))</f>
        <v>145545.669760467</v>
      </c>
      <c r="Y54" s="89" t="n">
        <f aca="true">IF(Y$5=0,X54,MAX(0,(X54-Y$4)*(1+NORMINV(RAND(),INPUTS!$B$28,INPUTS!$B$29))))</f>
        <v>86377.9598598065</v>
      </c>
      <c r="Z54" s="89" t="n">
        <f aca="true">IF(Z$5=0,Y54,MAX(0,(Y54-Z$4)*(1+NORMINV(RAND(),INPUTS!$B$28,INPUTS!$B$29))))</f>
        <v>30962.5236849947</v>
      </c>
      <c r="AA54" s="89" t="n">
        <f aca="true">IF(AA$5=0,Z54,MAX(0,(Z54-AA$4)*(1+NORMINV(RAND(),INPUTS!$B$28,INPUTS!$B$29))))</f>
        <v>0</v>
      </c>
      <c r="AB54" s="89" t="n">
        <f aca="true">IF(AB$5=0,AA54,MAX(0,(AA54-AB$4)*(1+NORMINV(RAND(),INPUTS!$B$28,INPUTS!$B$29))))</f>
        <v>0</v>
      </c>
      <c r="AC54" s="89" t="n">
        <f aca="true">IF(AC$5=0,AB54,MAX(0,(AB54-AC$4)*(1+NORMINV(RAND(),INPUTS!$B$28,INPUTS!$B$29))))</f>
        <v>0</v>
      </c>
      <c r="AD54" s="89" t="n">
        <f aca="true">IF(AD$5=0,AC54,MAX(0,(AC54-AD$4)*(1+NORMINV(RAND(),INPUTS!$B$28,INPUTS!$B$29))))</f>
        <v>0</v>
      </c>
      <c r="AE54" s="89" t="n">
        <f aca="true">IF(AE$5=0,AD54,MAX(0,(AD54-AE$4)*(1+NORMINV(RAND(),INPUTS!$B$28,INPUTS!$B$29))))</f>
        <v>0</v>
      </c>
      <c r="AF54" s="89" t="n">
        <f aca="true">IF(AF$5=0,AE54,MAX(0,(AE54-AF$4)*(1+NORMINV(RAND(),INPUTS!$B$28,INPUTS!$B$29))))</f>
        <v>0</v>
      </c>
      <c r="AG54" s="89" t="n">
        <f aca="true">IF(AG$5=0,AF54,MAX(0,(AF54-AG$4)*(1+NORMINV(RAND(),INPUTS!$B$28,INPUTS!$B$29))))</f>
        <v>0</v>
      </c>
      <c r="AH54" s="89" t="n">
        <f aca="true">IF(AH$5=0,AG54,MAX(0,(AG54-AH$4)*(1+NORMINV(RAND(),INPUTS!$B$28,INPUTS!$B$29))))</f>
        <v>0</v>
      </c>
      <c r="AI54" s="89" t="n">
        <f aca="true">IF(AI$5=0,AH54,MAX(0,(AH54-AI$4)*(1+NORMINV(RAND(),INPUTS!$B$28,INPUTS!$B$29))))</f>
        <v>0</v>
      </c>
      <c r="AJ54" s="89" t="n">
        <f aca="true">IF(AJ$5=0,AI54,MAX(0,(AI54-AJ$4)*(1+NORMINV(RAND(),INPUTS!$B$28,INPUTS!$B$29))))</f>
        <v>0</v>
      </c>
      <c r="AK54" s="89" t="n">
        <f aca="true">IF(AK$5=0,AJ54,MAX(0,(AJ54-AK$4)*(1+NORMINV(RAND(),INPUTS!$B$28,INPUTS!$B$29))))</f>
        <v>0</v>
      </c>
      <c r="AL54" s="89" t="n">
        <f aca="true">IF(AL$5=0,AK54,MAX(0,(AK54-AL$4)*(1+NORMINV(RAND(),INPUTS!$B$28,INPUTS!$B$29))))</f>
        <v>0</v>
      </c>
      <c r="AM54" s="89" t="n">
        <f aca="true">IF(AM$5=0,AL54,MAX(0,(AL54-AM$4)*(1+NORMINV(RAND(),INPUTS!$B$28,INPUTS!$B$29))))</f>
        <v>0</v>
      </c>
      <c r="AN54" s="89" t="n">
        <f aca="true">IF(AN$5=0,AM54,MAX(0,(AM54-AN$4)*(1+NORMINV(RAND(),INPUTS!$B$28,INPUTS!$B$29))))</f>
        <v>0</v>
      </c>
      <c r="AO54" s="89" t="n">
        <f aca="true">IF(AO$5=0,AN54,MAX(0,(AN54-AO$4)*(1+NORMINV(RAND(),INPUTS!$B$28,INPUTS!$B$29))))</f>
        <v>0</v>
      </c>
      <c r="AP54" s="89" t="n">
        <f aca="true">IF(AP$5=0,AO54,MAX(0,(AO54-AP$4)*(1+NORMINV(RAND(),INPUTS!$B$28,INPUTS!$B$29))))</f>
        <v>0</v>
      </c>
      <c r="AQ54" s="89" t="n">
        <f aca="true">IF(AQ$5=0,AP54,MAX(0,(AP54-AQ$4)*(1+NORMINV(RAND(),INPUTS!$B$28,INPUTS!$B$29))))</f>
        <v>0</v>
      </c>
      <c r="AR54" s="89" t="n">
        <f aca="true">IF(AR$5=0,AQ54,MAX(0,(AQ54-AR$4)*(1+NORMINV(RAND(),INPUTS!$B$28,INPUTS!$B$29))))</f>
        <v>0</v>
      </c>
      <c r="AS54" s="89" t="n">
        <f aca="true">IF(AS$5=0,AR54,MAX(0,(AR54-AS$4)*(1+NORMINV(RAND(),INPUTS!$B$28,INPUTS!$B$29))))</f>
        <v>0</v>
      </c>
      <c r="AT54" s="89" t="n">
        <f aca="true">IF(AT$5=0,AS54,MAX(0,(AS54-AT$4)*(1+NORMINV(RAND(),INPUTS!$B$28,INPUTS!$B$29))))</f>
        <v>0</v>
      </c>
      <c r="AU54" s="89" t="n">
        <f aca="true">IF(AU$5=0,AT54,MAX(0,(AT54-AU$4)*(1+NORMINV(RAND(),INPUTS!$B$28,INPUTS!$B$29))))</f>
        <v>0</v>
      </c>
      <c r="AV54" s="89" t="n">
        <f aca="true">IF(AV$5=0,AU54,MAX(0,(AU54-AV$4)*(1+NORMINV(RAND(),INPUTS!$B$28,INPUTS!$B$29))))</f>
        <v>0</v>
      </c>
      <c r="AW54" s="89" t="n">
        <f aca="true">IF(AW$5=0,AV54,MAX(0,(AV54-AW$4)*(1+NORMINV(RAND(),INPUTS!$B$28,INPUTS!$B$29))))</f>
        <v>0</v>
      </c>
      <c r="AX54" s="89" t="n">
        <f aca="true">IF(AX$5=0,AW54,MAX(0,(AW54-AX$4)*(1+NORMINV(RAND(),INPUTS!$B$28,INPUTS!$B$29))))</f>
        <v>0</v>
      </c>
      <c r="AY54" s="89" t="n">
        <f aca="true">IF(AY$5=0,AX54,MAX(0,(AX54-AY$4)*(1+NORMINV(RAND(),INPUTS!$B$28,INPUTS!$B$29))))</f>
        <v>0</v>
      </c>
      <c r="AZ54" s="89" t="n">
        <f aca="true">IF(AZ$5=0,AY54,MAX(0,(AY54-AZ$4)*(1+NORMINV(RAND(),INPUTS!$B$28,INPUTS!$B$29))))</f>
        <v>0</v>
      </c>
      <c r="BA54" s="89" t="n">
        <f aca="true">IF(BA$5=0,AZ54,MAX(0,(AZ54-BA$4)*(1+NORMINV(RAND(),INPUTS!$B$28,INPUTS!$B$29))))</f>
        <v>0</v>
      </c>
      <c r="BB54" s="89" t="n">
        <f aca="true">IF(BB$5=0,BA54,MAX(0,(BA54-BB$4)*(1+NORMINV(RAND(),INPUTS!$B$28,INPUTS!$B$29))))</f>
        <v>0</v>
      </c>
      <c r="BC54" s="89" t="n">
        <f aca="true">IF(BC$5=0,BB54,MAX(0,(BB54-BC$4)*(1+NORMINV(RAND(),INPUTS!$B$28,INPUTS!$B$29))))</f>
        <v>0</v>
      </c>
      <c r="BD54" s="89" t="n">
        <f aca="true">IF(BD$5=0,BC54,MAX(0,(BC54-BD$4)*(1+NORMINV(RAND(),INPUTS!$B$28,INPUTS!$B$29))))</f>
        <v>0</v>
      </c>
      <c r="BE54" s="89" t="n">
        <f aca="true">IF(BE$5=0,BD54,MAX(0,(BD54-BE$4)*(1+NORMINV(RAND(),INPUTS!$B$28,INPUTS!$B$29))))</f>
        <v>0</v>
      </c>
      <c r="BF54" s="89" t="n">
        <f aca="true">IF(BF$5=0,BE54,MAX(0,(BE54-BF$4)*(1+NORMINV(RAND(),INPUTS!$B$28,INPUTS!$B$29))))</f>
        <v>0</v>
      </c>
      <c r="BG54" s="89" t="n">
        <f aca="true">IF(BG$5=0,BF54,MAX(0,(BF54-BG$4)*(1+NORMINV(RAND(),INPUTS!$B$28,INPUTS!$B$29))))</f>
        <v>0</v>
      </c>
      <c r="BH54" s="89" t="n">
        <f aca="true">IF(BH$5=0,BG54,MAX(0,(BG54-BH$4)*(1+NORMINV(RAND(),INPUTS!$B$28,INPUTS!$B$29))))</f>
        <v>0</v>
      </c>
      <c r="BI54" s="89" t="n">
        <f aca="true">IF(BI$5=0,BH54,MAX(0,(BH54-BI$4)*(1+NORMINV(RAND(),INPUTS!$B$28,INPUTS!$B$29))))</f>
        <v>0</v>
      </c>
      <c r="BJ54" s="89" t="n">
        <f aca="true">IF(BJ$5=0,BI54,MAX(0,(BI54-BJ$4)*(1+NORMINV(RAND(),INPUTS!$B$28,INPUTS!$B$29))))</f>
        <v>0</v>
      </c>
    </row>
    <row r="55" customFormat="false" ht="15" hidden="false" customHeight="true" outlineLevel="0" collapsed="false">
      <c r="A55" s="87" t="n">
        <v>48</v>
      </c>
      <c r="B55" s="88" t="n">
        <f aca="false">LOOKUP(9.99E+307,C55:BJ55)</f>
        <v>9551452.00442158</v>
      </c>
      <c r="C55" s="89" t="n">
        <f aca="true">IF(C$5=0,INPUTS!$B$35,MAX(0,(INPUTS!$B$35-C$4)*(1+NORMINV(RAND(),INPUTS!$B$28,INPUTS!$B$29))))</f>
        <v>1737899.05215068</v>
      </c>
      <c r="D55" s="89" t="n">
        <f aca="true">IF(D$5=0,C55,MAX(0,(C55-D$4)*(1+NORMINV(RAND(),INPUTS!$B$28,INPUTS!$B$29))))</f>
        <v>1905790.40736519</v>
      </c>
      <c r="E55" s="89" t="n">
        <f aca="true">IF(E$5=0,D55,MAX(0,(D55-E$4)*(1+NORMINV(RAND(),INPUTS!$B$28,INPUTS!$B$29))))</f>
        <v>2119924.61882244</v>
      </c>
      <c r="F55" s="89" t="n">
        <f aca="true">IF(F$5=0,E55,MAX(0,(E55-F$4)*(1+NORMINV(RAND(),INPUTS!$B$28,INPUTS!$B$29))))</f>
        <v>2001880.44342969</v>
      </c>
      <c r="G55" s="89" t="n">
        <f aca="true">IF(G$5=0,F55,MAX(0,(F55-G$4)*(1+NORMINV(RAND(),INPUTS!$B$28,INPUTS!$B$29))))</f>
        <v>1968413.20914679</v>
      </c>
      <c r="H55" s="89" t="n">
        <f aca="true">IF(H$5=0,G55,MAX(0,(G55-H$4)*(1+NORMINV(RAND(),INPUTS!$B$28,INPUTS!$B$29))))</f>
        <v>2115417.42692209</v>
      </c>
      <c r="I55" s="89" t="n">
        <f aca="true">IF(I$5=0,H55,MAX(0,(H55-I$4)*(1+NORMINV(RAND(),INPUTS!$B$28,INPUTS!$B$29))))</f>
        <v>2141350.92584445</v>
      </c>
      <c r="J55" s="89" t="n">
        <f aca="true">IF(J$5=0,I55,MAX(0,(I55-J$4)*(1+NORMINV(RAND(),INPUTS!$B$28,INPUTS!$B$29))))</f>
        <v>2209629.96116579</v>
      </c>
      <c r="K55" s="89" t="n">
        <f aca="true">IF(K$5=0,J55,MAX(0,(J55-K$4)*(1+NORMINV(RAND(),INPUTS!$B$28,INPUTS!$B$29))))</f>
        <v>1969877.81381282</v>
      </c>
      <c r="L55" s="89" t="n">
        <f aca="true">IF(L$5=0,K55,MAX(0,(K55-L$4)*(1+NORMINV(RAND(),INPUTS!$B$28,INPUTS!$B$29))))</f>
        <v>2095373.56369245</v>
      </c>
      <c r="M55" s="89" t="n">
        <f aca="true">IF(M$5=0,L55,MAX(0,(L55-M$4)*(1+NORMINV(RAND(),INPUTS!$B$28,INPUTS!$B$29))))</f>
        <v>2224560.14354606</v>
      </c>
      <c r="N55" s="89" t="n">
        <f aca="true">IF(N$5=0,M55,MAX(0,(M55-N$4)*(1+NORMINV(RAND(),INPUTS!$B$28,INPUTS!$B$29))))</f>
        <v>2258268.21211496</v>
      </c>
      <c r="O55" s="89" t="n">
        <f aca="true">IF(O$5=0,N55,MAX(0,(N55-O$4)*(1+NORMINV(RAND(),INPUTS!$B$28,INPUTS!$B$29))))</f>
        <v>2132690.51091113</v>
      </c>
      <c r="P55" s="89" t="n">
        <f aca="true">IF(P$5=0,O55,MAX(0,(O55-P$4)*(1+NORMINV(RAND(),INPUTS!$B$28,INPUTS!$B$29))))</f>
        <v>2471221.45468116</v>
      </c>
      <c r="Q55" s="89" t="n">
        <f aca="true">IF(Q$5=0,P55,MAX(0,(P55-Q$4)*(1+NORMINV(RAND(),INPUTS!$B$28,INPUTS!$B$29))))</f>
        <v>2749257.47507428</v>
      </c>
      <c r="R55" s="89" t="n">
        <f aca="true">IF(R$5=0,Q55,MAX(0,(Q55-R$4)*(1+NORMINV(RAND(),INPUTS!$B$28,INPUTS!$B$29))))</f>
        <v>2937101.57639729</v>
      </c>
      <c r="S55" s="89" t="n">
        <f aca="true">IF(S$5=0,R55,MAX(0,(R55-S$4)*(1+NORMINV(RAND(),INPUTS!$B$28,INPUTS!$B$29))))</f>
        <v>3673301.04241545</v>
      </c>
      <c r="T55" s="89" t="n">
        <f aca="true">IF(T$5=0,S55,MAX(0,(S55-T$4)*(1+NORMINV(RAND(),INPUTS!$B$28,INPUTS!$B$29))))</f>
        <v>3514261.11634612</v>
      </c>
      <c r="U55" s="89" t="n">
        <f aca="true">IF(U$5=0,T55,MAX(0,(T55-U$4)*(1+NORMINV(RAND(),INPUTS!$B$28,INPUTS!$B$29))))</f>
        <v>3635720.9292533</v>
      </c>
      <c r="V55" s="89" t="n">
        <f aca="true">IF(V$5=0,U55,MAX(0,(U55-V$4)*(1+NORMINV(RAND(),INPUTS!$B$28,INPUTS!$B$29))))</f>
        <v>3768184.89487221</v>
      </c>
      <c r="W55" s="89" t="n">
        <f aca="true">IF(W$5=0,V55,MAX(0,(V55-W$4)*(1+NORMINV(RAND(),INPUTS!$B$28,INPUTS!$B$29))))</f>
        <v>3737550.51752213</v>
      </c>
      <c r="X55" s="89" t="n">
        <f aca="true">IF(X$5=0,W55,MAX(0,(W55-X$4)*(1+NORMINV(RAND(),INPUTS!$B$28,INPUTS!$B$29))))</f>
        <v>4662436.97411712</v>
      </c>
      <c r="Y55" s="89" t="n">
        <f aca="true">IF(Y$5=0,X55,MAX(0,(X55-Y$4)*(1+NORMINV(RAND(),INPUTS!$B$28,INPUTS!$B$29))))</f>
        <v>4183858.62028233</v>
      </c>
      <c r="Z55" s="89" t="n">
        <f aca="true">IF(Z$5=0,Y55,MAX(0,(Y55-Z$4)*(1+NORMINV(RAND(),INPUTS!$B$28,INPUTS!$B$29))))</f>
        <v>4474204.57927153</v>
      </c>
      <c r="AA55" s="89" t="n">
        <f aca="true">IF(AA$5=0,Z55,MAX(0,(Z55-AA$4)*(1+NORMINV(RAND(),INPUTS!$B$28,INPUTS!$B$29))))</f>
        <v>4851192.66631251</v>
      </c>
      <c r="AB55" s="89" t="n">
        <f aca="true">IF(AB$5=0,AA55,MAX(0,(AA55-AB$4)*(1+NORMINV(RAND(),INPUTS!$B$28,INPUTS!$B$29))))</f>
        <v>4325745.803854</v>
      </c>
      <c r="AC55" s="89" t="n">
        <f aca="true">IF(AC$5=0,AB55,MAX(0,(AB55-AC$4)*(1+NORMINV(RAND(),INPUTS!$B$28,INPUTS!$B$29))))</f>
        <v>4558891.11760285</v>
      </c>
      <c r="AD55" s="89" t="n">
        <f aca="true">IF(AD$5=0,AC55,MAX(0,(AC55-AD$4)*(1+NORMINV(RAND(),INPUTS!$B$28,INPUTS!$B$29))))</f>
        <v>5796379.82347608</v>
      </c>
      <c r="AE55" s="89" t="n">
        <f aca="true">IF(AE$5=0,AD55,MAX(0,(AD55-AE$4)*(1+NORMINV(RAND(),INPUTS!$B$28,INPUTS!$B$29))))</f>
        <v>6718458.43934379</v>
      </c>
      <c r="AF55" s="89" t="n">
        <f aca="true">IF(AF$5=0,AE55,MAX(0,(AE55-AF$4)*(1+NORMINV(RAND(),INPUTS!$B$28,INPUTS!$B$29))))</f>
        <v>7901173.72936642</v>
      </c>
      <c r="AG55" s="89" t="n">
        <f aca="true">IF(AG$5=0,AF55,MAX(0,(AF55-AG$4)*(1+NORMINV(RAND(),INPUTS!$B$28,INPUTS!$B$29))))</f>
        <v>8487986.17468417</v>
      </c>
      <c r="AH55" s="89" t="n">
        <f aca="true">IF(AH$5=0,AG55,MAX(0,(AG55-AH$4)*(1+NORMINV(RAND(),INPUTS!$B$28,INPUTS!$B$29))))</f>
        <v>8034763.49549736</v>
      </c>
      <c r="AI55" s="89" t="n">
        <f aca="true">IF(AI$5=0,AH55,MAX(0,(AH55-AI$4)*(1+NORMINV(RAND(),INPUTS!$B$28,INPUTS!$B$29))))</f>
        <v>7827310.58106075</v>
      </c>
      <c r="AJ55" s="89" t="n">
        <f aca="true">IF(AJ$5=0,AI55,MAX(0,(AI55-AJ$4)*(1+NORMINV(RAND(),INPUTS!$B$28,INPUTS!$B$29))))</f>
        <v>9075661.71714027</v>
      </c>
      <c r="AK55" s="89" t="n">
        <f aca="true">IF(AK$5=0,AJ55,MAX(0,(AJ55-AK$4)*(1+NORMINV(RAND(),INPUTS!$B$28,INPUTS!$B$29))))</f>
        <v>9374909.39423903</v>
      </c>
      <c r="AL55" s="89" t="n">
        <f aca="true">IF(AL$5=0,AK55,MAX(0,(AK55-AL$4)*(1+NORMINV(RAND(),INPUTS!$B$28,INPUTS!$B$29))))</f>
        <v>9551452.00442158</v>
      </c>
      <c r="AM55" s="89" t="n">
        <f aca="true">IF(AM$5=0,AL55,MAX(0,(AL55-AM$4)*(1+NORMINV(RAND(),INPUTS!$B$28,INPUTS!$B$29))))</f>
        <v>9551452.00442158</v>
      </c>
      <c r="AN55" s="89" t="n">
        <f aca="true">IF(AN$5=0,AM55,MAX(0,(AM55-AN$4)*(1+NORMINV(RAND(),INPUTS!$B$28,INPUTS!$B$29))))</f>
        <v>9551452.00442158</v>
      </c>
      <c r="AO55" s="89" t="n">
        <f aca="true">IF(AO$5=0,AN55,MAX(0,(AN55-AO$4)*(1+NORMINV(RAND(),INPUTS!$B$28,INPUTS!$B$29))))</f>
        <v>9551452.00442158</v>
      </c>
      <c r="AP55" s="89" t="n">
        <f aca="true">IF(AP$5=0,AO55,MAX(0,(AO55-AP$4)*(1+NORMINV(RAND(),INPUTS!$B$28,INPUTS!$B$29))))</f>
        <v>9551452.00442158</v>
      </c>
      <c r="AQ55" s="89" t="n">
        <f aca="true">IF(AQ$5=0,AP55,MAX(0,(AP55-AQ$4)*(1+NORMINV(RAND(),INPUTS!$B$28,INPUTS!$B$29))))</f>
        <v>9551452.00442158</v>
      </c>
      <c r="AR55" s="89" t="n">
        <f aca="true">IF(AR$5=0,AQ55,MAX(0,(AQ55-AR$4)*(1+NORMINV(RAND(),INPUTS!$B$28,INPUTS!$B$29))))</f>
        <v>9551452.00442158</v>
      </c>
      <c r="AS55" s="89" t="n">
        <f aca="true">IF(AS$5=0,AR55,MAX(0,(AR55-AS$4)*(1+NORMINV(RAND(),INPUTS!$B$28,INPUTS!$B$29))))</f>
        <v>9551452.00442158</v>
      </c>
      <c r="AT55" s="89" t="n">
        <f aca="true">IF(AT$5=0,AS55,MAX(0,(AS55-AT$4)*(1+NORMINV(RAND(),INPUTS!$B$28,INPUTS!$B$29))))</f>
        <v>9551452.00442158</v>
      </c>
      <c r="AU55" s="89" t="n">
        <f aca="true">IF(AU$5=0,AT55,MAX(0,(AT55-AU$4)*(1+NORMINV(RAND(),INPUTS!$B$28,INPUTS!$B$29))))</f>
        <v>9551452.00442158</v>
      </c>
      <c r="AV55" s="89" t="n">
        <f aca="true">IF(AV$5=0,AU55,MAX(0,(AU55-AV$4)*(1+NORMINV(RAND(),INPUTS!$B$28,INPUTS!$B$29))))</f>
        <v>9551452.00442158</v>
      </c>
      <c r="AW55" s="89" t="n">
        <f aca="true">IF(AW$5=0,AV55,MAX(0,(AV55-AW$4)*(1+NORMINV(RAND(),INPUTS!$B$28,INPUTS!$B$29))))</f>
        <v>9551452.00442158</v>
      </c>
      <c r="AX55" s="89" t="n">
        <f aca="true">IF(AX$5=0,AW55,MAX(0,(AW55-AX$4)*(1+NORMINV(RAND(),INPUTS!$B$28,INPUTS!$B$29))))</f>
        <v>9551452.00442158</v>
      </c>
      <c r="AY55" s="89" t="n">
        <f aca="true">IF(AY$5=0,AX55,MAX(0,(AX55-AY$4)*(1+NORMINV(RAND(),INPUTS!$B$28,INPUTS!$B$29))))</f>
        <v>9551452.00442158</v>
      </c>
      <c r="AZ55" s="89" t="n">
        <f aca="true">IF(AZ$5=0,AY55,MAX(0,(AY55-AZ$4)*(1+NORMINV(RAND(),INPUTS!$B$28,INPUTS!$B$29))))</f>
        <v>9551452.00442158</v>
      </c>
      <c r="BA55" s="89" t="n">
        <f aca="true">IF(BA$5=0,AZ55,MAX(0,(AZ55-BA$4)*(1+NORMINV(RAND(),INPUTS!$B$28,INPUTS!$B$29))))</f>
        <v>9551452.00442158</v>
      </c>
      <c r="BB55" s="89" t="n">
        <f aca="true">IF(BB$5=0,BA55,MAX(0,(BA55-BB$4)*(1+NORMINV(RAND(),INPUTS!$B$28,INPUTS!$B$29))))</f>
        <v>9551452.00442158</v>
      </c>
      <c r="BC55" s="89" t="n">
        <f aca="true">IF(BC$5=0,BB55,MAX(0,(BB55-BC$4)*(1+NORMINV(RAND(),INPUTS!$B$28,INPUTS!$B$29))))</f>
        <v>9551452.00442158</v>
      </c>
      <c r="BD55" s="89" t="n">
        <f aca="true">IF(BD$5=0,BC55,MAX(0,(BC55-BD$4)*(1+NORMINV(RAND(),INPUTS!$B$28,INPUTS!$B$29))))</f>
        <v>9551452.00442158</v>
      </c>
      <c r="BE55" s="89" t="n">
        <f aca="true">IF(BE$5=0,BD55,MAX(0,(BD55-BE$4)*(1+NORMINV(RAND(),INPUTS!$B$28,INPUTS!$B$29))))</f>
        <v>9551452.00442158</v>
      </c>
      <c r="BF55" s="89" t="n">
        <f aca="true">IF(BF$5=0,BE55,MAX(0,(BE55-BF$4)*(1+NORMINV(RAND(),INPUTS!$B$28,INPUTS!$B$29))))</f>
        <v>9551452.00442158</v>
      </c>
      <c r="BG55" s="89" t="n">
        <f aca="true">IF(BG$5=0,BF55,MAX(0,(BF55-BG$4)*(1+NORMINV(RAND(),INPUTS!$B$28,INPUTS!$B$29))))</f>
        <v>9551452.00442158</v>
      </c>
      <c r="BH55" s="89" t="n">
        <f aca="true">IF(BH$5=0,BG55,MAX(0,(BG55-BH$4)*(1+NORMINV(RAND(),INPUTS!$B$28,INPUTS!$B$29))))</f>
        <v>9551452.00442158</v>
      </c>
      <c r="BI55" s="89" t="n">
        <f aca="true">IF(BI$5=0,BH55,MAX(0,(BH55-BI$4)*(1+NORMINV(RAND(),INPUTS!$B$28,INPUTS!$B$29))))</f>
        <v>9551452.00442158</v>
      </c>
      <c r="BJ55" s="89" t="n">
        <f aca="true">IF(BJ$5=0,BI55,MAX(0,(BI55-BJ$4)*(1+NORMINV(RAND(),INPUTS!$B$28,INPUTS!$B$29))))</f>
        <v>9551452.00442158</v>
      </c>
    </row>
    <row r="56" customFormat="false" ht="15" hidden="false" customHeight="true" outlineLevel="0" collapsed="false">
      <c r="A56" s="87" t="n">
        <v>49</v>
      </c>
      <c r="B56" s="88" t="n">
        <f aca="false">LOOKUP(9.99E+307,C56:BJ56)</f>
        <v>2227557.72305725</v>
      </c>
      <c r="C56" s="89" t="n">
        <f aca="true">IF(C$5=0,INPUTS!$B$35,MAX(0,(INPUTS!$B$35-C$4)*(1+NORMINV(RAND(),INPUTS!$B$28,INPUTS!$B$29))))</f>
        <v>1303449.1464025</v>
      </c>
      <c r="D56" s="89" t="n">
        <f aca="true">IF(D$5=0,C56,MAX(0,(C56-D$4)*(1+NORMINV(RAND(),INPUTS!$B$28,INPUTS!$B$29))))</f>
        <v>1111151.7780469</v>
      </c>
      <c r="E56" s="89" t="n">
        <f aca="true">IF(E$5=0,D56,MAX(0,(D56-E$4)*(1+NORMINV(RAND(),INPUTS!$B$28,INPUTS!$B$29))))</f>
        <v>1220258.45035672</v>
      </c>
      <c r="F56" s="89" t="n">
        <f aca="true">IF(F$5=0,E56,MAX(0,(E56-F$4)*(1+NORMINV(RAND(),INPUTS!$B$28,INPUTS!$B$29))))</f>
        <v>1330617.45100086</v>
      </c>
      <c r="G56" s="89" t="n">
        <f aca="true">IF(G$5=0,F56,MAX(0,(F56-G$4)*(1+NORMINV(RAND(),INPUTS!$B$28,INPUTS!$B$29))))</f>
        <v>1241138.57773731</v>
      </c>
      <c r="H56" s="89" t="n">
        <f aca="true">IF(H$5=0,G56,MAX(0,(G56-H$4)*(1+NORMINV(RAND(),INPUTS!$B$28,INPUTS!$B$29))))</f>
        <v>1292024.66103878</v>
      </c>
      <c r="I56" s="89" t="n">
        <f aca="true">IF(I$5=0,H56,MAX(0,(H56-I$4)*(1+NORMINV(RAND(),INPUTS!$B$28,INPUTS!$B$29))))</f>
        <v>1230085.92746204</v>
      </c>
      <c r="J56" s="89" t="n">
        <f aca="true">IF(J$5=0,I56,MAX(0,(I56-J$4)*(1+NORMINV(RAND(),INPUTS!$B$28,INPUTS!$B$29))))</f>
        <v>1346691.16952539</v>
      </c>
      <c r="K56" s="89" t="n">
        <f aca="true">IF(K$5=0,J56,MAX(0,(J56-K$4)*(1+NORMINV(RAND(),INPUTS!$B$28,INPUTS!$B$29))))</f>
        <v>1190382.5154094</v>
      </c>
      <c r="L56" s="89" t="n">
        <f aca="true">IF(L$5=0,K56,MAX(0,(K56-L$4)*(1+NORMINV(RAND(),INPUTS!$B$28,INPUTS!$B$29))))</f>
        <v>1113308.46388387</v>
      </c>
      <c r="M56" s="89" t="n">
        <f aca="true">IF(M$5=0,L56,MAX(0,(L56-M$4)*(1+NORMINV(RAND(),INPUTS!$B$28,INPUTS!$B$29))))</f>
        <v>1151716.06279249</v>
      </c>
      <c r="N56" s="89" t="n">
        <f aca="true">IF(N$5=0,M56,MAX(0,(M56-N$4)*(1+NORMINV(RAND(),INPUTS!$B$28,INPUTS!$B$29))))</f>
        <v>1201419.44039392</v>
      </c>
      <c r="O56" s="89" t="n">
        <f aca="true">IF(O$5=0,N56,MAX(0,(N56-O$4)*(1+NORMINV(RAND(),INPUTS!$B$28,INPUTS!$B$29))))</f>
        <v>1241831.02784133</v>
      </c>
      <c r="P56" s="89" t="n">
        <f aca="true">IF(P$5=0,O56,MAX(0,(O56-P$4)*(1+NORMINV(RAND(),INPUTS!$B$28,INPUTS!$B$29))))</f>
        <v>1614558.88892539</v>
      </c>
      <c r="Q56" s="89" t="n">
        <f aca="true">IF(Q$5=0,P56,MAX(0,(P56-Q$4)*(1+NORMINV(RAND(),INPUTS!$B$28,INPUTS!$B$29))))</f>
        <v>1694200.03909429</v>
      </c>
      <c r="R56" s="89" t="n">
        <f aca="true">IF(R$5=0,Q56,MAX(0,(Q56-R$4)*(1+NORMINV(RAND(),INPUTS!$B$28,INPUTS!$B$29))))</f>
        <v>1601543.96337131</v>
      </c>
      <c r="S56" s="89" t="n">
        <f aca="true">IF(S$5=0,R56,MAX(0,(R56-S$4)*(1+NORMINV(RAND(),INPUTS!$B$28,INPUTS!$B$29))))</f>
        <v>1522189.58317522</v>
      </c>
      <c r="T56" s="89" t="n">
        <f aca="true">IF(T$5=0,S56,MAX(0,(S56-T$4)*(1+NORMINV(RAND(),INPUTS!$B$28,INPUTS!$B$29))))</f>
        <v>1739879.86304795</v>
      </c>
      <c r="U56" s="89" t="n">
        <f aca="true">IF(U$5=0,T56,MAX(0,(T56-U$4)*(1+NORMINV(RAND(),INPUTS!$B$28,INPUTS!$B$29))))</f>
        <v>1530472.49824843</v>
      </c>
      <c r="V56" s="89" t="n">
        <f aca="true">IF(V$5=0,U56,MAX(0,(U56-V$4)*(1+NORMINV(RAND(),INPUTS!$B$28,INPUTS!$B$29))))</f>
        <v>1521763.33125065</v>
      </c>
      <c r="W56" s="89" t="n">
        <f aca="true">IF(W$5=0,V56,MAX(0,(V56-W$4)*(1+NORMINV(RAND(),INPUTS!$B$28,INPUTS!$B$29))))</f>
        <v>1343288.33005412</v>
      </c>
      <c r="X56" s="89" t="n">
        <f aca="true">IF(X$5=0,W56,MAX(0,(W56-X$4)*(1+NORMINV(RAND(),INPUTS!$B$28,INPUTS!$B$29))))</f>
        <v>1638551.11793369</v>
      </c>
      <c r="Y56" s="89" t="n">
        <f aca="true">IF(Y$5=0,X56,MAX(0,(X56-Y$4)*(1+NORMINV(RAND(),INPUTS!$B$28,INPUTS!$B$29))))</f>
        <v>2044116.69119275</v>
      </c>
      <c r="Z56" s="89" t="n">
        <f aca="true">IF(Z$5=0,Y56,MAX(0,(Y56-Z$4)*(1+NORMINV(RAND(),INPUTS!$B$28,INPUTS!$B$29))))</f>
        <v>1914650.43619411</v>
      </c>
      <c r="AA56" s="89" t="n">
        <f aca="true">IF(AA$5=0,Z56,MAX(0,(Z56-AA$4)*(1+NORMINV(RAND(),INPUTS!$B$28,INPUTS!$B$29))))</f>
        <v>2379429.40593048</v>
      </c>
      <c r="AB56" s="89" t="n">
        <f aca="true">IF(AB$5=0,AA56,MAX(0,(AA56-AB$4)*(1+NORMINV(RAND(),INPUTS!$B$28,INPUTS!$B$29))))</f>
        <v>2276866.67137348</v>
      </c>
      <c r="AC56" s="89" t="n">
        <f aca="true">IF(AC$5=0,AB56,MAX(0,(AB56-AC$4)*(1+NORMINV(RAND(),INPUTS!$B$28,INPUTS!$B$29))))</f>
        <v>2761055.37963423</v>
      </c>
      <c r="AD56" s="89" t="n">
        <f aca="true">IF(AD$5=0,AC56,MAX(0,(AC56-AD$4)*(1+NORMINV(RAND(),INPUTS!$B$28,INPUTS!$B$29))))</f>
        <v>2685492.24355459</v>
      </c>
      <c r="AE56" s="89" t="n">
        <f aca="true">IF(AE$5=0,AD56,MAX(0,(AD56-AE$4)*(1+NORMINV(RAND(),INPUTS!$B$28,INPUTS!$B$29))))</f>
        <v>2701530.5925325</v>
      </c>
      <c r="AF56" s="89" t="n">
        <f aca="true">IF(AF$5=0,AE56,MAX(0,(AE56-AF$4)*(1+NORMINV(RAND(),INPUTS!$B$28,INPUTS!$B$29))))</f>
        <v>2897914.59087174</v>
      </c>
      <c r="AG56" s="89" t="n">
        <f aca="true">IF(AG$5=0,AF56,MAX(0,(AF56-AG$4)*(1+NORMINV(RAND(),INPUTS!$B$28,INPUTS!$B$29))))</f>
        <v>2779089.60984173</v>
      </c>
      <c r="AH56" s="89" t="n">
        <f aca="true">IF(AH$5=0,AG56,MAX(0,(AG56-AH$4)*(1+NORMINV(RAND(),INPUTS!$B$28,INPUTS!$B$29))))</f>
        <v>2968165.76880918</v>
      </c>
      <c r="AI56" s="89" t="n">
        <f aca="true">IF(AI$5=0,AH56,MAX(0,(AH56-AI$4)*(1+NORMINV(RAND(),INPUTS!$B$28,INPUTS!$B$29))))</f>
        <v>2655091.53497619</v>
      </c>
      <c r="AJ56" s="89" t="n">
        <f aca="true">IF(AJ$5=0,AI56,MAX(0,(AI56-AJ$4)*(1+NORMINV(RAND(),INPUTS!$B$28,INPUTS!$B$29))))</f>
        <v>2720695.73774458</v>
      </c>
      <c r="AK56" s="89" t="n">
        <f aca="true">IF(AK$5=0,AJ56,MAX(0,(AJ56-AK$4)*(1+NORMINV(RAND(),INPUTS!$B$28,INPUTS!$B$29))))</f>
        <v>2885900.55586998</v>
      </c>
      <c r="AL56" s="89" t="n">
        <f aca="true">IF(AL$5=0,AK56,MAX(0,(AK56-AL$4)*(1+NORMINV(RAND(),INPUTS!$B$28,INPUTS!$B$29))))</f>
        <v>2227557.72305725</v>
      </c>
      <c r="AM56" s="89" t="n">
        <f aca="true">IF(AM$5=0,AL56,MAX(0,(AL56-AM$4)*(1+NORMINV(RAND(),INPUTS!$B$28,INPUTS!$B$29))))</f>
        <v>2227557.72305725</v>
      </c>
      <c r="AN56" s="89" t="n">
        <f aca="true">IF(AN$5=0,AM56,MAX(0,(AM56-AN$4)*(1+NORMINV(RAND(),INPUTS!$B$28,INPUTS!$B$29))))</f>
        <v>2227557.72305725</v>
      </c>
      <c r="AO56" s="89" t="n">
        <f aca="true">IF(AO$5=0,AN56,MAX(0,(AN56-AO$4)*(1+NORMINV(RAND(),INPUTS!$B$28,INPUTS!$B$29))))</f>
        <v>2227557.72305725</v>
      </c>
      <c r="AP56" s="89" t="n">
        <f aca="true">IF(AP$5=0,AO56,MAX(0,(AO56-AP$4)*(1+NORMINV(RAND(),INPUTS!$B$28,INPUTS!$B$29))))</f>
        <v>2227557.72305725</v>
      </c>
      <c r="AQ56" s="89" t="n">
        <f aca="true">IF(AQ$5=0,AP56,MAX(0,(AP56-AQ$4)*(1+NORMINV(RAND(),INPUTS!$B$28,INPUTS!$B$29))))</f>
        <v>2227557.72305725</v>
      </c>
      <c r="AR56" s="89" t="n">
        <f aca="true">IF(AR$5=0,AQ56,MAX(0,(AQ56-AR$4)*(1+NORMINV(RAND(),INPUTS!$B$28,INPUTS!$B$29))))</f>
        <v>2227557.72305725</v>
      </c>
      <c r="AS56" s="89" t="n">
        <f aca="true">IF(AS$5=0,AR56,MAX(0,(AR56-AS$4)*(1+NORMINV(RAND(),INPUTS!$B$28,INPUTS!$B$29))))</f>
        <v>2227557.72305725</v>
      </c>
      <c r="AT56" s="89" t="n">
        <f aca="true">IF(AT$5=0,AS56,MAX(0,(AS56-AT$4)*(1+NORMINV(RAND(),INPUTS!$B$28,INPUTS!$B$29))))</f>
        <v>2227557.72305725</v>
      </c>
      <c r="AU56" s="89" t="n">
        <f aca="true">IF(AU$5=0,AT56,MAX(0,(AT56-AU$4)*(1+NORMINV(RAND(),INPUTS!$B$28,INPUTS!$B$29))))</f>
        <v>2227557.72305725</v>
      </c>
      <c r="AV56" s="89" t="n">
        <f aca="true">IF(AV$5=0,AU56,MAX(0,(AU56-AV$4)*(1+NORMINV(RAND(),INPUTS!$B$28,INPUTS!$B$29))))</f>
        <v>2227557.72305725</v>
      </c>
      <c r="AW56" s="89" t="n">
        <f aca="true">IF(AW$5=0,AV56,MAX(0,(AV56-AW$4)*(1+NORMINV(RAND(),INPUTS!$B$28,INPUTS!$B$29))))</f>
        <v>2227557.72305725</v>
      </c>
      <c r="AX56" s="89" t="n">
        <f aca="true">IF(AX$5=0,AW56,MAX(0,(AW56-AX$4)*(1+NORMINV(RAND(),INPUTS!$B$28,INPUTS!$B$29))))</f>
        <v>2227557.72305725</v>
      </c>
      <c r="AY56" s="89" t="n">
        <f aca="true">IF(AY$5=0,AX56,MAX(0,(AX56-AY$4)*(1+NORMINV(RAND(),INPUTS!$B$28,INPUTS!$B$29))))</f>
        <v>2227557.72305725</v>
      </c>
      <c r="AZ56" s="89" t="n">
        <f aca="true">IF(AZ$5=0,AY56,MAX(0,(AY56-AZ$4)*(1+NORMINV(RAND(),INPUTS!$B$28,INPUTS!$B$29))))</f>
        <v>2227557.72305725</v>
      </c>
      <c r="BA56" s="89" t="n">
        <f aca="true">IF(BA$5=0,AZ56,MAX(0,(AZ56-BA$4)*(1+NORMINV(RAND(),INPUTS!$B$28,INPUTS!$B$29))))</f>
        <v>2227557.72305725</v>
      </c>
      <c r="BB56" s="89" t="n">
        <f aca="true">IF(BB$5=0,BA56,MAX(0,(BA56-BB$4)*(1+NORMINV(RAND(),INPUTS!$B$28,INPUTS!$B$29))))</f>
        <v>2227557.72305725</v>
      </c>
      <c r="BC56" s="89" t="n">
        <f aca="true">IF(BC$5=0,BB56,MAX(0,(BB56-BC$4)*(1+NORMINV(RAND(),INPUTS!$B$28,INPUTS!$B$29))))</f>
        <v>2227557.72305725</v>
      </c>
      <c r="BD56" s="89" t="n">
        <f aca="true">IF(BD$5=0,BC56,MAX(0,(BC56-BD$4)*(1+NORMINV(RAND(),INPUTS!$B$28,INPUTS!$B$29))))</f>
        <v>2227557.72305725</v>
      </c>
      <c r="BE56" s="89" t="n">
        <f aca="true">IF(BE$5=0,BD56,MAX(0,(BD56-BE$4)*(1+NORMINV(RAND(),INPUTS!$B$28,INPUTS!$B$29))))</f>
        <v>2227557.72305725</v>
      </c>
      <c r="BF56" s="89" t="n">
        <f aca="true">IF(BF$5=0,BE56,MAX(0,(BE56-BF$4)*(1+NORMINV(RAND(),INPUTS!$B$28,INPUTS!$B$29))))</f>
        <v>2227557.72305725</v>
      </c>
      <c r="BG56" s="89" t="n">
        <f aca="true">IF(BG$5=0,BF56,MAX(0,(BF56-BG$4)*(1+NORMINV(RAND(),INPUTS!$B$28,INPUTS!$B$29))))</f>
        <v>2227557.72305725</v>
      </c>
      <c r="BH56" s="89" t="n">
        <f aca="true">IF(BH$5=0,BG56,MAX(0,(BG56-BH$4)*(1+NORMINV(RAND(),INPUTS!$B$28,INPUTS!$B$29))))</f>
        <v>2227557.72305725</v>
      </c>
      <c r="BI56" s="89" t="n">
        <f aca="true">IF(BI$5=0,BH56,MAX(0,(BH56-BI$4)*(1+NORMINV(RAND(),INPUTS!$B$28,INPUTS!$B$29))))</f>
        <v>2227557.72305725</v>
      </c>
      <c r="BJ56" s="89" t="n">
        <f aca="true">IF(BJ$5=0,BI56,MAX(0,(BI56-BJ$4)*(1+NORMINV(RAND(),INPUTS!$B$28,INPUTS!$B$29))))</f>
        <v>2227557.72305725</v>
      </c>
    </row>
    <row r="57" customFormat="false" ht="15" hidden="false" customHeight="true" outlineLevel="0" collapsed="false">
      <c r="A57" s="87" t="n">
        <v>50</v>
      </c>
      <c r="B57" s="88" t="n">
        <f aca="false">LOOKUP(9.99E+307,C57:BJ57)</f>
        <v>13376967.3924563</v>
      </c>
      <c r="C57" s="89" t="n">
        <f aca="true">IF(C$5=0,INPUTS!$B$35,MAX(0,(INPUTS!$B$35-C$4)*(1+NORMINV(RAND(),INPUTS!$B$28,INPUTS!$B$29))))</f>
        <v>1332564.58577117</v>
      </c>
      <c r="D57" s="89" t="n">
        <f aca="true">IF(D$5=0,C57,MAX(0,(C57-D$4)*(1+NORMINV(RAND(),INPUTS!$B$28,INPUTS!$B$29))))</f>
        <v>1607625.18076955</v>
      </c>
      <c r="E57" s="89" t="n">
        <f aca="true">IF(E$5=0,D57,MAX(0,(D57-E$4)*(1+NORMINV(RAND(),INPUTS!$B$28,INPUTS!$B$29))))</f>
        <v>1826516.67929084</v>
      </c>
      <c r="F57" s="89" t="n">
        <f aca="true">IF(F$5=0,E57,MAX(0,(E57-F$4)*(1+NORMINV(RAND(),INPUTS!$B$28,INPUTS!$B$29))))</f>
        <v>1648177.07571097</v>
      </c>
      <c r="G57" s="89" t="n">
        <f aca="true">IF(G$5=0,F57,MAX(0,(F57-G$4)*(1+NORMINV(RAND(),INPUTS!$B$28,INPUTS!$B$29))))</f>
        <v>1478979.47818149</v>
      </c>
      <c r="H57" s="89" t="n">
        <f aca="true">IF(H$5=0,G57,MAX(0,(G57-H$4)*(1+NORMINV(RAND(),INPUTS!$B$28,INPUTS!$B$29))))</f>
        <v>1524992.94815909</v>
      </c>
      <c r="I57" s="89" t="n">
        <f aca="true">IF(I$5=0,H57,MAX(0,(H57-I$4)*(1+NORMINV(RAND(),INPUTS!$B$28,INPUTS!$B$29))))</f>
        <v>1593606.22160105</v>
      </c>
      <c r="J57" s="89" t="n">
        <f aca="true">IF(J$5=0,I57,MAX(0,(I57-J$4)*(1+NORMINV(RAND(),INPUTS!$B$28,INPUTS!$B$29))))</f>
        <v>1782383.67788786</v>
      </c>
      <c r="K57" s="89" t="n">
        <f aca="true">IF(K$5=0,J57,MAX(0,(J57-K$4)*(1+NORMINV(RAND(),INPUTS!$B$28,INPUTS!$B$29))))</f>
        <v>2206592.23028877</v>
      </c>
      <c r="L57" s="89" t="n">
        <f aca="true">IF(L$5=0,K57,MAX(0,(K57-L$4)*(1+NORMINV(RAND(),INPUTS!$B$28,INPUTS!$B$29))))</f>
        <v>2706941.55934484</v>
      </c>
      <c r="M57" s="89" t="n">
        <f aca="true">IF(M$5=0,L57,MAX(0,(L57-M$4)*(1+NORMINV(RAND(),INPUTS!$B$28,INPUTS!$B$29))))</f>
        <v>2595228.73394466</v>
      </c>
      <c r="N57" s="89" t="n">
        <f aca="true">IF(N$5=0,M57,MAX(0,(M57-N$4)*(1+NORMINV(RAND(),INPUTS!$B$28,INPUTS!$B$29))))</f>
        <v>2536019.01585194</v>
      </c>
      <c r="O57" s="89" t="n">
        <f aca="true">IF(O$5=0,N57,MAX(0,(N57-O$4)*(1+NORMINV(RAND(),INPUTS!$B$28,INPUTS!$B$29))))</f>
        <v>2508171.3280962</v>
      </c>
      <c r="P57" s="89" t="n">
        <f aca="true">IF(P$5=0,O57,MAX(0,(O57-P$4)*(1+NORMINV(RAND(),INPUTS!$B$28,INPUTS!$B$29))))</f>
        <v>2777305.95516965</v>
      </c>
      <c r="Q57" s="89" t="n">
        <f aca="true">IF(Q$5=0,P57,MAX(0,(P57-Q$4)*(1+NORMINV(RAND(),INPUTS!$B$28,INPUTS!$B$29))))</f>
        <v>2718031.05328584</v>
      </c>
      <c r="R57" s="89" t="n">
        <f aca="true">IF(R$5=0,Q57,MAX(0,(Q57-R$4)*(1+NORMINV(RAND(),INPUTS!$B$28,INPUTS!$B$29))))</f>
        <v>2775340.2354741</v>
      </c>
      <c r="S57" s="89" t="n">
        <f aca="true">IF(S$5=0,R57,MAX(0,(R57-S$4)*(1+NORMINV(RAND(),INPUTS!$B$28,INPUTS!$B$29))))</f>
        <v>2613114.23421851</v>
      </c>
      <c r="T57" s="89" t="n">
        <f aca="true">IF(T$5=0,S57,MAX(0,(S57-T$4)*(1+NORMINV(RAND(),INPUTS!$B$28,INPUTS!$B$29))))</f>
        <v>2812056.92118991</v>
      </c>
      <c r="U57" s="89" t="n">
        <f aca="true">IF(U$5=0,T57,MAX(0,(T57-U$4)*(1+NORMINV(RAND(),INPUTS!$B$28,INPUTS!$B$29))))</f>
        <v>2961984.95779082</v>
      </c>
      <c r="V57" s="89" t="n">
        <f aca="true">IF(V$5=0,U57,MAX(0,(U57-V$4)*(1+NORMINV(RAND(),INPUTS!$B$28,INPUTS!$B$29))))</f>
        <v>3062281.10852695</v>
      </c>
      <c r="W57" s="89" t="n">
        <f aca="true">IF(W$5=0,V57,MAX(0,(V57-W$4)*(1+NORMINV(RAND(),INPUTS!$B$28,INPUTS!$B$29))))</f>
        <v>3276156.27089708</v>
      </c>
      <c r="X57" s="89" t="n">
        <f aca="true">IF(X$5=0,W57,MAX(0,(W57-X$4)*(1+NORMINV(RAND(),INPUTS!$B$28,INPUTS!$B$29))))</f>
        <v>3954152.30727511</v>
      </c>
      <c r="Y57" s="89" t="n">
        <f aca="true">IF(Y$5=0,X57,MAX(0,(X57-Y$4)*(1+NORMINV(RAND(),INPUTS!$B$28,INPUTS!$B$29))))</f>
        <v>4548005.74055788</v>
      </c>
      <c r="Z57" s="89" t="n">
        <f aca="true">IF(Z$5=0,Y57,MAX(0,(Y57-Z$4)*(1+NORMINV(RAND(),INPUTS!$B$28,INPUTS!$B$29))))</f>
        <v>5521081.61409224</v>
      </c>
      <c r="AA57" s="89" t="n">
        <f aca="true">IF(AA$5=0,Z57,MAX(0,(Z57-AA$4)*(1+NORMINV(RAND(),INPUTS!$B$28,INPUTS!$B$29))))</f>
        <v>4638701.51708909</v>
      </c>
      <c r="AB57" s="89" t="n">
        <f aca="true">IF(AB$5=0,AA57,MAX(0,(AA57-AB$4)*(1+NORMINV(RAND(),INPUTS!$B$28,INPUTS!$B$29))))</f>
        <v>4441712.44752769</v>
      </c>
      <c r="AC57" s="89" t="n">
        <f aca="true">IF(AC$5=0,AB57,MAX(0,(AB57-AC$4)*(1+NORMINV(RAND(),INPUTS!$B$28,INPUTS!$B$29))))</f>
        <v>5148783.07124565</v>
      </c>
      <c r="AD57" s="89" t="n">
        <f aca="true">IF(AD$5=0,AC57,MAX(0,(AC57-AD$4)*(1+NORMINV(RAND(),INPUTS!$B$28,INPUTS!$B$29))))</f>
        <v>6278368.81882513</v>
      </c>
      <c r="AE57" s="89" t="n">
        <f aca="true">IF(AE$5=0,AD57,MAX(0,(AD57-AE$4)*(1+NORMINV(RAND(),INPUTS!$B$28,INPUTS!$B$29))))</f>
        <v>6180737.67323981</v>
      </c>
      <c r="AF57" s="89" t="n">
        <f aca="true">IF(AF$5=0,AE57,MAX(0,(AE57-AF$4)*(1+NORMINV(RAND(),INPUTS!$B$28,INPUTS!$B$29))))</f>
        <v>6560074.09076401</v>
      </c>
      <c r="AG57" s="89" t="n">
        <f aca="true">IF(AG$5=0,AF57,MAX(0,(AF57-AG$4)*(1+NORMINV(RAND(),INPUTS!$B$28,INPUTS!$B$29))))</f>
        <v>7508509.4932043</v>
      </c>
      <c r="AH57" s="89" t="n">
        <f aca="true">IF(AH$5=0,AG57,MAX(0,(AG57-AH$4)*(1+NORMINV(RAND(),INPUTS!$B$28,INPUTS!$B$29))))</f>
        <v>7730771.32178024</v>
      </c>
      <c r="AI57" s="89" t="n">
        <f aca="true">IF(AI$5=0,AH57,MAX(0,(AH57-AI$4)*(1+NORMINV(RAND(),INPUTS!$B$28,INPUTS!$B$29))))</f>
        <v>9342503.02995232</v>
      </c>
      <c r="AJ57" s="89" t="n">
        <f aca="true">IF(AJ$5=0,AI57,MAX(0,(AI57-AJ$4)*(1+NORMINV(RAND(),INPUTS!$B$28,INPUTS!$B$29))))</f>
        <v>10922383.9089991</v>
      </c>
      <c r="AK57" s="89" t="n">
        <f aca="true">IF(AK$5=0,AJ57,MAX(0,(AJ57-AK$4)*(1+NORMINV(RAND(),INPUTS!$B$28,INPUTS!$B$29))))</f>
        <v>10673322.2216442</v>
      </c>
      <c r="AL57" s="89" t="n">
        <f aca="true">IF(AL$5=0,AK57,MAX(0,(AK57-AL$4)*(1+NORMINV(RAND(),INPUTS!$B$28,INPUTS!$B$29))))</f>
        <v>13376967.3924563</v>
      </c>
      <c r="AM57" s="89" t="n">
        <f aca="true">IF(AM$5=0,AL57,MAX(0,(AL57-AM$4)*(1+NORMINV(RAND(),INPUTS!$B$28,INPUTS!$B$29))))</f>
        <v>13376967.3924563</v>
      </c>
      <c r="AN57" s="89" t="n">
        <f aca="true">IF(AN$5=0,AM57,MAX(0,(AM57-AN$4)*(1+NORMINV(RAND(),INPUTS!$B$28,INPUTS!$B$29))))</f>
        <v>13376967.3924563</v>
      </c>
      <c r="AO57" s="89" t="n">
        <f aca="true">IF(AO$5=0,AN57,MAX(0,(AN57-AO$4)*(1+NORMINV(RAND(),INPUTS!$B$28,INPUTS!$B$29))))</f>
        <v>13376967.3924563</v>
      </c>
      <c r="AP57" s="89" t="n">
        <f aca="true">IF(AP$5=0,AO57,MAX(0,(AO57-AP$4)*(1+NORMINV(RAND(),INPUTS!$B$28,INPUTS!$B$29))))</f>
        <v>13376967.3924563</v>
      </c>
      <c r="AQ57" s="89" t="n">
        <f aca="true">IF(AQ$5=0,AP57,MAX(0,(AP57-AQ$4)*(1+NORMINV(RAND(),INPUTS!$B$28,INPUTS!$B$29))))</f>
        <v>13376967.3924563</v>
      </c>
      <c r="AR57" s="89" t="n">
        <f aca="true">IF(AR$5=0,AQ57,MAX(0,(AQ57-AR$4)*(1+NORMINV(RAND(),INPUTS!$B$28,INPUTS!$B$29))))</f>
        <v>13376967.3924563</v>
      </c>
      <c r="AS57" s="89" t="n">
        <f aca="true">IF(AS$5=0,AR57,MAX(0,(AR57-AS$4)*(1+NORMINV(RAND(),INPUTS!$B$28,INPUTS!$B$29))))</f>
        <v>13376967.3924563</v>
      </c>
      <c r="AT57" s="89" t="n">
        <f aca="true">IF(AT$5=0,AS57,MAX(0,(AS57-AT$4)*(1+NORMINV(RAND(),INPUTS!$B$28,INPUTS!$B$29))))</f>
        <v>13376967.3924563</v>
      </c>
      <c r="AU57" s="89" t="n">
        <f aca="true">IF(AU$5=0,AT57,MAX(0,(AT57-AU$4)*(1+NORMINV(RAND(),INPUTS!$B$28,INPUTS!$B$29))))</f>
        <v>13376967.3924563</v>
      </c>
      <c r="AV57" s="89" t="n">
        <f aca="true">IF(AV$5=0,AU57,MAX(0,(AU57-AV$4)*(1+NORMINV(RAND(),INPUTS!$B$28,INPUTS!$B$29))))</f>
        <v>13376967.3924563</v>
      </c>
      <c r="AW57" s="89" t="n">
        <f aca="true">IF(AW$5=0,AV57,MAX(0,(AV57-AW$4)*(1+NORMINV(RAND(),INPUTS!$B$28,INPUTS!$B$29))))</f>
        <v>13376967.3924563</v>
      </c>
      <c r="AX57" s="89" t="n">
        <f aca="true">IF(AX$5=0,AW57,MAX(0,(AW57-AX$4)*(1+NORMINV(RAND(),INPUTS!$B$28,INPUTS!$B$29))))</f>
        <v>13376967.3924563</v>
      </c>
      <c r="AY57" s="89" t="n">
        <f aca="true">IF(AY$5=0,AX57,MAX(0,(AX57-AY$4)*(1+NORMINV(RAND(),INPUTS!$B$28,INPUTS!$B$29))))</f>
        <v>13376967.3924563</v>
      </c>
      <c r="AZ57" s="89" t="n">
        <f aca="true">IF(AZ$5=0,AY57,MAX(0,(AY57-AZ$4)*(1+NORMINV(RAND(),INPUTS!$B$28,INPUTS!$B$29))))</f>
        <v>13376967.3924563</v>
      </c>
      <c r="BA57" s="89" t="n">
        <f aca="true">IF(BA$5=0,AZ57,MAX(0,(AZ57-BA$4)*(1+NORMINV(RAND(),INPUTS!$B$28,INPUTS!$B$29))))</f>
        <v>13376967.3924563</v>
      </c>
      <c r="BB57" s="89" t="n">
        <f aca="true">IF(BB$5=0,BA57,MAX(0,(BA57-BB$4)*(1+NORMINV(RAND(),INPUTS!$B$28,INPUTS!$B$29))))</f>
        <v>13376967.3924563</v>
      </c>
      <c r="BC57" s="89" t="n">
        <f aca="true">IF(BC$5=0,BB57,MAX(0,(BB57-BC$4)*(1+NORMINV(RAND(),INPUTS!$B$28,INPUTS!$B$29))))</f>
        <v>13376967.3924563</v>
      </c>
      <c r="BD57" s="89" t="n">
        <f aca="true">IF(BD$5=0,BC57,MAX(0,(BC57-BD$4)*(1+NORMINV(RAND(),INPUTS!$B$28,INPUTS!$B$29))))</f>
        <v>13376967.3924563</v>
      </c>
      <c r="BE57" s="89" t="n">
        <f aca="true">IF(BE$5=0,BD57,MAX(0,(BD57-BE$4)*(1+NORMINV(RAND(),INPUTS!$B$28,INPUTS!$B$29))))</f>
        <v>13376967.3924563</v>
      </c>
      <c r="BF57" s="89" t="n">
        <f aca="true">IF(BF$5=0,BE57,MAX(0,(BE57-BF$4)*(1+NORMINV(RAND(),INPUTS!$B$28,INPUTS!$B$29))))</f>
        <v>13376967.3924563</v>
      </c>
      <c r="BG57" s="89" t="n">
        <f aca="true">IF(BG$5=0,BF57,MAX(0,(BF57-BG$4)*(1+NORMINV(RAND(),INPUTS!$B$28,INPUTS!$B$29))))</f>
        <v>13376967.3924563</v>
      </c>
      <c r="BH57" s="89" t="n">
        <f aca="true">IF(BH$5=0,BG57,MAX(0,(BG57-BH$4)*(1+NORMINV(RAND(),INPUTS!$B$28,INPUTS!$B$29))))</f>
        <v>13376967.3924563</v>
      </c>
      <c r="BI57" s="89" t="n">
        <f aca="true">IF(BI$5=0,BH57,MAX(0,(BH57-BI$4)*(1+NORMINV(RAND(),INPUTS!$B$28,INPUTS!$B$29))))</f>
        <v>13376967.3924563</v>
      </c>
      <c r="BJ57" s="89" t="n">
        <f aca="true">IF(BJ$5=0,BI57,MAX(0,(BI57-BJ$4)*(1+NORMINV(RAND(),INPUTS!$B$28,INPUTS!$B$29))))</f>
        <v>13376967.3924563</v>
      </c>
    </row>
    <row r="58" customFormat="false" ht="15" hidden="false" customHeight="true" outlineLevel="0" collapsed="false">
      <c r="A58" s="87" t="n">
        <v>51</v>
      </c>
      <c r="B58" s="88" t="n">
        <f aca="false">LOOKUP(9.99E+307,C58:BJ58)</f>
        <v>3766994.01732993</v>
      </c>
      <c r="C58" s="89" t="n">
        <f aca="true">IF(C$5=0,INPUTS!$B$35,MAX(0,(INPUTS!$B$35-C$4)*(1+NORMINV(RAND(),INPUTS!$B$28,INPUTS!$B$29))))</f>
        <v>1733477.45621776</v>
      </c>
      <c r="D58" s="89" t="n">
        <f aca="true">IF(D$5=0,C58,MAX(0,(C58-D$4)*(1+NORMINV(RAND(),INPUTS!$B$28,INPUTS!$B$29))))</f>
        <v>1614822.97697597</v>
      </c>
      <c r="E58" s="89" t="n">
        <f aca="true">IF(E$5=0,D58,MAX(0,(D58-E$4)*(1+NORMINV(RAND(),INPUTS!$B$28,INPUTS!$B$29))))</f>
        <v>1626479.33900178</v>
      </c>
      <c r="F58" s="89" t="n">
        <f aca="true">IF(F$5=0,E58,MAX(0,(E58-F$4)*(1+NORMINV(RAND(),INPUTS!$B$28,INPUTS!$B$29))))</f>
        <v>1834604.38762231</v>
      </c>
      <c r="G58" s="89" t="n">
        <f aca="true">IF(G$5=0,F58,MAX(0,(F58-G$4)*(1+NORMINV(RAND(),INPUTS!$B$28,INPUTS!$B$29))))</f>
        <v>2390055.47940967</v>
      </c>
      <c r="H58" s="89" t="n">
        <f aca="true">IF(H$5=0,G58,MAX(0,(G58-H$4)*(1+NORMINV(RAND(),INPUTS!$B$28,INPUTS!$B$29))))</f>
        <v>2539837.23532269</v>
      </c>
      <c r="I58" s="89" t="n">
        <f aca="true">IF(I$5=0,H58,MAX(0,(H58-I$4)*(1+NORMINV(RAND(),INPUTS!$B$28,INPUTS!$B$29))))</f>
        <v>2541217.7155157</v>
      </c>
      <c r="J58" s="89" t="n">
        <f aca="true">IF(J$5=0,I58,MAX(0,(I58-J$4)*(1+NORMINV(RAND(),INPUTS!$B$28,INPUTS!$B$29))))</f>
        <v>2808189.51295113</v>
      </c>
      <c r="K58" s="89" t="n">
        <f aca="true">IF(K$5=0,J58,MAX(0,(J58-K$4)*(1+NORMINV(RAND(),INPUTS!$B$28,INPUTS!$B$29))))</f>
        <v>2922886.77165449</v>
      </c>
      <c r="L58" s="89" t="n">
        <f aca="true">IF(L$5=0,K58,MAX(0,(K58-L$4)*(1+NORMINV(RAND(),INPUTS!$B$28,INPUTS!$B$29))))</f>
        <v>3372887.95138884</v>
      </c>
      <c r="M58" s="89" t="n">
        <f aca="true">IF(M$5=0,L58,MAX(0,(L58-M$4)*(1+NORMINV(RAND(),INPUTS!$B$28,INPUTS!$B$29))))</f>
        <v>3437447.02277395</v>
      </c>
      <c r="N58" s="89" t="n">
        <f aca="true">IF(N$5=0,M58,MAX(0,(M58-N$4)*(1+NORMINV(RAND(),INPUTS!$B$28,INPUTS!$B$29))))</f>
        <v>3246186.41227226</v>
      </c>
      <c r="O58" s="89" t="n">
        <f aca="true">IF(O$5=0,N58,MAX(0,(N58-O$4)*(1+NORMINV(RAND(),INPUTS!$B$28,INPUTS!$B$29))))</f>
        <v>3389956.24037187</v>
      </c>
      <c r="P58" s="89" t="n">
        <f aca="true">IF(P$5=0,O58,MAX(0,(O58-P$4)*(1+NORMINV(RAND(),INPUTS!$B$28,INPUTS!$B$29))))</f>
        <v>2973748.13198781</v>
      </c>
      <c r="Q58" s="89" t="n">
        <f aca="true">IF(Q$5=0,P58,MAX(0,(P58-Q$4)*(1+NORMINV(RAND(),INPUTS!$B$28,INPUTS!$B$29))))</f>
        <v>2696195.28886944</v>
      </c>
      <c r="R58" s="89" t="n">
        <f aca="true">IF(R$5=0,Q58,MAX(0,(Q58-R$4)*(1+NORMINV(RAND(),INPUTS!$B$28,INPUTS!$B$29))))</f>
        <v>3090900.66452374</v>
      </c>
      <c r="S58" s="89" t="n">
        <f aca="true">IF(S$5=0,R58,MAX(0,(R58-S$4)*(1+NORMINV(RAND(),INPUTS!$B$28,INPUTS!$B$29))))</f>
        <v>3631224.94873363</v>
      </c>
      <c r="T58" s="89" t="n">
        <f aca="true">IF(T$5=0,S58,MAX(0,(S58-T$4)*(1+NORMINV(RAND(),INPUTS!$B$28,INPUTS!$B$29))))</f>
        <v>3927681.54843031</v>
      </c>
      <c r="U58" s="89" t="n">
        <f aca="true">IF(U$5=0,T58,MAX(0,(T58-U$4)*(1+NORMINV(RAND(),INPUTS!$B$28,INPUTS!$B$29))))</f>
        <v>3599606.66518426</v>
      </c>
      <c r="V58" s="89" t="n">
        <f aca="true">IF(V$5=0,U58,MAX(0,(U58-V$4)*(1+NORMINV(RAND(),INPUTS!$B$28,INPUTS!$B$29))))</f>
        <v>3673148.09131543</v>
      </c>
      <c r="W58" s="89" t="n">
        <f aca="true">IF(W$5=0,V58,MAX(0,(V58-W$4)*(1+NORMINV(RAND(),INPUTS!$B$28,INPUTS!$B$29))))</f>
        <v>4166897.23617008</v>
      </c>
      <c r="X58" s="89" t="n">
        <f aca="true">IF(X$5=0,W58,MAX(0,(W58-X$4)*(1+NORMINV(RAND(),INPUTS!$B$28,INPUTS!$B$29))))</f>
        <v>4583449.23379329</v>
      </c>
      <c r="Y58" s="89" t="n">
        <f aca="true">IF(Y$5=0,X58,MAX(0,(X58-Y$4)*(1+NORMINV(RAND(),INPUTS!$B$28,INPUTS!$B$29))))</f>
        <v>4077878.24744488</v>
      </c>
      <c r="Z58" s="89" t="n">
        <f aca="true">IF(Z$5=0,Y58,MAX(0,(Y58-Z$4)*(1+NORMINV(RAND(),INPUTS!$B$28,INPUTS!$B$29))))</f>
        <v>4577766.25874026</v>
      </c>
      <c r="AA58" s="89" t="n">
        <f aca="true">IF(AA$5=0,Z58,MAX(0,(Z58-AA$4)*(1+NORMINV(RAND(),INPUTS!$B$28,INPUTS!$B$29))))</f>
        <v>4078082.74644026</v>
      </c>
      <c r="AB58" s="89" t="n">
        <f aca="true">IF(AB$5=0,AA58,MAX(0,(AA58-AB$4)*(1+NORMINV(RAND(),INPUTS!$B$28,INPUTS!$B$29))))</f>
        <v>4639227.08337838</v>
      </c>
      <c r="AC58" s="89" t="n">
        <f aca="true">IF(AC$5=0,AB58,MAX(0,(AB58-AC$4)*(1+NORMINV(RAND(),INPUTS!$B$28,INPUTS!$B$29))))</f>
        <v>6068721.85566983</v>
      </c>
      <c r="AD58" s="89" t="n">
        <f aca="true">IF(AD$5=0,AC58,MAX(0,(AC58-AD$4)*(1+NORMINV(RAND(),INPUTS!$B$28,INPUTS!$B$29))))</f>
        <v>5338501.62863486</v>
      </c>
      <c r="AE58" s="89" t="n">
        <f aca="true">IF(AE$5=0,AD58,MAX(0,(AD58-AE$4)*(1+NORMINV(RAND(),INPUTS!$B$28,INPUTS!$B$29))))</f>
        <v>5266810.28627522</v>
      </c>
      <c r="AF58" s="89" t="n">
        <f aca="true">IF(AF$5=0,AE58,MAX(0,(AE58-AF$4)*(1+NORMINV(RAND(),INPUTS!$B$28,INPUTS!$B$29))))</f>
        <v>6011715.9298272</v>
      </c>
      <c r="AG58" s="89" t="n">
        <f aca="true">IF(AG$5=0,AF58,MAX(0,(AF58-AG$4)*(1+NORMINV(RAND(),INPUTS!$B$28,INPUTS!$B$29))))</f>
        <v>6682289.37364076</v>
      </c>
      <c r="AH58" s="89" t="n">
        <f aca="true">IF(AH$5=0,AG58,MAX(0,(AG58-AH$4)*(1+NORMINV(RAND(),INPUTS!$B$28,INPUTS!$B$29))))</f>
        <v>5034809.35554735</v>
      </c>
      <c r="AI58" s="89" t="n">
        <f aca="true">IF(AI$5=0,AH58,MAX(0,(AH58-AI$4)*(1+NORMINV(RAND(),INPUTS!$B$28,INPUTS!$B$29))))</f>
        <v>4742796.83284413</v>
      </c>
      <c r="AJ58" s="89" t="n">
        <f aca="true">IF(AJ$5=0,AI58,MAX(0,(AI58-AJ$4)*(1+NORMINV(RAND(),INPUTS!$B$28,INPUTS!$B$29))))</f>
        <v>4038207.21953733</v>
      </c>
      <c r="AK58" s="89" t="n">
        <f aca="true">IF(AK$5=0,AJ58,MAX(0,(AJ58-AK$4)*(1+NORMINV(RAND(),INPUTS!$B$28,INPUTS!$B$29))))</f>
        <v>3852906.94241293</v>
      </c>
      <c r="AL58" s="89" t="n">
        <f aca="true">IF(AL$5=0,AK58,MAX(0,(AK58-AL$4)*(1+NORMINV(RAND(),INPUTS!$B$28,INPUTS!$B$29))))</f>
        <v>3766994.01732993</v>
      </c>
      <c r="AM58" s="89" t="n">
        <f aca="true">IF(AM$5=0,AL58,MAX(0,(AL58-AM$4)*(1+NORMINV(RAND(),INPUTS!$B$28,INPUTS!$B$29))))</f>
        <v>3766994.01732993</v>
      </c>
      <c r="AN58" s="89" t="n">
        <f aca="true">IF(AN$5=0,AM58,MAX(0,(AM58-AN$4)*(1+NORMINV(RAND(),INPUTS!$B$28,INPUTS!$B$29))))</f>
        <v>3766994.01732993</v>
      </c>
      <c r="AO58" s="89" t="n">
        <f aca="true">IF(AO$5=0,AN58,MAX(0,(AN58-AO$4)*(1+NORMINV(RAND(),INPUTS!$B$28,INPUTS!$B$29))))</f>
        <v>3766994.01732993</v>
      </c>
      <c r="AP58" s="89" t="n">
        <f aca="true">IF(AP$5=0,AO58,MAX(0,(AO58-AP$4)*(1+NORMINV(RAND(),INPUTS!$B$28,INPUTS!$B$29))))</f>
        <v>3766994.01732993</v>
      </c>
      <c r="AQ58" s="89" t="n">
        <f aca="true">IF(AQ$5=0,AP58,MAX(0,(AP58-AQ$4)*(1+NORMINV(RAND(),INPUTS!$B$28,INPUTS!$B$29))))</f>
        <v>3766994.01732993</v>
      </c>
      <c r="AR58" s="89" t="n">
        <f aca="true">IF(AR$5=0,AQ58,MAX(0,(AQ58-AR$4)*(1+NORMINV(RAND(),INPUTS!$B$28,INPUTS!$B$29))))</f>
        <v>3766994.01732993</v>
      </c>
      <c r="AS58" s="89" t="n">
        <f aca="true">IF(AS$5=0,AR58,MAX(0,(AR58-AS$4)*(1+NORMINV(RAND(),INPUTS!$B$28,INPUTS!$B$29))))</f>
        <v>3766994.01732993</v>
      </c>
      <c r="AT58" s="89" t="n">
        <f aca="true">IF(AT$5=0,AS58,MAX(0,(AS58-AT$4)*(1+NORMINV(RAND(),INPUTS!$B$28,INPUTS!$B$29))))</f>
        <v>3766994.01732993</v>
      </c>
      <c r="AU58" s="89" t="n">
        <f aca="true">IF(AU$5=0,AT58,MAX(0,(AT58-AU$4)*(1+NORMINV(RAND(),INPUTS!$B$28,INPUTS!$B$29))))</f>
        <v>3766994.01732993</v>
      </c>
      <c r="AV58" s="89" t="n">
        <f aca="true">IF(AV$5=0,AU58,MAX(0,(AU58-AV$4)*(1+NORMINV(RAND(),INPUTS!$B$28,INPUTS!$B$29))))</f>
        <v>3766994.01732993</v>
      </c>
      <c r="AW58" s="89" t="n">
        <f aca="true">IF(AW$5=0,AV58,MAX(0,(AV58-AW$4)*(1+NORMINV(RAND(),INPUTS!$B$28,INPUTS!$B$29))))</f>
        <v>3766994.01732993</v>
      </c>
      <c r="AX58" s="89" t="n">
        <f aca="true">IF(AX$5=0,AW58,MAX(0,(AW58-AX$4)*(1+NORMINV(RAND(),INPUTS!$B$28,INPUTS!$B$29))))</f>
        <v>3766994.01732993</v>
      </c>
      <c r="AY58" s="89" t="n">
        <f aca="true">IF(AY$5=0,AX58,MAX(0,(AX58-AY$4)*(1+NORMINV(RAND(),INPUTS!$B$28,INPUTS!$B$29))))</f>
        <v>3766994.01732993</v>
      </c>
      <c r="AZ58" s="89" t="n">
        <f aca="true">IF(AZ$5=0,AY58,MAX(0,(AY58-AZ$4)*(1+NORMINV(RAND(),INPUTS!$B$28,INPUTS!$B$29))))</f>
        <v>3766994.01732993</v>
      </c>
      <c r="BA58" s="89" t="n">
        <f aca="true">IF(BA$5=0,AZ58,MAX(0,(AZ58-BA$4)*(1+NORMINV(RAND(),INPUTS!$B$28,INPUTS!$B$29))))</f>
        <v>3766994.01732993</v>
      </c>
      <c r="BB58" s="89" t="n">
        <f aca="true">IF(BB$5=0,BA58,MAX(0,(BA58-BB$4)*(1+NORMINV(RAND(),INPUTS!$B$28,INPUTS!$B$29))))</f>
        <v>3766994.01732993</v>
      </c>
      <c r="BC58" s="89" t="n">
        <f aca="true">IF(BC$5=0,BB58,MAX(0,(BB58-BC$4)*(1+NORMINV(RAND(),INPUTS!$B$28,INPUTS!$B$29))))</f>
        <v>3766994.01732993</v>
      </c>
      <c r="BD58" s="89" t="n">
        <f aca="true">IF(BD$5=0,BC58,MAX(0,(BC58-BD$4)*(1+NORMINV(RAND(),INPUTS!$B$28,INPUTS!$B$29))))</f>
        <v>3766994.01732993</v>
      </c>
      <c r="BE58" s="89" t="n">
        <f aca="true">IF(BE$5=0,BD58,MAX(0,(BD58-BE$4)*(1+NORMINV(RAND(),INPUTS!$B$28,INPUTS!$B$29))))</f>
        <v>3766994.01732993</v>
      </c>
      <c r="BF58" s="89" t="n">
        <f aca="true">IF(BF$5=0,BE58,MAX(0,(BE58-BF$4)*(1+NORMINV(RAND(),INPUTS!$B$28,INPUTS!$B$29))))</f>
        <v>3766994.01732993</v>
      </c>
      <c r="BG58" s="89" t="n">
        <f aca="true">IF(BG$5=0,BF58,MAX(0,(BF58-BG$4)*(1+NORMINV(RAND(),INPUTS!$B$28,INPUTS!$B$29))))</f>
        <v>3766994.01732993</v>
      </c>
      <c r="BH58" s="89" t="n">
        <f aca="true">IF(BH$5=0,BG58,MAX(0,(BG58-BH$4)*(1+NORMINV(RAND(),INPUTS!$B$28,INPUTS!$B$29))))</f>
        <v>3766994.01732993</v>
      </c>
      <c r="BI58" s="89" t="n">
        <f aca="true">IF(BI$5=0,BH58,MAX(0,(BH58-BI$4)*(1+NORMINV(RAND(),INPUTS!$B$28,INPUTS!$B$29))))</f>
        <v>3766994.01732993</v>
      </c>
      <c r="BJ58" s="89" t="n">
        <f aca="true">IF(BJ$5=0,BI58,MAX(0,(BI58-BJ$4)*(1+NORMINV(RAND(),INPUTS!$B$28,INPUTS!$B$29))))</f>
        <v>3766994.01732993</v>
      </c>
    </row>
    <row r="59" customFormat="false" ht="15" hidden="false" customHeight="true" outlineLevel="0" collapsed="false">
      <c r="A59" s="87" t="n">
        <v>52</v>
      </c>
      <c r="B59" s="88" t="n">
        <f aca="false">LOOKUP(9.99E+307,C59:BJ59)</f>
        <v>4831863.54953303</v>
      </c>
      <c r="C59" s="89" t="n">
        <f aca="true">IF(C$5=0,INPUTS!$B$35,MAX(0,(INPUTS!$B$35-C$4)*(1+NORMINV(RAND(),INPUTS!$B$28,INPUTS!$B$29))))</f>
        <v>1357100.21089988</v>
      </c>
      <c r="D59" s="89" t="n">
        <f aca="true">IF(D$5=0,C59,MAX(0,(C59-D$4)*(1+NORMINV(RAND(),INPUTS!$B$28,INPUTS!$B$29))))</f>
        <v>1744493.22369115</v>
      </c>
      <c r="E59" s="89" t="n">
        <f aca="true">IF(E$5=0,D59,MAX(0,(D59-E$4)*(1+NORMINV(RAND(),INPUTS!$B$28,INPUTS!$B$29))))</f>
        <v>1762410.76241491</v>
      </c>
      <c r="F59" s="89" t="n">
        <f aca="true">IF(F$5=0,E59,MAX(0,(E59-F$4)*(1+NORMINV(RAND(),INPUTS!$B$28,INPUTS!$B$29))))</f>
        <v>1844811.82939344</v>
      </c>
      <c r="G59" s="89" t="n">
        <f aca="true">IF(G$5=0,F59,MAX(0,(F59-G$4)*(1+NORMINV(RAND(),INPUTS!$B$28,INPUTS!$B$29))))</f>
        <v>1634623.82022652</v>
      </c>
      <c r="H59" s="89" t="n">
        <f aca="true">IF(H$5=0,G59,MAX(0,(G59-H$4)*(1+NORMINV(RAND(),INPUTS!$B$28,INPUTS!$B$29))))</f>
        <v>1800700.6304484</v>
      </c>
      <c r="I59" s="89" t="n">
        <f aca="true">IF(I$5=0,H59,MAX(0,(H59-I$4)*(1+NORMINV(RAND(),INPUTS!$B$28,INPUTS!$B$29))))</f>
        <v>1651267.62778993</v>
      </c>
      <c r="J59" s="89" t="n">
        <f aca="true">IF(J$5=0,I59,MAX(0,(I59-J$4)*(1+NORMINV(RAND(),INPUTS!$B$28,INPUTS!$B$29))))</f>
        <v>1886886.6625429</v>
      </c>
      <c r="K59" s="89" t="n">
        <f aca="true">IF(K$5=0,J59,MAX(0,(J59-K$4)*(1+NORMINV(RAND(),INPUTS!$B$28,INPUTS!$B$29))))</f>
        <v>2022951.80473514</v>
      </c>
      <c r="L59" s="89" t="n">
        <f aca="true">IF(L$5=0,K59,MAX(0,(K59-L$4)*(1+NORMINV(RAND(),INPUTS!$B$28,INPUTS!$B$29))))</f>
        <v>1862775.9551488</v>
      </c>
      <c r="M59" s="89" t="n">
        <f aca="true">IF(M$5=0,L59,MAX(0,(L59-M$4)*(1+NORMINV(RAND(),INPUTS!$B$28,INPUTS!$B$29))))</f>
        <v>1493531.56067503</v>
      </c>
      <c r="N59" s="89" t="n">
        <f aca="true">IF(N$5=0,M59,MAX(0,(M59-N$4)*(1+NORMINV(RAND(),INPUTS!$B$28,INPUTS!$B$29))))</f>
        <v>1612983.65410295</v>
      </c>
      <c r="O59" s="89" t="n">
        <f aca="true">IF(O$5=0,N59,MAX(0,(N59-O$4)*(1+NORMINV(RAND(),INPUTS!$B$28,INPUTS!$B$29))))</f>
        <v>1511466.73288791</v>
      </c>
      <c r="P59" s="89" t="n">
        <f aca="true">IF(P$5=0,O59,MAX(0,(O59-P$4)*(1+NORMINV(RAND(),INPUTS!$B$28,INPUTS!$B$29))))</f>
        <v>1525272.77447033</v>
      </c>
      <c r="Q59" s="89" t="n">
        <f aca="true">IF(Q$5=0,P59,MAX(0,(P59-Q$4)*(1+NORMINV(RAND(),INPUTS!$B$28,INPUTS!$B$29))))</f>
        <v>1439436.73664951</v>
      </c>
      <c r="R59" s="89" t="n">
        <f aca="true">IF(R$5=0,Q59,MAX(0,(Q59-R$4)*(1+NORMINV(RAND(),INPUTS!$B$28,INPUTS!$B$29))))</f>
        <v>1526802.79124351</v>
      </c>
      <c r="S59" s="89" t="n">
        <f aca="true">IF(S$5=0,R59,MAX(0,(R59-S$4)*(1+NORMINV(RAND(),INPUTS!$B$28,INPUTS!$B$29))))</f>
        <v>1693915.51529817</v>
      </c>
      <c r="T59" s="89" t="n">
        <f aca="true">IF(T$5=0,S59,MAX(0,(S59-T$4)*(1+NORMINV(RAND(),INPUTS!$B$28,INPUTS!$B$29))))</f>
        <v>1623362.89284953</v>
      </c>
      <c r="U59" s="89" t="n">
        <f aca="true">IF(U$5=0,T59,MAX(0,(T59-U$4)*(1+NORMINV(RAND(),INPUTS!$B$28,INPUTS!$B$29))))</f>
        <v>1608754.02268668</v>
      </c>
      <c r="V59" s="89" t="n">
        <f aca="true">IF(V$5=0,U59,MAX(0,(U59-V$4)*(1+NORMINV(RAND(),INPUTS!$B$28,INPUTS!$B$29))))</f>
        <v>1718484.6736077</v>
      </c>
      <c r="W59" s="89" t="n">
        <f aca="true">IF(W$5=0,V59,MAX(0,(V59-W$4)*(1+NORMINV(RAND(),INPUTS!$B$28,INPUTS!$B$29))))</f>
        <v>2286600.16997313</v>
      </c>
      <c r="X59" s="89" t="n">
        <f aca="true">IF(X$5=0,W59,MAX(0,(W59-X$4)*(1+NORMINV(RAND(),INPUTS!$B$28,INPUTS!$B$29))))</f>
        <v>2274506.59204775</v>
      </c>
      <c r="Y59" s="89" t="n">
        <f aca="true">IF(Y$5=0,X59,MAX(0,(X59-Y$4)*(1+NORMINV(RAND(),INPUTS!$B$28,INPUTS!$B$29))))</f>
        <v>2732493.34473836</v>
      </c>
      <c r="Z59" s="89" t="n">
        <f aca="true">IF(Z$5=0,Y59,MAX(0,(Y59-Z$4)*(1+NORMINV(RAND(),INPUTS!$B$28,INPUTS!$B$29))))</f>
        <v>2266789.82642495</v>
      </c>
      <c r="AA59" s="89" t="n">
        <f aca="true">IF(AA$5=0,Z59,MAX(0,(Z59-AA$4)*(1+NORMINV(RAND(),INPUTS!$B$28,INPUTS!$B$29))))</f>
        <v>2156189.36495372</v>
      </c>
      <c r="AB59" s="89" t="n">
        <f aca="true">IF(AB$5=0,AA59,MAX(0,(AA59-AB$4)*(1+NORMINV(RAND(),INPUTS!$B$28,INPUTS!$B$29))))</f>
        <v>2395180.27492048</v>
      </c>
      <c r="AC59" s="89" t="n">
        <f aca="true">IF(AC$5=0,AB59,MAX(0,(AB59-AC$4)*(1+NORMINV(RAND(),INPUTS!$B$28,INPUTS!$B$29))))</f>
        <v>2376847.35351161</v>
      </c>
      <c r="AD59" s="89" t="n">
        <f aca="true">IF(AD$5=0,AC59,MAX(0,(AC59-AD$4)*(1+NORMINV(RAND(),INPUTS!$B$28,INPUTS!$B$29))))</f>
        <v>2843866.58744799</v>
      </c>
      <c r="AE59" s="89" t="n">
        <f aca="true">IF(AE$5=0,AD59,MAX(0,(AD59-AE$4)*(1+NORMINV(RAND(),INPUTS!$B$28,INPUTS!$B$29))))</f>
        <v>2899218.2949949</v>
      </c>
      <c r="AF59" s="89" t="n">
        <f aca="true">IF(AF$5=0,AE59,MAX(0,(AE59-AF$4)*(1+NORMINV(RAND(),INPUTS!$B$28,INPUTS!$B$29))))</f>
        <v>3715030.33949377</v>
      </c>
      <c r="AG59" s="89" t="n">
        <f aca="true">IF(AG$5=0,AF59,MAX(0,(AF59-AG$4)*(1+NORMINV(RAND(),INPUTS!$B$28,INPUTS!$B$29))))</f>
        <v>4369173.17565341</v>
      </c>
      <c r="AH59" s="89" t="n">
        <f aca="true">IF(AH$5=0,AG59,MAX(0,(AG59-AH$4)*(1+NORMINV(RAND(),INPUTS!$B$28,INPUTS!$B$29))))</f>
        <v>4046978.8113536</v>
      </c>
      <c r="AI59" s="89" t="n">
        <f aca="true">IF(AI$5=0,AH59,MAX(0,(AH59-AI$4)*(1+NORMINV(RAND(),INPUTS!$B$28,INPUTS!$B$29))))</f>
        <v>4356546.41239844</v>
      </c>
      <c r="AJ59" s="89" t="n">
        <f aca="true">IF(AJ$5=0,AI59,MAX(0,(AI59-AJ$4)*(1+NORMINV(RAND(),INPUTS!$B$28,INPUTS!$B$29))))</f>
        <v>4196352.09490617</v>
      </c>
      <c r="AK59" s="89" t="n">
        <f aca="true">IF(AK$5=0,AJ59,MAX(0,(AJ59-AK$4)*(1+NORMINV(RAND(),INPUTS!$B$28,INPUTS!$B$29))))</f>
        <v>4361123.04163559</v>
      </c>
      <c r="AL59" s="89" t="n">
        <f aca="true">IF(AL$5=0,AK59,MAX(0,(AK59-AL$4)*(1+NORMINV(RAND(),INPUTS!$B$28,INPUTS!$B$29))))</f>
        <v>4831863.54953303</v>
      </c>
      <c r="AM59" s="89" t="n">
        <f aca="true">IF(AM$5=0,AL59,MAX(0,(AL59-AM$4)*(1+NORMINV(RAND(),INPUTS!$B$28,INPUTS!$B$29))))</f>
        <v>4831863.54953303</v>
      </c>
      <c r="AN59" s="89" t="n">
        <f aca="true">IF(AN$5=0,AM59,MAX(0,(AM59-AN$4)*(1+NORMINV(RAND(),INPUTS!$B$28,INPUTS!$B$29))))</f>
        <v>4831863.54953303</v>
      </c>
      <c r="AO59" s="89" t="n">
        <f aca="true">IF(AO$5=0,AN59,MAX(0,(AN59-AO$4)*(1+NORMINV(RAND(),INPUTS!$B$28,INPUTS!$B$29))))</f>
        <v>4831863.54953303</v>
      </c>
      <c r="AP59" s="89" t="n">
        <f aca="true">IF(AP$5=0,AO59,MAX(0,(AO59-AP$4)*(1+NORMINV(RAND(),INPUTS!$B$28,INPUTS!$B$29))))</f>
        <v>4831863.54953303</v>
      </c>
      <c r="AQ59" s="89" t="n">
        <f aca="true">IF(AQ$5=0,AP59,MAX(0,(AP59-AQ$4)*(1+NORMINV(RAND(),INPUTS!$B$28,INPUTS!$B$29))))</f>
        <v>4831863.54953303</v>
      </c>
      <c r="AR59" s="89" t="n">
        <f aca="true">IF(AR$5=0,AQ59,MAX(0,(AQ59-AR$4)*(1+NORMINV(RAND(),INPUTS!$B$28,INPUTS!$B$29))))</f>
        <v>4831863.54953303</v>
      </c>
      <c r="AS59" s="89" t="n">
        <f aca="true">IF(AS$5=0,AR59,MAX(0,(AR59-AS$4)*(1+NORMINV(RAND(),INPUTS!$B$28,INPUTS!$B$29))))</f>
        <v>4831863.54953303</v>
      </c>
      <c r="AT59" s="89" t="n">
        <f aca="true">IF(AT$5=0,AS59,MAX(0,(AS59-AT$4)*(1+NORMINV(RAND(),INPUTS!$B$28,INPUTS!$B$29))))</f>
        <v>4831863.54953303</v>
      </c>
      <c r="AU59" s="89" t="n">
        <f aca="true">IF(AU$5=0,AT59,MAX(0,(AT59-AU$4)*(1+NORMINV(RAND(),INPUTS!$B$28,INPUTS!$B$29))))</f>
        <v>4831863.54953303</v>
      </c>
      <c r="AV59" s="89" t="n">
        <f aca="true">IF(AV$5=0,AU59,MAX(0,(AU59-AV$4)*(1+NORMINV(RAND(),INPUTS!$B$28,INPUTS!$B$29))))</f>
        <v>4831863.54953303</v>
      </c>
      <c r="AW59" s="89" t="n">
        <f aca="true">IF(AW$5=0,AV59,MAX(0,(AV59-AW$4)*(1+NORMINV(RAND(),INPUTS!$B$28,INPUTS!$B$29))))</f>
        <v>4831863.54953303</v>
      </c>
      <c r="AX59" s="89" t="n">
        <f aca="true">IF(AX$5=0,AW59,MAX(0,(AW59-AX$4)*(1+NORMINV(RAND(),INPUTS!$B$28,INPUTS!$B$29))))</f>
        <v>4831863.54953303</v>
      </c>
      <c r="AY59" s="89" t="n">
        <f aca="true">IF(AY$5=0,AX59,MAX(0,(AX59-AY$4)*(1+NORMINV(RAND(),INPUTS!$B$28,INPUTS!$B$29))))</f>
        <v>4831863.54953303</v>
      </c>
      <c r="AZ59" s="89" t="n">
        <f aca="true">IF(AZ$5=0,AY59,MAX(0,(AY59-AZ$4)*(1+NORMINV(RAND(),INPUTS!$B$28,INPUTS!$B$29))))</f>
        <v>4831863.54953303</v>
      </c>
      <c r="BA59" s="89" t="n">
        <f aca="true">IF(BA$5=0,AZ59,MAX(0,(AZ59-BA$4)*(1+NORMINV(RAND(),INPUTS!$B$28,INPUTS!$B$29))))</f>
        <v>4831863.54953303</v>
      </c>
      <c r="BB59" s="89" t="n">
        <f aca="true">IF(BB$5=0,BA59,MAX(0,(BA59-BB$4)*(1+NORMINV(RAND(),INPUTS!$B$28,INPUTS!$B$29))))</f>
        <v>4831863.54953303</v>
      </c>
      <c r="BC59" s="89" t="n">
        <f aca="true">IF(BC$5=0,BB59,MAX(0,(BB59-BC$4)*(1+NORMINV(RAND(),INPUTS!$B$28,INPUTS!$B$29))))</f>
        <v>4831863.54953303</v>
      </c>
      <c r="BD59" s="89" t="n">
        <f aca="true">IF(BD$5=0,BC59,MAX(0,(BC59-BD$4)*(1+NORMINV(RAND(),INPUTS!$B$28,INPUTS!$B$29))))</f>
        <v>4831863.54953303</v>
      </c>
      <c r="BE59" s="89" t="n">
        <f aca="true">IF(BE$5=0,BD59,MAX(0,(BD59-BE$4)*(1+NORMINV(RAND(),INPUTS!$B$28,INPUTS!$B$29))))</f>
        <v>4831863.54953303</v>
      </c>
      <c r="BF59" s="89" t="n">
        <f aca="true">IF(BF$5=0,BE59,MAX(0,(BE59-BF$4)*(1+NORMINV(RAND(),INPUTS!$B$28,INPUTS!$B$29))))</f>
        <v>4831863.54953303</v>
      </c>
      <c r="BG59" s="89" t="n">
        <f aca="true">IF(BG$5=0,BF59,MAX(0,(BF59-BG$4)*(1+NORMINV(RAND(),INPUTS!$B$28,INPUTS!$B$29))))</f>
        <v>4831863.54953303</v>
      </c>
      <c r="BH59" s="89" t="n">
        <f aca="true">IF(BH$5=0,BG59,MAX(0,(BG59-BH$4)*(1+NORMINV(RAND(),INPUTS!$B$28,INPUTS!$B$29))))</f>
        <v>4831863.54953303</v>
      </c>
      <c r="BI59" s="89" t="n">
        <f aca="true">IF(BI$5=0,BH59,MAX(0,(BH59-BI$4)*(1+NORMINV(RAND(),INPUTS!$B$28,INPUTS!$B$29))))</f>
        <v>4831863.54953303</v>
      </c>
      <c r="BJ59" s="89" t="n">
        <f aca="true">IF(BJ$5=0,BI59,MAX(0,(BI59-BJ$4)*(1+NORMINV(RAND(),INPUTS!$B$28,INPUTS!$B$29))))</f>
        <v>4831863.54953303</v>
      </c>
    </row>
    <row r="60" customFormat="false" ht="15" hidden="false" customHeight="true" outlineLevel="0" collapsed="false">
      <c r="A60" s="87" t="n">
        <v>53</v>
      </c>
      <c r="B60" s="88" t="n">
        <f aca="false">LOOKUP(9.99E+307,C60:BJ60)</f>
        <v>1501990.31604316</v>
      </c>
      <c r="C60" s="89" t="n">
        <f aca="true">IF(C$5=0,INPUTS!$B$35,MAX(0,(INPUTS!$B$35-C$4)*(1+NORMINV(RAND(),INPUTS!$B$28,INPUTS!$B$29))))</f>
        <v>1816411.347658</v>
      </c>
      <c r="D60" s="89" t="n">
        <f aca="true">IF(D$5=0,C60,MAX(0,(C60-D$4)*(1+NORMINV(RAND(),INPUTS!$B$28,INPUTS!$B$29))))</f>
        <v>2022362.78078751</v>
      </c>
      <c r="E60" s="89" t="n">
        <f aca="true">IF(E$5=0,D60,MAX(0,(D60-E$4)*(1+NORMINV(RAND(),INPUTS!$B$28,INPUTS!$B$29))))</f>
        <v>1306631.16076716</v>
      </c>
      <c r="F60" s="89" t="n">
        <f aca="true">IF(F$5=0,E60,MAX(0,(E60-F$4)*(1+NORMINV(RAND(),INPUTS!$B$28,INPUTS!$B$29))))</f>
        <v>1241576.3250873</v>
      </c>
      <c r="G60" s="89" t="n">
        <f aca="true">IF(G$5=0,F60,MAX(0,(F60-G$4)*(1+NORMINV(RAND(),INPUTS!$B$28,INPUTS!$B$29))))</f>
        <v>1296274.48579063</v>
      </c>
      <c r="H60" s="89" t="n">
        <f aca="true">IF(H$5=0,G60,MAX(0,(G60-H$4)*(1+NORMINV(RAND(),INPUTS!$B$28,INPUTS!$B$29))))</f>
        <v>1488875.65581482</v>
      </c>
      <c r="I60" s="89" t="n">
        <f aca="true">IF(I$5=0,H60,MAX(0,(H60-I$4)*(1+NORMINV(RAND(),INPUTS!$B$28,INPUTS!$B$29))))</f>
        <v>1256356.86798311</v>
      </c>
      <c r="J60" s="89" t="n">
        <f aca="true">IF(J$5=0,I60,MAX(0,(I60-J$4)*(1+NORMINV(RAND(),INPUTS!$B$28,INPUTS!$B$29))))</f>
        <v>1174802.12988798</v>
      </c>
      <c r="K60" s="89" t="n">
        <f aca="true">IF(K$5=0,J60,MAX(0,(J60-K$4)*(1+NORMINV(RAND(),INPUTS!$B$28,INPUTS!$B$29))))</f>
        <v>1172829.14252252</v>
      </c>
      <c r="L60" s="89" t="n">
        <f aca="true">IF(L$5=0,K60,MAX(0,(K60-L$4)*(1+NORMINV(RAND(),INPUTS!$B$28,INPUTS!$B$29))))</f>
        <v>1288220.37141539</v>
      </c>
      <c r="M60" s="89" t="n">
        <f aca="true">IF(M$5=0,L60,MAX(0,(L60-M$4)*(1+NORMINV(RAND(),INPUTS!$B$28,INPUTS!$B$29))))</f>
        <v>1311177.12402924</v>
      </c>
      <c r="N60" s="89" t="n">
        <f aca="true">IF(N$5=0,M60,MAX(0,(M60-N$4)*(1+NORMINV(RAND(),INPUTS!$B$28,INPUTS!$B$29))))</f>
        <v>1303997.93115765</v>
      </c>
      <c r="O60" s="89" t="n">
        <f aca="true">IF(O$5=0,N60,MAX(0,(N60-O$4)*(1+NORMINV(RAND(),INPUTS!$B$28,INPUTS!$B$29))))</f>
        <v>1295391.33602108</v>
      </c>
      <c r="P60" s="89" t="n">
        <f aca="true">IF(P$5=0,O60,MAX(0,(O60-P$4)*(1+NORMINV(RAND(),INPUTS!$B$28,INPUTS!$B$29))))</f>
        <v>1281961.18117028</v>
      </c>
      <c r="Q60" s="89" t="n">
        <f aca="true">IF(Q$5=0,P60,MAX(0,(P60-Q$4)*(1+NORMINV(RAND(),INPUTS!$B$28,INPUTS!$B$29))))</f>
        <v>1311340.69832872</v>
      </c>
      <c r="R60" s="89" t="n">
        <f aca="true">IF(R$5=0,Q60,MAX(0,(Q60-R$4)*(1+NORMINV(RAND(),INPUTS!$B$28,INPUTS!$B$29))))</f>
        <v>1569475.3401202</v>
      </c>
      <c r="S60" s="89" t="n">
        <f aca="true">IF(S$5=0,R60,MAX(0,(R60-S$4)*(1+NORMINV(RAND(),INPUTS!$B$28,INPUTS!$B$29))))</f>
        <v>1752594.47404884</v>
      </c>
      <c r="T60" s="89" t="n">
        <f aca="true">IF(T$5=0,S60,MAX(0,(S60-T$4)*(1+NORMINV(RAND(),INPUTS!$B$28,INPUTS!$B$29))))</f>
        <v>1819405.69839429</v>
      </c>
      <c r="U60" s="89" t="n">
        <f aca="true">IF(U$5=0,T60,MAX(0,(T60-U$4)*(1+NORMINV(RAND(),INPUTS!$B$28,INPUTS!$B$29))))</f>
        <v>1803722.39094312</v>
      </c>
      <c r="V60" s="89" t="n">
        <f aca="true">IF(V$5=0,U60,MAX(0,(U60-V$4)*(1+NORMINV(RAND(),INPUTS!$B$28,INPUTS!$B$29))))</f>
        <v>1924724.99669035</v>
      </c>
      <c r="W60" s="89" t="n">
        <f aca="true">IF(W$5=0,V60,MAX(0,(V60-W$4)*(1+NORMINV(RAND(),INPUTS!$B$28,INPUTS!$B$29))))</f>
        <v>2178812.53868873</v>
      </c>
      <c r="X60" s="89" t="n">
        <f aca="true">IF(X$5=0,W60,MAX(0,(W60-X$4)*(1+NORMINV(RAND(),INPUTS!$B$28,INPUTS!$B$29))))</f>
        <v>1764181.99722032</v>
      </c>
      <c r="Y60" s="89" t="n">
        <f aca="true">IF(Y$5=0,X60,MAX(0,(X60-Y$4)*(1+NORMINV(RAND(),INPUTS!$B$28,INPUTS!$B$29))))</f>
        <v>1610566.29759174</v>
      </c>
      <c r="Z60" s="89" t="n">
        <f aca="true">IF(Z$5=0,Y60,MAX(0,(Y60-Z$4)*(1+NORMINV(RAND(),INPUTS!$B$28,INPUTS!$B$29))))</f>
        <v>1943834.34704211</v>
      </c>
      <c r="AA60" s="89" t="n">
        <f aca="true">IF(AA$5=0,Z60,MAX(0,(Z60-AA$4)*(1+NORMINV(RAND(),INPUTS!$B$28,INPUTS!$B$29))))</f>
        <v>1810269.15497258</v>
      </c>
      <c r="AB60" s="89" t="n">
        <f aca="true">IF(AB$5=0,AA60,MAX(0,(AA60-AB$4)*(1+NORMINV(RAND(),INPUTS!$B$28,INPUTS!$B$29))))</f>
        <v>1814106.73439989</v>
      </c>
      <c r="AC60" s="89" t="n">
        <f aca="true">IF(AC$5=0,AB60,MAX(0,(AB60-AC$4)*(1+NORMINV(RAND(),INPUTS!$B$28,INPUTS!$B$29))))</f>
        <v>1878561.01196572</v>
      </c>
      <c r="AD60" s="89" t="n">
        <f aca="true">IF(AD$5=0,AC60,MAX(0,(AC60-AD$4)*(1+NORMINV(RAND(),INPUTS!$B$28,INPUTS!$B$29))))</f>
        <v>1901746.56930677</v>
      </c>
      <c r="AE60" s="89" t="n">
        <f aca="true">IF(AE$5=0,AD60,MAX(0,(AD60-AE$4)*(1+NORMINV(RAND(),INPUTS!$B$28,INPUTS!$B$29))))</f>
        <v>1970712.71839752</v>
      </c>
      <c r="AF60" s="89" t="n">
        <f aca="true">IF(AF$5=0,AE60,MAX(0,(AE60-AF$4)*(1+NORMINV(RAND(),INPUTS!$B$28,INPUTS!$B$29))))</f>
        <v>1445650.82068578</v>
      </c>
      <c r="AG60" s="89" t="n">
        <f aca="true">IF(AG$5=0,AF60,MAX(0,(AF60-AG$4)*(1+NORMINV(RAND(),INPUTS!$B$28,INPUTS!$B$29))))</f>
        <v>1579059.84243391</v>
      </c>
      <c r="AH60" s="89" t="n">
        <f aca="true">IF(AH$5=0,AG60,MAX(0,(AG60-AH$4)*(1+NORMINV(RAND(),INPUTS!$B$28,INPUTS!$B$29))))</f>
        <v>1644651.49796934</v>
      </c>
      <c r="AI60" s="89" t="n">
        <f aca="true">IF(AI$5=0,AH60,MAX(0,(AH60-AI$4)*(1+NORMINV(RAND(),INPUTS!$B$28,INPUTS!$B$29))))</f>
        <v>1416039.31491444</v>
      </c>
      <c r="AJ60" s="89" t="n">
        <f aca="true">IF(AJ$5=0,AI60,MAX(0,(AI60-AJ$4)*(1+NORMINV(RAND(),INPUTS!$B$28,INPUTS!$B$29))))</f>
        <v>1431018.30980782</v>
      </c>
      <c r="AK60" s="89" t="n">
        <f aca="true">IF(AK$5=0,AJ60,MAX(0,(AJ60-AK$4)*(1+NORMINV(RAND(),INPUTS!$B$28,INPUTS!$B$29))))</f>
        <v>1624651.43203882</v>
      </c>
      <c r="AL60" s="89" t="n">
        <f aca="true">IF(AL$5=0,AK60,MAX(0,(AK60-AL$4)*(1+NORMINV(RAND(),INPUTS!$B$28,INPUTS!$B$29))))</f>
        <v>1501990.31604316</v>
      </c>
      <c r="AM60" s="89" t="n">
        <f aca="true">IF(AM$5=0,AL60,MAX(0,(AL60-AM$4)*(1+NORMINV(RAND(),INPUTS!$B$28,INPUTS!$B$29))))</f>
        <v>1501990.31604316</v>
      </c>
      <c r="AN60" s="89" t="n">
        <f aca="true">IF(AN$5=0,AM60,MAX(0,(AM60-AN$4)*(1+NORMINV(RAND(),INPUTS!$B$28,INPUTS!$B$29))))</f>
        <v>1501990.31604316</v>
      </c>
      <c r="AO60" s="89" t="n">
        <f aca="true">IF(AO$5=0,AN60,MAX(0,(AN60-AO$4)*(1+NORMINV(RAND(),INPUTS!$B$28,INPUTS!$B$29))))</f>
        <v>1501990.31604316</v>
      </c>
      <c r="AP60" s="89" t="n">
        <f aca="true">IF(AP$5=0,AO60,MAX(0,(AO60-AP$4)*(1+NORMINV(RAND(),INPUTS!$B$28,INPUTS!$B$29))))</f>
        <v>1501990.31604316</v>
      </c>
      <c r="AQ60" s="89" t="n">
        <f aca="true">IF(AQ$5=0,AP60,MAX(0,(AP60-AQ$4)*(1+NORMINV(RAND(),INPUTS!$B$28,INPUTS!$B$29))))</f>
        <v>1501990.31604316</v>
      </c>
      <c r="AR60" s="89" t="n">
        <f aca="true">IF(AR$5=0,AQ60,MAX(0,(AQ60-AR$4)*(1+NORMINV(RAND(),INPUTS!$B$28,INPUTS!$B$29))))</f>
        <v>1501990.31604316</v>
      </c>
      <c r="AS60" s="89" t="n">
        <f aca="true">IF(AS$5=0,AR60,MAX(0,(AR60-AS$4)*(1+NORMINV(RAND(),INPUTS!$B$28,INPUTS!$B$29))))</f>
        <v>1501990.31604316</v>
      </c>
      <c r="AT60" s="89" t="n">
        <f aca="true">IF(AT$5=0,AS60,MAX(0,(AS60-AT$4)*(1+NORMINV(RAND(),INPUTS!$B$28,INPUTS!$B$29))))</f>
        <v>1501990.31604316</v>
      </c>
      <c r="AU60" s="89" t="n">
        <f aca="true">IF(AU$5=0,AT60,MAX(0,(AT60-AU$4)*(1+NORMINV(RAND(),INPUTS!$B$28,INPUTS!$B$29))))</f>
        <v>1501990.31604316</v>
      </c>
      <c r="AV60" s="89" t="n">
        <f aca="true">IF(AV$5=0,AU60,MAX(0,(AU60-AV$4)*(1+NORMINV(RAND(),INPUTS!$B$28,INPUTS!$B$29))))</f>
        <v>1501990.31604316</v>
      </c>
      <c r="AW60" s="89" t="n">
        <f aca="true">IF(AW$5=0,AV60,MAX(0,(AV60-AW$4)*(1+NORMINV(RAND(),INPUTS!$B$28,INPUTS!$B$29))))</f>
        <v>1501990.31604316</v>
      </c>
      <c r="AX60" s="89" t="n">
        <f aca="true">IF(AX$5=0,AW60,MAX(0,(AW60-AX$4)*(1+NORMINV(RAND(),INPUTS!$B$28,INPUTS!$B$29))))</f>
        <v>1501990.31604316</v>
      </c>
      <c r="AY60" s="89" t="n">
        <f aca="true">IF(AY$5=0,AX60,MAX(0,(AX60-AY$4)*(1+NORMINV(RAND(),INPUTS!$B$28,INPUTS!$B$29))))</f>
        <v>1501990.31604316</v>
      </c>
      <c r="AZ60" s="89" t="n">
        <f aca="true">IF(AZ$5=0,AY60,MAX(0,(AY60-AZ$4)*(1+NORMINV(RAND(),INPUTS!$B$28,INPUTS!$B$29))))</f>
        <v>1501990.31604316</v>
      </c>
      <c r="BA60" s="89" t="n">
        <f aca="true">IF(BA$5=0,AZ60,MAX(0,(AZ60-BA$4)*(1+NORMINV(RAND(),INPUTS!$B$28,INPUTS!$B$29))))</f>
        <v>1501990.31604316</v>
      </c>
      <c r="BB60" s="89" t="n">
        <f aca="true">IF(BB$5=0,BA60,MAX(0,(BA60-BB$4)*(1+NORMINV(RAND(),INPUTS!$B$28,INPUTS!$B$29))))</f>
        <v>1501990.31604316</v>
      </c>
      <c r="BC60" s="89" t="n">
        <f aca="true">IF(BC$5=0,BB60,MAX(0,(BB60-BC$4)*(1+NORMINV(RAND(),INPUTS!$B$28,INPUTS!$B$29))))</f>
        <v>1501990.31604316</v>
      </c>
      <c r="BD60" s="89" t="n">
        <f aca="true">IF(BD$5=0,BC60,MAX(0,(BC60-BD$4)*(1+NORMINV(RAND(),INPUTS!$B$28,INPUTS!$B$29))))</f>
        <v>1501990.31604316</v>
      </c>
      <c r="BE60" s="89" t="n">
        <f aca="true">IF(BE$5=0,BD60,MAX(0,(BD60-BE$4)*(1+NORMINV(RAND(),INPUTS!$B$28,INPUTS!$B$29))))</f>
        <v>1501990.31604316</v>
      </c>
      <c r="BF60" s="89" t="n">
        <f aca="true">IF(BF$5=0,BE60,MAX(0,(BE60-BF$4)*(1+NORMINV(RAND(),INPUTS!$B$28,INPUTS!$B$29))))</f>
        <v>1501990.31604316</v>
      </c>
      <c r="BG60" s="89" t="n">
        <f aca="true">IF(BG$5=0,BF60,MAX(0,(BF60-BG$4)*(1+NORMINV(RAND(),INPUTS!$B$28,INPUTS!$B$29))))</f>
        <v>1501990.31604316</v>
      </c>
      <c r="BH60" s="89" t="n">
        <f aca="true">IF(BH$5=0,BG60,MAX(0,(BG60-BH$4)*(1+NORMINV(RAND(),INPUTS!$B$28,INPUTS!$B$29))))</f>
        <v>1501990.31604316</v>
      </c>
      <c r="BI60" s="89" t="n">
        <f aca="true">IF(BI$5=0,BH60,MAX(0,(BH60-BI$4)*(1+NORMINV(RAND(),INPUTS!$B$28,INPUTS!$B$29))))</f>
        <v>1501990.31604316</v>
      </c>
      <c r="BJ60" s="89" t="n">
        <f aca="true">IF(BJ$5=0,BI60,MAX(0,(BI60-BJ$4)*(1+NORMINV(RAND(),INPUTS!$B$28,INPUTS!$B$29))))</f>
        <v>1501990.31604316</v>
      </c>
    </row>
    <row r="61" customFormat="false" ht="15" hidden="false" customHeight="true" outlineLevel="0" collapsed="false">
      <c r="A61" s="87" t="n">
        <v>54</v>
      </c>
      <c r="B61" s="88" t="n">
        <f aca="false">LOOKUP(9.99E+307,C61:BJ61)</f>
        <v>9919301.07817039</v>
      </c>
      <c r="C61" s="89" t="n">
        <f aca="true">IF(C$5=0,INPUTS!$B$35,MAX(0,(INPUTS!$B$35-C$4)*(1+NORMINV(RAND(),INPUTS!$B$28,INPUTS!$B$29))))</f>
        <v>1623938.34266595</v>
      </c>
      <c r="D61" s="89" t="n">
        <f aca="true">IF(D$5=0,C61,MAX(0,(C61-D$4)*(1+NORMINV(RAND(),INPUTS!$B$28,INPUTS!$B$29))))</f>
        <v>1228205.34177103</v>
      </c>
      <c r="E61" s="89" t="n">
        <f aca="true">IF(E$5=0,D61,MAX(0,(D61-E$4)*(1+NORMINV(RAND(),INPUTS!$B$28,INPUTS!$B$29))))</f>
        <v>1178786.29416367</v>
      </c>
      <c r="F61" s="89" t="n">
        <f aca="true">IF(F$5=0,E61,MAX(0,(E61-F$4)*(1+NORMINV(RAND(),INPUTS!$B$28,INPUTS!$B$29))))</f>
        <v>1333647.32535522</v>
      </c>
      <c r="G61" s="89" t="n">
        <f aca="true">IF(G$5=0,F61,MAX(0,(F61-G$4)*(1+NORMINV(RAND(),INPUTS!$B$28,INPUTS!$B$29))))</f>
        <v>1383380.17322767</v>
      </c>
      <c r="H61" s="89" t="n">
        <f aca="true">IF(H$5=0,G61,MAX(0,(G61-H$4)*(1+NORMINV(RAND(),INPUTS!$B$28,INPUTS!$B$29))))</f>
        <v>1369516.86780602</v>
      </c>
      <c r="I61" s="89" t="n">
        <f aca="true">IF(I$5=0,H61,MAX(0,(H61-I$4)*(1+NORMINV(RAND(),INPUTS!$B$28,INPUTS!$B$29))))</f>
        <v>1355120.66399131</v>
      </c>
      <c r="J61" s="89" t="n">
        <f aca="true">IF(J$5=0,I61,MAX(0,(I61-J$4)*(1+NORMINV(RAND(),INPUTS!$B$28,INPUTS!$B$29))))</f>
        <v>1368180.29385612</v>
      </c>
      <c r="K61" s="89" t="n">
        <f aca="true">IF(K$5=0,J61,MAX(0,(J61-K$4)*(1+NORMINV(RAND(),INPUTS!$B$28,INPUTS!$B$29))))</f>
        <v>1790547.46790531</v>
      </c>
      <c r="L61" s="89" t="n">
        <f aca="true">IF(L$5=0,K61,MAX(0,(K61-L$4)*(1+NORMINV(RAND(),INPUTS!$B$28,INPUTS!$B$29))))</f>
        <v>1567424.93089434</v>
      </c>
      <c r="M61" s="89" t="n">
        <f aca="true">IF(M$5=0,L61,MAX(0,(L61-M$4)*(1+NORMINV(RAND(),INPUTS!$B$28,INPUTS!$B$29))))</f>
        <v>1601628.27485314</v>
      </c>
      <c r="N61" s="89" t="n">
        <f aca="true">IF(N$5=0,M61,MAX(0,(M61-N$4)*(1+NORMINV(RAND(),INPUTS!$B$28,INPUTS!$B$29))))</f>
        <v>1691066.98297579</v>
      </c>
      <c r="O61" s="89" t="n">
        <f aca="true">IF(O$5=0,N61,MAX(0,(N61-O$4)*(1+NORMINV(RAND(),INPUTS!$B$28,INPUTS!$B$29))))</f>
        <v>1989948.30647715</v>
      </c>
      <c r="P61" s="89" t="n">
        <f aca="true">IF(P$5=0,O61,MAX(0,(O61-P$4)*(1+NORMINV(RAND(),INPUTS!$B$28,INPUTS!$B$29))))</f>
        <v>2177742.63908297</v>
      </c>
      <c r="Q61" s="89" t="n">
        <f aca="true">IF(Q$5=0,P61,MAX(0,(P61-Q$4)*(1+NORMINV(RAND(),INPUTS!$B$28,INPUTS!$B$29))))</f>
        <v>1991449.04509736</v>
      </c>
      <c r="R61" s="89" t="n">
        <f aca="true">IF(R$5=0,Q61,MAX(0,(Q61-R$4)*(1+NORMINV(RAND(),INPUTS!$B$28,INPUTS!$B$29))))</f>
        <v>2415173.58362854</v>
      </c>
      <c r="S61" s="89" t="n">
        <f aca="true">IF(S$5=0,R61,MAX(0,(R61-S$4)*(1+NORMINV(RAND(),INPUTS!$B$28,INPUTS!$B$29))))</f>
        <v>2737342.80914803</v>
      </c>
      <c r="T61" s="89" t="n">
        <f aca="true">IF(T$5=0,S61,MAX(0,(S61-T$4)*(1+NORMINV(RAND(),INPUTS!$B$28,INPUTS!$B$29))))</f>
        <v>2955121.14761417</v>
      </c>
      <c r="U61" s="89" t="n">
        <f aca="true">IF(U$5=0,T61,MAX(0,(T61-U$4)*(1+NORMINV(RAND(),INPUTS!$B$28,INPUTS!$B$29))))</f>
        <v>3029688.79806013</v>
      </c>
      <c r="V61" s="89" t="n">
        <f aca="true">IF(V$5=0,U61,MAX(0,(U61-V$4)*(1+NORMINV(RAND(),INPUTS!$B$28,INPUTS!$B$29))))</f>
        <v>3124181.79024062</v>
      </c>
      <c r="W61" s="89" t="n">
        <f aca="true">IF(W$5=0,V61,MAX(0,(V61-W$4)*(1+NORMINV(RAND(),INPUTS!$B$28,INPUTS!$B$29))))</f>
        <v>3221727.54076534</v>
      </c>
      <c r="X61" s="89" t="n">
        <f aca="true">IF(X$5=0,W61,MAX(0,(W61-X$4)*(1+NORMINV(RAND(),INPUTS!$B$28,INPUTS!$B$29))))</f>
        <v>3558333.90899487</v>
      </c>
      <c r="Y61" s="89" t="n">
        <f aca="true">IF(Y$5=0,X61,MAX(0,(X61-Y$4)*(1+NORMINV(RAND(),INPUTS!$B$28,INPUTS!$B$29))))</f>
        <v>3607564.70661948</v>
      </c>
      <c r="Z61" s="89" t="n">
        <f aca="true">IF(Z$5=0,Y61,MAX(0,(Y61-Z$4)*(1+NORMINV(RAND(),INPUTS!$B$28,INPUTS!$B$29))))</f>
        <v>3863000.98816017</v>
      </c>
      <c r="AA61" s="89" t="n">
        <f aca="true">IF(AA$5=0,Z61,MAX(0,(Z61-AA$4)*(1+NORMINV(RAND(),INPUTS!$B$28,INPUTS!$B$29))))</f>
        <v>4798459.93426514</v>
      </c>
      <c r="AB61" s="89" t="n">
        <f aca="true">IF(AB$5=0,AA61,MAX(0,(AA61-AB$4)*(1+NORMINV(RAND(),INPUTS!$B$28,INPUTS!$B$29))))</f>
        <v>5151761.66262676</v>
      </c>
      <c r="AC61" s="89" t="n">
        <f aca="true">IF(AC$5=0,AB61,MAX(0,(AB61-AC$4)*(1+NORMINV(RAND(),INPUTS!$B$28,INPUTS!$B$29))))</f>
        <v>6570003.60146589</v>
      </c>
      <c r="AD61" s="89" t="n">
        <f aca="true">IF(AD$5=0,AC61,MAX(0,(AC61-AD$4)*(1+NORMINV(RAND(),INPUTS!$B$28,INPUTS!$B$29))))</f>
        <v>6246029.9426111</v>
      </c>
      <c r="AE61" s="89" t="n">
        <f aca="true">IF(AE$5=0,AD61,MAX(0,(AD61-AE$4)*(1+NORMINV(RAND(),INPUTS!$B$28,INPUTS!$B$29))))</f>
        <v>6860548.4466166</v>
      </c>
      <c r="AF61" s="89" t="n">
        <f aca="true">IF(AF$5=0,AE61,MAX(0,(AE61-AF$4)*(1+NORMINV(RAND(),INPUTS!$B$28,INPUTS!$B$29))))</f>
        <v>7452531.32478472</v>
      </c>
      <c r="AG61" s="89" t="n">
        <f aca="true">IF(AG$5=0,AF61,MAX(0,(AF61-AG$4)*(1+NORMINV(RAND(),INPUTS!$B$28,INPUTS!$B$29))))</f>
        <v>6710533.85962327</v>
      </c>
      <c r="AH61" s="89" t="n">
        <f aca="true">IF(AH$5=0,AG61,MAX(0,(AG61-AH$4)*(1+NORMINV(RAND(),INPUTS!$B$28,INPUTS!$B$29))))</f>
        <v>7241794.43871601</v>
      </c>
      <c r="AI61" s="89" t="n">
        <f aca="true">IF(AI$5=0,AH61,MAX(0,(AH61-AI$4)*(1+NORMINV(RAND(),INPUTS!$B$28,INPUTS!$B$29))))</f>
        <v>7923541.89932435</v>
      </c>
      <c r="AJ61" s="89" t="n">
        <f aca="true">IF(AJ$5=0,AI61,MAX(0,(AI61-AJ$4)*(1+NORMINV(RAND(),INPUTS!$B$28,INPUTS!$B$29))))</f>
        <v>8114123.54143723</v>
      </c>
      <c r="AK61" s="89" t="n">
        <f aca="true">IF(AK$5=0,AJ61,MAX(0,(AJ61-AK$4)*(1+NORMINV(RAND(),INPUTS!$B$28,INPUTS!$B$29))))</f>
        <v>9222307.17414381</v>
      </c>
      <c r="AL61" s="89" t="n">
        <f aca="true">IF(AL$5=0,AK61,MAX(0,(AK61-AL$4)*(1+NORMINV(RAND(),INPUTS!$B$28,INPUTS!$B$29))))</f>
        <v>9919301.07817039</v>
      </c>
      <c r="AM61" s="89" t="n">
        <f aca="true">IF(AM$5=0,AL61,MAX(0,(AL61-AM$4)*(1+NORMINV(RAND(),INPUTS!$B$28,INPUTS!$B$29))))</f>
        <v>9919301.07817039</v>
      </c>
      <c r="AN61" s="89" t="n">
        <f aca="true">IF(AN$5=0,AM61,MAX(0,(AM61-AN$4)*(1+NORMINV(RAND(),INPUTS!$B$28,INPUTS!$B$29))))</f>
        <v>9919301.07817039</v>
      </c>
      <c r="AO61" s="89" t="n">
        <f aca="true">IF(AO$5=0,AN61,MAX(0,(AN61-AO$4)*(1+NORMINV(RAND(),INPUTS!$B$28,INPUTS!$B$29))))</f>
        <v>9919301.07817039</v>
      </c>
      <c r="AP61" s="89" t="n">
        <f aca="true">IF(AP$5=0,AO61,MAX(0,(AO61-AP$4)*(1+NORMINV(RAND(),INPUTS!$B$28,INPUTS!$B$29))))</f>
        <v>9919301.07817039</v>
      </c>
      <c r="AQ61" s="89" t="n">
        <f aca="true">IF(AQ$5=0,AP61,MAX(0,(AP61-AQ$4)*(1+NORMINV(RAND(),INPUTS!$B$28,INPUTS!$B$29))))</f>
        <v>9919301.07817039</v>
      </c>
      <c r="AR61" s="89" t="n">
        <f aca="true">IF(AR$5=0,AQ61,MAX(0,(AQ61-AR$4)*(1+NORMINV(RAND(),INPUTS!$B$28,INPUTS!$B$29))))</f>
        <v>9919301.07817039</v>
      </c>
      <c r="AS61" s="89" t="n">
        <f aca="true">IF(AS$5=0,AR61,MAX(0,(AR61-AS$4)*(1+NORMINV(RAND(),INPUTS!$B$28,INPUTS!$B$29))))</f>
        <v>9919301.07817039</v>
      </c>
      <c r="AT61" s="89" t="n">
        <f aca="true">IF(AT$5=0,AS61,MAX(0,(AS61-AT$4)*(1+NORMINV(RAND(),INPUTS!$B$28,INPUTS!$B$29))))</f>
        <v>9919301.07817039</v>
      </c>
      <c r="AU61" s="89" t="n">
        <f aca="true">IF(AU$5=0,AT61,MAX(0,(AT61-AU$4)*(1+NORMINV(RAND(),INPUTS!$B$28,INPUTS!$B$29))))</f>
        <v>9919301.07817039</v>
      </c>
      <c r="AV61" s="89" t="n">
        <f aca="true">IF(AV$5=0,AU61,MAX(0,(AU61-AV$4)*(1+NORMINV(RAND(),INPUTS!$B$28,INPUTS!$B$29))))</f>
        <v>9919301.07817039</v>
      </c>
      <c r="AW61" s="89" t="n">
        <f aca="true">IF(AW$5=0,AV61,MAX(0,(AV61-AW$4)*(1+NORMINV(RAND(),INPUTS!$B$28,INPUTS!$B$29))))</f>
        <v>9919301.07817039</v>
      </c>
      <c r="AX61" s="89" t="n">
        <f aca="true">IF(AX$5=0,AW61,MAX(0,(AW61-AX$4)*(1+NORMINV(RAND(),INPUTS!$B$28,INPUTS!$B$29))))</f>
        <v>9919301.07817039</v>
      </c>
      <c r="AY61" s="89" t="n">
        <f aca="true">IF(AY$5=0,AX61,MAX(0,(AX61-AY$4)*(1+NORMINV(RAND(),INPUTS!$B$28,INPUTS!$B$29))))</f>
        <v>9919301.07817039</v>
      </c>
      <c r="AZ61" s="89" t="n">
        <f aca="true">IF(AZ$5=0,AY61,MAX(0,(AY61-AZ$4)*(1+NORMINV(RAND(),INPUTS!$B$28,INPUTS!$B$29))))</f>
        <v>9919301.07817039</v>
      </c>
      <c r="BA61" s="89" t="n">
        <f aca="true">IF(BA$5=0,AZ61,MAX(0,(AZ61-BA$4)*(1+NORMINV(RAND(),INPUTS!$B$28,INPUTS!$B$29))))</f>
        <v>9919301.07817039</v>
      </c>
      <c r="BB61" s="89" t="n">
        <f aca="true">IF(BB$5=0,BA61,MAX(0,(BA61-BB$4)*(1+NORMINV(RAND(),INPUTS!$B$28,INPUTS!$B$29))))</f>
        <v>9919301.07817039</v>
      </c>
      <c r="BC61" s="89" t="n">
        <f aca="true">IF(BC$5=0,BB61,MAX(0,(BB61-BC$4)*(1+NORMINV(RAND(),INPUTS!$B$28,INPUTS!$B$29))))</f>
        <v>9919301.07817039</v>
      </c>
      <c r="BD61" s="89" t="n">
        <f aca="true">IF(BD$5=0,BC61,MAX(0,(BC61-BD$4)*(1+NORMINV(RAND(),INPUTS!$B$28,INPUTS!$B$29))))</f>
        <v>9919301.07817039</v>
      </c>
      <c r="BE61" s="89" t="n">
        <f aca="true">IF(BE$5=0,BD61,MAX(0,(BD61-BE$4)*(1+NORMINV(RAND(),INPUTS!$B$28,INPUTS!$B$29))))</f>
        <v>9919301.07817039</v>
      </c>
      <c r="BF61" s="89" t="n">
        <f aca="true">IF(BF$5=0,BE61,MAX(0,(BE61-BF$4)*(1+NORMINV(RAND(),INPUTS!$B$28,INPUTS!$B$29))))</f>
        <v>9919301.07817039</v>
      </c>
      <c r="BG61" s="89" t="n">
        <f aca="true">IF(BG$5=0,BF61,MAX(0,(BF61-BG$4)*(1+NORMINV(RAND(),INPUTS!$B$28,INPUTS!$B$29))))</f>
        <v>9919301.07817039</v>
      </c>
      <c r="BH61" s="89" t="n">
        <f aca="true">IF(BH$5=0,BG61,MAX(0,(BG61-BH$4)*(1+NORMINV(RAND(),INPUTS!$B$28,INPUTS!$B$29))))</f>
        <v>9919301.07817039</v>
      </c>
      <c r="BI61" s="89" t="n">
        <f aca="true">IF(BI$5=0,BH61,MAX(0,(BH61-BI$4)*(1+NORMINV(RAND(),INPUTS!$B$28,INPUTS!$B$29))))</f>
        <v>9919301.07817039</v>
      </c>
      <c r="BJ61" s="89" t="n">
        <f aca="true">IF(BJ$5=0,BI61,MAX(0,(BI61-BJ$4)*(1+NORMINV(RAND(),INPUTS!$B$28,INPUTS!$B$29))))</f>
        <v>9919301.07817039</v>
      </c>
    </row>
    <row r="62" customFormat="false" ht="15" hidden="false" customHeight="true" outlineLevel="0" collapsed="false">
      <c r="A62" s="87" t="n">
        <v>55</v>
      </c>
      <c r="B62" s="88" t="n">
        <f aca="false">LOOKUP(9.99E+307,C62:BJ62)</f>
        <v>7469255.92689776</v>
      </c>
      <c r="C62" s="89" t="n">
        <f aca="true">IF(C$5=0,INPUTS!$B$35,MAX(0,(INPUTS!$B$35-C$4)*(1+NORMINV(RAND(),INPUTS!$B$28,INPUTS!$B$29))))</f>
        <v>1670257.62908882</v>
      </c>
      <c r="D62" s="89" t="n">
        <f aca="true">IF(D$5=0,C62,MAX(0,(C62-D$4)*(1+NORMINV(RAND(),INPUTS!$B$28,INPUTS!$B$29))))</f>
        <v>1731122.66939333</v>
      </c>
      <c r="E62" s="89" t="n">
        <f aca="true">IF(E$5=0,D62,MAX(0,(D62-E$4)*(1+NORMINV(RAND(),INPUTS!$B$28,INPUTS!$B$29))))</f>
        <v>1722612.54397412</v>
      </c>
      <c r="F62" s="89" t="n">
        <f aca="true">IF(F$5=0,E62,MAX(0,(E62-F$4)*(1+NORMINV(RAND(),INPUTS!$B$28,INPUTS!$B$29))))</f>
        <v>1692368.03239763</v>
      </c>
      <c r="G62" s="89" t="n">
        <f aca="true">IF(G$5=0,F62,MAX(0,(F62-G$4)*(1+NORMINV(RAND(),INPUTS!$B$28,INPUTS!$B$29))))</f>
        <v>1574464.73760097</v>
      </c>
      <c r="H62" s="89" t="n">
        <f aca="true">IF(H$5=0,G62,MAX(0,(G62-H$4)*(1+NORMINV(RAND(),INPUTS!$B$28,INPUTS!$B$29))))</f>
        <v>1746610.60246829</v>
      </c>
      <c r="I62" s="89" t="n">
        <f aca="true">IF(I$5=0,H62,MAX(0,(H62-I$4)*(1+NORMINV(RAND(),INPUTS!$B$28,INPUTS!$B$29))))</f>
        <v>1621804.49205215</v>
      </c>
      <c r="J62" s="89" t="n">
        <f aca="true">IF(J$5=0,I62,MAX(0,(I62-J$4)*(1+NORMINV(RAND(),INPUTS!$B$28,INPUTS!$B$29))))</f>
        <v>1835367.21350315</v>
      </c>
      <c r="K62" s="89" t="n">
        <f aca="true">IF(K$5=0,J62,MAX(0,(J62-K$4)*(1+NORMINV(RAND(),INPUTS!$B$28,INPUTS!$B$29))))</f>
        <v>1875714.75418963</v>
      </c>
      <c r="L62" s="89" t="n">
        <f aca="true">IF(L$5=0,K62,MAX(0,(K62-L$4)*(1+NORMINV(RAND(),INPUTS!$B$28,INPUTS!$B$29))))</f>
        <v>1781196.18031474</v>
      </c>
      <c r="M62" s="89" t="n">
        <f aca="true">IF(M$5=0,L62,MAX(0,(L62-M$4)*(1+NORMINV(RAND(),INPUTS!$B$28,INPUTS!$B$29))))</f>
        <v>1806456.66858438</v>
      </c>
      <c r="N62" s="89" t="n">
        <f aca="true">IF(N$5=0,M62,MAX(0,(M62-N$4)*(1+NORMINV(RAND(),INPUTS!$B$28,INPUTS!$B$29))))</f>
        <v>2002435.8158387</v>
      </c>
      <c r="O62" s="89" t="n">
        <f aca="true">IF(O$5=0,N62,MAX(0,(N62-O$4)*(1+NORMINV(RAND(),INPUTS!$B$28,INPUTS!$B$29))))</f>
        <v>2080723.53886788</v>
      </c>
      <c r="P62" s="89" t="n">
        <f aca="true">IF(P$5=0,O62,MAX(0,(O62-P$4)*(1+NORMINV(RAND(),INPUTS!$B$28,INPUTS!$B$29))))</f>
        <v>2401018.08458717</v>
      </c>
      <c r="Q62" s="89" t="n">
        <f aca="true">IF(Q$5=0,P62,MAX(0,(P62-Q$4)*(1+NORMINV(RAND(),INPUTS!$B$28,INPUTS!$B$29))))</f>
        <v>2474818.90547947</v>
      </c>
      <c r="R62" s="89" t="n">
        <f aca="true">IF(R$5=0,Q62,MAX(0,(Q62-R$4)*(1+NORMINV(RAND(),INPUTS!$B$28,INPUTS!$B$29))))</f>
        <v>2563520.94827806</v>
      </c>
      <c r="S62" s="89" t="n">
        <f aca="true">IF(S$5=0,R62,MAX(0,(R62-S$4)*(1+NORMINV(RAND(),INPUTS!$B$28,INPUTS!$B$29))))</f>
        <v>2606424.81612242</v>
      </c>
      <c r="T62" s="89" t="n">
        <f aca="true">IF(T$5=0,S62,MAX(0,(S62-T$4)*(1+NORMINV(RAND(),INPUTS!$B$28,INPUTS!$B$29))))</f>
        <v>2330282.32802831</v>
      </c>
      <c r="U62" s="89" t="n">
        <f aca="true">IF(U$5=0,T62,MAX(0,(T62-U$4)*(1+NORMINV(RAND(),INPUTS!$B$28,INPUTS!$B$29))))</f>
        <v>2208000.71015089</v>
      </c>
      <c r="V62" s="89" t="n">
        <f aca="true">IF(V$5=0,U62,MAX(0,(U62-V$4)*(1+NORMINV(RAND(),INPUTS!$B$28,INPUTS!$B$29))))</f>
        <v>2627942.10379931</v>
      </c>
      <c r="W62" s="89" t="n">
        <f aca="true">IF(W$5=0,V62,MAX(0,(V62-W$4)*(1+NORMINV(RAND(),INPUTS!$B$28,INPUTS!$B$29))))</f>
        <v>2414987.98629133</v>
      </c>
      <c r="X62" s="89" t="n">
        <f aca="true">IF(X$5=0,W62,MAX(0,(W62-X$4)*(1+NORMINV(RAND(),INPUTS!$B$28,INPUTS!$B$29))))</f>
        <v>3284248.02596771</v>
      </c>
      <c r="Y62" s="89" t="n">
        <f aca="true">IF(Y$5=0,X62,MAX(0,(X62-Y$4)*(1+NORMINV(RAND(),INPUTS!$B$28,INPUTS!$B$29))))</f>
        <v>3579681.77843455</v>
      </c>
      <c r="Z62" s="89" t="n">
        <f aca="true">IF(Z$5=0,Y62,MAX(0,(Y62-Z$4)*(1+NORMINV(RAND(),INPUTS!$B$28,INPUTS!$B$29))))</f>
        <v>4688331.00170403</v>
      </c>
      <c r="AA62" s="89" t="n">
        <f aca="true">IF(AA$5=0,Z62,MAX(0,(Z62-AA$4)*(1+NORMINV(RAND(),INPUTS!$B$28,INPUTS!$B$29))))</f>
        <v>4209775.3860535</v>
      </c>
      <c r="AB62" s="89" t="n">
        <f aca="true">IF(AB$5=0,AA62,MAX(0,(AA62-AB$4)*(1+NORMINV(RAND(),INPUTS!$B$28,INPUTS!$B$29))))</f>
        <v>3933227.11415424</v>
      </c>
      <c r="AC62" s="89" t="n">
        <f aca="true">IF(AC$5=0,AB62,MAX(0,(AB62-AC$4)*(1+NORMINV(RAND(),INPUTS!$B$28,INPUTS!$B$29))))</f>
        <v>3967123.06043334</v>
      </c>
      <c r="AD62" s="89" t="n">
        <f aca="true">IF(AD$5=0,AC62,MAX(0,(AC62-AD$4)*(1+NORMINV(RAND(),INPUTS!$B$28,INPUTS!$B$29))))</f>
        <v>4226050.69046158</v>
      </c>
      <c r="AE62" s="89" t="n">
        <f aca="true">IF(AE$5=0,AD62,MAX(0,(AD62-AE$4)*(1+NORMINV(RAND(),INPUTS!$B$28,INPUTS!$B$29))))</f>
        <v>4704776.3536689</v>
      </c>
      <c r="AF62" s="89" t="n">
        <f aca="true">IF(AF$5=0,AE62,MAX(0,(AE62-AF$4)*(1+NORMINV(RAND(),INPUTS!$B$28,INPUTS!$B$29))))</f>
        <v>4593755.22702676</v>
      </c>
      <c r="AG62" s="89" t="n">
        <f aca="true">IF(AG$5=0,AF62,MAX(0,(AF62-AG$4)*(1+NORMINV(RAND(),INPUTS!$B$28,INPUTS!$B$29))))</f>
        <v>5400222.86430839</v>
      </c>
      <c r="AH62" s="89" t="n">
        <f aca="true">IF(AH$5=0,AG62,MAX(0,(AG62-AH$4)*(1+NORMINV(RAND(),INPUTS!$B$28,INPUTS!$B$29))))</f>
        <v>5737622.53810885</v>
      </c>
      <c r="AI62" s="89" t="n">
        <f aca="true">IF(AI$5=0,AH62,MAX(0,(AH62-AI$4)*(1+NORMINV(RAND(),INPUTS!$B$28,INPUTS!$B$29))))</f>
        <v>6517566.90571176</v>
      </c>
      <c r="AJ62" s="89" t="n">
        <f aca="true">IF(AJ$5=0,AI62,MAX(0,(AI62-AJ$4)*(1+NORMINV(RAND(),INPUTS!$B$28,INPUTS!$B$29))))</f>
        <v>7266386.01270821</v>
      </c>
      <c r="AK62" s="89" t="n">
        <f aca="true">IF(AK$5=0,AJ62,MAX(0,(AJ62-AK$4)*(1+NORMINV(RAND(),INPUTS!$B$28,INPUTS!$B$29))))</f>
        <v>6465032.514337</v>
      </c>
      <c r="AL62" s="89" t="n">
        <f aca="true">IF(AL$5=0,AK62,MAX(0,(AK62-AL$4)*(1+NORMINV(RAND(),INPUTS!$B$28,INPUTS!$B$29))))</f>
        <v>7469255.92689776</v>
      </c>
      <c r="AM62" s="89" t="n">
        <f aca="true">IF(AM$5=0,AL62,MAX(0,(AL62-AM$4)*(1+NORMINV(RAND(),INPUTS!$B$28,INPUTS!$B$29))))</f>
        <v>7469255.92689776</v>
      </c>
      <c r="AN62" s="89" t="n">
        <f aca="true">IF(AN$5=0,AM62,MAX(0,(AM62-AN$4)*(1+NORMINV(RAND(),INPUTS!$B$28,INPUTS!$B$29))))</f>
        <v>7469255.92689776</v>
      </c>
      <c r="AO62" s="89" t="n">
        <f aca="true">IF(AO$5=0,AN62,MAX(0,(AN62-AO$4)*(1+NORMINV(RAND(),INPUTS!$B$28,INPUTS!$B$29))))</f>
        <v>7469255.92689776</v>
      </c>
      <c r="AP62" s="89" t="n">
        <f aca="true">IF(AP$5=0,AO62,MAX(0,(AO62-AP$4)*(1+NORMINV(RAND(),INPUTS!$B$28,INPUTS!$B$29))))</f>
        <v>7469255.92689776</v>
      </c>
      <c r="AQ62" s="89" t="n">
        <f aca="true">IF(AQ$5=0,AP62,MAX(0,(AP62-AQ$4)*(1+NORMINV(RAND(),INPUTS!$B$28,INPUTS!$B$29))))</f>
        <v>7469255.92689776</v>
      </c>
      <c r="AR62" s="89" t="n">
        <f aca="true">IF(AR$5=0,AQ62,MAX(0,(AQ62-AR$4)*(1+NORMINV(RAND(),INPUTS!$B$28,INPUTS!$B$29))))</f>
        <v>7469255.92689776</v>
      </c>
      <c r="AS62" s="89" t="n">
        <f aca="true">IF(AS$5=0,AR62,MAX(0,(AR62-AS$4)*(1+NORMINV(RAND(),INPUTS!$B$28,INPUTS!$B$29))))</f>
        <v>7469255.92689776</v>
      </c>
      <c r="AT62" s="89" t="n">
        <f aca="true">IF(AT$5=0,AS62,MAX(0,(AS62-AT$4)*(1+NORMINV(RAND(),INPUTS!$B$28,INPUTS!$B$29))))</f>
        <v>7469255.92689776</v>
      </c>
      <c r="AU62" s="89" t="n">
        <f aca="true">IF(AU$5=0,AT62,MAX(0,(AT62-AU$4)*(1+NORMINV(RAND(),INPUTS!$B$28,INPUTS!$B$29))))</f>
        <v>7469255.92689776</v>
      </c>
      <c r="AV62" s="89" t="n">
        <f aca="true">IF(AV$5=0,AU62,MAX(0,(AU62-AV$4)*(1+NORMINV(RAND(),INPUTS!$B$28,INPUTS!$B$29))))</f>
        <v>7469255.92689776</v>
      </c>
      <c r="AW62" s="89" t="n">
        <f aca="true">IF(AW$5=0,AV62,MAX(0,(AV62-AW$4)*(1+NORMINV(RAND(),INPUTS!$B$28,INPUTS!$B$29))))</f>
        <v>7469255.92689776</v>
      </c>
      <c r="AX62" s="89" t="n">
        <f aca="true">IF(AX$5=0,AW62,MAX(0,(AW62-AX$4)*(1+NORMINV(RAND(),INPUTS!$B$28,INPUTS!$B$29))))</f>
        <v>7469255.92689776</v>
      </c>
      <c r="AY62" s="89" t="n">
        <f aca="true">IF(AY$5=0,AX62,MAX(0,(AX62-AY$4)*(1+NORMINV(RAND(),INPUTS!$B$28,INPUTS!$B$29))))</f>
        <v>7469255.92689776</v>
      </c>
      <c r="AZ62" s="89" t="n">
        <f aca="true">IF(AZ$5=0,AY62,MAX(0,(AY62-AZ$4)*(1+NORMINV(RAND(),INPUTS!$B$28,INPUTS!$B$29))))</f>
        <v>7469255.92689776</v>
      </c>
      <c r="BA62" s="89" t="n">
        <f aca="true">IF(BA$5=0,AZ62,MAX(0,(AZ62-BA$4)*(1+NORMINV(RAND(),INPUTS!$B$28,INPUTS!$B$29))))</f>
        <v>7469255.92689776</v>
      </c>
      <c r="BB62" s="89" t="n">
        <f aca="true">IF(BB$5=0,BA62,MAX(0,(BA62-BB$4)*(1+NORMINV(RAND(),INPUTS!$B$28,INPUTS!$B$29))))</f>
        <v>7469255.92689776</v>
      </c>
      <c r="BC62" s="89" t="n">
        <f aca="true">IF(BC$5=0,BB62,MAX(0,(BB62-BC$4)*(1+NORMINV(RAND(),INPUTS!$B$28,INPUTS!$B$29))))</f>
        <v>7469255.92689776</v>
      </c>
      <c r="BD62" s="89" t="n">
        <f aca="true">IF(BD$5=0,BC62,MAX(0,(BC62-BD$4)*(1+NORMINV(RAND(),INPUTS!$B$28,INPUTS!$B$29))))</f>
        <v>7469255.92689776</v>
      </c>
      <c r="BE62" s="89" t="n">
        <f aca="true">IF(BE$5=0,BD62,MAX(0,(BD62-BE$4)*(1+NORMINV(RAND(),INPUTS!$B$28,INPUTS!$B$29))))</f>
        <v>7469255.92689776</v>
      </c>
      <c r="BF62" s="89" t="n">
        <f aca="true">IF(BF$5=0,BE62,MAX(0,(BE62-BF$4)*(1+NORMINV(RAND(),INPUTS!$B$28,INPUTS!$B$29))))</f>
        <v>7469255.92689776</v>
      </c>
      <c r="BG62" s="89" t="n">
        <f aca="true">IF(BG$5=0,BF62,MAX(0,(BF62-BG$4)*(1+NORMINV(RAND(),INPUTS!$B$28,INPUTS!$B$29))))</f>
        <v>7469255.92689776</v>
      </c>
      <c r="BH62" s="89" t="n">
        <f aca="true">IF(BH$5=0,BG62,MAX(0,(BG62-BH$4)*(1+NORMINV(RAND(),INPUTS!$B$28,INPUTS!$B$29))))</f>
        <v>7469255.92689776</v>
      </c>
      <c r="BI62" s="89" t="n">
        <f aca="true">IF(BI$5=0,BH62,MAX(0,(BH62-BI$4)*(1+NORMINV(RAND(),INPUTS!$B$28,INPUTS!$B$29))))</f>
        <v>7469255.92689776</v>
      </c>
      <c r="BJ62" s="89" t="n">
        <f aca="true">IF(BJ$5=0,BI62,MAX(0,(BI62-BJ$4)*(1+NORMINV(RAND(),INPUTS!$B$28,INPUTS!$B$29))))</f>
        <v>7469255.92689776</v>
      </c>
    </row>
    <row r="63" customFormat="false" ht="15" hidden="false" customHeight="true" outlineLevel="0" collapsed="false">
      <c r="A63" s="87" t="n">
        <v>56</v>
      </c>
      <c r="B63" s="88" t="n">
        <f aca="false">LOOKUP(9.99E+307,C63:BJ63)</f>
        <v>1504037.46552783</v>
      </c>
      <c r="C63" s="89" t="n">
        <f aca="true">IF(C$5=0,INPUTS!$B$35,MAX(0,(INPUTS!$B$35-C$4)*(1+NORMINV(RAND(),INPUTS!$B$28,INPUTS!$B$29))))</f>
        <v>1373125.5107421</v>
      </c>
      <c r="D63" s="89" t="n">
        <f aca="true">IF(D$5=0,C63,MAX(0,(C63-D$4)*(1+NORMINV(RAND(),INPUTS!$B$28,INPUTS!$B$29))))</f>
        <v>1299824.54860428</v>
      </c>
      <c r="E63" s="89" t="n">
        <f aca="true">IF(E$5=0,D63,MAX(0,(D63-E$4)*(1+NORMINV(RAND(),INPUTS!$B$28,INPUTS!$B$29))))</f>
        <v>1312649.46471518</v>
      </c>
      <c r="F63" s="89" t="n">
        <f aca="true">IF(F$5=0,E63,MAX(0,(E63-F$4)*(1+NORMINV(RAND(),INPUTS!$B$28,INPUTS!$B$29))))</f>
        <v>1305361.7086474</v>
      </c>
      <c r="G63" s="89" t="n">
        <f aca="true">IF(G$5=0,F63,MAX(0,(F63-G$4)*(1+NORMINV(RAND(),INPUTS!$B$28,INPUTS!$B$29))))</f>
        <v>1262171.51865092</v>
      </c>
      <c r="H63" s="89" t="n">
        <f aca="true">IF(H$5=0,G63,MAX(0,(G63-H$4)*(1+NORMINV(RAND(),INPUTS!$B$28,INPUTS!$B$29))))</f>
        <v>1369246.45917698</v>
      </c>
      <c r="I63" s="89" t="n">
        <f aca="true">IF(I$5=0,H63,MAX(0,(H63-I$4)*(1+NORMINV(RAND(),INPUTS!$B$28,INPUTS!$B$29))))</f>
        <v>1009605.53063023</v>
      </c>
      <c r="J63" s="89" t="n">
        <f aca="true">IF(J$5=0,I63,MAX(0,(I63-J$4)*(1+NORMINV(RAND(),INPUTS!$B$28,INPUTS!$B$29))))</f>
        <v>1009953.56555168</v>
      </c>
      <c r="K63" s="89" t="n">
        <f aca="true">IF(K$5=0,J63,MAX(0,(J63-K$4)*(1+NORMINV(RAND(),INPUTS!$B$28,INPUTS!$B$29))))</f>
        <v>1134147.51206025</v>
      </c>
      <c r="L63" s="89" t="n">
        <f aca="true">IF(L$5=0,K63,MAX(0,(K63-L$4)*(1+NORMINV(RAND(),INPUTS!$B$28,INPUTS!$B$29))))</f>
        <v>1088958.69994658</v>
      </c>
      <c r="M63" s="89" t="n">
        <f aca="true">IF(M$5=0,L63,MAX(0,(L63-M$4)*(1+NORMINV(RAND(),INPUTS!$B$28,INPUTS!$B$29))))</f>
        <v>1103872.3866788</v>
      </c>
      <c r="N63" s="89" t="n">
        <f aca="true">IF(N$5=0,M63,MAX(0,(M63-N$4)*(1+NORMINV(RAND(),INPUTS!$B$28,INPUTS!$B$29))))</f>
        <v>1070565.01727183</v>
      </c>
      <c r="O63" s="89" t="n">
        <f aca="true">IF(O$5=0,N63,MAX(0,(N63-O$4)*(1+NORMINV(RAND(),INPUTS!$B$28,INPUTS!$B$29))))</f>
        <v>1149597.10007326</v>
      </c>
      <c r="P63" s="89" t="n">
        <f aca="true">IF(P$5=0,O63,MAX(0,(O63-P$4)*(1+NORMINV(RAND(),INPUTS!$B$28,INPUTS!$B$29))))</f>
        <v>1099710.9275335</v>
      </c>
      <c r="Q63" s="89" t="n">
        <f aca="true">IF(Q$5=0,P63,MAX(0,(P63-Q$4)*(1+NORMINV(RAND(),INPUTS!$B$28,INPUTS!$B$29))))</f>
        <v>1192020.88476391</v>
      </c>
      <c r="R63" s="89" t="n">
        <f aca="true">IF(R$5=0,Q63,MAX(0,(Q63-R$4)*(1+NORMINV(RAND(),INPUTS!$B$28,INPUTS!$B$29))))</f>
        <v>1259667.79000334</v>
      </c>
      <c r="S63" s="89" t="n">
        <f aca="true">IF(S$5=0,R63,MAX(0,(R63-S$4)*(1+NORMINV(RAND(),INPUTS!$B$28,INPUTS!$B$29))))</f>
        <v>1499814.93781732</v>
      </c>
      <c r="T63" s="89" t="n">
        <f aca="true">IF(T$5=0,S63,MAX(0,(S63-T$4)*(1+NORMINV(RAND(),INPUTS!$B$28,INPUTS!$B$29))))</f>
        <v>1412494.46538473</v>
      </c>
      <c r="U63" s="89" t="n">
        <f aca="true">IF(U$5=0,T63,MAX(0,(T63-U$4)*(1+NORMINV(RAND(),INPUTS!$B$28,INPUTS!$B$29))))</f>
        <v>1354075.56180111</v>
      </c>
      <c r="V63" s="89" t="n">
        <f aca="true">IF(V$5=0,U63,MAX(0,(U63-V$4)*(1+NORMINV(RAND(),INPUTS!$B$28,INPUTS!$B$29))))</f>
        <v>1173453.14730505</v>
      </c>
      <c r="W63" s="89" t="n">
        <f aca="true">IF(W$5=0,V63,MAX(0,(V63-W$4)*(1+NORMINV(RAND(),INPUTS!$B$28,INPUTS!$B$29))))</f>
        <v>1167942.62662979</v>
      </c>
      <c r="X63" s="89" t="n">
        <f aca="true">IF(X$5=0,W63,MAX(0,(W63-X$4)*(1+NORMINV(RAND(),INPUTS!$B$28,INPUTS!$B$29))))</f>
        <v>1155606.30682602</v>
      </c>
      <c r="Y63" s="89" t="n">
        <f aca="true">IF(Y$5=0,X63,MAX(0,(X63-Y$4)*(1+NORMINV(RAND(),INPUTS!$B$28,INPUTS!$B$29))))</f>
        <v>1343133.78016416</v>
      </c>
      <c r="Z63" s="89" t="n">
        <f aca="true">IF(Z$5=0,Y63,MAX(0,(Y63-Z$4)*(1+NORMINV(RAND(),INPUTS!$B$28,INPUTS!$B$29))))</f>
        <v>1336736.34402949</v>
      </c>
      <c r="AA63" s="89" t="n">
        <f aca="true">IF(AA$5=0,Z63,MAX(0,(Z63-AA$4)*(1+NORMINV(RAND(),INPUTS!$B$28,INPUTS!$B$29))))</f>
        <v>1389106.21910505</v>
      </c>
      <c r="AB63" s="89" t="n">
        <f aca="true">IF(AB$5=0,AA63,MAX(0,(AA63-AB$4)*(1+NORMINV(RAND(),INPUTS!$B$28,INPUTS!$B$29))))</f>
        <v>1489751.82533558</v>
      </c>
      <c r="AC63" s="89" t="n">
        <f aca="true">IF(AC$5=0,AB63,MAX(0,(AB63-AC$4)*(1+NORMINV(RAND(),INPUTS!$B$28,INPUTS!$B$29))))</f>
        <v>1506856.5116638</v>
      </c>
      <c r="AD63" s="89" t="n">
        <f aca="true">IF(AD$5=0,AC63,MAX(0,(AC63-AD$4)*(1+NORMINV(RAND(),INPUTS!$B$28,INPUTS!$B$29))))</f>
        <v>1502546.85808977</v>
      </c>
      <c r="AE63" s="89" t="n">
        <f aca="true">IF(AE$5=0,AD63,MAX(0,(AD63-AE$4)*(1+NORMINV(RAND(),INPUTS!$B$28,INPUTS!$B$29))))</f>
        <v>1690304.76489591</v>
      </c>
      <c r="AF63" s="89" t="n">
        <f aca="true">IF(AF$5=0,AE63,MAX(0,(AE63-AF$4)*(1+NORMINV(RAND(),INPUTS!$B$28,INPUTS!$B$29))))</f>
        <v>1640496.73341432</v>
      </c>
      <c r="AG63" s="89" t="n">
        <f aca="true">IF(AG$5=0,AF63,MAX(0,(AF63-AG$4)*(1+NORMINV(RAND(),INPUTS!$B$28,INPUTS!$B$29))))</f>
        <v>1513860.7641049</v>
      </c>
      <c r="AH63" s="89" t="n">
        <f aca="true">IF(AH$5=0,AG63,MAX(0,(AG63-AH$4)*(1+NORMINV(RAND(),INPUTS!$B$28,INPUTS!$B$29))))</f>
        <v>1321494.42261755</v>
      </c>
      <c r="AI63" s="89" t="n">
        <f aca="true">IF(AI$5=0,AH63,MAX(0,(AH63-AI$4)*(1+NORMINV(RAND(),INPUTS!$B$28,INPUTS!$B$29))))</f>
        <v>1505674.12614689</v>
      </c>
      <c r="AJ63" s="89" t="n">
        <f aca="true">IF(AJ$5=0,AI63,MAX(0,(AI63-AJ$4)*(1+NORMINV(RAND(),INPUTS!$B$28,INPUTS!$B$29))))</f>
        <v>1462563.5828965</v>
      </c>
      <c r="AK63" s="89" t="n">
        <f aca="true">IF(AK$5=0,AJ63,MAX(0,(AJ63-AK$4)*(1+NORMINV(RAND(),INPUTS!$B$28,INPUTS!$B$29))))</f>
        <v>1319064.40744254</v>
      </c>
      <c r="AL63" s="89" t="n">
        <f aca="true">IF(AL$5=0,AK63,MAX(0,(AK63-AL$4)*(1+NORMINV(RAND(),INPUTS!$B$28,INPUTS!$B$29))))</f>
        <v>1504037.46552783</v>
      </c>
      <c r="AM63" s="89" t="n">
        <f aca="true">IF(AM$5=0,AL63,MAX(0,(AL63-AM$4)*(1+NORMINV(RAND(),INPUTS!$B$28,INPUTS!$B$29))))</f>
        <v>1504037.46552783</v>
      </c>
      <c r="AN63" s="89" t="n">
        <f aca="true">IF(AN$5=0,AM63,MAX(0,(AM63-AN$4)*(1+NORMINV(RAND(),INPUTS!$B$28,INPUTS!$B$29))))</f>
        <v>1504037.46552783</v>
      </c>
      <c r="AO63" s="89" t="n">
        <f aca="true">IF(AO$5=0,AN63,MAX(0,(AN63-AO$4)*(1+NORMINV(RAND(),INPUTS!$B$28,INPUTS!$B$29))))</f>
        <v>1504037.46552783</v>
      </c>
      <c r="AP63" s="89" t="n">
        <f aca="true">IF(AP$5=0,AO63,MAX(0,(AO63-AP$4)*(1+NORMINV(RAND(),INPUTS!$B$28,INPUTS!$B$29))))</f>
        <v>1504037.46552783</v>
      </c>
      <c r="AQ63" s="89" t="n">
        <f aca="true">IF(AQ$5=0,AP63,MAX(0,(AP63-AQ$4)*(1+NORMINV(RAND(),INPUTS!$B$28,INPUTS!$B$29))))</f>
        <v>1504037.46552783</v>
      </c>
      <c r="AR63" s="89" t="n">
        <f aca="true">IF(AR$5=0,AQ63,MAX(0,(AQ63-AR$4)*(1+NORMINV(RAND(),INPUTS!$B$28,INPUTS!$B$29))))</f>
        <v>1504037.46552783</v>
      </c>
      <c r="AS63" s="89" t="n">
        <f aca="true">IF(AS$5=0,AR63,MAX(0,(AR63-AS$4)*(1+NORMINV(RAND(),INPUTS!$B$28,INPUTS!$B$29))))</f>
        <v>1504037.46552783</v>
      </c>
      <c r="AT63" s="89" t="n">
        <f aca="true">IF(AT$5=0,AS63,MAX(0,(AS63-AT$4)*(1+NORMINV(RAND(),INPUTS!$B$28,INPUTS!$B$29))))</f>
        <v>1504037.46552783</v>
      </c>
      <c r="AU63" s="89" t="n">
        <f aca="true">IF(AU$5=0,AT63,MAX(0,(AT63-AU$4)*(1+NORMINV(RAND(),INPUTS!$B$28,INPUTS!$B$29))))</f>
        <v>1504037.46552783</v>
      </c>
      <c r="AV63" s="89" t="n">
        <f aca="true">IF(AV$5=0,AU63,MAX(0,(AU63-AV$4)*(1+NORMINV(RAND(),INPUTS!$B$28,INPUTS!$B$29))))</f>
        <v>1504037.46552783</v>
      </c>
      <c r="AW63" s="89" t="n">
        <f aca="true">IF(AW$5=0,AV63,MAX(0,(AV63-AW$4)*(1+NORMINV(RAND(),INPUTS!$B$28,INPUTS!$B$29))))</f>
        <v>1504037.46552783</v>
      </c>
      <c r="AX63" s="89" t="n">
        <f aca="true">IF(AX$5=0,AW63,MAX(0,(AW63-AX$4)*(1+NORMINV(RAND(),INPUTS!$B$28,INPUTS!$B$29))))</f>
        <v>1504037.46552783</v>
      </c>
      <c r="AY63" s="89" t="n">
        <f aca="true">IF(AY$5=0,AX63,MAX(0,(AX63-AY$4)*(1+NORMINV(RAND(),INPUTS!$B$28,INPUTS!$B$29))))</f>
        <v>1504037.46552783</v>
      </c>
      <c r="AZ63" s="89" t="n">
        <f aca="true">IF(AZ$5=0,AY63,MAX(0,(AY63-AZ$4)*(1+NORMINV(RAND(),INPUTS!$B$28,INPUTS!$B$29))))</f>
        <v>1504037.46552783</v>
      </c>
      <c r="BA63" s="89" t="n">
        <f aca="true">IF(BA$5=0,AZ63,MAX(0,(AZ63-BA$4)*(1+NORMINV(RAND(),INPUTS!$B$28,INPUTS!$B$29))))</f>
        <v>1504037.46552783</v>
      </c>
      <c r="BB63" s="89" t="n">
        <f aca="true">IF(BB$5=0,BA63,MAX(0,(BA63-BB$4)*(1+NORMINV(RAND(),INPUTS!$B$28,INPUTS!$B$29))))</f>
        <v>1504037.46552783</v>
      </c>
      <c r="BC63" s="89" t="n">
        <f aca="true">IF(BC$5=0,BB63,MAX(0,(BB63-BC$4)*(1+NORMINV(RAND(),INPUTS!$B$28,INPUTS!$B$29))))</f>
        <v>1504037.46552783</v>
      </c>
      <c r="BD63" s="89" t="n">
        <f aca="true">IF(BD$5=0,BC63,MAX(0,(BC63-BD$4)*(1+NORMINV(RAND(),INPUTS!$B$28,INPUTS!$B$29))))</f>
        <v>1504037.46552783</v>
      </c>
      <c r="BE63" s="89" t="n">
        <f aca="true">IF(BE$5=0,BD63,MAX(0,(BD63-BE$4)*(1+NORMINV(RAND(),INPUTS!$B$28,INPUTS!$B$29))))</f>
        <v>1504037.46552783</v>
      </c>
      <c r="BF63" s="89" t="n">
        <f aca="true">IF(BF$5=0,BE63,MAX(0,(BE63-BF$4)*(1+NORMINV(RAND(),INPUTS!$B$28,INPUTS!$B$29))))</f>
        <v>1504037.46552783</v>
      </c>
      <c r="BG63" s="89" t="n">
        <f aca="true">IF(BG$5=0,BF63,MAX(0,(BF63-BG$4)*(1+NORMINV(RAND(),INPUTS!$B$28,INPUTS!$B$29))))</f>
        <v>1504037.46552783</v>
      </c>
      <c r="BH63" s="89" t="n">
        <f aca="true">IF(BH$5=0,BG63,MAX(0,(BG63-BH$4)*(1+NORMINV(RAND(),INPUTS!$B$28,INPUTS!$B$29))))</f>
        <v>1504037.46552783</v>
      </c>
      <c r="BI63" s="89" t="n">
        <f aca="true">IF(BI$5=0,BH63,MAX(0,(BH63-BI$4)*(1+NORMINV(RAND(),INPUTS!$B$28,INPUTS!$B$29))))</f>
        <v>1504037.46552783</v>
      </c>
      <c r="BJ63" s="89" t="n">
        <f aca="true">IF(BJ$5=0,BI63,MAX(0,(BI63-BJ$4)*(1+NORMINV(RAND(),INPUTS!$B$28,INPUTS!$B$29))))</f>
        <v>1504037.46552783</v>
      </c>
    </row>
    <row r="64" customFormat="false" ht="15" hidden="false" customHeight="true" outlineLevel="0" collapsed="false">
      <c r="A64" s="87" t="n">
        <v>57</v>
      </c>
      <c r="B64" s="88" t="n">
        <f aca="false">LOOKUP(9.99E+307,C64:BJ64)</f>
        <v>5585658.54945248</v>
      </c>
      <c r="C64" s="89" t="n">
        <f aca="true">IF(C$5=0,INPUTS!$B$35,MAX(0,(INPUTS!$B$35-C$4)*(1+NORMINV(RAND(),INPUTS!$B$28,INPUTS!$B$29))))</f>
        <v>1507239.03666601</v>
      </c>
      <c r="D64" s="89" t="n">
        <f aca="true">IF(D$5=0,C64,MAX(0,(C64-D$4)*(1+NORMINV(RAND(),INPUTS!$B$28,INPUTS!$B$29))))</f>
        <v>1809637.93858596</v>
      </c>
      <c r="E64" s="89" t="n">
        <f aca="true">IF(E$5=0,D64,MAX(0,(D64-E$4)*(1+NORMINV(RAND(),INPUTS!$B$28,INPUTS!$B$29))))</f>
        <v>1826283.06188878</v>
      </c>
      <c r="F64" s="89" t="n">
        <f aca="true">IF(F$5=0,E64,MAX(0,(E64-F$4)*(1+NORMINV(RAND(),INPUTS!$B$28,INPUTS!$B$29))))</f>
        <v>1580446.26825072</v>
      </c>
      <c r="G64" s="89" t="n">
        <f aca="true">IF(G$5=0,F64,MAX(0,(F64-G$4)*(1+NORMINV(RAND(),INPUTS!$B$28,INPUTS!$B$29))))</f>
        <v>1792067.02296872</v>
      </c>
      <c r="H64" s="89" t="n">
        <f aca="true">IF(H$5=0,G64,MAX(0,(G64-H$4)*(1+NORMINV(RAND(),INPUTS!$B$28,INPUTS!$B$29))))</f>
        <v>1786680.20593286</v>
      </c>
      <c r="I64" s="89" t="n">
        <f aca="true">IF(I$5=0,H64,MAX(0,(H64-I$4)*(1+NORMINV(RAND(),INPUTS!$B$28,INPUTS!$B$29))))</f>
        <v>1752453.70450794</v>
      </c>
      <c r="J64" s="89" t="n">
        <f aca="true">IF(J$5=0,I64,MAX(0,(I64-J$4)*(1+NORMINV(RAND(),INPUTS!$B$28,INPUTS!$B$29))))</f>
        <v>1876415.19641444</v>
      </c>
      <c r="K64" s="89" t="n">
        <f aca="true">IF(K$5=0,J64,MAX(0,(J64-K$4)*(1+NORMINV(RAND(),INPUTS!$B$28,INPUTS!$B$29))))</f>
        <v>1873297.58422476</v>
      </c>
      <c r="L64" s="89" t="n">
        <f aca="true">IF(L$5=0,K64,MAX(0,(K64-L$4)*(1+NORMINV(RAND(),INPUTS!$B$28,INPUTS!$B$29))))</f>
        <v>1583162.33532589</v>
      </c>
      <c r="M64" s="89" t="n">
        <f aca="true">IF(M$5=0,L64,MAX(0,(L64-M$4)*(1+NORMINV(RAND(),INPUTS!$B$28,INPUTS!$B$29))))</f>
        <v>1323862.75622552</v>
      </c>
      <c r="N64" s="89" t="n">
        <f aca="true">IF(N$5=0,M64,MAX(0,(M64-N$4)*(1+NORMINV(RAND(),INPUTS!$B$28,INPUTS!$B$29))))</f>
        <v>1254442.25670641</v>
      </c>
      <c r="O64" s="89" t="n">
        <f aca="true">IF(O$5=0,N64,MAX(0,(N64-O$4)*(1+NORMINV(RAND(),INPUTS!$B$28,INPUTS!$B$29))))</f>
        <v>1195247.93683432</v>
      </c>
      <c r="P64" s="89" t="n">
        <f aca="true">IF(P$5=0,O64,MAX(0,(O64-P$4)*(1+NORMINV(RAND(),INPUTS!$B$28,INPUTS!$B$29))))</f>
        <v>1383708.54304237</v>
      </c>
      <c r="Q64" s="89" t="n">
        <f aca="true">IF(Q$5=0,P64,MAX(0,(P64-Q$4)*(1+NORMINV(RAND(),INPUTS!$B$28,INPUTS!$B$29))))</f>
        <v>1605618.12997781</v>
      </c>
      <c r="R64" s="89" t="n">
        <f aca="true">IF(R$5=0,Q64,MAX(0,(Q64-R$4)*(1+NORMINV(RAND(),INPUTS!$B$28,INPUTS!$B$29))))</f>
        <v>1888372.25565068</v>
      </c>
      <c r="S64" s="89" t="n">
        <f aca="true">IF(S$5=0,R64,MAX(0,(R64-S$4)*(1+NORMINV(RAND(),INPUTS!$B$28,INPUTS!$B$29))))</f>
        <v>1734880.82100486</v>
      </c>
      <c r="T64" s="89" t="n">
        <f aca="true">IF(T$5=0,S64,MAX(0,(S64-T$4)*(1+NORMINV(RAND(),INPUTS!$B$28,INPUTS!$B$29))))</f>
        <v>1885011.07111073</v>
      </c>
      <c r="U64" s="89" t="n">
        <f aca="true">IF(U$5=0,T64,MAX(0,(T64-U$4)*(1+NORMINV(RAND(),INPUTS!$B$28,INPUTS!$B$29))))</f>
        <v>2165601.11607503</v>
      </c>
      <c r="V64" s="89" t="n">
        <f aca="true">IF(V$5=0,U64,MAX(0,(U64-V$4)*(1+NORMINV(RAND(),INPUTS!$B$28,INPUTS!$B$29))))</f>
        <v>2430068.14245076</v>
      </c>
      <c r="W64" s="89" t="n">
        <f aca="true">IF(W$5=0,V64,MAX(0,(V64-W$4)*(1+NORMINV(RAND(),INPUTS!$B$28,INPUTS!$B$29))))</f>
        <v>2096493.84743284</v>
      </c>
      <c r="X64" s="89" t="n">
        <f aca="true">IF(X$5=0,W64,MAX(0,(W64-X$4)*(1+NORMINV(RAND(),INPUTS!$B$28,INPUTS!$B$29))))</f>
        <v>2358619.56048798</v>
      </c>
      <c r="Y64" s="89" t="n">
        <f aca="true">IF(Y$5=0,X64,MAX(0,(X64-Y$4)*(1+NORMINV(RAND(),INPUTS!$B$28,INPUTS!$B$29))))</f>
        <v>2420638.70737697</v>
      </c>
      <c r="Z64" s="89" t="n">
        <f aca="true">IF(Z$5=0,Y64,MAX(0,(Y64-Z$4)*(1+NORMINV(RAND(),INPUTS!$B$28,INPUTS!$B$29))))</f>
        <v>2734306.5650522</v>
      </c>
      <c r="AA64" s="89" t="n">
        <f aca="true">IF(AA$5=0,Z64,MAX(0,(Z64-AA$4)*(1+NORMINV(RAND(),INPUTS!$B$28,INPUTS!$B$29))))</f>
        <v>2500644.24722102</v>
      </c>
      <c r="AB64" s="89" t="n">
        <f aca="true">IF(AB$5=0,AA64,MAX(0,(AA64-AB$4)*(1+NORMINV(RAND(),INPUTS!$B$28,INPUTS!$B$29))))</f>
        <v>2799487.31664231</v>
      </c>
      <c r="AC64" s="89" t="n">
        <f aca="true">IF(AC$5=0,AB64,MAX(0,(AB64-AC$4)*(1+NORMINV(RAND(),INPUTS!$B$28,INPUTS!$B$29))))</f>
        <v>3105144.62349949</v>
      </c>
      <c r="AD64" s="89" t="n">
        <f aca="true">IF(AD$5=0,AC64,MAX(0,(AC64-AD$4)*(1+NORMINV(RAND(),INPUTS!$B$28,INPUTS!$B$29))))</f>
        <v>3463540.42267427</v>
      </c>
      <c r="AE64" s="89" t="n">
        <f aca="true">IF(AE$5=0,AD64,MAX(0,(AD64-AE$4)*(1+NORMINV(RAND(),INPUTS!$B$28,INPUTS!$B$29))))</f>
        <v>3648816.16356055</v>
      </c>
      <c r="AF64" s="89" t="n">
        <f aca="true">IF(AF$5=0,AE64,MAX(0,(AE64-AF$4)*(1+NORMINV(RAND(),INPUTS!$B$28,INPUTS!$B$29))))</f>
        <v>3888910.87857533</v>
      </c>
      <c r="AG64" s="89" t="n">
        <f aca="true">IF(AG$5=0,AF64,MAX(0,(AF64-AG$4)*(1+NORMINV(RAND(),INPUTS!$B$28,INPUTS!$B$29))))</f>
        <v>4042533.85115666</v>
      </c>
      <c r="AH64" s="89" t="n">
        <f aca="true">IF(AH$5=0,AG64,MAX(0,(AG64-AH$4)*(1+NORMINV(RAND(),INPUTS!$B$28,INPUTS!$B$29))))</f>
        <v>4326159.6510616</v>
      </c>
      <c r="AI64" s="89" t="n">
        <f aca="true">IF(AI$5=0,AH64,MAX(0,(AH64-AI$4)*(1+NORMINV(RAND(),INPUTS!$B$28,INPUTS!$B$29))))</f>
        <v>3914548.84185014</v>
      </c>
      <c r="AJ64" s="89" t="n">
        <f aca="true">IF(AJ$5=0,AI64,MAX(0,(AI64-AJ$4)*(1+NORMINV(RAND(),INPUTS!$B$28,INPUTS!$B$29))))</f>
        <v>4338286.13234481</v>
      </c>
      <c r="AK64" s="89" t="n">
        <f aca="true">IF(AK$5=0,AJ64,MAX(0,(AJ64-AK$4)*(1+NORMINV(RAND(),INPUTS!$B$28,INPUTS!$B$29))))</f>
        <v>4715785.6194862</v>
      </c>
      <c r="AL64" s="89" t="n">
        <f aca="true">IF(AL$5=0,AK64,MAX(0,(AK64-AL$4)*(1+NORMINV(RAND(),INPUTS!$B$28,INPUTS!$B$29))))</f>
        <v>5585658.54945248</v>
      </c>
      <c r="AM64" s="89" t="n">
        <f aca="true">IF(AM$5=0,AL64,MAX(0,(AL64-AM$4)*(1+NORMINV(RAND(),INPUTS!$B$28,INPUTS!$B$29))))</f>
        <v>5585658.54945248</v>
      </c>
      <c r="AN64" s="89" t="n">
        <f aca="true">IF(AN$5=0,AM64,MAX(0,(AM64-AN$4)*(1+NORMINV(RAND(),INPUTS!$B$28,INPUTS!$B$29))))</f>
        <v>5585658.54945248</v>
      </c>
      <c r="AO64" s="89" t="n">
        <f aca="true">IF(AO$5=0,AN64,MAX(0,(AN64-AO$4)*(1+NORMINV(RAND(),INPUTS!$B$28,INPUTS!$B$29))))</f>
        <v>5585658.54945248</v>
      </c>
      <c r="AP64" s="89" t="n">
        <f aca="true">IF(AP$5=0,AO64,MAX(0,(AO64-AP$4)*(1+NORMINV(RAND(),INPUTS!$B$28,INPUTS!$B$29))))</f>
        <v>5585658.54945248</v>
      </c>
      <c r="AQ64" s="89" t="n">
        <f aca="true">IF(AQ$5=0,AP64,MAX(0,(AP64-AQ$4)*(1+NORMINV(RAND(),INPUTS!$B$28,INPUTS!$B$29))))</f>
        <v>5585658.54945248</v>
      </c>
      <c r="AR64" s="89" t="n">
        <f aca="true">IF(AR$5=0,AQ64,MAX(0,(AQ64-AR$4)*(1+NORMINV(RAND(),INPUTS!$B$28,INPUTS!$B$29))))</f>
        <v>5585658.54945248</v>
      </c>
      <c r="AS64" s="89" t="n">
        <f aca="true">IF(AS$5=0,AR64,MAX(0,(AR64-AS$4)*(1+NORMINV(RAND(),INPUTS!$B$28,INPUTS!$B$29))))</f>
        <v>5585658.54945248</v>
      </c>
      <c r="AT64" s="89" t="n">
        <f aca="true">IF(AT$5=0,AS64,MAX(0,(AS64-AT$4)*(1+NORMINV(RAND(),INPUTS!$B$28,INPUTS!$B$29))))</f>
        <v>5585658.54945248</v>
      </c>
      <c r="AU64" s="89" t="n">
        <f aca="true">IF(AU$5=0,AT64,MAX(0,(AT64-AU$4)*(1+NORMINV(RAND(),INPUTS!$B$28,INPUTS!$B$29))))</f>
        <v>5585658.54945248</v>
      </c>
      <c r="AV64" s="89" t="n">
        <f aca="true">IF(AV$5=0,AU64,MAX(0,(AU64-AV$4)*(1+NORMINV(RAND(),INPUTS!$B$28,INPUTS!$B$29))))</f>
        <v>5585658.54945248</v>
      </c>
      <c r="AW64" s="89" t="n">
        <f aca="true">IF(AW$5=0,AV64,MAX(0,(AV64-AW$4)*(1+NORMINV(RAND(),INPUTS!$B$28,INPUTS!$B$29))))</f>
        <v>5585658.54945248</v>
      </c>
      <c r="AX64" s="89" t="n">
        <f aca="true">IF(AX$5=0,AW64,MAX(0,(AW64-AX$4)*(1+NORMINV(RAND(),INPUTS!$B$28,INPUTS!$B$29))))</f>
        <v>5585658.54945248</v>
      </c>
      <c r="AY64" s="89" t="n">
        <f aca="true">IF(AY$5=0,AX64,MAX(0,(AX64-AY$4)*(1+NORMINV(RAND(),INPUTS!$B$28,INPUTS!$B$29))))</f>
        <v>5585658.54945248</v>
      </c>
      <c r="AZ64" s="89" t="n">
        <f aca="true">IF(AZ$5=0,AY64,MAX(0,(AY64-AZ$4)*(1+NORMINV(RAND(),INPUTS!$B$28,INPUTS!$B$29))))</f>
        <v>5585658.54945248</v>
      </c>
      <c r="BA64" s="89" t="n">
        <f aca="true">IF(BA$5=0,AZ64,MAX(0,(AZ64-BA$4)*(1+NORMINV(RAND(),INPUTS!$B$28,INPUTS!$B$29))))</f>
        <v>5585658.54945248</v>
      </c>
      <c r="BB64" s="89" t="n">
        <f aca="true">IF(BB$5=0,BA64,MAX(0,(BA64-BB$4)*(1+NORMINV(RAND(),INPUTS!$B$28,INPUTS!$B$29))))</f>
        <v>5585658.54945248</v>
      </c>
      <c r="BC64" s="89" t="n">
        <f aca="true">IF(BC$5=0,BB64,MAX(0,(BB64-BC$4)*(1+NORMINV(RAND(),INPUTS!$B$28,INPUTS!$B$29))))</f>
        <v>5585658.54945248</v>
      </c>
      <c r="BD64" s="89" t="n">
        <f aca="true">IF(BD$5=0,BC64,MAX(0,(BC64-BD$4)*(1+NORMINV(RAND(),INPUTS!$B$28,INPUTS!$B$29))))</f>
        <v>5585658.54945248</v>
      </c>
      <c r="BE64" s="89" t="n">
        <f aca="true">IF(BE$5=0,BD64,MAX(0,(BD64-BE$4)*(1+NORMINV(RAND(),INPUTS!$B$28,INPUTS!$B$29))))</f>
        <v>5585658.54945248</v>
      </c>
      <c r="BF64" s="89" t="n">
        <f aca="true">IF(BF$5=0,BE64,MAX(0,(BE64-BF$4)*(1+NORMINV(RAND(),INPUTS!$B$28,INPUTS!$B$29))))</f>
        <v>5585658.54945248</v>
      </c>
      <c r="BG64" s="89" t="n">
        <f aca="true">IF(BG$5=0,BF64,MAX(0,(BF64-BG$4)*(1+NORMINV(RAND(),INPUTS!$B$28,INPUTS!$B$29))))</f>
        <v>5585658.54945248</v>
      </c>
      <c r="BH64" s="89" t="n">
        <f aca="true">IF(BH$5=0,BG64,MAX(0,(BG64-BH$4)*(1+NORMINV(RAND(),INPUTS!$B$28,INPUTS!$B$29))))</f>
        <v>5585658.54945248</v>
      </c>
      <c r="BI64" s="89" t="n">
        <f aca="true">IF(BI$5=0,BH64,MAX(0,(BH64-BI$4)*(1+NORMINV(RAND(),INPUTS!$B$28,INPUTS!$B$29))))</f>
        <v>5585658.54945248</v>
      </c>
      <c r="BJ64" s="89" t="n">
        <f aca="true">IF(BJ$5=0,BI64,MAX(0,(BI64-BJ$4)*(1+NORMINV(RAND(),INPUTS!$B$28,INPUTS!$B$29))))</f>
        <v>5585658.54945248</v>
      </c>
    </row>
    <row r="65" customFormat="false" ht="15" hidden="false" customHeight="true" outlineLevel="0" collapsed="false">
      <c r="A65" s="87" t="n">
        <v>58</v>
      </c>
      <c r="B65" s="88" t="n">
        <f aca="false">LOOKUP(9.99E+307,C65:BJ65)</f>
        <v>14469786.8245528</v>
      </c>
      <c r="C65" s="89" t="n">
        <f aca="true">IF(C$5=0,INPUTS!$B$35,MAX(0,(INPUTS!$B$35-C$4)*(1+NORMINV(RAND(),INPUTS!$B$28,INPUTS!$B$29))))</f>
        <v>1592007.60470312</v>
      </c>
      <c r="D65" s="89" t="n">
        <f aca="true">IF(D$5=0,C65,MAX(0,(C65-D$4)*(1+NORMINV(RAND(),INPUTS!$B$28,INPUTS!$B$29))))</f>
        <v>1797597.82204062</v>
      </c>
      <c r="E65" s="89" t="n">
        <f aca="true">IF(E$5=0,D65,MAX(0,(D65-E$4)*(1+NORMINV(RAND(),INPUTS!$B$28,INPUTS!$B$29))))</f>
        <v>1690629.51610184</v>
      </c>
      <c r="F65" s="89" t="n">
        <f aca="true">IF(F$5=0,E65,MAX(0,(E65-F$4)*(1+NORMINV(RAND(),INPUTS!$B$28,INPUTS!$B$29))))</f>
        <v>1583534.07292152</v>
      </c>
      <c r="G65" s="89" t="n">
        <f aca="true">IF(G$5=0,F65,MAX(0,(F65-G$4)*(1+NORMINV(RAND(),INPUTS!$B$28,INPUTS!$B$29))))</f>
        <v>1521116.65922701</v>
      </c>
      <c r="H65" s="89" t="n">
        <f aca="true">IF(H$5=0,G65,MAX(0,(G65-H$4)*(1+NORMINV(RAND(),INPUTS!$B$28,INPUTS!$B$29))))</f>
        <v>1580239.97199413</v>
      </c>
      <c r="I65" s="89" t="n">
        <f aca="true">IF(I$5=0,H65,MAX(0,(H65-I$4)*(1+NORMINV(RAND(),INPUTS!$B$28,INPUTS!$B$29))))</f>
        <v>1879156.75514852</v>
      </c>
      <c r="J65" s="89" t="n">
        <f aca="true">IF(J$5=0,I65,MAX(0,(I65-J$4)*(1+NORMINV(RAND(),INPUTS!$B$28,INPUTS!$B$29))))</f>
        <v>1926697.88454001</v>
      </c>
      <c r="K65" s="89" t="n">
        <f aca="true">IF(K$5=0,J65,MAX(0,(J65-K$4)*(1+NORMINV(RAND(),INPUTS!$B$28,INPUTS!$B$29))))</f>
        <v>1807410.89935969</v>
      </c>
      <c r="L65" s="89" t="n">
        <f aca="true">IF(L$5=0,K65,MAX(0,(K65-L$4)*(1+NORMINV(RAND(),INPUTS!$B$28,INPUTS!$B$29))))</f>
        <v>2175936.29566166</v>
      </c>
      <c r="M65" s="89" t="n">
        <f aca="true">IF(M$5=0,L65,MAX(0,(L65-M$4)*(1+NORMINV(RAND(),INPUTS!$B$28,INPUTS!$B$29))))</f>
        <v>2270130.93931544</v>
      </c>
      <c r="N65" s="89" t="n">
        <f aca="true">IF(N$5=0,M65,MAX(0,(M65-N$4)*(1+NORMINV(RAND(),INPUTS!$B$28,INPUTS!$B$29))))</f>
        <v>2523647.54567362</v>
      </c>
      <c r="O65" s="89" t="n">
        <f aca="true">IF(O$5=0,N65,MAX(0,(N65-O$4)*(1+NORMINV(RAND(),INPUTS!$B$28,INPUTS!$B$29))))</f>
        <v>2759066.67602557</v>
      </c>
      <c r="P65" s="89" t="n">
        <f aca="true">IF(P$5=0,O65,MAX(0,(O65-P$4)*(1+NORMINV(RAND(),INPUTS!$B$28,INPUTS!$B$29))))</f>
        <v>3601933.24047105</v>
      </c>
      <c r="Q65" s="89" t="n">
        <f aca="true">IF(Q$5=0,P65,MAX(0,(P65-Q$4)*(1+NORMINV(RAND(),INPUTS!$B$28,INPUTS!$B$29))))</f>
        <v>3091940.09362372</v>
      </c>
      <c r="R65" s="89" t="n">
        <f aca="true">IF(R$5=0,Q65,MAX(0,(Q65-R$4)*(1+NORMINV(RAND(),INPUTS!$B$28,INPUTS!$B$29))))</f>
        <v>3872780.77877314</v>
      </c>
      <c r="S65" s="89" t="n">
        <f aca="true">IF(S$5=0,R65,MAX(0,(R65-S$4)*(1+NORMINV(RAND(),INPUTS!$B$28,INPUTS!$B$29))))</f>
        <v>4795372.31186107</v>
      </c>
      <c r="T65" s="89" t="n">
        <f aca="true">IF(T$5=0,S65,MAX(0,(S65-T$4)*(1+NORMINV(RAND(),INPUTS!$B$28,INPUTS!$B$29))))</f>
        <v>4803927.29074657</v>
      </c>
      <c r="U65" s="89" t="n">
        <f aca="true">IF(U$5=0,T65,MAX(0,(T65-U$4)*(1+NORMINV(RAND(),INPUTS!$B$28,INPUTS!$B$29))))</f>
        <v>5584972.28199083</v>
      </c>
      <c r="V65" s="89" t="n">
        <f aca="true">IF(V$5=0,U65,MAX(0,(U65-V$4)*(1+NORMINV(RAND(),INPUTS!$B$28,INPUTS!$B$29))))</f>
        <v>6067296.83445506</v>
      </c>
      <c r="W65" s="89" t="n">
        <f aca="true">IF(W$5=0,V65,MAX(0,(V65-W$4)*(1+NORMINV(RAND(),INPUTS!$B$28,INPUTS!$B$29))))</f>
        <v>6202909.75328291</v>
      </c>
      <c r="X65" s="89" t="n">
        <f aca="true">IF(X$5=0,W65,MAX(0,(W65-X$4)*(1+NORMINV(RAND(),INPUTS!$B$28,INPUTS!$B$29))))</f>
        <v>6599516.63476548</v>
      </c>
      <c r="Y65" s="89" t="n">
        <f aca="true">IF(Y$5=0,X65,MAX(0,(X65-Y$4)*(1+NORMINV(RAND(),INPUTS!$B$28,INPUTS!$B$29))))</f>
        <v>6847721.44842457</v>
      </c>
      <c r="Z65" s="89" t="n">
        <f aca="true">IF(Z$5=0,Y65,MAX(0,(Y65-Z$4)*(1+NORMINV(RAND(),INPUTS!$B$28,INPUTS!$B$29))))</f>
        <v>8036537.30371698</v>
      </c>
      <c r="AA65" s="89" t="n">
        <f aca="true">IF(AA$5=0,Z65,MAX(0,(Z65-AA$4)*(1+NORMINV(RAND(),INPUTS!$B$28,INPUTS!$B$29))))</f>
        <v>8983656.64585149</v>
      </c>
      <c r="AB65" s="89" t="n">
        <f aca="true">IF(AB$5=0,AA65,MAX(0,(AA65-AB$4)*(1+NORMINV(RAND(),INPUTS!$B$28,INPUTS!$B$29))))</f>
        <v>9256028.43137413</v>
      </c>
      <c r="AC65" s="89" t="n">
        <f aca="true">IF(AC$5=0,AB65,MAX(0,(AB65-AC$4)*(1+NORMINV(RAND(),INPUTS!$B$28,INPUTS!$B$29))))</f>
        <v>9303754.47524657</v>
      </c>
      <c r="AD65" s="89" t="n">
        <f aca="true">IF(AD$5=0,AC65,MAX(0,(AC65-AD$4)*(1+NORMINV(RAND(),INPUTS!$B$28,INPUTS!$B$29))))</f>
        <v>9918989.28746691</v>
      </c>
      <c r="AE65" s="89" t="n">
        <f aca="true">IF(AE$5=0,AD65,MAX(0,(AD65-AE$4)*(1+NORMINV(RAND(),INPUTS!$B$28,INPUTS!$B$29))))</f>
        <v>10621388.8259494</v>
      </c>
      <c r="AF65" s="89" t="n">
        <f aca="true">IF(AF$5=0,AE65,MAX(0,(AE65-AF$4)*(1+NORMINV(RAND(),INPUTS!$B$28,INPUTS!$B$29))))</f>
        <v>9234400.88466761</v>
      </c>
      <c r="AG65" s="89" t="n">
        <f aca="true">IF(AG$5=0,AF65,MAX(0,(AF65-AG$4)*(1+NORMINV(RAND(),INPUTS!$B$28,INPUTS!$B$29))))</f>
        <v>10157106.2475288</v>
      </c>
      <c r="AH65" s="89" t="n">
        <f aca="true">IF(AH$5=0,AG65,MAX(0,(AG65-AH$4)*(1+NORMINV(RAND(),INPUTS!$B$28,INPUTS!$B$29))))</f>
        <v>10154610.0121729</v>
      </c>
      <c r="AI65" s="89" t="n">
        <f aca="true">IF(AI$5=0,AH65,MAX(0,(AH65-AI$4)*(1+NORMINV(RAND(),INPUTS!$B$28,INPUTS!$B$29))))</f>
        <v>11873655.2796012</v>
      </c>
      <c r="AJ65" s="89" t="n">
        <f aca="true">IF(AJ$5=0,AI65,MAX(0,(AI65-AJ$4)*(1+NORMINV(RAND(),INPUTS!$B$28,INPUTS!$B$29))))</f>
        <v>13486429.2386466</v>
      </c>
      <c r="AK65" s="89" t="n">
        <f aca="true">IF(AK$5=0,AJ65,MAX(0,(AJ65-AK$4)*(1+NORMINV(RAND(),INPUTS!$B$28,INPUTS!$B$29))))</f>
        <v>13853951.7437112</v>
      </c>
      <c r="AL65" s="89" t="n">
        <f aca="true">IF(AL$5=0,AK65,MAX(0,(AK65-AL$4)*(1+NORMINV(RAND(),INPUTS!$B$28,INPUTS!$B$29))))</f>
        <v>14469786.8245528</v>
      </c>
      <c r="AM65" s="89" t="n">
        <f aca="true">IF(AM$5=0,AL65,MAX(0,(AL65-AM$4)*(1+NORMINV(RAND(),INPUTS!$B$28,INPUTS!$B$29))))</f>
        <v>14469786.8245528</v>
      </c>
      <c r="AN65" s="89" t="n">
        <f aca="true">IF(AN$5=0,AM65,MAX(0,(AM65-AN$4)*(1+NORMINV(RAND(),INPUTS!$B$28,INPUTS!$B$29))))</f>
        <v>14469786.8245528</v>
      </c>
      <c r="AO65" s="89" t="n">
        <f aca="true">IF(AO$5=0,AN65,MAX(0,(AN65-AO$4)*(1+NORMINV(RAND(),INPUTS!$B$28,INPUTS!$B$29))))</f>
        <v>14469786.8245528</v>
      </c>
      <c r="AP65" s="89" t="n">
        <f aca="true">IF(AP$5=0,AO65,MAX(0,(AO65-AP$4)*(1+NORMINV(RAND(),INPUTS!$B$28,INPUTS!$B$29))))</f>
        <v>14469786.8245528</v>
      </c>
      <c r="AQ65" s="89" t="n">
        <f aca="true">IF(AQ$5=0,AP65,MAX(0,(AP65-AQ$4)*(1+NORMINV(RAND(),INPUTS!$B$28,INPUTS!$B$29))))</f>
        <v>14469786.8245528</v>
      </c>
      <c r="AR65" s="89" t="n">
        <f aca="true">IF(AR$5=0,AQ65,MAX(0,(AQ65-AR$4)*(1+NORMINV(RAND(),INPUTS!$B$28,INPUTS!$B$29))))</f>
        <v>14469786.8245528</v>
      </c>
      <c r="AS65" s="89" t="n">
        <f aca="true">IF(AS$5=0,AR65,MAX(0,(AR65-AS$4)*(1+NORMINV(RAND(),INPUTS!$B$28,INPUTS!$B$29))))</f>
        <v>14469786.8245528</v>
      </c>
      <c r="AT65" s="89" t="n">
        <f aca="true">IF(AT$5=0,AS65,MAX(0,(AS65-AT$4)*(1+NORMINV(RAND(),INPUTS!$B$28,INPUTS!$B$29))))</f>
        <v>14469786.8245528</v>
      </c>
      <c r="AU65" s="89" t="n">
        <f aca="true">IF(AU$5=0,AT65,MAX(0,(AT65-AU$4)*(1+NORMINV(RAND(),INPUTS!$B$28,INPUTS!$B$29))))</f>
        <v>14469786.8245528</v>
      </c>
      <c r="AV65" s="89" t="n">
        <f aca="true">IF(AV$5=0,AU65,MAX(0,(AU65-AV$4)*(1+NORMINV(RAND(),INPUTS!$B$28,INPUTS!$B$29))))</f>
        <v>14469786.8245528</v>
      </c>
      <c r="AW65" s="89" t="n">
        <f aca="true">IF(AW$5=0,AV65,MAX(0,(AV65-AW$4)*(1+NORMINV(RAND(),INPUTS!$B$28,INPUTS!$B$29))))</f>
        <v>14469786.8245528</v>
      </c>
      <c r="AX65" s="89" t="n">
        <f aca="true">IF(AX$5=0,AW65,MAX(0,(AW65-AX$4)*(1+NORMINV(RAND(),INPUTS!$B$28,INPUTS!$B$29))))</f>
        <v>14469786.8245528</v>
      </c>
      <c r="AY65" s="89" t="n">
        <f aca="true">IF(AY$5=0,AX65,MAX(0,(AX65-AY$4)*(1+NORMINV(RAND(),INPUTS!$B$28,INPUTS!$B$29))))</f>
        <v>14469786.8245528</v>
      </c>
      <c r="AZ65" s="89" t="n">
        <f aca="true">IF(AZ$5=0,AY65,MAX(0,(AY65-AZ$4)*(1+NORMINV(RAND(),INPUTS!$B$28,INPUTS!$B$29))))</f>
        <v>14469786.8245528</v>
      </c>
      <c r="BA65" s="89" t="n">
        <f aca="true">IF(BA$5=0,AZ65,MAX(0,(AZ65-BA$4)*(1+NORMINV(RAND(),INPUTS!$B$28,INPUTS!$B$29))))</f>
        <v>14469786.8245528</v>
      </c>
      <c r="BB65" s="89" t="n">
        <f aca="true">IF(BB$5=0,BA65,MAX(0,(BA65-BB$4)*(1+NORMINV(RAND(),INPUTS!$B$28,INPUTS!$B$29))))</f>
        <v>14469786.8245528</v>
      </c>
      <c r="BC65" s="89" t="n">
        <f aca="true">IF(BC$5=0,BB65,MAX(0,(BB65-BC$4)*(1+NORMINV(RAND(),INPUTS!$B$28,INPUTS!$B$29))))</f>
        <v>14469786.8245528</v>
      </c>
      <c r="BD65" s="89" t="n">
        <f aca="true">IF(BD$5=0,BC65,MAX(0,(BC65-BD$4)*(1+NORMINV(RAND(),INPUTS!$B$28,INPUTS!$B$29))))</f>
        <v>14469786.8245528</v>
      </c>
      <c r="BE65" s="89" t="n">
        <f aca="true">IF(BE$5=0,BD65,MAX(0,(BD65-BE$4)*(1+NORMINV(RAND(),INPUTS!$B$28,INPUTS!$B$29))))</f>
        <v>14469786.8245528</v>
      </c>
      <c r="BF65" s="89" t="n">
        <f aca="true">IF(BF$5=0,BE65,MAX(0,(BE65-BF$4)*(1+NORMINV(RAND(),INPUTS!$B$28,INPUTS!$B$29))))</f>
        <v>14469786.8245528</v>
      </c>
      <c r="BG65" s="89" t="n">
        <f aca="true">IF(BG$5=0,BF65,MAX(0,(BF65-BG$4)*(1+NORMINV(RAND(),INPUTS!$B$28,INPUTS!$B$29))))</f>
        <v>14469786.8245528</v>
      </c>
      <c r="BH65" s="89" t="n">
        <f aca="true">IF(BH$5=0,BG65,MAX(0,(BG65-BH$4)*(1+NORMINV(RAND(),INPUTS!$B$28,INPUTS!$B$29))))</f>
        <v>14469786.8245528</v>
      </c>
      <c r="BI65" s="89" t="n">
        <f aca="true">IF(BI$5=0,BH65,MAX(0,(BH65-BI$4)*(1+NORMINV(RAND(),INPUTS!$B$28,INPUTS!$B$29))))</f>
        <v>14469786.8245528</v>
      </c>
      <c r="BJ65" s="89" t="n">
        <f aca="true">IF(BJ$5=0,BI65,MAX(0,(BI65-BJ$4)*(1+NORMINV(RAND(),INPUTS!$B$28,INPUTS!$B$29))))</f>
        <v>14469786.8245528</v>
      </c>
    </row>
    <row r="66" customFormat="false" ht="15" hidden="false" customHeight="true" outlineLevel="0" collapsed="false">
      <c r="A66" s="87" t="n">
        <v>59</v>
      </c>
      <c r="B66" s="88" t="n">
        <f aca="false">LOOKUP(9.99E+307,C66:BJ66)</f>
        <v>5412342.73829401</v>
      </c>
      <c r="C66" s="89" t="n">
        <f aca="true">IF(C$5=0,INPUTS!$B$35,MAX(0,(INPUTS!$B$35-C$4)*(1+NORMINV(RAND(),INPUTS!$B$28,INPUTS!$B$29))))</f>
        <v>1272628.24764176</v>
      </c>
      <c r="D66" s="89" t="n">
        <f aca="true">IF(D$5=0,C66,MAX(0,(C66-D$4)*(1+NORMINV(RAND(),INPUTS!$B$28,INPUTS!$B$29))))</f>
        <v>1320310.19680815</v>
      </c>
      <c r="E66" s="89" t="n">
        <f aca="true">IF(E$5=0,D66,MAX(0,(D66-E$4)*(1+NORMINV(RAND(),INPUTS!$B$28,INPUTS!$B$29))))</f>
        <v>1304268.40805299</v>
      </c>
      <c r="F66" s="89" t="n">
        <f aca="true">IF(F$5=0,E66,MAX(0,(E66-F$4)*(1+NORMINV(RAND(),INPUTS!$B$28,INPUTS!$B$29))))</f>
        <v>1317620.21419932</v>
      </c>
      <c r="G66" s="89" t="n">
        <f aca="true">IF(G$5=0,F66,MAX(0,(F66-G$4)*(1+NORMINV(RAND(),INPUTS!$B$28,INPUTS!$B$29))))</f>
        <v>1596879.65866843</v>
      </c>
      <c r="H66" s="89" t="n">
        <f aca="true">IF(H$5=0,G66,MAX(0,(G66-H$4)*(1+NORMINV(RAND(),INPUTS!$B$28,INPUTS!$B$29))))</f>
        <v>1653850.78311863</v>
      </c>
      <c r="I66" s="89" t="n">
        <f aca="true">IF(I$5=0,H66,MAX(0,(H66-I$4)*(1+NORMINV(RAND(),INPUTS!$B$28,INPUTS!$B$29))))</f>
        <v>2082324.16336402</v>
      </c>
      <c r="J66" s="89" t="n">
        <f aca="true">IF(J$5=0,I66,MAX(0,(I66-J$4)*(1+NORMINV(RAND(),INPUTS!$B$28,INPUTS!$B$29))))</f>
        <v>2098979.80984283</v>
      </c>
      <c r="K66" s="89" t="n">
        <f aca="true">IF(K$5=0,J66,MAX(0,(J66-K$4)*(1+NORMINV(RAND(),INPUTS!$B$28,INPUTS!$B$29))))</f>
        <v>2076485.75210181</v>
      </c>
      <c r="L66" s="89" t="n">
        <f aca="true">IF(L$5=0,K66,MAX(0,(K66-L$4)*(1+NORMINV(RAND(),INPUTS!$B$28,INPUTS!$B$29))))</f>
        <v>2253441.45397069</v>
      </c>
      <c r="M66" s="89" t="n">
        <f aca="true">IF(M$5=0,L66,MAX(0,(L66-M$4)*(1+NORMINV(RAND(),INPUTS!$B$28,INPUTS!$B$29))))</f>
        <v>2566248.42122893</v>
      </c>
      <c r="N66" s="89" t="n">
        <f aca="true">IF(N$5=0,M66,MAX(0,(M66-N$4)*(1+NORMINV(RAND(),INPUTS!$B$28,INPUTS!$B$29))))</f>
        <v>2949304.67999268</v>
      </c>
      <c r="O66" s="89" t="n">
        <f aca="true">IF(O$5=0,N66,MAX(0,(N66-O$4)*(1+NORMINV(RAND(),INPUTS!$B$28,INPUTS!$B$29))))</f>
        <v>3099932.05709104</v>
      </c>
      <c r="P66" s="89" t="n">
        <f aca="true">IF(P$5=0,O66,MAX(0,(O66-P$4)*(1+NORMINV(RAND(),INPUTS!$B$28,INPUTS!$B$29))))</f>
        <v>3274111.20097002</v>
      </c>
      <c r="Q66" s="89" t="n">
        <f aca="true">IF(Q$5=0,P66,MAX(0,(P66-Q$4)*(1+NORMINV(RAND(),INPUTS!$B$28,INPUTS!$B$29))))</f>
        <v>3206745.31278783</v>
      </c>
      <c r="R66" s="89" t="n">
        <f aca="true">IF(R$5=0,Q66,MAX(0,(Q66-R$4)*(1+NORMINV(RAND(),INPUTS!$B$28,INPUTS!$B$29))))</f>
        <v>4029019.21578841</v>
      </c>
      <c r="S66" s="89" t="n">
        <f aca="true">IF(S$5=0,R66,MAX(0,(R66-S$4)*(1+NORMINV(RAND(),INPUTS!$B$28,INPUTS!$B$29))))</f>
        <v>4017685.08034677</v>
      </c>
      <c r="T66" s="89" t="n">
        <f aca="true">IF(T$5=0,S66,MAX(0,(S66-T$4)*(1+NORMINV(RAND(),INPUTS!$B$28,INPUTS!$B$29))))</f>
        <v>4839356.01714644</v>
      </c>
      <c r="U66" s="89" t="n">
        <f aca="true">IF(U$5=0,T66,MAX(0,(T66-U$4)*(1+NORMINV(RAND(),INPUTS!$B$28,INPUTS!$B$29))))</f>
        <v>4719315.41055294</v>
      </c>
      <c r="V66" s="89" t="n">
        <f aca="true">IF(V$5=0,U66,MAX(0,(U66-V$4)*(1+NORMINV(RAND(),INPUTS!$B$28,INPUTS!$B$29))))</f>
        <v>3959115.13264335</v>
      </c>
      <c r="W66" s="89" t="n">
        <f aca="true">IF(W$5=0,V66,MAX(0,(V66-W$4)*(1+NORMINV(RAND(),INPUTS!$B$28,INPUTS!$B$29))))</f>
        <v>3833385.34436472</v>
      </c>
      <c r="X66" s="89" t="n">
        <f aca="true">IF(X$5=0,W66,MAX(0,(W66-X$4)*(1+NORMINV(RAND(),INPUTS!$B$28,INPUTS!$B$29))))</f>
        <v>4082068.12245524</v>
      </c>
      <c r="Y66" s="89" t="n">
        <f aca="true">IF(Y$5=0,X66,MAX(0,(X66-Y$4)*(1+NORMINV(RAND(),INPUTS!$B$28,INPUTS!$B$29))))</f>
        <v>3861381.98840316</v>
      </c>
      <c r="Z66" s="89" t="n">
        <f aca="true">IF(Z$5=0,Y66,MAX(0,(Y66-Z$4)*(1+NORMINV(RAND(),INPUTS!$B$28,INPUTS!$B$29))))</f>
        <v>3876616.63795521</v>
      </c>
      <c r="AA66" s="89" t="n">
        <f aca="true">IF(AA$5=0,Z66,MAX(0,(Z66-AA$4)*(1+NORMINV(RAND(),INPUTS!$B$28,INPUTS!$B$29))))</f>
        <v>3879189.78750196</v>
      </c>
      <c r="AB66" s="89" t="n">
        <f aca="true">IF(AB$5=0,AA66,MAX(0,(AA66-AB$4)*(1+NORMINV(RAND(),INPUTS!$B$28,INPUTS!$B$29))))</f>
        <v>4066404.24301348</v>
      </c>
      <c r="AC66" s="89" t="n">
        <f aca="true">IF(AC$5=0,AB66,MAX(0,(AB66-AC$4)*(1+NORMINV(RAND(),INPUTS!$B$28,INPUTS!$B$29))))</f>
        <v>4625478.87543336</v>
      </c>
      <c r="AD66" s="89" t="n">
        <f aca="true">IF(AD$5=0,AC66,MAX(0,(AC66-AD$4)*(1+NORMINV(RAND(),INPUTS!$B$28,INPUTS!$B$29))))</f>
        <v>5086960.58740686</v>
      </c>
      <c r="AE66" s="89" t="n">
        <f aca="true">IF(AE$5=0,AD66,MAX(0,(AD66-AE$4)*(1+NORMINV(RAND(),INPUTS!$B$28,INPUTS!$B$29))))</f>
        <v>6166922.04215827</v>
      </c>
      <c r="AF66" s="89" t="n">
        <f aca="true">IF(AF$5=0,AE66,MAX(0,(AE66-AF$4)*(1+NORMINV(RAND(),INPUTS!$B$28,INPUTS!$B$29))))</f>
        <v>5900014.90273162</v>
      </c>
      <c r="AG66" s="89" t="n">
        <f aca="true">IF(AG$5=0,AF66,MAX(0,(AF66-AG$4)*(1+NORMINV(RAND(),INPUTS!$B$28,INPUTS!$B$29))))</f>
        <v>6473253.5924925</v>
      </c>
      <c r="AH66" s="89" t="n">
        <f aca="true">IF(AH$5=0,AG66,MAX(0,(AG66-AH$4)*(1+NORMINV(RAND(),INPUTS!$B$28,INPUTS!$B$29))))</f>
        <v>5746611.09067426</v>
      </c>
      <c r="AI66" s="89" t="n">
        <f aca="true">IF(AI$5=0,AH66,MAX(0,(AH66-AI$4)*(1+NORMINV(RAND(),INPUTS!$B$28,INPUTS!$B$29))))</f>
        <v>4964127.73721105</v>
      </c>
      <c r="AJ66" s="89" t="n">
        <f aca="true">IF(AJ$5=0,AI66,MAX(0,(AI66-AJ$4)*(1+NORMINV(RAND(),INPUTS!$B$28,INPUTS!$B$29))))</f>
        <v>4904867.00467325</v>
      </c>
      <c r="AK66" s="89" t="n">
        <f aca="true">IF(AK$5=0,AJ66,MAX(0,(AJ66-AK$4)*(1+NORMINV(RAND(),INPUTS!$B$28,INPUTS!$B$29))))</f>
        <v>5132848.08965421</v>
      </c>
      <c r="AL66" s="89" t="n">
        <f aca="true">IF(AL$5=0,AK66,MAX(0,(AK66-AL$4)*(1+NORMINV(RAND(),INPUTS!$B$28,INPUTS!$B$29))))</f>
        <v>5412342.73829401</v>
      </c>
      <c r="AM66" s="89" t="n">
        <f aca="true">IF(AM$5=0,AL66,MAX(0,(AL66-AM$4)*(1+NORMINV(RAND(),INPUTS!$B$28,INPUTS!$B$29))))</f>
        <v>5412342.73829401</v>
      </c>
      <c r="AN66" s="89" t="n">
        <f aca="true">IF(AN$5=0,AM66,MAX(0,(AM66-AN$4)*(1+NORMINV(RAND(),INPUTS!$B$28,INPUTS!$B$29))))</f>
        <v>5412342.73829401</v>
      </c>
      <c r="AO66" s="89" t="n">
        <f aca="true">IF(AO$5=0,AN66,MAX(0,(AN66-AO$4)*(1+NORMINV(RAND(),INPUTS!$B$28,INPUTS!$B$29))))</f>
        <v>5412342.73829401</v>
      </c>
      <c r="AP66" s="89" t="n">
        <f aca="true">IF(AP$5=0,AO66,MAX(0,(AO66-AP$4)*(1+NORMINV(RAND(),INPUTS!$B$28,INPUTS!$B$29))))</f>
        <v>5412342.73829401</v>
      </c>
      <c r="AQ66" s="89" t="n">
        <f aca="true">IF(AQ$5=0,AP66,MAX(0,(AP66-AQ$4)*(1+NORMINV(RAND(),INPUTS!$B$28,INPUTS!$B$29))))</f>
        <v>5412342.73829401</v>
      </c>
      <c r="AR66" s="89" t="n">
        <f aca="true">IF(AR$5=0,AQ66,MAX(0,(AQ66-AR$4)*(1+NORMINV(RAND(),INPUTS!$B$28,INPUTS!$B$29))))</f>
        <v>5412342.73829401</v>
      </c>
      <c r="AS66" s="89" t="n">
        <f aca="true">IF(AS$5=0,AR66,MAX(0,(AR66-AS$4)*(1+NORMINV(RAND(),INPUTS!$B$28,INPUTS!$B$29))))</f>
        <v>5412342.73829401</v>
      </c>
      <c r="AT66" s="89" t="n">
        <f aca="true">IF(AT$5=0,AS66,MAX(0,(AS66-AT$4)*(1+NORMINV(RAND(),INPUTS!$B$28,INPUTS!$B$29))))</f>
        <v>5412342.73829401</v>
      </c>
      <c r="AU66" s="89" t="n">
        <f aca="true">IF(AU$5=0,AT66,MAX(0,(AT66-AU$4)*(1+NORMINV(RAND(),INPUTS!$B$28,INPUTS!$B$29))))</f>
        <v>5412342.73829401</v>
      </c>
      <c r="AV66" s="89" t="n">
        <f aca="true">IF(AV$5=0,AU66,MAX(0,(AU66-AV$4)*(1+NORMINV(RAND(),INPUTS!$B$28,INPUTS!$B$29))))</f>
        <v>5412342.73829401</v>
      </c>
      <c r="AW66" s="89" t="n">
        <f aca="true">IF(AW$5=0,AV66,MAX(0,(AV66-AW$4)*(1+NORMINV(RAND(),INPUTS!$B$28,INPUTS!$B$29))))</f>
        <v>5412342.73829401</v>
      </c>
      <c r="AX66" s="89" t="n">
        <f aca="true">IF(AX$5=0,AW66,MAX(0,(AW66-AX$4)*(1+NORMINV(RAND(),INPUTS!$B$28,INPUTS!$B$29))))</f>
        <v>5412342.73829401</v>
      </c>
      <c r="AY66" s="89" t="n">
        <f aca="true">IF(AY$5=0,AX66,MAX(0,(AX66-AY$4)*(1+NORMINV(RAND(),INPUTS!$B$28,INPUTS!$B$29))))</f>
        <v>5412342.73829401</v>
      </c>
      <c r="AZ66" s="89" t="n">
        <f aca="true">IF(AZ$5=0,AY66,MAX(0,(AY66-AZ$4)*(1+NORMINV(RAND(),INPUTS!$B$28,INPUTS!$B$29))))</f>
        <v>5412342.73829401</v>
      </c>
      <c r="BA66" s="89" t="n">
        <f aca="true">IF(BA$5=0,AZ66,MAX(0,(AZ66-BA$4)*(1+NORMINV(RAND(),INPUTS!$B$28,INPUTS!$B$29))))</f>
        <v>5412342.73829401</v>
      </c>
      <c r="BB66" s="89" t="n">
        <f aca="true">IF(BB$5=0,BA66,MAX(0,(BA66-BB$4)*(1+NORMINV(RAND(),INPUTS!$B$28,INPUTS!$B$29))))</f>
        <v>5412342.73829401</v>
      </c>
      <c r="BC66" s="89" t="n">
        <f aca="true">IF(BC$5=0,BB66,MAX(0,(BB66-BC$4)*(1+NORMINV(RAND(),INPUTS!$B$28,INPUTS!$B$29))))</f>
        <v>5412342.73829401</v>
      </c>
      <c r="BD66" s="89" t="n">
        <f aca="true">IF(BD$5=0,BC66,MAX(0,(BC66-BD$4)*(1+NORMINV(RAND(),INPUTS!$B$28,INPUTS!$B$29))))</f>
        <v>5412342.73829401</v>
      </c>
      <c r="BE66" s="89" t="n">
        <f aca="true">IF(BE$5=0,BD66,MAX(0,(BD66-BE$4)*(1+NORMINV(RAND(),INPUTS!$B$28,INPUTS!$B$29))))</f>
        <v>5412342.73829401</v>
      </c>
      <c r="BF66" s="89" t="n">
        <f aca="true">IF(BF$5=0,BE66,MAX(0,(BE66-BF$4)*(1+NORMINV(RAND(),INPUTS!$B$28,INPUTS!$B$29))))</f>
        <v>5412342.73829401</v>
      </c>
      <c r="BG66" s="89" t="n">
        <f aca="true">IF(BG$5=0,BF66,MAX(0,(BF66-BG$4)*(1+NORMINV(RAND(),INPUTS!$B$28,INPUTS!$B$29))))</f>
        <v>5412342.73829401</v>
      </c>
      <c r="BH66" s="89" t="n">
        <f aca="true">IF(BH$5=0,BG66,MAX(0,(BG66-BH$4)*(1+NORMINV(RAND(),INPUTS!$B$28,INPUTS!$B$29))))</f>
        <v>5412342.73829401</v>
      </c>
      <c r="BI66" s="89" t="n">
        <f aca="true">IF(BI$5=0,BH66,MAX(0,(BH66-BI$4)*(1+NORMINV(RAND(),INPUTS!$B$28,INPUTS!$B$29))))</f>
        <v>5412342.73829401</v>
      </c>
      <c r="BJ66" s="89" t="n">
        <f aca="true">IF(BJ$5=0,BI66,MAX(0,(BI66-BJ$4)*(1+NORMINV(RAND(),INPUTS!$B$28,INPUTS!$B$29))))</f>
        <v>5412342.73829401</v>
      </c>
    </row>
    <row r="67" customFormat="false" ht="15" hidden="false" customHeight="true" outlineLevel="0" collapsed="false">
      <c r="A67" s="87" t="n">
        <v>60</v>
      </c>
      <c r="B67" s="88" t="n">
        <f aca="false">LOOKUP(9.99E+307,C67:BJ67)</f>
        <v>10330896.5958235</v>
      </c>
      <c r="C67" s="89" t="n">
        <f aca="true">IF(C$5=0,INPUTS!$B$35,MAX(0,(INPUTS!$B$35-C$4)*(1+NORMINV(RAND(),INPUTS!$B$28,INPUTS!$B$29))))</f>
        <v>1861147.51188971</v>
      </c>
      <c r="D67" s="89" t="n">
        <f aca="true">IF(D$5=0,C67,MAX(0,(C67-D$4)*(1+NORMINV(RAND(),INPUTS!$B$28,INPUTS!$B$29))))</f>
        <v>1734479.09635173</v>
      </c>
      <c r="E67" s="89" t="n">
        <f aca="true">IF(E$5=0,D67,MAX(0,(D67-E$4)*(1+NORMINV(RAND(),INPUTS!$B$28,INPUTS!$B$29))))</f>
        <v>1745385.49415559</v>
      </c>
      <c r="F67" s="89" t="n">
        <f aca="true">IF(F$5=0,E67,MAX(0,(E67-F$4)*(1+NORMINV(RAND(),INPUTS!$B$28,INPUTS!$B$29))))</f>
        <v>1655059.94395633</v>
      </c>
      <c r="G67" s="89" t="n">
        <f aca="true">IF(G$5=0,F67,MAX(0,(F67-G$4)*(1+NORMINV(RAND(),INPUTS!$B$28,INPUTS!$B$29))))</f>
        <v>1451673.95873143</v>
      </c>
      <c r="H67" s="89" t="n">
        <f aca="true">IF(H$5=0,G67,MAX(0,(G67-H$4)*(1+NORMINV(RAND(),INPUTS!$B$28,INPUTS!$B$29))))</f>
        <v>1353703.19236964</v>
      </c>
      <c r="I67" s="89" t="n">
        <f aca="true">IF(I$5=0,H67,MAX(0,(H67-I$4)*(1+NORMINV(RAND(),INPUTS!$B$28,INPUTS!$B$29))))</f>
        <v>1461938.67932219</v>
      </c>
      <c r="J67" s="89" t="n">
        <f aca="true">IF(J$5=0,I67,MAX(0,(I67-J$4)*(1+NORMINV(RAND(),INPUTS!$B$28,INPUTS!$B$29))))</f>
        <v>1339260.64268121</v>
      </c>
      <c r="K67" s="89" t="n">
        <f aca="true">IF(K$5=0,J67,MAX(0,(J67-K$4)*(1+NORMINV(RAND(),INPUTS!$B$28,INPUTS!$B$29))))</f>
        <v>1173662.95901652</v>
      </c>
      <c r="L67" s="89" t="n">
        <f aca="true">IF(L$5=0,K67,MAX(0,(K67-L$4)*(1+NORMINV(RAND(),INPUTS!$B$28,INPUTS!$B$29))))</f>
        <v>1043598.81783856</v>
      </c>
      <c r="M67" s="89" t="n">
        <f aca="true">IF(M$5=0,L67,MAX(0,(L67-M$4)*(1+NORMINV(RAND(),INPUTS!$B$28,INPUTS!$B$29))))</f>
        <v>1209186.09623666</v>
      </c>
      <c r="N67" s="89" t="n">
        <f aca="true">IF(N$5=0,M67,MAX(0,(M67-N$4)*(1+NORMINV(RAND(),INPUTS!$B$28,INPUTS!$B$29))))</f>
        <v>1221706.55907877</v>
      </c>
      <c r="O67" s="89" t="n">
        <f aca="true">IF(O$5=0,N67,MAX(0,(N67-O$4)*(1+NORMINV(RAND(),INPUTS!$B$28,INPUTS!$B$29))))</f>
        <v>1349899.436387</v>
      </c>
      <c r="P67" s="89" t="n">
        <f aca="true">IF(P$5=0,O67,MAX(0,(O67-P$4)*(1+NORMINV(RAND(),INPUTS!$B$28,INPUTS!$B$29))))</f>
        <v>1302480.44295012</v>
      </c>
      <c r="Q67" s="89" t="n">
        <f aca="true">IF(Q$5=0,P67,MAX(0,(P67-Q$4)*(1+NORMINV(RAND(),INPUTS!$B$28,INPUTS!$B$29))))</f>
        <v>1472084.42759644</v>
      </c>
      <c r="R67" s="89" t="n">
        <f aca="true">IF(R$5=0,Q67,MAX(0,(Q67-R$4)*(1+NORMINV(RAND(),INPUTS!$B$28,INPUTS!$B$29))))</f>
        <v>1440688.39423148</v>
      </c>
      <c r="S67" s="89" t="n">
        <f aca="true">IF(S$5=0,R67,MAX(0,(R67-S$4)*(1+NORMINV(RAND(),INPUTS!$B$28,INPUTS!$B$29))))</f>
        <v>1529006.68622602</v>
      </c>
      <c r="T67" s="89" t="n">
        <f aca="true">IF(T$5=0,S67,MAX(0,(S67-T$4)*(1+NORMINV(RAND(),INPUTS!$B$28,INPUTS!$B$29))))</f>
        <v>1875719.5195671</v>
      </c>
      <c r="U67" s="89" t="n">
        <f aca="true">IF(U$5=0,T67,MAX(0,(T67-U$4)*(1+NORMINV(RAND(),INPUTS!$B$28,INPUTS!$B$29))))</f>
        <v>2065618.4284226</v>
      </c>
      <c r="V67" s="89" t="n">
        <f aca="true">IF(V$5=0,U67,MAX(0,(U67-V$4)*(1+NORMINV(RAND(),INPUTS!$B$28,INPUTS!$B$29))))</f>
        <v>2557020.71781476</v>
      </c>
      <c r="W67" s="89" t="n">
        <f aca="true">IF(W$5=0,V67,MAX(0,(V67-W$4)*(1+NORMINV(RAND(),INPUTS!$B$28,INPUTS!$B$29))))</f>
        <v>3259312.9335712</v>
      </c>
      <c r="X67" s="89" t="n">
        <f aca="true">IF(X$5=0,W67,MAX(0,(W67-X$4)*(1+NORMINV(RAND(),INPUTS!$B$28,INPUTS!$B$29))))</f>
        <v>3795982.97840478</v>
      </c>
      <c r="Y67" s="89" t="n">
        <f aca="true">IF(Y$5=0,X67,MAX(0,(X67-Y$4)*(1+NORMINV(RAND(),INPUTS!$B$28,INPUTS!$B$29))))</f>
        <v>3304982.10260417</v>
      </c>
      <c r="Z67" s="89" t="n">
        <f aca="true">IF(Z$5=0,Y67,MAX(0,(Y67-Z$4)*(1+NORMINV(RAND(),INPUTS!$B$28,INPUTS!$B$29))))</f>
        <v>3631659.12322496</v>
      </c>
      <c r="AA67" s="89" t="n">
        <f aca="true">IF(AA$5=0,Z67,MAX(0,(Z67-AA$4)*(1+NORMINV(RAND(),INPUTS!$B$28,INPUTS!$B$29))))</f>
        <v>3738900.54482636</v>
      </c>
      <c r="AB67" s="89" t="n">
        <f aca="true">IF(AB$5=0,AA67,MAX(0,(AA67-AB$4)*(1+NORMINV(RAND(),INPUTS!$B$28,INPUTS!$B$29))))</f>
        <v>4323506.8835471</v>
      </c>
      <c r="AC67" s="89" t="n">
        <f aca="true">IF(AC$5=0,AB67,MAX(0,(AB67-AC$4)*(1+NORMINV(RAND(),INPUTS!$B$28,INPUTS!$B$29))))</f>
        <v>4842754.18740235</v>
      </c>
      <c r="AD67" s="89" t="n">
        <f aca="true">IF(AD$5=0,AC67,MAX(0,(AC67-AD$4)*(1+NORMINV(RAND(),INPUTS!$B$28,INPUTS!$B$29))))</f>
        <v>6012783.84220892</v>
      </c>
      <c r="AE67" s="89" t="n">
        <f aca="true">IF(AE$5=0,AD67,MAX(0,(AD67-AE$4)*(1+NORMINV(RAND(),INPUTS!$B$28,INPUTS!$B$29))))</f>
        <v>6571290.65955514</v>
      </c>
      <c r="AF67" s="89" t="n">
        <f aca="true">IF(AF$5=0,AE67,MAX(0,(AE67-AF$4)*(1+NORMINV(RAND(),INPUTS!$B$28,INPUTS!$B$29))))</f>
        <v>8038299.89451322</v>
      </c>
      <c r="AG67" s="89" t="n">
        <f aca="true">IF(AG$5=0,AF67,MAX(0,(AF67-AG$4)*(1+NORMINV(RAND(),INPUTS!$B$28,INPUTS!$B$29))))</f>
        <v>7296248.69763446</v>
      </c>
      <c r="AH67" s="89" t="n">
        <f aca="true">IF(AH$5=0,AG67,MAX(0,(AG67-AH$4)*(1+NORMINV(RAND(),INPUTS!$B$28,INPUTS!$B$29))))</f>
        <v>8148207.62200488</v>
      </c>
      <c r="AI67" s="89" t="n">
        <f aca="true">IF(AI$5=0,AH67,MAX(0,(AH67-AI$4)*(1+NORMINV(RAND(),INPUTS!$B$28,INPUTS!$B$29))))</f>
        <v>9227501.14457839</v>
      </c>
      <c r="AJ67" s="89" t="n">
        <f aca="true">IF(AJ$5=0,AI67,MAX(0,(AI67-AJ$4)*(1+NORMINV(RAND(),INPUTS!$B$28,INPUTS!$B$29))))</f>
        <v>8936153.50286387</v>
      </c>
      <c r="AK67" s="89" t="n">
        <f aca="true">IF(AK$5=0,AJ67,MAX(0,(AJ67-AK$4)*(1+NORMINV(RAND(),INPUTS!$B$28,INPUTS!$B$29))))</f>
        <v>9527722.44139373</v>
      </c>
      <c r="AL67" s="89" t="n">
        <f aca="true">IF(AL$5=0,AK67,MAX(0,(AK67-AL$4)*(1+NORMINV(RAND(),INPUTS!$B$28,INPUTS!$B$29))))</f>
        <v>10330896.5958235</v>
      </c>
      <c r="AM67" s="89" t="n">
        <f aca="true">IF(AM$5=0,AL67,MAX(0,(AL67-AM$4)*(1+NORMINV(RAND(),INPUTS!$B$28,INPUTS!$B$29))))</f>
        <v>10330896.5958235</v>
      </c>
      <c r="AN67" s="89" t="n">
        <f aca="true">IF(AN$5=0,AM67,MAX(0,(AM67-AN$4)*(1+NORMINV(RAND(),INPUTS!$B$28,INPUTS!$B$29))))</f>
        <v>10330896.5958235</v>
      </c>
      <c r="AO67" s="89" t="n">
        <f aca="true">IF(AO$5=0,AN67,MAX(0,(AN67-AO$4)*(1+NORMINV(RAND(),INPUTS!$B$28,INPUTS!$B$29))))</f>
        <v>10330896.5958235</v>
      </c>
      <c r="AP67" s="89" t="n">
        <f aca="true">IF(AP$5=0,AO67,MAX(0,(AO67-AP$4)*(1+NORMINV(RAND(),INPUTS!$B$28,INPUTS!$B$29))))</f>
        <v>10330896.5958235</v>
      </c>
      <c r="AQ67" s="89" t="n">
        <f aca="true">IF(AQ$5=0,AP67,MAX(0,(AP67-AQ$4)*(1+NORMINV(RAND(),INPUTS!$B$28,INPUTS!$B$29))))</f>
        <v>10330896.5958235</v>
      </c>
      <c r="AR67" s="89" t="n">
        <f aca="true">IF(AR$5=0,AQ67,MAX(0,(AQ67-AR$4)*(1+NORMINV(RAND(),INPUTS!$B$28,INPUTS!$B$29))))</f>
        <v>10330896.5958235</v>
      </c>
      <c r="AS67" s="89" t="n">
        <f aca="true">IF(AS$5=0,AR67,MAX(0,(AR67-AS$4)*(1+NORMINV(RAND(),INPUTS!$B$28,INPUTS!$B$29))))</f>
        <v>10330896.5958235</v>
      </c>
      <c r="AT67" s="89" t="n">
        <f aca="true">IF(AT$5=0,AS67,MAX(0,(AS67-AT$4)*(1+NORMINV(RAND(),INPUTS!$B$28,INPUTS!$B$29))))</f>
        <v>10330896.5958235</v>
      </c>
      <c r="AU67" s="89" t="n">
        <f aca="true">IF(AU$5=0,AT67,MAX(0,(AT67-AU$4)*(1+NORMINV(RAND(),INPUTS!$B$28,INPUTS!$B$29))))</f>
        <v>10330896.5958235</v>
      </c>
      <c r="AV67" s="89" t="n">
        <f aca="true">IF(AV$5=0,AU67,MAX(0,(AU67-AV$4)*(1+NORMINV(RAND(),INPUTS!$B$28,INPUTS!$B$29))))</f>
        <v>10330896.5958235</v>
      </c>
      <c r="AW67" s="89" t="n">
        <f aca="true">IF(AW$5=0,AV67,MAX(0,(AV67-AW$4)*(1+NORMINV(RAND(),INPUTS!$B$28,INPUTS!$B$29))))</f>
        <v>10330896.5958235</v>
      </c>
      <c r="AX67" s="89" t="n">
        <f aca="true">IF(AX$5=0,AW67,MAX(0,(AW67-AX$4)*(1+NORMINV(RAND(),INPUTS!$B$28,INPUTS!$B$29))))</f>
        <v>10330896.5958235</v>
      </c>
      <c r="AY67" s="89" t="n">
        <f aca="true">IF(AY$5=0,AX67,MAX(0,(AX67-AY$4)*(1+NORMINV(RAND(),INPUTS!$B$28,INPUTS!$B$29))))</f>
        <v>10330896.5958235</v>
      </c>
      <c r="AZ67" s="89" t="n">
        <f aca="true">IF(AZ$5=0,AY67,MAX(0,(AY67-AZ$4)*(1+NORMINV(RAND(),INPUTS!$B$28,INPUTS!$B$29))))</f>
        <v>10330896.5958235</v>
      </c>
      <c r="BA67" s="89" t="n">
        <f aca="true">IF(BA$5=0,AZ67,MAX(0,(AZ67-BA$4)*(1+NORMINV(RAND(),INPUTS!$B$28,INPUTS!$B$29))))</f>
        <v>10330896.5958235</v>
      </c>
      <c r="BB67" s="89" t="n">
        <f aca="true">IF(BB$5=0,BA67,MAX(0,(BA67-BB$4)*(1+NORMINV(RAND(),INPUTS!$B$28,INPUTS!$B$29))))</f>
        <v>10330896.5958235</v>
      </c>
      <c r="BC67" s="89" t="n">
        <f aca="true">IF(BC$5=0,BB67,MAX(0,(BB67-BC$4)*(1+NORMINV(RAND(),INPUTS!$B$28,INPUTS!$B$29))))</f>
        <v>10330896.5958235</v>
      </c>
      <c r="BD67" s="89" t="n">
        <f aca="true">IF(BD$5=0,BC67,MAX(0,(BC67-BD$4)*(1+NORMINV(RAND(),INPUTS!$B$28,INPUTS!$B$29))))</f>
        <v>10330896.5958235</v>
      </c>
      <c r="BE67" s="89" t="n">
        <f aca="true">IF(BE$5=0,BD67,MAX(0,(BD67-BE$4)*(1+NORMINV(RAND(),INPUTS!$B$28,INPUTS!$B$29))))</f>
        <v>10330896.5958235</v>
      </c>
      <c r="BF67" s="89" t="n">
        <f aca="true">IF(BF$5=0,BE67,MAX(0,(BE67-BF$4)*(1+NORMINV(RAND(),INPUTS!$B$28,INPUTS!$B$29))))</f>
        <v>10330896.5958235</v>
      </c>
      <c r="BG67" s="89" t="n">
        <f aca="true">IF(BG$5=0,BF67,MAX(0,(BF67-BG$4)*(1+NORMINV(RAND(),INPUTS!$B$28,INPUTS!$B$29))))</f>
        <v>10330896.5958235</v>
      </c>
      <c r="BH67" s="89" t="n">
        <f aca="true">IF(BH$5=0,BG67,MAX(0,(BG67-BH$4)*(1+NORMINV(RAND(),INPUTS!$B$28,INPUTS!$B$29))))</f>
        <v>10330896.5958235</v>
      </c>
      <c r="BI67" s="89" t="n">
        <f aca="true">IF(BI$5=0,BH67,MAX(0,(BH67-BI$4)*(1+NORMINV(RAND(),INPUTS!$B$28,INPUTS!$B$29))))</f>
        <v>10330896.5958235</v>
      </c>
      <c r="BJ67" s="89" t="n">
        <f aca="true">IF(BJ$5=0,BI67,MAX(0,(BI67-BJ$4)*(1+NORMINV(RAND(),INPUTS!$B$28,INPUTS!$B$29))))</f>
        <v>10330896.5958235</v>
      </c>
    </row>
    <row r="68" customFormat="false" ht="15" hidden="false" customHeight="true" outlineLevel="0" collapsed="false">
      <c r="A68" s="87" t="n">
        <v>61</v>
      </c>
      <c r="B68" s="88" t="n">
        <f aca="false">LOOKUP(9.99E+307,C68:BJ68)</f>
        <v>0</v>
      </c>
      <c r="C68" s="89" t="n">
        <f aca="true">IF(C$5=0,INPUTS!$B$35,MAX(0,(INPUTS!$B$35-C$4)*(1+NORMINV(RAND(),INPUTS!$B$28,INPUTS!$B$29))))</f>
        <v>1334732.48217146</v>
      </c>
      <c r="D68" s="89" t="n">
        <f aca="true">IF(D$5=0,C68,MAX(0,(C68-D$4)*(1+NORMINV(RAND(),INPUTS!$B$28,INPUTS!$B$29))))</f>
        <v>1042012.68131594</v>
      </c>
      <c r="E68" s="89" t="n">
        <f aca="true">IF(E$5=0,D68,MAX(0,(D68-E$4)*(1+NORMINV(RAND(),INPUTS!$B$28,INPUTS!$B$29))))</f>
        <v>1035421.36978073</v>
      </c>
      <c r="F68" s="89" t="n">
        <f aca="true">IF(F$5=0,E68,MAX(0,(E68-F$4)*(1+NORMINV(RAND(),INPUTS!$B$28,INPUTS!$B$29))))</f>
        <v>1088129.50077922</v>
      </c>
      <c r="G68" s="89" t="n">
        <f aca="true">IF(G$5=0,F68,MAX(0,(F68-G$4)*(1+NORMINV(RAND(),INPUTS!$B$28,INPUTS!$B$29))))</f>
        <v>898083.194337318</v>
      </c>
      <c r="H68" s="89" t="n">
        <f aca="true">IF(H$5=0,G68,MAX(0,(G68-H$4)*(1+NORMINV(RAND(),INPUTS!$B$28,INPUTS!$B$29))))</f>
        <v>663703.363965967</v>
      </c>
      <c r="I68" s="89" t="n">
        <f aca="true">IF(I$5=0,H68,MAX(0,(H68-I$4)*(1+NORMINV(RAND(),INPUTS!$B$28,INPUTS!$B$29))))</f>
        <v>574239.338223341</v>
      </c>
      <c r="J68" s="89" t="n">
        <f aca="true">IF(J$5=0,I68,MAX(0,(I68-J$4)*(1+NORMINV(RAND(),INPUTS!$B$28,INPUTS!$B$29))))</f>
        <v>411509.74384576</v>
      </c>
      <c r="K68" s="89" t="n">
        <f aca="true">IF(K$5=0,J68,MAX(0,(J68-K$4)*(1+NORMINV(RAND(),INPUTS!$B$28,INPUTS!$B$29))))</f>
        <v>316438.753830206</v>
      </c>
      <c r="L68" s="89" t="n">
        <f aca="true">IF(L$5=0,K68,MAX(0,(K68-L$4)*(1+NORMINV(RAND(),INPUTS!$B$28,INPUTS!$B$29))))</f>
        <v>245501.810571213</v>
      </c>
      <c r="M68" s="89" t="n">
        <f aca="true">IF(M$5=0,L68,MAX(0,(L68-M$4)*(1+NORMINV(RAND(),INPUTS!$B$28,INPUTS!$B$29))))</f>
        <v>218541.732237778</v>
      </c>
      <c r="N68" s="89" t="n">
        <f aca="true">IF(N$5=0,M68,MAX(0,(M68-N$4)*(1+NORMINV(RAND(),INPUTS!$B$28,INPUTS!$B$29))))</f>
        <v>140153.5282251</v>
      </c>
      <c r="O68" s="89" t="n">
        <f aca="true">IF(O$5=0,N68,MAX(0,(N68-O$4)*(1+NORMINV(RAND(),INPUTS!$B$28,INPUTS!$B$29))))</f>
        <v>103381.149445672</v>
      </c>
      <c r="P68" s="89" t="n">
        <f aca="true">IF(P$5=0,O68,MAX(0,(O68-P$4)*(1+NORMINV(RAND(),INPUTS!$B$28,INPUTS!$B$29))))</f>
        <v>56873.1810466079</v>
      </c>
      <c r="Q68" s="89" t="n">
        <f aca="true">IF(Q$5=0,P68,MAX(0,(P68-Q$4)*(1+NORMINV(RAND(),INPUTS!$B$28,INPUTS!$B$29))))</f>
        <v>9823.63355994529</v>
      </c>
      <c r="R68" s="89" t="n">
        <f aca="true">IF(R$5=0,Q68,MAX(0,(Q68-R$4)*(1+NORMINV(RAND(),INPUTS!$B$28,INPUTS!$B$29))))</f>
        <v>0</v>
      </c>
      <c r="S68" s="89" t="n">
        <f aca="true">IF(S$5=0,R68,MAX(0,(R68-S$4)*(1+NORMINV(RAND(),INPUTS!$B$28,INPUTS!$B$29))))</f>
        <v>0</v>
      </c>
      <c r="T68" s="89" t="n">
        <f aca="true">IF(T$5=0,S68,MAX(0,(S68-T$4)*(1+NORMINV(RAND(),INPUTS!$B$28,INPUTS!$B$29))))</f>
        <v>0</v>
      </c>
      <c r="U68" s="89" t="n">
        <f aca="true">IF(U$5=0,T68,MAX(0,(T68-U$4)*(1+NORMINV(RAND(),INPUTS!$B$28,INPUTS!$B$29))))</f>
        <v>0</v>
      </c>
      <c r="V68" s="89" t="n">
        <f aca="true">IF(V$5=0,U68,MAX(0,(U68-V$4)*(1+NORMINV(RAND(),INPUTS!$B$28,INPUTS!$B$29))))</f>
        <v>0</v>
      </c>
      <c r="W68" s="89" t="n">
        <f aca="true">IF(W$5=0,V68,MAX(0,(V68-W$4)*(1+NORMINV(RAND(),INPUTS!$B$28,INPUTS!$B$29))))</f>
        <v>0</v>
      </c>
      <c r="X68" s="89" t="n">
        <f aca="true">IF(X$5=0,W68,MAX(0,(W68-X$4)*(1+NORMINV(RAND(),INPUTS!$B$28,INPUTS!$B$29))))</f>
        <v>0</v>
      </c>
      <c r="Y68" s="89" t="n">
        <f aca="true">IF(Y$5=0,X68,MAX(0,(X68-Y$4)*(1+NORMINV(RAND(),INPUTS!$B$28,INPUTS!$B$29))))</f>
        <v>0</v>
      </c>
      <c r="Z68" s="89" t="n">
        <f aca="true">IF(Z$5=0,Y68,MAX(0,(Y68-Z$4)*(1+NORMINV(RAND(),INPUTS!$B$28,INPUTS!$B$29))))</f>
        <v>0</v>
      </c>
      <c r="AA68" s="89" t="n">
        <f aca="true">IF(AA$5=0,Z68,MAX(0,(Z68-AA$4)*(1+NORMINV(RAND(),INPUTS!$B$28,INPUTS!$B$29))))</f>
        <v>0</v>
      </c>
      <c r="AB68" s="89" t="n">
        <f aca="true">IF(AB$5=0,AA68,MAX(0,(AA68-AB$4)*(1+NORMINV(RAND(),INPUTS!$B$28,INPUTS!$B$29))))</f>
        <v>0</v>
      </c>
      <c r="AC68" s="89" t="n">
        <f aca="true">IF(AC$5=0,AB68,MAX(0,(AB68-AC$4)*(1+NORMINV(RAND(),INPUTS!$B$28,INPUTS!$B$29))))</f>
        <v>0</v>
      </c>
      <c r="AD68" s="89" t="n">
        <f aca="true">IF(AD$5=0,AC68,MAX(0,(AC68-AD$4)*(1+NORMINV(RAND(),INPUTS!$B$28,INPUTS!$B$29))))</f>
        <v>0</v>
      </c>
      <c r="AE68" s="89" t="n">
        <f aca="true">IF(AE$5=0,AD68,MAX(0,(AD68-AE$4)*(1+NORMINV(RAND(),INPUTS!$B$28,INPUTS!$B$29))))</f>
        <v>0</v>
      </c>
      <c r="AF68" s="89" t="n">
        <f aca="true">IF(AF$5=0,AE68,MAX(0,(AE68-AF$4)*(1+NORMINV(RAND(),INPUTS!$B$28,INPUTS!$B$29))))</f>
        <v>0</v>
      </c>
      <c r="AG68" s="89" t="n">
        <f aca="true">IF(AG$5=0,AF68,MAX(0,(AF68-AG$4)*(1+NORMINV(RAND(),INPUTS!$B$28,INPUTS!$B$29))))</f>
        <v>0</v>
      </c>
      <c r="AH68" s="89" t="n">
        <f aca="true">IF(AH$5=0,AG68,MAX(0,(AG68-AH$4)*(1+NORMINV(RAND(),INPUTS!$B$28,INPUTS!$B$29))))</f>
        <v>0</v>
      </c>
      <c r="AI68" s="89" t="n">
        <f aca="true">IF(AI$5=0,AH68,MAX(0,(AH68-AI$4)*(1+NORMINV(RAND(),INPUTS!$B$28,INPUTS!$B$29))))</f>
        <v>0</v>
      </c>
      <c r="AJ68" s="89" t="n">
        <f aca="true">IF(AJ$5=0,AI68,MAX(0,(AI68-AJ$4)*(1+NORMINV(RAND(),INPUTS!$B$28,INPUTS!$B$29))))</f>
        <v>0</v>
      </c>
      <c r="AK68" s="89" t="n">
        <f aca="true">IF(AK$5=0,AJ68,MAX(0,(AJ68-AK$4)*(1+NORMINV(RAND(),INPUTS!$B$28,INPUTS!$B$29))))</f>
        <v>0</v>
      </c>
      <c r="AL68" s="89" t="n">
        <f aca="true">IF(AL$5=0,AK68,MAX(0,(AK68-AL$4)*(1+NORMINV(RAND(),INPUTS!$B$28,INPUTS!$B$29))))</f>
        <v>0</v>
      </c>
      <c r="AM68" s="89" t="n">
        <f aca="true">IF(AM$5=0,AL68,MAX(0,(AL68-AM$4)*(1+NORMINV(RAND(),INPUTS!$B$28,INPUTS!$B$29))))</f>
        <v>0</v>
      </c>
      <c r="AN68" s="89" t="n">
        <f aca="true">IF(AN$5=0,AM68,MAX(0,(AM68-AN$4)*(1+NORMINV(RAND(),INPUTS!$B$28,INPUTS!$B$29))))</f>
        <v>0</v>
      </c>
      <c r="AO68" s="89" t="n">
        <f aca="true">IF(AO$5=0,AN68,MAX(0,(AN68-AO$4)*(1+NORMINV(RAND(),INPUTS!$B$28,INPUTS!$B$29))))</f>
        <v>0</v>
      </c>
      <c r="AP68" s="89" t="n">
        <f aca="true">IF(AP$5=0,AO68,MAX(0,(AO68-AP$4)*(1+NORMINV(RAND(),INPUTS!$B$28,INPUTS!$B$29))))</f>
        <v>0</v>
      </c>
      <c r="AQ68" s="89" t="n">
        <f aca="true">IF(AQ$5=0,AP68,MAX(0,(AP68-AQ$4)*(1+NORMINV(RAND(),INPUTS!$B$28,INPUTS!$B$29))))</f>
        <v>0</v>
      </c>
      <c r="AR68" s="89" t="n">
        <f aca="true">IF(AR$5=0,AQ68,MAX(0,(AQ68-AR$4)*(1+NORMINV(RAND(),INPUTS!$B$28,INPUTS!$B$29))))</f>
        <v>0</v>
      </c>
      <c r="AS68" s="89" t="n">
        <f aca="true">IF(AS$5=0,AR68,MAX(0,(AR68-AS$4)*(1+NORMINV(RAND(),INPUTS!$B$28,INPUTS!$B$29))))</f>
        <v>0</v>
      </c>
      <c r="AT68" s="89" t="n">
        <f aca="true">IF(AT$5=0,AS68,MAX(0,(AS68-AT$4)*(1+NORMINV(RAND(),INPUTS!$B$28,INPUTS!$B$29))))</f>
        <v>0</v>
      </c>
      <c r="AU68" s="89" t="n">
        <f aca="true">IF(AU$5=0,AT68,MAX(0,(AT68-AU$4)*(1+NORMINV(RAND(),INPUTS!$B$28,INPUTS!$B$29))))</f>
        <v>0</v>
      </c>
      <c r="AV68" s="89" t="n">
        <f aca="true">IF(AV$5=0,AU68,MAX(0,(AU68-AV$4)*(1+NORMINV(RAND(),INPUTS!$B$28,INPUTS!$B$29))))</f>
        <v>0</v>
      </c>
      <c r="AW68" s="89" t="n">
        <f aca="true">IF(AW$5=0,AV68,MAX(0,(AV68-AW$4)*(1+NORMINV(RAND(),INPUTS!$B$28,INPUTS!$B$29))))</f>
        <v>0</v>
      </c>
      <c r="AX68" s="89" t="n">
        <f aca="true">IF(AX$5=0,AW68,MAX(0,(AW68-AX$4)*(1+NORMINV(RAND(),INPUTS!$B$28,INPUTS!$B$29))))</f>
        <v>0</v>
      </c>
      <c r="AY68" s="89" t="n">
        <f aca="true">IF(AY$5=0,AX68,MAX(0,(AX68-AY$4)*(1+NORMINV(RAND(),INPUTS!$B$28,INPUTS!$B$29))))</f>
        <v>0</v>
      </c>
      <c r="AZ68" s="89" t="n">
        <f aca="true">IF(AZ$5=0,AY68,MAX(0,(AY68-AZ$4)*(1+NORMINV(RAND(),INPUTS!$B$28,INPUTS!$B$29))))</f>
        <v>0</v>
      </c>
      <c r="BA68" s="89" t="n">
        <f aca="true">IF(BA$5=0,AZ68,MAX(0,(AZ68-BA$4)*(1+NORMINV(RAND(),INPUTS!$B$28,INPUTS!$B$29))))</f>
        <v>0</v>
      </c>
      <c r="BB68" s="89" t="n">
        <f aca="true">IF(BB$5=0,BA68,MAX(0,(BA68-BB$4)*(1+NORMINV(RAND(),INPUTS!$B$28,INPUTS!$B$29))))</f>
        <v>0</v>
      </c>
      <c r="BC68" s="89" t="n">
        <f aca="true">IF(BC$5=0,BB68,MAX(0,(BB68-BC$4)*(1+NORMINV(RAND(),INPUTS!$B$28,INPUTS!$B$29))))</f>
        <v>0</v>
      </c>
      <c r="BD68" s="89" t="n">
        <f aca="true">IF(BD$5=0,BC68,MAX(0,(BC68-BD$4)*(1+NORMINV(RAND(),INPUTS!$B$28,INPUTS!$B$29))))</f>
        <v>0</v>
      </c>
      <c r="BE68" s="89" t="n">
        <f aca="true">IF(BE$5=0,BD68,MAX(0,(BD68-BE$4)*(1+NORMINV(RAND(),INPUTS!$B$28,INPUTS!$B$29))))</f>
        <v>0</v>
      </c>
      <c r="BF68" s="89" t="n">
        <f aca="true">IF(BF$5=0,BE68,MAX(0,(BE68-BF$4)*(1+NORMINV(RAND(),INPUTS!$B$28,INPUTS!$B$29))))</f>
        <v>0</v>
      </c>
      <c r="BG68" s="89" t="n">
        <f aca="true">IF(BG$5=0,BF68,MAX(0,(BF68-BG$4)*(1+NORMINV(RAND(),INPUTS!$B$28,INPUTS!$B$29))))</f>
        <v>0</v>
      </c>
      <c r="BH68" s="89" t="n">
        <f aca="true">IF(BH$5=0,BG68,MAX(0,(BG68-BH$4)*(1+NORMINV(RAND(),INPUTS!$B$28,INPUTS!$B$29))))</f>
        <v>0</v>
      </c>
      <c r="BI68" s="89" t="n">
        <f aca="true">IF(BI$5=0,BH68,MAX(0,(BH68-BI$4)*(1+NORMINV(RAND(),INPUTS!$B$28,INPUTS!$B$29))))</f>
        <v>0</v>
      </c>
      <c r="BJ68" s="89" t="n">
        <f aca="true">IF(BJ$5=0,BI68,MAX(0,(BI68-BJ$4)*(1+NORMINV(RAND(),INPUTS!$B$28,INPUTS!$B$29))))</f>
        <v>0</v>
      </c>
    </row>
    <row r="69" customFormat="false" ht="15" hidden="false" customHeight="true" outlineLevel="0" collapsed="false">
      <c r="A69" s="87" t="n">
        <v>62</v>
      </c>
      <c r="B69" s="88" t="n">
        <f aca="false">LOOKUP(9.99E+307,C69:BJ69)</f>
        <v>2946433.37484674</v>
      </c>
      <c r="C69" s="89" t="n">
        <f aca="true">IF(C$5=0,INPUTS!$B$35,MAX(0,(INPUTS!$B$35-C$4)*(1+NORMINV(RAND(),INPUTS!$B$28,INPUTS!$B$29))))</f>
        <v>1566755.34058689</v>
      </c>
      <c r="D69" s="89" t="n">
        <f aca="true">IF(D$5=0,C69,MAX(0,(C69-D$4)*(1+NORMINV(RAND(),INPUTS!$B$28,INPUTS!$B$29))))</f>
        <v>1427292.60597096</v>
      </c>
      <c r="E69" s="89" t="n">
        <f aca="true">IF(E$5=0,D69,MAX(0,(D69-E$4)*(1+NORMINV(RAND(),INPUTS!$B$28,INPUTS!$B$29))))</f>
        <v>1408032.76762938</v>
      </c>
      <c r="F69" s="89" t="n">
        <f aca="true">IF(F$5=0,E69,MAX(0,(E69-F$4)*(1+NORMINV(RAND(),INPUTS!$B$28,INPUTS!$B$29))))</f>
        <v>1277971.04658132</v>
      </c>
      <c r="G69" s="89" t="n">
        <f aca="true">IF(G$5=0,F69,MAX(0,(F69-G$4)*(1+NORMINV(RAND(),INPUTS!$B$28,INPUTS!$B$29))))</f>
        <v>1149919.34884051</v>
      </c>
      <c r="H69" s="89" t="n">
        <f aca="true">IF(H$5=0,G69,MAX(0,(G69-H$4)*(1+NORMINV(RAND(),INPUTS!$B$28,INPUTS!$B$29))))</f>
        <v>1243772.35759727</v>
      </c>
      <c r="I69" s="89" t="n">
        <f aca="true">IF(I$5=0,H69,MAX(0,(H69-I$4)*(1+NORMINV(RAND(),INPUTS!$B$28,INPUTS!$B$29))))</f>
        <v>1100609.48903057</v>
      </c>
      <c r="J69" s="89" t="n">
        <f aca="true">IF(J$5=0,I69,MAX(0,(I69-J$4)*(1+NORMINV(RAND(),INPUTS!$B$28,INPUTS!$B$29))))</f>
        <v>1056804.04810066</v>
      </c>
      <c r="K69" s="89" t="n">
        <f aca="true">IF(K$5=0,J69,MAX(0,(J69-K$4)*(1+NORMINV(RAND(),INPUTS!$B$28,INPUTS!$B$29))))</f>
        <v>999634.681730953</v>
      </c>
      <c r="L69" s="89" t="n">
        <f aca="true">IF(L$5=0,K69,MAX(0,(K69-L$4)*(1+NORMINV(RAND(),INPUTS!$B$28,INPUTS!$B$29))))</f>
        <v>972179.654303151</v>
      </c>
      <c r="M69" s="89" t="n">
        <f aca="true">IF(M$5=0,L69,MAX(0,(L69-M$4)*(1+NORMINV(RAND(),INPUTS!$B$28,INPUTS!$B$29))))</f>
        <v>1170947.82377699</v>
      </c>
      <c r="N69" s="89" t="n">
        <f aca="true">IF(N$5=0,M69,MAX(0,(M69-N$4)*(1+NORMINV(RAND(),INPUTS!$B$28,INPUTS!$B$29))))</f>
        <v>1230670.87350167</v>
      </c>
      <c r="O69" s="89" t="n">
        <f aca="true">IF(O$5=0,N69,MAX(0,(N69-O$4)*(1+NORMINV(RAND(),INPUTS!$B$28,INPUTS!$B$29))))</f>
        <v>1273104.17878537</v>
      </c>
      <c r="P69" s="89" t="n">
        <f aca="true">IF(P$5=0,O69,MAX(0,(O69-P$4)*(1+NORMINV(RAND(),INPUTS!$B$28,INPUTS!$B$29))))</f>
        <v>1355534.36543349</v>
      </c>
      <c r="Q69" s="89" t="n">
        <f aca="true">IF(Q$5=0,P69,MAX(0,(P69-Q$4)*(1+NORMINV(RAND(),INPUTS!$B$28,INPUTS!$B$29))))</f>
        <v>1276489.43092814</v>
      </c>
      <c r="R69" s="89" t="n">
        <f aca="true">IF(R$5=0,Q69,MAX(0,(Q69-R$4)*(1+NORMINV(RAND(),INPUTS!$B$28,INPUTS!$B$29))))</f>
        <v>1494148.40794101</v>
      </c>
      <c r="S69" s="89" t="n">
        <f aca="true">IF(S$5=0,R69,MAX(0,(R69-S$4)*(1+NORMINV(RAND(),INPUTS!$B$28,INPUTS!$B$29))))</f>
        <v>1436997.27409553</v>
      </c>
      <c r="T69" s="89" t="n">
        <f aca="true">IF(T$5=0,S69,MAX(0,(S69-T$4)*(1+NORMINV(RAND(),INPUTS!$B$28,INPUTS!$B$29))))</f>
        <v>1544889.67267916</v>
      </c>
      <c r="U69" s="89" t="n">
        <f aca="true">IF(U$5=0,T69,MAX(0,(T69-U$4)*(1+NORMINV(RAND(),INPUTS!$B$28,INPUTS!$B$29))))</f>
        <v>1578682.79938842</v>
      </c>
      <c r="V69" s="89" t="n">
        <f aca="true">IF(V$5=0,U69,MAX(0,(U69-V$4)*(1+NORMINV(RAND(),INPUTS!$B$28,INPUTS!$B$29))))</f>
        <v>1626191.32254648</v>
      </c>
      <c r="W69" s="89" t="n">
        <f aca="true">IF(W$5=0,V69,MAX(0,(V69-W$4)*(1+NORMINV(RAND(),INPUTS!$B$28,INPUTS!$B$29))))</f>
        <v>1717629.13887794</v>
      </c>
      <c r="X69" s="89" t="n">
        <f aca="true">IF(X$5=0,W69,MAX(0,(W69-X$4)*(1+NORMINV(RAND(),INPUTS!$B$28,INPUTS!$B$29))))</f>
        <v>2246648.71597698</v>
      </c>
      <c r="Y69" s="89" t="n">
        <f aca="true">IF(Y$5=0,X69,MAX(0,(X69-Y$4)*(1+NORMINV(RAND(),INPUTS!$B$28,INPUTS!$B$29))))</f>
        <v>1783807.10462574</v>
      </c>
      <c r="Z69" s="89" t="n">
        <f aca="true">IF(Z$5=0,Y69,MAX(0,(Y69-Z$4)*(1+NORMINV(RAND(),INPUTS!$B$28,INPUTS!$B$29))))</f>
        <v>1462686.99389977</v>
      </c>
      <c r="AA69" s="89" t="n">
        <f aca="true">IF(AA$5=0,Z69,MAX(0,(Z69-AA$4)*(1+NORMINV(RAND(),INPUTS!$B$28,INPUTS!$B$29))))</f>
        <v>1681166.99962244</v>
      </c>
      <c r="AB69" s="89" t="n">
        <f aca="true">IF(AB$5=0,AA69,MAX(0,(AA69-AB$4)*(1+NORMINV(RAND(),INPUTS!$B$28,INPUTS!$B$29))))</f>
        <v>1657605.42630277</v>
      </c>
      <c r="AC69" s="89" t="n">
        <f aca="true">IF(AC$5=0,AB69,MAX(0,(AB69-AC$4)*(1+NORMINV(RAND(),INPUTS!$B$28,INPUTS!$B$29))))</f>
        <v>1941932.78290508</v>
      </c>
      <c r="AD69" s="89" t="n">
        <f aca="true">IF(AD$5=0,AC69,MAX(0,(AC69-AD$4)*(1+NORMINV(RAND(),INPUTS!$B$28,INPUTS!$B$29))))</f>
        <v>2414179.64128029</v>
      </c>
      <c r="AE69" s="89" t="n">
        <f aca="true">IF(AE$5=0,AD69,MAX(0,(AD69-AE$4)*(1+NORMINV(RAND(),INPUTS!$B$28,INPUTS!$B$29))))</f>
        <v>2135660.54030109</v>
      </c>
      <c r="AF69" s="89" t="n">
        <f aca="true">IF(AF$5=0,AE69,MAX(0,(AE69-AF$4)*(1+NORMINV(RAND(),INPUTS!$B$28,INPUTS!$B$29))))</f>
        <v>2148574.43680246</v>
      </c>
      <c r="AG69" s="89" t="n">
        <f aca="true">IF(AG$5=0,AF69,MAX(0,(AF69-AG$4)*(1+NORMINV(RAND(),INPUTS!$B$28,INPUTS!$B$29))))</f>
        <v>1849887.32386275</v>
      </c>
      <c r="AH69" s="89" t="n">
        <f aca="true">IF(AH$5=0,AG69,MAX(0,(AG69-AH$4)*(1+NORMINV(RAND(),INPUTS!$B$28,INPUTS!$B$29))))</f>
        <v>2284963.26012283</v>
      </c>
      <c r="AI69" s="89" t="n">
        <f aca="true">IF(AI$5=0,AH69,MAX(0,(AH69-AI$4)*(1+NORMINV(RAND(),INPUTS!$B$28,INPUTS!$B$29))))</f>
        <v>2835633.34847754</v>
      </c>
      <c r="AJ69" s="89" t="n">
        <f aca="true">IF(AJ$5=0,AI69,MAX(0,(AI69-AJ$4)*(1+NORMINV(RAND(),INPUTS!$B$28,INPUTS!$B$29))))</f>
        <v>2442277.67866182</v>
      </c>
      <c r="AK69" s="89" t="n">
        <f aca="true">IF(AK$5=0,AJ69,MAX(0,(AJ69-AK$4)*(1+NORMINV(RAND(),INPUTS!$B$28,INPUTS!$B$29))))</f>
        <v>2538114.81841661</v>
      </c>
      <c r="AL69" s="89" t="n">
        <f aca="true">IF(AL$5=0,AK69,MAX(0,(AK69-AL$4)*(1+NORMINV(RAND(),INPUTS!$B$28,INPUTS!$B$29))))</f>
        <v>2946433.37484674</v>
      </c>
      <c r="AM69" s="89" t="n">
        <f aca="true">IF(AM$5=0,AL69,MAX(0,(AL69-AM$4)*(1+NORMINV(RAND(),INPUTS!$B$28,INPUTS!$B$29))))</f>
        <v>2946433.37484674</v>
      </c>
      <c r="AN69" s="89" t="n">
        <f aca="true">IF(AN$5=0,AM69,MAX(0,(AM69-AN$4)*(1+NORMINV(RAND(),INPUTS!$B$28,INPUTS!$B$29))))</f>
        <v>2946433.37484674</v>
      </c>
      <c r="AO69" s="89" t="n">
        <f aca="true">IF(AO$5=0,AN69,MAX(0,(AN69-AO$4)*(1+NORMINV(RAND(),INPUTS!$B$28,INPUTS!$B$29))))</f>
        <v>2946433.37484674</v>
      </c>
      <c r="AP69" s="89" t="n">
        <f aca="true">IF(AP$5=0,AO69,MAX(0,(AO69-AP$4)*(1+NORMINV(RAND(),INPUTS!$B$28,INPUTS!$B$29))))</f>
        <v>2946433.37484674</v>
      </c>
      <c r="AQ69" s="89" t="n">
        <f aca="true">IF(AQ$5=0,AP69,MAX(0,(AP69-AQ$4)*(1+NORMINV(RAND(),INPUTS!$B$28,INPUTS!$B$29))))</f>
        <v>2946433.37484674</v>
      </c>
      <c r="AR69" s="89" t="n">
        <f aca="true">IF(AR$5=0,AQ69,MAX(0,(AQ69-AR$4)*(1+NORMINV(RAND(),INPUTS!$B$28,INPUTS!$B$29))))</f>
        <v>2946433.37484674</v>
      </c>
      <c r="AS69" s="89" t="n">
        <f aca="true">IF(AS$5=0,AR69,MAX(0,(AR69-AS$4)*(1+NORMINV(RAND(),INPUTS!$B$28,INPUTS!$B$29))))</f>
        <v>2946433.37484674</v>
      </c>
      <c r="AT69" s="89" t="n">
        <f aca="true">IF(AT$5=0,AS69,MAX(0,(AS69-AT$4)*(1+NORMINV(RAND(),INPUTS!$B$28,INPUTS!$B$29))))</f>
        <v>2946433.37484674</v>
      </c>
      <c r="AU69" s="89" t="n">
        <f aca="true">IF(AU$5=0,AT69,MAX(0,(AT69-AU$4)*(1+NORMINV(RAND(),INPUTS!$B$28,INPUTS!$B$29))))</f>
        <v>2946433.37484674</v>
      </c>
      <c r="AV69" s="89" t="n">
        <f aca="true">IF(AV$5=0,AU69,MAX(0,(AU69-AV$4)*(1+NORMINV(RAND(),INPUTS!$B$28,INPUTS!$B$29))))</f>
        <v>2946433.37484674</v>
      </c>
      <c r="AW69" s="89" t="n">
        <f aca="true">IF(AW$5=0,AV69,MAX(0,(AV69-AW$4)*(1+NORMINV(RAND(),INPUTS!$B$28,INPUTS!$B$29))))</f>
        <v>2946433.37484674</v>
      </c>
      <c r="AX69" s="89" t="n">
        <f aca="true">IF(AX$5=0,AW69,MAX(0,(AW69-AX$4)*(1+NORMINV(RAND(),INPUTS!$B$28,INPUTS!$B$29))))</f>
        <v>2946433.37484674</v>
      </c>
      <c r="AY69" s="89" t="n">
        <f aca="true">IF(AY$5=0,AX69,MAX(0,(AX69-AY$4)*(1+NORMINV(RAND(),INPUTS!$B$28,INPUTS!$B$29))))</f>
        <v>2946433.37484674</v>
      </c>
      <c r="AZ69" s="89" t="n">
        <f aca="true">IF(AZ$5=0,AY69,MAX(0,(AY69-AZ$4)*(1+NORMINV(RAND(),INPUTS!$B$28,INPUTS!$B$29))))</f>
        <v>2946433.37484674</v>
      </c>
      <c r="BA69" s="89" t="n">
        <f aca="true">IF(BA$5=0,AZ69,MAX(0,(AZ69-BA$4)*(1+NORMINV(RAND(),INPUTS!$B$28,INPUTS!$B$29))))</f>
        <v>2946433.37484674</v>
      </c>
      <c r="BB69" s="89" t="n">
        <f aca="true">IF(BB$5=0,BA69,MAX(0,(BA69-BB$4)*(1+NORMINV(RAND(),INPUTS!$B$28,INPUTS!$B$29))))</f>
        <v>2946433.37484674</v>
      </c>
      <c r="BC69" s="89" t="n">
        <f aca="true">IF(BC$5=0,BB69,MAX(0,(BB69-BC$4)*(1+NORMINV(RAND(),INPUTS!$B$28,INPUTS!$B$29))))</f>
        <v>2946433.37484674</v>
      </c>
      <c r="BD69" s="89" t="n">
        <f aca="true">IF(BD$5=0,BC69,MAX(0,(BC69-BD$4)*(1+NORMINV(RAND(),INPUTS!$B$28,INPUTS!$B$29))))</f>
        <v>2946433.37484674</v>
      </c>
      <c r="BE69" s="89" t="n">
        <f aca="true">IF(BE$5=0,BD69,MAX(0,(BD69-BE$4)*(1+NORMINV(RAND(),INPUTS!$B$28,INPUTS!$B$29))))</f>
        <v>2946433.37484674</v>
      </c>
      <c r="BF69" s="89" t="n">
        <f aca="true">IF(BF$5=0,BE69,MAX(0,(BE69-BF$4)*(1+NORMINV(RAND(),INPUTS!$B$28,INPUTS!$B$29))))</f>
        <v>2946433.37484674</v>
      </c>
      <c r="BG69" s="89" t="n">
        <f aca="true">IF(BG$5=0,BF69,MAX(0,(BF69-BG$4)*(1+NORMINV(RAND(),INPUTS!$B$28,INPUTS!$B$29))))</f>
        <v>2946433.37484674</v>
      </c>
      <c r="BH69" s="89" t="n">
        <f aca="true">IF(BH$5=0,BG69,MAX(0,(BG69-BH$4)*(1+NORMINV(RAND(),INPUTS!$B$28,INPUTS!$B$29))))</f>
        <v>2946433.37484674</v>
      </c>
      <c r="BI69" s="89" t="n">
        <f aca="true">IF(BI$5=0,BH69,MAX(0,(BH69-BI$4)*(1+NORMINV(RAND(),INPUTS!$B$28,INPUTS!$B$29))))</f>
        <v>2946433.37484674</v>
      </c>
      <c r="BJ69" s="89" t="n">
        <f aca="true">IF(BJ$5=0,BI69,MAX(0,(BI69-BJ$4)*(1+NORMINV(RAND(),INPUTS!$B$28,INPUTS!$B$29))))</f>
        <v>2946433.37484674</v>
      </c>
    </row>
    <row r="70" customFormat="false" ht="15" hidden="false" customHeight="true" outlineLevel="0" collapsed="false">
      <c r="A70" s="87" t="n">
        <v>63</v>
      </c>
      <c r="B70" s="88" t="n">
        <f aca="false">LOOKUP(9.99E+307,C70:BJ70)</f>
        <v>5617410.7356216</v>
      </c>
      <c r="C70" s="89" t="n">
        <f aca="true">IF(C$5=0,INPUTS!$B$35,MAX(0,(INPUTS!$B$35-C$4)*(1+NORMINV(RAND(),INPUTS!$B$28,INPUTS!$B$29))))</f>
        <v>1543436.86144826</v>
      </c>
      <c r="D70" s="89" t="n">
        <f aca="true">IF(D$5=0,C70,MAX(0,(C70-D$4)*(1+NORMINV(RAND(),INPUTS!$B$28,INPUTS!$B$29))))</f>
        <v>2104596.46605295</v>
      </c>
      <c r="E70" s="89" t="n">
        <f aca="true">IF(E$5=0,D70,MAX(0,(D70-E$4)*(1+NORMINV(RAND(),INPUTS!$B$28,INPUTS!$B$29))))</f>
        <v>2211970.96384847</v>
      </c>
      <c r="F70" s="89" t="n">
        <f aca="true">IF(F$5=0,E70,MAX(0,(E70-F$4)*(1+NORMINV(RAND(),INPUTS!$B$28,INPUTS!$B$29))))</f>
        <v>2489310.85923768</v>
      </c>
      <c r="G70" s="89" t="n">
        <f aca="true">IF(G$5=0,F70,MAX(0,(F70-G$4)*(1+NORMINV(RAND(),INPUTS!$B$28,INPUTS!$B$29))))</f>
        <v>2499101.86274033</v>
      </c>
      <c r="H70" s="89" t="n">
        <f aca="true">IF(H$5=0,G70,MAX(0,(G70-H$4)*(1+NORMINV(RAND(),INPUTS!$B$28,INPUTS!$B$29))))</f>
        <v>2102451.66394711</v>
      </c>
      <c r="I70" s="89" t="n">
        <f aca="true">IF(I$5=0,H70,MAX(0,(H70-I$4)*(1+NORMINV(RAND(),INPUTS!$B$28,INPUTS!$B$29))))</f>
        <v>2005772.49032193</v>
      </c>
      <c r="J70" s="89" t="n">
        <f aca="true">IF(J$5=0,I70,MAX(0,(I70-J$4)*(1+NORMINV(RAND(),INPUTS!$B$28,INPUTS!$B$29))))</f>
        <v>2206209.54316871</v>
      </c>
      <c r="K70" s="89" t="n">
        <f aca="true">IF(K$5=0,J70,MAX(0,(J70-K$4)*(1+NORMINV(RAND(),INPUTS!$B$28,INPUTS!$B$29))))</f>
        <v>2044121.80338242</v>
      </c>
      <c r="L70" s="89" t="n">
        <f aca="true">IF(L$5=0,K70,MAX(0,(K70-L$4)*(1+NORMINV(RAND(),INPUTS!$B$28,INPUTS!$B$29))))</f>
        <v>1778385.84295583</v>
      </c>
      <c r="M70" s="89" t="n">
        <f aca="true">IF(M$5=0,L70,MAX(0,(L70-M$4)*(1+NORMINV(RAND(),INPUTS!$B$28,INPUTS!$B$29))))</f>
        <v>1814498.52006463</v>
      </c>
      <c r="N70" s="89" t="n">
        <f aca="true">IF(N$5=0,M70,MAX(0,(M70-N$4)*(1+NORMINV(RAND(),INPUTS!$B$28,INPUTS!$B$29))))</f>
        <v>2201905.77501716</v>
      </c>
      <c r="O70" s="89" t="n">
        <f aca="true">IF(O$5=0,N70,MAX(0,(N70-O$4)*(1+NORMINV(RAND(),INPUTS!$B$28,INPUTS!$B$29))))</f>
        <v>1916678.8757437</v>
      </c>
      <c r="P70" s="89" t="n">
        <f aca="true">IF(P$5=0,O70,MAX(0,(O70-P$4)*(1+NORMINV(RAND(),INPUTS!$B$28,INPUTS!$B$29))))</f>
        <v>1736922.97427545</v>
      </c>
      <c r="Q70" s="89" t="n">
        <f aca="true">IF(Q$5=0,P70,MAX(0,(P70-Q$4)*(1+NORMINV(RAND(),INPUTS!$B$28,INPUTS!$B$29))))</f>
        <v>1963498.74215703</v>
      </c>
      <c r="R70" s="89" t="n">
        <f aca="true">IF(R$5=0,Q70,MAX(0,(Q70-R$4)*(1+NORMINV(RAND(),INPUTS!$B$28,INPUTS!$B$29))))</f>
        <v>2115362.04619346</v>
      </c>
      <c r="S70" s="89" t="n">
        <f aca="true">IF(S$5=0,R70,MAX(0,(R70-S$4)*(1+NORMINV(RAND(),INPUTS!$B$28,INPUTS!$B$29))))</f>
        <v>1858297.23847007</v>
      </c>
      <c r="T70" s="89" t="n">
        <f aca="true">IF(T$5=0,S70,MAX(0,(S70-T$4)*(1+NORMINV(RAND(),INPUTS!$B$28,INPUTS!$B$29))))</f>
        <v>1807089.64962887</v>
      </c>
      <c r="U70" s="89" t="n">
        <f aca="true">IF(U$5=0,T70,MAX(0,(T70-U$4)*(1+NORMINV(RAND(),INPUTS!$B$28,INPUTS!$B$29))))</f>
        <v>1979663.25567749</v>
      </c>
      <c r="V70" s="89" t="n">
        <f aca="true">IF(V$5=0,U70,MAX(0,(U70-V$4)*(1+NORMINV(RAND(),INPUTS!$B$28,INPUTS!$B$29))))</f>
        <v>2112344.63621899</v>
      </c>
      <c r="W70" s="89" t="n">
        <f aca="true">IF(W$5=0,V70,MAX(0,(V70-W$4)*(1+NORMINV(RAND(),INPUTS!$B$28,INPUTS!$B$29))))</f>
        <v>2420529.32619876</v>
      </c>
      <c r="X70" s="89" t="n">
        <f aca="true">IF(X$5=0,W70,MAX(0,(W70-X$4)*(1+NORMINV(RAND(),INPUTS!$B$28,INPUTS!$B$29))))</f>
        <v>2216295.73554776</v>
      </c>
      <c r="Y70" s="89" t="n">
        <f aca="true">IF(Y$5=0,X70,MAX(0,(X70-Y$4)*(1+NORMINV(RAND(),INPUTS!$B$28,INPUTS!$B$29))))</f>
        <v>2287150.78978224</v>
      </c>
      <c r="Z70" s="89" t="n">
        <f aca="true">IF(Z$5=0,Y70,MAX(0,(Y70-Z$4)*(1+NORMINV(RAND(),INPUTS!$B$28,INPUTS!$B$29))))</f>
        <v>3039388.24045965</v>
      </c>
      <c r="AA70" s="89" t="n">
        <f aca="true">IF(AA$5=0,Z70,MAX(0,(Z70-AA$4)*(1+NORMINV(RAND(),INPUTS!$B$28,INPUTS!$B$29))))</f>
        <v>3827511.64281367</v>
      </c>
      <c r="AB70" s="89" t="n">
        <f aca="true">IF(AB$5=0,AA70,MAX(0,(AA70-AB$4)*(1+NORMINV(RAND(),INPUTS!$B$28,INPUTS!$B$29))))</f>
        <v>3688926.76672706</v>
      </c>
      <c r="AC70" s="89" t="n">
        <f aca="true">IF(AC$5=0,AB70,MAX(0,(AB70-AC$4)*(1+NORMINV(RAND(),INPUTS!$B$28,INPUTS!$B$29))))</f>
        <v>3688852.22984085</v>
      </c>
      <c r="AD70" s="89" t="n">
        <f aca="true">IF(AD$5=0,AC70,MAX(0,(AC70-AD$4)*(1+NORMINV(RAND(),INPUTS!$B$28,INPUTS!$B$29))))</f>
        <v>3829644.92864613</v>
      </c>
      <c r="AE70" s="89" t="n">
        <f aca="true">IF(AE$5=0,AD70,MAX(0,(AD70-AE$4)*(1+NORMINV(RAND(),INPUTS!$B$28,INPUTS!$B$29))))</f>
        <v>4444408.12426381</v>
      </c>
      <c r="AF70" s="89" t="n">
        <f aca="true">IF(AF$5=0,AE70,MAX(0,(AE70-AF$4)*(1+NORMINV(RAND(),INPUTS!$B$28,INPUTS!$B$29))))</f>
        <v>4803353.32248052</v>
      </c>
      <c r="AG70" s="89" t="n">
        <f aca="true">IF(AG$5=0,AF70,MAX(0,(AF70-AG$4)*(1+NORMINV(RAND(),INPUTS!$B$28,INPUTS!$B$29))))</f>
        <v>4604647.2708204</v>
      </c>
      <c r="AH70" s="89" t="n">
        <f aca="true">IF(AH$5=0,AG70,MAX(0,(AG70-AH$4)*(1+NORMINV(RAND(),INPUTS!$B$28,INPUTS!$B$29))))</f>
        <v>5056630.62208663</v>
      </c>
      <c r="AI70" s="89" t="n">
        <f aca="true">IF(AI$5=0,AH70,MAX(0,(AH70-AI$4)*(1+NORMINV(RAND(),INPUTS!$B$28,INPUTS!$B$29))))</f>
        <v>5286734.95063431</v>
      </c>
      <c r="AJ70" s="89" t="n">
        <f aca="true">IF(AJ$5=0,AI70,MAX(0,(AI70-AJ$4)*(1+NORMINV(RAND(),INPUTS!$B$28,INPUTS!$B$29))))</f>
        <v>5790087.93993196</v>
      </c>
      <c r="AK70" s="89" t="n">
        <f aca="true">IF(AK$5=0,AJ70,MAX(0,(AJ70-AK$4)*(1+NORMINV(RAND(),INPUTS!$B$28,INPUTS!$B$29))))</f>
        <v>6046729.77092003</v>
      </c>
      <c r="AL70" s="89" t="n">
        <f aca="true">IF(AL$5=0,AK70,MAX(0,(AK70-AL$4)*(1+NORMINV(RAND(),INPUTS!$B$28,INPUTS!$B$29))))</f>
        <v>5617410.7356216</v>
      </c>
      <c r="AM70" s="89" t="n">
        <f aca="true">IF(AM$5=0,AL70,MAX(0,(AL70-AM$4)*(1+NORMINV(RAND(),INPUTS!$B$28,INPUTS!$B$29))))</f>
        <v>5617410.7356216</v>
      </c>
      <c r="AN70" s="89" t="n">
        <f aca="true">IF(AN$5=0,AM70,MAX(0,(AM70-AN$4)*(1+NORMINV(RAND(),INPUTS!$B$28,INPUTS!$B$29))))</f>
        <v>5617410.7356216</v>
      </c>
      <c r="AO70" s="89" t="n">
        <f aca="true">IF(AO$5=0,AN70,MAX(0,(AN70-AO$4)*(1+NORMINV(RAND(),INPUTS!$B$28,INPUTS!$B$29))))</f>
        <v>5617410.7356216</v>
      </c>
      <c r="AP70" s="89" t="n">
        <f aca="true">IF(AP$5=0,AO70,MAX(0,(AO70-AP$4)*(1+NORMINV(RAND(),INPUTS!$B$28,INPUTS!$B$29))))</f>
        <v>5617410.7356216</v>
      </c>
      <c r="AQ70" s="89" t="n">
        <f aca="true">IF(AQ$5=0,AP70,MAX(0,(AP70-AQ$4)*(1+NORMINV(RAND(),INPUTS!$B$28,INPUTS!$B$29))))</f>
        <v>5617410.7356216</v>
      </c>
      <c r="AR70" s="89" t="n">
        <f aca="true">IF(AR$5=0,AQ70,MAX(0,(AQ70-AR$4)*(1+NORMINV(RAND(),INPUTS!$B$28,INPUTS!$B$29))))</f>
        <v>5617410.7356216</v>
      </c>
      <c r="AS70" s="89" t="n">
        <f aca="true">IF(AS$5=0,AR70,MAX(0,(AR70-AS$4)*(1+NORMINV(RAND(),INPUTS!$B$28,INPUTS!$B$29))))</f>
        <v>5617410.7356216</v>
      </c>
      <c r="AT70" s="89" t="n">
        <f aca="true">IF(AT$5=0,AS70,MAX(0,(AS70-AT$4)*(1+NORMINV(RAND(),INPUTS!$B$28,INPUTS!$B$29))))</f>
        <v>5617410.7356216</v>
      </c>
      <c r="AU70" s="89" t="n">
        <f aca="true">IF(AU$5=0,AT70,MAX(0,(AT70-AU$4)*(1+NORMINV(RAND(),INPUTS!$B$28,INPUTS!$B$29))))</f>
        <v>5617410.7356216</v>
      </c>
      <c r="AV70" s="89" t="n">
        <f aca="true">IF(AV$5=0,AU70,MAX(0,(AU70-AV$4)*(1+NORMINV(RAND(),INPUTS!$B$28,INPUTS!$B$29))))</f>
        <v>5617410.7356216</v>
      </c>
      <c r="AW70" s="89" t="n">
        <f aca="true">IF(AW$5=0,AV70,MAX(0,(AV70-AW$4)*(1+NORMINV(RAND(),INPUTS!$B$28,INPUTS!$B$29))))</f>
        <v>5617410.7356216</v>
      </c>
      <c r="AX70" s="89" t="n">
        <f aca="true">IF(AX$5=0,AW70,MAX(0,(AW70-AX$4)*(1+NORMINV(RAND(),INPUTS!$B$28,INPUTS!$B$29))))</f>
        <v>5617410.7356216</v>
      </c>
      <c r="AY70" s="89" t="n">
        <f aca="true">IF(AY$5=0,AX70,MAX(0,(AX70-AY$4)*(1+NORMINV(RAND(),INPUTS!$B$28,INPUTS!$B$29))))</f>
        <v>5617410.7356216</v>
      </c>
      <c r="AZ70" s="89" t="n">
        <f aca="true">IF(AZ$5=0,AY70,MAX(0,(AY70-AZ$4)*(1+NORMINV(RAND(),INPUTS!$B$28,INPUTS!$B$29))))</f>
        <v>5617410.7356216</v>
      </c>
      <c r="BA70" s="89" t="n">
        <f aca="true">IF(BA$5=0,AZ70,MAX(0,(AZ70-BA$4)*(1+NORMINV(RAND(),INPUTS!$B$28,INPUTS!$B$29))))</f>
        <v>5617410.7356216</v>
      </c>
      <c r="BB70" s="89" t="n">
        <f aca="true">IF(BB$5=0,BA70,MAX(0,(BA70-BB$4)*(1+NORMINV(RAND(),INPUTS!$B$28,INPUTS!$B$29))))</f>
        <v>5617410.7356216</v>
      </c>
      <c r="BC70" s="89" t="n">
        <f aca="true">IF(BC$5=0,BB70,MAX(0,(BB70-BC$4)*(1+NORMINV(RAND(),INPUTS!$B$28,INPUTS!$B$29))))</f>
        <v>5617410.7356216</v>
      </c>
      <c r="BD70" s="89" t="n">
        <f aca="true">IF(BD$5=0,BC70,MAX(0,(BC70-BD$4)*(1+NORMINV(RAND(),INPUTS!$B$28,INPUTS!$B$29))))</f>
        <v>5617410.7356216</v>
      </c>
      <c r="BE70" s="89" t="n">
        <f aca="true">IF(BE$5=0,BD70,MAX(0,(BD70-BE$4)*(1+NORMINV(RAND(),INPUTS!$B$28,INPUTS!$B$29))))</f>
        <v>5617410.7356216</v>
      </c>
      <c r="BF70" s="89" t="n">
        <f aca="true">IF(BF$5=0,BE70,MAX(0,(BE70-BF$4)*(1+NORMINV(RAND(),INPUTS!$B$28,INPUTS!$B$29))))</f>
        <v>5617410.7356216</v>
      </c>
      <c r="BG70" s="89" t="n">
        <f aca="true">IF(BG$5=0,BF70,MAX(0,(BF70-BG$4)*(1+NORMINV(RAND(),INPUTS!$B$28,INPUTS!$B$29))))</f>
        <v>5617410.7356216</v>
      </c>
      <c r="BH70" s="89" t="n">
        <f aca="true">IF(BH$5=0,BG70,MAX(0,(BG70-BH$4)*(1+NORMINV(RAND(),INPUTS!$B$28,INPUTS!$B$29))))</f>
        <v>5617410.7356216</v>
      </c>
      <c r="BI70" s="89" t="n">
        <f aca="true">IF(BI$5=0,BH70,MAX(0,(BH70-BI$4)*(1+NORMINV(RAND(),INPUTS!$B$28,INPUTS!$B$29))))</f>
        <v>5617410.7356216</v>
      </c>
      <c r="BJ70" s="89" t="n">
        <f aca="true">IF(BJ$5=0,BI70,MAX(0,(BI70-BJ$4)*(1+NORMINV(RAND(),INPUTS!$B$28,INPUTS!$B$29))))</f>
        <v>5617410.7356216</v>
      </c>
    </row>
    <row r="71" customFormat="false" ht="15" hidden="false" customHeight="true" outlineLevel="0" collapsed="false">
      <c r="A71" s="87" t="n">
        <v>64</v>
      </c>
      <c r="B71" s="88" t="n">
        <f aca="false">LOOKUP(9.99E+307,C71:BJ71)</f>
        <v>8860681.15365639</v>
      </c>
      <c r="C71" s="89" t="n">
        <f aca="true">IF(C$5=0,INPUTS!$B$35,MAX(0,(INPUTS!$B$35-C$4)*(1+NORMINV(RAND(),INPUTS!$B$28,INPUTS!$B$29))))</f>
        <v>1999712.55778474</v>
      </c>
      <c r="D71" s="89" t="n">
        <f aca="true">IF(D$5=0,C71,MAX(0,(C71-D$4)*(1+NORMINV(RAND(),INPUTS!$B$28,INPUTS!$B$29))))</f>
        <v>2171666.3466092</v>
      </c>
      <c r="E71" s="89" t="n">
        <f aca="true">IF(E$5=0,D71,MAX(0,(D71-E$4)*(1+NORMINV(RAND(),INPUTS!$B$28,INPUTS!$B$29))))</f>
        <v>2261995.95946875</v>
      </c>
      <c r="F71" s="89" t="n">
        <f aca="true">IF(F$5=0,E71,MAX(0,(E71-F$4)*(1+NORMINV(RAND(),INPUTS!$B$28,INPUTS!$B$29))))</f>
        <v>2154299.0859098</v>
      </c>
      <c r="G71" s="89" t="n">
        <f aca="true">IF(G$5=0,F71,MAX(0,(F71-G$4)*(1+NORMINV(RAND(),INPUTS!$B$28,INPUTS!$B$29))))</f>
        <v>2020885.69720043</v>
      </c>
      <c r="H71" s="89" t="n">
        <f aca="true">IF(H$5=0,G71,MAX(0,(G71-H$4)*(1+NORMINV(RAND(),INPUTS!$B$28,INPUTS!$B$29))))</f>
        <v>1636319.13433681</v>
      </c>
      <c r="I71" s="89" t="n">
        <f aca="true">IF(I$5=0,H71,MAX(0,(H71-I$4)*(1+NORMINV(RAND(),INPUTS!$B$28,INPUTS!$B$29))))</f>
        <v>1800005.16295067</v>
      </c>
      <c r="J71" s="89" t="n">
        <f aca="true">IF(J$5=0,I71,MAX(0,(I71-J$4)*(1+NORMINV(RAND(),INPUTS!$B$28,INPUTS!$B$29))))</f>
        <v>1927822.39279794</v>
      </c>
      <c r="K71" s="89" t="n">
        <f aca="true">IF(K$5=0,J71,MAX(0,(J71-K$4)*(1+NORMINV(RAND(),INPUTS!$B$28,INPUTS!$B$29))))</f>
        <v>1859914.08185554</v>
      </c>
      <c r="L71" s="89" t="n">
        <f aca="true">IF(L$5=0,K71,MAX(0,(K71-L$4)*(1+NORMINV(RAND(),INPUTS!$B$28,INPUTS!$B$29))))</f>
        <v>1943061.20283659</v>
      </c>
      <c r="M71" s="89" t="n">
        <f aca="true">IF(M$5=0,L71,MAX(0,(L71-M$4)*(1+NORMINV(RAND(),INPUTS!$B$28,INPUTS!$B$29))))</f>
        <v>2057399.77303902</v>
      </c>
      <c r="N71" s="89" t="n">
        <f aca="true">IF(N$5=0,M71,MAX(0,(M71-N$4)*(1+NORMINV(RAND(),INPUTS!$B$28,INPUTS!$B$29))))</f>
        <v>2053128.48591261</v>
      </c>
      <c r="O71" s="89" t="n">
        <f aca="true">IF(O$5=0,N71,MAX(0,(N71-O$4)*(1+NORMINV(RAND(),INPUTS!$B$28,INPUTS!$B$29))))</f>
        <v>2214248.64097154</v>
      </c>
      <c r="P71" s="89" t="n">
        <f aca="true">IF(P$5=0,O71,MAX(0,(O71-P$4)*(1+NORMINV(RAND(),INPUTS!$B$28,INPUTS!$B$29))))</f>
        <v>2471669.98321411</v>
      </c>
      <c r="Q71" s="89" t="n">
        <f aca="true">IF(Q$5=0,P71,MAX(0,(P71-Q$4)*(1+NORMINV(RAND(),INPUTS!$B$28,INPUTS!$B$29))))</f>
        <v>3065992.83977775</v>
      </c>
      <c r="R71" s="89" t="n">
        <f aca="true">IF(R$5=0,Q71,MAX(0,(Q71-R$4)*(1+NORMINV(RAND(),INPUTS!$B$28,INPUTS!$B$29))))</f>
        <v>4251359.4722791</v>
      </c>
      <c r="S71" s="89" t="n">
        <f aca="true">IF(S$5=0,R71,MAX(0,(R71-S$4)*(1+NORMINV(RAND(),INPUTS!$B$28,INPUTS!$B$29))))</f>
        <v>5160647.68394123</v>
      </c>
      <c r="T71" s="89" t="n">
        <f aca="true">IF(T$5=0,S71,MAX(0,(S71-T$4)*(1+NORMINV(RAND(),INPUTS!$B$28,INPUTS!$B$29))))</f>
        <v>6805135.99837983</v>
      </c>
      <c r="U71" s="89" t="n">
        <f aca="true">IF(U$5=0,T71,MAX(0,(T71-U$4)*(1+NORMINV(RAND(),INPUTS!$B$28,INPUTS!$B$29))))</f>
        <v>7714949.92885565</v>
      </c>
      <c r="V71" s="89" t="n">
        <f aca="true">IF(V$5=0,U71,MAX(0,(U71-V$4)*(1+NORMINV(RAND(),INPUTS!$B$28,INPUTS!$B$29))))</f>
        <v>6750211.74663791</v>
      </c>
      <c r="W71" s="89" t="n">
        <f aca="true">IF(W$5=0,V71,MAX(0,(V71-W$4)*(1+NORMINV(RAND(),INPUTS!$B$28,INPUTS!$B$29))))</f>
        <v>6291857.61017593</v>
      </c>
      <c r="X71" s="89" t="n">
        <f aca="true">IF(X$5=0,W71,MAX(0,(W71-X$4)*(1+NORMINV(RAND(),INPUTS!$B$28,INPUTS!$B$29))))</f>
        <v>8031300.10434632</v>
      </c>
      <c r="Y71" s="89" t="n">
        <f aca="true">IF(Y$5=0,X71,MAX(0,(X71-Y$4)*(1+NORMINV(RAND(),INPUTS!$B$28,INPUTS!$B$29))))</f>
        <v>7634454.20776359</v>
      </c>
      <c r="Z71" s="89" t="n">
        <f aca="true">IF(Z$5=0,Y71,MAX(0,(Y71-Z$4)*(1+NORMINV(RAND(),INPUTS!$B$28,INPUTS!$B$29))))</f>
        <v>7517457.55201422</v>
      </c>
      <c r="AA71" s="89" t="n">
        <f aca="true">IF(AA$5=0,Z71,MAX(0,(Z71-AA$4)*(1+NORMINV(RAND(),INPUTS!$B$28,INPUTS!$B$29))))</f>
        <v>7114576.88333898</v>
      </c>
      <c r="AB71" s="89" t="n">
        <f aca="true">IF(AB$5=0,AA71,MAX(0,(AA71-AB$4)*(1+NORMINV(RAND(),INPUTS!$B$28,INPUTS!$B$29))))</f>
        <v>6141742.78216299</v>
      </c>
      <c r="AC71" s="89" t="n">
        <f aca="true">IF(AC$5=0,AB71,MAX(0,(AB71-AC$4)*(1+NORMINV(RAND(),INPUTS!$B$28,INPUTS!$B$29))))</f>
        <v>6694635.93430355</v>
      </c>
      <c r="AD71" s="89" t="n">
        <f aca="true">IF(AD$5=0,AC71,MAX(0,(AC71-AD$4)*(1+NORMINV(RAND(),INPUTS!$B$28,INPUTS!$B$29))))</f>
        <v>7338674.48492812</v>
      </c>
      <c r="AE71" s="89" t="n">
        <f aca="true">IF(AE$5=0,AD71,MAX(0,(AD71-AE$4)*(1+NORMINV(RAND(),INPUTS!$B$28,INPUTS!$B$29))))</f>
        <v>7587591.28652288</v>
      </c>
      <c r="AF71" s="89" t="n">
        <f aca="true">IF(AF$5=0,AE71,MAX(0,(AE71-AF$4)*(1+NORMINV(RAND(),INPUTS!$B$28,INPUTS!$B$29))))</f>
        <v>7926539.61640941</v>
      </c>
      <c r="AG71" s="89" t="n">
        <f aca="true">IF(AG$5=0,AF71,MAX(0,(AF71-AG$4)*(1+NORMINV(RAND(),INPUTS!$B$28,INPUTS!$B$29))))</f>
        <v>7921892.82172167</v>
      </c>
      <c r="AH71" s="89" t="n">
        <f aca="true">IF(AH$5=0,AG71,MAX(0,(AG71-AH$4)*(1+NORMINV(RAND(),INPUTS!$B$28,INPUTS!$B$29))))</f>
        <v>9821091.31773014</v>
      </c>
      <c r="AI71" s="89" t="n">
        <f aca="true">IF(AI$5=0,AH71,MAX(0,(AH71-AI$4)*(1+NORMINV(RAND(),INPUTS!$B$28,INPUTS!$B$29))))</f>
        <v>8473203.11367571</v>
      </c>
      <c r="AJ71" s="89" t="n">
        <f aca="true">IF(AJ$5=0,AI71,MAX(0,(AI71-AJ$4)*(1+NORMINV(RAND(),INPUTS!$B$28,INPUTS!$B$29))))</f>
        <v>8722611.18584869</v>
      </c>
      <c r="AK71" s="89" t="n">
        <f aca="true">IF(AK$5=0,AJ71,MAX(0,(AJ71-AK$4)*(1+NORMINV(RAND(),INPUTS!$B$28,INPUTS!$B$29))))</f>
        <v>8115087.20824346</v>
      </c>
      <c r="AL71" s="89" t="n">
        <f aca="true">IF(AL$5=0,AK71,MAX(0,(AK71-AL$4)*(1+NORMINV(RAND(),INPUTS!$B$28,INPUTS!$B$29))))</f>
        <v>8860681.15365639</v>
      </c>
      <c r="AM71" s="89" t="n">
        <f aca="true">IF(AM$5=0,AL71,MAX(0,(AL71-AM$4)*(1+NORMINV(RAND(),INPUTS!$B$28,INPUTS!$B$29))))</f>
        <v>8860681.15365639</v>
      </c>
      <c r="AN71" s="89" t="n">
        <f aca="true">IF(AN$5=0,AM71,MAX(0,(AM71-AN$4)*(1+NORMINV(RAND(),INPUTS!$B$28,INPUTS!$B$29))))</f>
        <v>8860681.15365639</v>
      </c>
      <c r="AO71" s="89" t="n">
        <f aca="true">IF(AO$5=0,AN71,MAX(0,(AN71-AO$4)*(1+NORMINV(RAND(),INPUTS!$B$28,INPUTS!$B$29))))</f>
        <v>8860681.15365639</v>
      </c>
      <c r="AP71" s="89" t="n">
        <f aca="true">IF(AP$5=0,AO71,MAX(0,(AO71-AP$4)*(1+NORMINV(RAND(),INPUTS!$B$28,INPUTS!$B$29))))</f>
        <v>8860681.15365639</v>
      </c>
      <c r="AQ71" s="89" t="n">
        <f aca="true">IF(AQ$5=0,AP71,MAX(0,(AP71-AQ$4)*(1+NORMINV(RAND(),INPUTS!$B$28,INPUTS!$B$29))))</f>
        <v>8860681.15365639</v>
      </c>
      <c r="AR71" s="89" t="n">
        <f aca="true">IF(AR$5=0,AQ71,MAX(0,(AQ71-AR$4)*(1+NORMINV(RAND(),INPUTS!$B$28,INPUTS!$B$29))))</f>
        <v>8860681.15365639</v>
      </c>
      <c r="AS71" s="89" t="n">
        <f aca="true">IF(AS$5=0,AR71,MAX(0,(AR71-AS$4)*(1+NORMINV(RAND(),INPUTS!$B$28,INPUTS!$B$29))))</f>
        <v>8860681.15365639</v>
      </c>
      <c r="AT71" s="89" t="n">
        <f aca="true">IF(AT$5=0,AS71,MAX(0,(AS71-AT$4)*(1+NORMINV(RAND(),INPUTS!$B$28,INPUTS!$B$29))))</f>
        <v>8860681.15365639</v>
      </c>
      <c r="AU71" s="89" t="n">
        <f aca="true">IF(AU$5=0,AT71,MAX(0,(AT71-AU$4)*(1+NORMINV(RAND(),INPUTS!$B$28,INPUTS!$B$29))))</f>
        <v>8860681.15365639</v>
      </c>
      <c r="AV71" s="89" t="n">
        <f aca="true">IF(AV$5=0,AU71,MAX(0,(AU71-AV$4)*(1+NORMINV(RAND(),INPUTS!$B$28,INPUTS!$B$29))))</f>
        <v>8860681.15365639</v>
      </c>
      <c r="AW71" s="89" t="n">
        <f aca="true">IF(AW$5=0,AV71,MAX(0,(AV71-AW$4)*(1+NORMINV(RAND(),INPUTS!$B$28,INPUTS!$B$29))))</f>
        <v>8860681.15365639</v>
      </c>
      <c r="AX71" s="89" t="n">
        <f aca="true">IF(AX$5=0,AW71,MAX(0,(AW71-AX$4)*(1+NORMINV(RAND(),INPUTS!$B$28,INPUTS!$B$29))))</f>
        <v>8860681.15365639</v>
      </c>
      <c r="AY71" s="89" t="n">
        <f aca="true">IF(AY$5=0,AX71,MAX(0,(AX71-AY$4)*(1+NORMINV(RAND(),INPUTS!$B$28,INPUTS!$B$29))))</f>
        <v>8860681.15365639</v>
      </c>
      <c r="AZ71" s="89" t="n">
        <f aca="true">IF(AZ$5=0,AY71,MAX(0,(AY71-AZ$4)*(1+NORMINV(RAND(),INPUTS!$B$28,INPUTS!$B$29))))</f>
        <v>8860681.15365639</v>
      </c>
      <c r="BA71" s="89" t="n">
        <f aca="true">IF(BA$5=0,AZ71,MAX(0,(AZ71-BA$4)*(1+NORMINV(RAND(),INPUTS!$B$28,INPUTS!$B$29))))</f>
        <v>8860681.15365639</v>
      </c>
      <c r="BB71" s="89" t="n">
        <f aca="true">IF(BB$5=0,BA71,MAX(0,(BA71-BB$4)*(1+NORMINV(RAND(),INPUTS!$B$28,INPUTS!$B$29))))</f>
        <v>8860681.15365639</v>
      </c>
      <c r="BC71" s="89" t="n">
        <f aca="true">IF(BC$5=0,BB71,MAX(0,(BB71-BC$4)*(1+NORMINV(RAND(),INPUTS!$B$28,INPUTS!$B$29))))</f>
        <v>8860681.15365639</v>
      </c>
      <c r="BD71" s="89" t="n">
        <f aca="true">IF(BD$5=0,BC71,MAX(0,(BC71-BD$4)*(1+NORMINV(RAND(),INPUTS!$B$28,INPUTS!$B$29))))</f>
        <v>8860681.15365639</v>
      </c>
      <c r="BE71" s="89" t="n">
        <f aca="true">IF(BE$5=0,BD71,MAX(0,(BD71-BE$4)*(1+NORMINV(RAND(),INPUTS!$B$28,INPUTS!$B$29))))</f>
        <v>8860681.15365639</v>
      </c>
      <c r="BF71" s="89" t="n">
        <f aca="true">IF(BF$5=0,BE71,MAX(0,(BE71-BF$4)*(1+NORMINV(RAND(),INPUTS!$B$28,INPUTS!$B$29))))</f>
        <v>8860681.15365639</v>
      </c>
      <c r="BG71" s="89" t="n">
        <f aca="true">IF(BG$5=0,BF71,MAX(0,(BF71-BG$4)*(1+NORMINV(RAND(),INPUTS!$B$28,INPUTS!$B$29))))</f>
        <v>8860681.15365639</v>
      </c>
      <c r="BH71" s="89" t="n">
        <f aca="true">IF(BH$5=0,BG71,MAX(0,(BG71-BH$4)*(1+NORMINV(RAND(),INPUTS!$B$28,INPUTS!$B$29))))</f>
        <v>8860681.15365639</v>
      </c>
      <c r="BI71" s="89" t="n">
        <f aca="true">IF(BI$5=0,BH71,MAX(0,(BH71-BI$4)*(1+NORMINV(RAND(),INPUTS!$B$28,INPUTS!$B$29))))</f>
        <v>8860681.15365639</v>
      </c>
      <c r="BJ71" s="89" t="n">
        <f aca="true">IF(BJ$5=0,BI71,MAX(0,(BI71-BJ$4)*(1+NORMINV(RAND(),INPUTS!$B$28,INPUTS!$B$29))))</f>
        <v>8860681.15365639</v>
      </c>
    </row>
    <row r="72" customFormat="false" ht="15" hidden="false" customHeight="true" outlineLevel="0" collapsed="false">
      <c r="A72" s="87" t="n">
        <v>65</v>
      </c>
      <c r="B72" s="88" t="n">
        <f aca="false">LOOKUP(9.99E+307,C72:BJ72)</f>
        <v>2532347.84647541</v>
      </c>
      <c r="C72" s="89" t="n">
        <f aca="true">IF(C$5=0,INPUTS!$B$35,MAX(0,(INPUTS!$B$35-C$4)*(1+NORMINV(RAND(),INPUTS!$B$28,INPUTS!$B$29))))</f>
        <v>1620294.96608291</v>
      </c>
      <c r="D72" s="89" t="n">
        <f aca="true">IF(D$5=0,C72,MAX(0,(C72-D$4)*(1+NORMINV(RAND(),INPUTS!$B$28,INPUTS!$B$29))))</f>
        <v>1482618.77052524</v>
      </c>
      <c r="E72" s="89" t="n">
        <f aca="true">IF(E$5=0,D72,MAX(0,(D72-E$4)*(1+NORMINV(RAND(),INPUTS!$B$28,INPUTS!$B$29))))</f>
        <v>1249895.66356385</v>
      </c>
      <c r="F72" s="89" t="n">
        <f aca="true">IF(F$5=0,E72,MAX(0,(E72-F$4)*(1+NORMINV(RAND(),INPUTS!$B$28,INPUTS!$B$29))))</f>
        <v>1244803.91468197</v>
      </c>
      <c r="G72" s="89" t="n">
        <f aca="true">IF(G$5=0,F72,MAX(0,(F72-G$4)*(1+NORMINV(RAND(),INPUTS!$B$28,INPUTS!$B$29))))</f>
        <v>1332476.59077506</v>
      </c>
      <c r="H72" s="89" t="n">
        <f aca="true">IF(H$5=0,G72,MAX(0,(G72-H$4)*(1+NORMINV(RAND(),INPUTS!$B$28,INPUTS!$B$29))))</f>
        <v>1250647.89928932</v>
      </c>
      <c r="I72" s="89" t="n">
        <f aca="true">IF(I$5=0,H72,MAX(0,(H72-I$4)*(1+NORMINV(RAND(),INPUTS!$B$28,INPUTS!$B$29))))</f>
        <v>1380827.65356052</v>
      </c>
      <c r="J72" s="89" t="n">
        <f aca="true">IF(J$5=0,I72,MAX(0,(I72-J$4)*(1+NORMINV(RAND(),INPUTS!$B$28,INPUTS!$B$29))))</f>
        <v>1110283.35852614</v>
      </c>
      <c r="K72" s="89" t="n">
        <f aca="true">IF(K$5=0,J72,MAX(0,(J72-K$4)*(1+NORMINV(RAND(),INPUTS!$B$28,INPUTS!$B$29))))</f>
        <v>1338830.70799174</v>
      </c>
      <c r="L72" s="89" t="n">
        <f aca="true">IF(L$5=0,K72,MAX(0,(K72-L$4)*(1+NORMINV(RAND(),INPUTS!$B$28,INPUTS!$B$29))))</f>
        <v>1289913.94044715</v>
      </c>
      <c r="M72" s="89" t="n">
        <f aca="true">IF(M$5=0,L72,MAX(0,(L72-M$4)*(1+NORMINV(RAND(),INPUTS!$B$28,INPUTS!$B$29))))</f>
        <v>1192478.92823989</v>
      </c>
      <c r="N72" s="89" t="n">
        <f aca="true">IF(N$5=0,M72,MAX(0,(M72-N$4)*(1+NORMINV(RAND(),INPUTS!$B$28,INPUTS!$B$29))))</f>
        <v>1196845.33890929</v>
      </c>
      <c r="O72" s="89" t="n">
        <f aca="true">IF(O$5=0,N72,MAX(0,(N72-O$4)*(1+NORMINV(RAND(),INPUTS!$B$28,INPUTS!$B$29))))</f>
        <v>1143480.50571174</v>
      </c>
      <c r="P72" s="89" t="n">
        <f aca="true">IF(P$5=0,O72,MAX(0,(O72-P$4)*(1+NORMINV(RAND(),INPUTS!$B$28,INPUTS!$B$29))))</f>
        <v>1156162.06211839</v>
      </c>
      <c r="Q72" s="89" t="n">
        <f aca="true">IF(Q$5=0,P72,MAX(0,(P72-Q$4)*(1+NORMINV(RAND(),INPUTS!$B$28,INPUTS!$B$29))))</f>
        <v>1190731.78453715</v>
      </c>
      <c r="R72" s="89" t="n">
        <f aca="true">IF(R$5=0,Q72,MAX(0,(Q72-R$4)*(1+NORMINV(RAND(),INPUTS!$B$28,INPUTS!$B$29))))</f>
        <v>1287918.77528748</v>
      </c>
      <c r="S72" s="89" t="n">
        <f aca="true">IF(S$5=0,R72,MAX(0,(R72-S$4)*(1+NORMINV(RAND(),INPUTS!$B$28,INPUTS!$B$29))))</f>
        <v>1480854.78187618</v>
      </c>
      <c r="T72" s="89" t="n">
        <f aca="true">IF(T$5=0,S72,MAX(0,(S72-T$4)*(1+NORMINV(RAND(),INPUTS!$B$28,INPUTS!$B$29))))</f>
        <v>1293805.82154661</v>
      </c>
      <c r="U72" s="89" t="n">
        <f aca="true">IF(U$5=0,T72,MAX(0,(T72-U$4)*(1+NORMINV(RAND(),INPUTS!$B$28,INPUTS!$B$29))))</f>
        <v>1433718.20723676</v>
      </c>
      <c r="V72" s="89" t="n">
        <f aca="true">IF(V$5=0,U72,MAX(0,(U72-V$4)*(1+NORMINV(RAND(),INPUTS!$B$28,INPUTS!$B$29))))</f>
        <v>1203194.58735821</v>
      </c>
      <c r="W72" s="89" t="n">
        <f aca="true">IF(W$5=0,V72,MAX(0,(V72-W$4)*(1+NORMINV(RAND(),INPUTS!$B$28,INPUTS!$B$29))))</f>
        <v>1268156.23857654</v>
      </c>
      <c r="X72" s="89" t="n">
        <f aca="true">IF(X$5=0,W72,MAX(0,(W72-X$4)*(1+NORMINV(RAND(),INPUTS!$B$28,INPUTS!$B$29))))</f>
        <v>1484249.26684087</v>
      </c>
      <c r="Y72" s="89" t="n">
        <f aca="true">IF(Y$5=0,X72,MAX(0,(X72-Y$4)*(1+NORMINV(RAND(),INPUTS!$B$28,INPUTS!$B$29))))</f>
        <v>1499279.82724885</v>
      </c>
      <c r="Z72" s="89" t="n">
        <f aca="true">IF(Z$5=0,Y72,MAX(0,(Y72-Z$4)*(1+NORMINV(RAND(),INPUTS!$B$28,INPUTS!$B$29))))</f>
        <v>1543875.36267982</v>
      </c>
      <c r="AA72" s="89" t="n">
        <f aca="true">IF(AA$5=0,Z72,MAX(0,(Z72-AA$4)*(1+NORMINV(RAND(),INPUTS!$B$28,INPUTS!$B$29))))</f>
        <v>1505484.80909408</v>
      </c>
      <c r="AB72" s="89" t="n">
        <f aca="true">IF(AB$5=0,AA72,MAX(0,(AA72-AB$4)*(1+NORMINV(RAND(),INPUTS!$B$28,INPUTS!$B$29))))</f>
        <v>1445618.09433194</v>
      </c>
      <c r="AC72" s="89" t="n">
        <f aca="true">IF(AC$5=0,AB72,MAX(0,(AB72-AC$4)*(1+NORMINV(RAND(),INPUTS!$B$28,INPUTS!$B$29))))</f>
        <v>1462597.56427545</v>
      </c>
      <c r="AD72" s="89" t="n">
        <f aca="true">IF(AD$5=0,AC72,MAX(0,(AC72-AD$4)*(1+NORMINV(RAND(),INPUTS!$B$28,INPUTS!$B$29))))</f>
        <v>1583287.55311117</v>
      </c>
      <c r="AE72" s="89" t="n">
        <f aca="true">IF(AE$5=0,AD72,MAX(0,(AD72-AE$4)*(1+NORMINV(RAND(),INPUTS!$B$28,INPUTS!$B$29))))</f>
        <v>1705498.44840015</v>
      </c>
      <c r="AF72" s="89" t="n">
        <f aca="true">IF(AF$5=0,AE72,MAX(0,(AE72-AF$4)*(1+NORMINV(RAND(),INPUTS!$B$28,INPUTS!$B$29))))</f>
        <v>1812217.5134636</v>
      </c>
      <c r="AG72" s="89" t="n">
        <f aca="true">IF(AG$5=0,AF72,MAX(0,(AF72-AG$4)*(1+NORMINV(RAND(),INPUTS!$B$28,INPUTS!$B$29))))</f>
        <v>2100519.24018378</v>
      </c>
      <c r="AH72" s="89" t="n">
        <f aca="true">IF(AH$5=0,AG72,MAX(0,(AG72-AH$4)*(1+NORMINV(RAND(),INPUTS!$B$28,INPUTS!$B$29))))</f>
        <v>2015642.68445051</v>
      </c>
      <c r="AI72" s="89" t="n">
        <f aca="true">IF(AI$5=0,AH72,MAX(0,(AH72-AI$4)*(1+NORMINV(RAND(),INPUTS!$B$28,INPUTS!$B$29))))</f>
        <v>2161741.65103931</v>
      </c>
      <c r="AJ72" s="89" t="n">
        <f aca="true">IF(AJ$5=0,AI72,MAX(0,(AI72-AJ$4)*(1+NORMINV(RAND(),INPUTS!$B$28,INPUTS!$B$29))))</f>
        <v>2098785.27279826</v>
      </c>
      <c r="AK72" s="89" t="n">
        <f aca="true">IF(AK$5=0,AJ72,MAX(0,(AJ72-AK$4)*(1+NORMINV(RAND(),INPUTS!$B$28,INPUTS!$B$29))))</f>
        <v>2078930.73032822</v>
      </c>
      <c r="AL72" s="89" t="n">
        <f aca="true">IF(AL$5=0,AK72,MAX(0,(AK72-AL$4)*(1+NORMINV(RAND(),INPUTS!$B$28,INPUTS!$B$29))))</f>
        <v>2532347.84647541</v>
      </c>
      <c r="AM72" s="89" t="n">
        <f aca="true">IF(AM$5=0,AL72,MAX(0,(AL72-AM$4)*(1+NORMINV(RAND(),INPUTS!$B$28,INPUTS!$B$29))))</f>
        <v>2532347.84647541</v>
      </c>
      <c r="AN72" s="89" t="n">
        <f aca="true">IF(AN$5=0,AM72,MAX(0,(AM72-AN$4)*(1+NORMINV(RAND(),INPUTS!$B$28,INPUTS!$B$29))))</f>
        <v>2532347.84647541</v>
      </c>
      <c r="AO72" s="89" t="n">
        <f aca="true">IF(AO$5=0,AN72,MAX(0,(AN72-AO$4)*(1+NORMINV(RAND(),INPUTS!$B$28,INPUTS!$B$29))))</f>
        <v>2532347.84647541</v>
      </c>
      <c r="AP72" s="89" t="n">
        <f aca="true">IF(AP$5=0,AO72,MAX(0,(AO72-AP$4)*(1+NORMINV(RAND(),INPUTS!$B$28,INPUTS!$B$29))))</f>
        <v>2532347.84647541</v>
      </c>
      <c r="AQ72" s="89" t="n">
        <f aca="true">IF(AQ$5=0,AP72,MAX(0,(AP72-AQ$4)*(1+NORMINV(RAND(),INPUTS!$B$28,INPUTS!$B$29))))</f>
        <v>2532347.84647541</v>
      </c>
      <c r="AR72" s="89" t="n">
        <f aca="true">IF(AR$5=0,AQ72,MAX(0,(AQ72-AR$4)*(1+NORMINV(RAND(),INPUTS!$B$28,INPUTS!$B$29))))</f>
        <v>2532347.84647541</v>
      </c>
      <c r="AS72" s="89" t="n">
        <f aca="true">IF(AS$5=0,AR72,MAX(0,(AR72-AS$4)*(1+NORMINV(RAND(),INPUTS!$B$28,INPUTS!$B$29))))</f>
        <v>2532347.84647541</v>
      </c>
      <c r="AT72" s="89" t="n">
        <f aca="true">IF(AT$5=0,AS72,MAX(0,(AS72-AT$4)*(1+NORMINV(RAND(),INPUTS!$B$28,INPUTS!$B$29))))</f>
        <v>2532347.84647541</v>
      </c>
      <c r="AU72" s="89" t="n">
        <f aca="true">IF(AU$5=0,AT72,MAX(0,(AT72-AU$4)*(1+NORMINV(RAND(),INPUTS!$B$28,INPUTS!$B$29))))</f>
        <v>2532347.84647541</v>
      </c>
      <c r="AV72" s="89" t="n">
        <f aca="true">IF(AV$5=0,AU72,MAX(0,(AU72-AV$4)*(1+NORMINV(RAND(),INPUTS!$B$28,INPUTS!$B$29))))</f>
        <v>2532347.84647541</v>
      </c>
      <c r="AW72" s="89" t="n">
        <f aca="true">IF(AW$5=0,AV72,MAX(0,(AV72-AW$4)*(1+NORMINV(RAND(),INPUTS!$B$28,INPUTS!$B$29))))</f>
        <v>2532347.84647541</v>
      </c>
      <c r="AX72" s="89" t="n">
        <f aca="true">IF(AX$5=0,AW72,MAX(0,(AW72-AX$4)*(1+NORMINV(RAND(),INPUTS!$B$28,INPUTS!$B$29))))</f>
        <v>2532347.84647541</v>
      </c>
      <c r="AY72" s="89" t="n">
        <f aca="true">IF(AY$5=0,AX72,MAX(0,(AX72-AY$4)*(1+NORMINV(RAND(),INPUTS!$B$28,INPUTS!$B$29))))</f>
        <v>2532347.84647541</v>
      </c>
      <c r="AZ72" s="89" t="n">
        <f aca="true">IF(AZ$5=0,AY72,MAX(0,(AY72-AZ$4)*(1+NORMINV(RAND(),INPUTS!$B$28,INPUTS!$B$29))))</f>
        <v>2532347.84647541</v>
      </c>
      <c r="BA72" s="89" t="n">
        <f aca="true">IF(BA$5=0,AZ72,MAX(0,(AZ72-BA$4)*(1+NORMINV(RAND(),INPUTS!$B$28,INPUTS!$B$29))))</f>
        <v>2532347.84647541</v>
      </c>
      <c r="BB72" s="89" t="n">
        <f aca="true">IF(BB$5=0,BA72,MAX(0,(BA72-BB$4)*(1+NORMINV(RAND(),INPUTS!$B$28,INPUTS!$B$29))))</f>
        <v>2532347.84647541</v>
      </c>
      <c r="BC72" s="89" t="n">
        <f aca="true">IF(BC$5=0,BB72,MAX(0,(BB72-BC$4)*(1+NORMINV(RAND(),INPUTS!$B$28,INPUTS!$B$29))))</f>
        <v>2532347.84647541</v>
      </c>
      <c r="BD72" s="89" t="n">
        <f aca="true">IF(BD$5=0,BC72,MAX(0,(BC72-BD$4)*(1+NORMINV(RAND(),INPUTS!$B$28,INPUTS!$B$29))))</f>
        <v>2532347.84647541</v>
      </c>
      <c r="BE72" s="89" t="n">
        <f aca="true">IF(BE$5=0,BD72,MAX(0,(BD72-BE$4)*(1+NORMINV(RAND(),INPUTS!$B$28,INPUTS!$B$29))))</f>
        <v>2532347.84647541</v>
      </c>
      <c r="BF72" s="89" t="n">
        <f aca="true">IF(BF$5=0,BE72,MAX(0,(BE72-BF$4)*(1+NORMINV(RAND(),INPUTS!$B$28,INPUTS!$B$29))))</f>
        <v>2532347.84647541</v>
      </c>
      <c r="BG72" s="89" t="n">
        <f aca="true">IF(BG$5=0,BF72,MAX(0,(BF72-BG$4)*(1+NORMINV(RAND(),INPUTS!$B$28,INPUTS!$B$29))))</f>
        <v>2532347.84647541</v>
      </c>
      <c r="BH72" s="89" t="n">
        <f aca="true">IF(BH$5=0,BG72,MAX(0,(BG72-BH$4)*(1+NORMINV(RAND(),INPUTS!$B$28,INPUTS!$B$29))))</f>
        <v>2532347.84647541</v>
      </c>
      <c r="BI72" s="89" t="n">
        <f aca="true">IF(BI$5=0,BH72,MAX(0,(BH72-BI$4)*(1+NORMINV(RAND(),INPUTS!$B$28,INPUTS!$B$29))))</f>
        <v>2532347.84647541</v>
      </c>
      <c r="BJ72" s="89" t="n">
        <f aca="true">IF(BJ$5=0,BI72,MAX(0,(BI72-BJ$4)*(1+NORMINV(RAND(),INPUTS!$B$28,INPUTS!$B$29))))</f>
        <v>2532347.84647541</v>
      </c>
    </row>
    <row r="73" customFormat="false" ht="15" hidden="false" customHeight="true" outlineLevel="0" collapsed="false">
      <c r="A73" s="87" t="n">
        <v>66</v>
      </c>
      <c r="B73" s="88" t="n">
        <f aca="false">LOOKUP(9.99E+307,C73:BJ73)</f>
        <v>28496940.2160255</v>
      </c>
      <c r="C73" s="89" t="n">
        <f aca="true">IF(C$5=0,INPUTS!$B$35,MAX(0,(INPUTS!$B$35-C$4)*(1+NORMINV(RAND(),INPUTS!$B$28,INPUTS!$B$29))))</f>
        <v>1726495.61838397</v>
      </c>
      <c r="D73" s="89" t="n">
        <f aca="true">IF(D$5=0,C73,MAX(0,(C73-D$4)*(1+NORMINV(RAND(),INPUTS!$B$28,INPUTS!$B$29))))</f>
        <v>2025075.6141649</v>
      </c>
      <c r="E73" s="89" t="n">
        <f aca="true">IF(E$5=0,D73,MAX(0,(D73-E$4)*(1+NORMINV(RAND(),INPUTS!$B$28,INPUTS!$B$29))))</f>
        <v>2128539.82938677</v>
      </c>
      <c r="F73" s="89" t="n">
        <f aca="true">IF(F$5=0,E73,MAX(0,(E73-F$4)*(1+NORMINV(RAND(),INPUTS!$B$28,INPUTS!$B$29))))</f>
        <v>2204191.11072678</v>
      </c>
      <c r="G73" s="89" t="n">
        <f aca="true">IF(G$5=0,F73,MAX(0,(F73-G$4)*(1+NORMINV(RAND(),INPUTS!$B$28,INPUTS!$B$29))))</f>
        <v>2500931.05928326</v>
      </c>
      <c r="H73" s="89" t="n">
        <f aca="true">IF(H$5=0,G73,MAX(0,(G73-H$4)*(1+NORMINV(RAND(),INPUTS!$B$28,INPUTS!$B$29))))</f>
        <v>2626328.23280345</v>
      </c>
      <c r="I73" s="89" t="n">
        <f aca="true">IF(I$5=0,H73,MAX(0,(H73-I$4)*(1+NORMINV(RAND(),INPUTS!$B$28,INPUTS!$B$29))))</f>
        <v>3377653.02298542</v>
      </c>
      <c r="J73" s="89" t="n">
        <f aca="true">IF(J$5=0,I73,MAX(0,(I73-J$4)*(1+NORMINV(RAND(),INPUTS!$B$28,INPUTS!$B$29))))</f>
        <v>3713654.38186362</v>
      </c>
      <c r="K73" s="89" t="n">
        <f aca="true">IF(K$5=0,J73,MAX(0,(J73-K$4)*(1+NORMINV(RAND(),INPUTS!$B$28,INPUTS!$B$29))))</f>
        <v>3583834.34667238</v>
      </c>
      <c r="L73" s="89" t="n">
        <f aca="true">IF(L$5=0,K73,MAX(0,(K73-L$4)*(1+NORMINV(RAND(),INPUTS!$B$28,INPUTS!$B$29))))</f>
        <v>3091086.03504698</v>
      </c>
      <c r="M73" s="89" t="n">
        <f aca="true">IF(M$5=0,L73,MAX(0,(L73-M$4)*(1+NORMINV(RAND(),INPUTS!$B$28,INPUTS!$B$29))))</f>
        <v>3697131.00105365</v>
      </c>
      <c r="N73" s="89" t="n">
        <f aca="true">IF(N$5=0,M73,MAX(0,(M73-N$4)*(1+NORMINV(RAND(),INPUTS!$B$28,INPUTS!$B$29))))</f>
        <v>3599147.97814088</v>
      </c>
      <c r="O73" s="89" t="n">
        <f aca="true">IF(O$5=0,N73,MAX(0,(N73-O$4)*(1+NORMINV(RAND(),INPUTS!$B$28,INPUTS!$B$29))))</f>
        <v>3556953.50828183</v>
      </c>
      <c r="P73" s="89" t="n">
        <f aca="true">IF(P$5=0,O73,MAX(0,(O73-P$4)*(1+NORMINV(RAND(),INPUTS!$B$28,INPUTS!$B$29))))</f>
        <v>4298330.91816074</v>
      </c>
      <c r="Q73" s="89" t="n">
        <f aca="true">IF(Q$5=0,P73,MAX(0,(P73-Q$4)*(1+NORMINV(RAND(),INPUTS!$B$28,INPUTS!$B$29))))</f>
        <v>5078396.75454165</v>
      </c>
      <c r="R73" s="89" t="n">
        <f aca="true">IF(R$5=0,Q73,MAX(0,(Q73-R$4)*(1+NORMINV(RAND(),INPUTS!$B$28,INPUTS!$B$29))))</f>
        <v>5273175.2592497</v>
      </c>
      <c r="S73" s="89" t="n">
        <f aca="true">IF(S$5=0,R73,MAX(0,(R73-S$4)*(1+NORMINV(RAND(),INPUTS!$B$28,INPUTS!$B$29))))</f>
        <v>5455477.41108904</v>
      </c>
      <c r="T73" s="89" t="n">
        <f aca="true">IF(T$5=0,S73,MAX(0,(S73-T$4)*(1+NORMINV(RAND(),INPUTS!$B$28,INPUTS!$B$29))))</f>
        <v>5500960.32865115</v>
      </c>
      <c r="U73" s="89" t="n">
        <f aca="true">IF(U$5=0,T73,MAX(0,(T73-U$4)*(1+NORMINV(RAND(),INPUTS!$B$28,INPUTS!$B$29))))</f>
        <v>6142998.88101968</v>
      </c>
      <c r="V73" s="89" t="n">
        <f aca="true">IF(V$5=0,U73,MAX(0,(U73-V$4)*(1+NORMINV(RAND(),INPUTS!$B$28,INPUTS!$B$29))))</f>
        <v>6634348.90731423</v>
      </c>
      <c r="W73" s="89" t="n">
        <f aca="true">IF(W$5=0,V73,MAX(0,(V73-W$4)*(1+NORMINV(RAND(),INPUTS!$B$28,INPUTS!$B$29))))</f>
        <v>6896062.86252269</v>
      </c>
      <c r="X73" s="89" t="n">
        <f aca="true">IF(X$5=0,W73,MAX(0,(W73-X$4)*(1+NORMINV(RAND(),INPUTS!$B$28,INPUTS!$B$29))))</f>
        <v>7366534.88384697</v>
      </c>
      <c r="Y73" s="89" t="n">
        <f aca="true">IF(Y$5=0,X73,MAX(0,(X73-Y$4)*(1+NORMINV(RAND(),INPUTS!$B$28,INPUTS!$B$29))))</f>
        <v>8689015.48479839</v>
      </c>
      <c r="Z73" s="89" t="n">
        <f aca="true">IF(Z$5=0,Y73,MAX(0,(Y73-Z$4)*(1+NORMINV(RAND(),INPUTS!$B$28,INPUTS!$B$29))))</f>
        <v>10323753.5135071</v>
      </c>
      <c r="AA73" s="89" t="n">
        <f aca="true">IF(AA$5=0,Z73,MAX(0,(Z73-AA$4)*(1+NORMINV(RAND(),INPUTS!$B$28,INPUTS!$B$29))))</f>
        <v>10457610.1026758</v>
      </c>
      <c r="AB73" s="89" t="n">
        <f aca="true">IF(AB$5=0,AA73,MAX(0,(AA73-AB$4)*(1+NORMINV(RAND(),INPUTS!$B$28,INPUTS!$B$29))))</f>
        <v>10792841.3181608</v>
      </c>
      <c r="AC73" s="89" t="n">
        <f aca="true">IF(AC$5=0,AB73,MAX(0,(AB73-AC$4)*(1+NORMINV(RAND(),INPUTS!$B$28,INPUTS!$B$29))))</f>
        <v>10600715.6612941</v>
      </c>
      <c r="AD73" s="89" t="n">
        <f aca="true">IF(AD$5=0,AC73,MAX(0,(AC73-AD$4)*(1+NORMINV(RAND(),INPUTS!$B$28,INPUTS!$B$29))))</f>
        <v>13003675.112889</v>
      </c>
      <c r="AE73" s="89" t="n">
        <f aca="true">IF(AE$5=0,AD73,MAX(0,(AD73-AE$4)*(1+NORMINV(RAND(),INPUTS!$B$28,INPUTS!$B$29))))</f>
        <v>14200399.3593039</v>
      </c>
      <c r="AF73" s="89" t="n">
        <f aca="true">IF(AF$5=0,AE73,MAX(0,(AE73-AF$4)*(1+NORMINV(RAND(),INPUTS!$B$28,INPUTS!$B$29))))</f>
        <v>15237506.4145213</v>
      </c>
      <c r="AG73" s="89" t="n">
        <f aca="true">IF(AG$5=0,AF73,MAX(0,(AF73-AG$4)*(1+NORMINV(RAND(),INPUTS!$B$28,INPUTS!$B$29))))</f>
        <v>18872824.7790778</v>
      </c>
      <c r="AH73" s="89" t="n">
        <f aca="true">IF(AH$5=0,AG73,MAX(0,(AG73-AH$4)*(1+NORMINV(RAND(),INPUTS!$B$28,INPUTS!$B$29))))</f>
        <v>23654680.7093735</v>
      </c>
      <c r="AI73" s="89" t="n">
        <f aca="true">IF(AI$5=0,AH73,MAX(0,(AH73-AI$4)*(1+NORMINV(RAND(),INPUTS!$B$28,INPUTS!$B$29))))</f>
        <v>24840025.9686202</v>
      </c>
      <c r="AJ73" s="89" t="n">
        <f aca="true">IF(AJ$5=0,AI73,MAX(0,(AI73-AJ$4)*(1+NORMINV(RAND(),INPUTS!$B$28,INPUTS!$B$29))))</f>
        <v>27760883.8313378</v>
      </c>
      <c r="AK73" s="89" t="n">
        <f aca="true">IF(AK$5=0,AJ73,MAX(0,(AJ73-AK$4)*(1+NORMINV(RAND(),INPUTS!$B$28,INPUTS!$B$29))))</f>
        <v>25316037.8597139</v>
      </c>
      <c r="AL73" s="89" t="n">
        <f aca="true">IF(AL$5=0,AK73,MAX(0,(AK73-AL$4)*(1+NORMINV(RAND(),INPUTS!$B$28,INPUTS!$B$29))))</f>
        <v>28496940.2160255</v>
      </c>
      <c r="AM73" s="89" t="n">
        <f aca="true">IF(AM$5=0,AL73,MAX(0,(AL73-AM$4)*(1+NORMINV(RAND(),INPUTS!$B$28,INPUTS!$B$29))))</f>
        <v>28496940.2160255</v>
      </c>
      <c r="AN73" s="89" t="n">
        <f aca="true">IF(AN$5=0,AM73,MAX(0,(AM73-AN$4)*(1+NORMINV(RAND(),INPUTS!$B$28,INPUTS!$B$29))))</f>
        <v>28496940.2160255</v>
      </c>
      <c r="AO73" s="89" t="n">
        <f aca="true">IF(AO$5=0,AN73,MAX(0,(AN73-AO$4)*(1+NORMINV(RAND(),INPUTS!$B$28,INPUTS!$B$29))))</f>
        <v>28496940.2160255</v>
      </c>
      <c r="AP73" s="89" t="n">
        <f aca="true">IF(AP$5=0,AO73,MAX(0,(AO73-AP$4)*(1+NORMINV(RAND(),INPUTS!$B$28,INPUTS!$B$29))))</f>
        <v>28496940.2160255</v>
      </c>
      <c r="AQ73" s="89" t="n">
        <f aca="true">IF(AQ$5=0,AP73,MAX(0,(AP73-AQ$4)*(1+NORMINV(RAND(),INPUTS!$B$28,INPUTS!$B$29))))</f>
        <v>28496940.2160255</v>
      </c>
      <c r="AR73" s="89" t="n">
        <f aca="true">IF(AR$5=0,AQ73,MAX(0,(AQ73-AR$4)*(1+NORMINV(RAND(),INPUTS!$B$28,INPUTS!$B$29))))</f>
        <v>28496940.2160255</v>
      </c>
      <c r="AS73" s="89" t="n">
        <f aca="true">IF(AS$5=0,AR73,MAX(0,(AR73-AS$4)*(1+NORMINV(RAND(),INPUTS!$B$28,INPUTS!$B$29))))</f>
        <v>28496940.2160255</v>
      </c>
      <c r="AT73" s="89" t="n">
        <f aca="true">IF(AT$5=0,AS73,MAX(0,(AS73-AT$4)*(1+NORMINV(RAND(),INPUTS!$B$28,INPUTS!$B$29))))</f>
        <v>28496940.2160255</v>
      </c>
      <c r="AU73" s="89" t="n">
        <f aca="true">IF(AU$5=0,AT73,MAX(0,(AT73-AU$4)*(1+NORMINV(RAND(),INPUTS!$B$28,INPUTS!$B$29))))</f>
        <v>28496940.2160255</v>
      </c>
      <c r="AV73" s="89" t="n">
        <f aca="true">IF(AV$5=0,AU73,MAX(0,(AU73-AV$4)*(1+NORMINV(RAND(),INPUTS!$B$28,INPUTS!$B$29))))</f>
        <v>28496940.2160255</v>
      </c>
      <c r="AW73" s="89" t="n">
        <f aca="true">IF(AW$5=0,AV73,MAX(0,(AV73-AW$4)*(1+NORMINV(RAND(),INPUTS!$B$28,INPUTS!$B$29))))</f>
        <v>28496940.2160255</v>
      </c>
      <c r="AX73" s="89" t="n">
        <f aca="true">IF(AX$5=0,AW73,MAX(0,(AW73-AX$4)*(1+NORMINV(RAND(),INPUTS!$B$28,INPUTS!$B$29))))</f>
        <v>28496940.2160255</v>
      </c>
      <c r="AY73" s="89" t="n">
        <f aca="true">IF(AY$5=0,AX73,MAX(0,(AX73-AY$4)*(1+NORMINV(RAND(),INPUTS!$B$28,INPUTS!$B$29))))</f>
        <v>28496940.2160255</v>
      </c>
      <c r="AZ73" s="89" t="n">
        <f aca="true">IF(AZ$5=0,AY73,MAX(0,(AY73-AZ$4)*(1+NORMINV(RAND(),INPUTS!$B$28,INPUTS!$B$29))))</f>
        <v>28496940.2160255</v>
      </c>
      <c r="BA73" s="89" t="n">
        <f aca="true">IF(BA$5=0,AZ73,MAX(0,(AZ73-BA$4)*(1+NORMINV(RAND(),INPUTS!$B$28,INPUTS!$B$29))))</f>
        <v>28496940.2160255</v>
      </c>
      <c r="BB73" s="89" t="n">
        <f aca="true">IF(BB$5=0,BA73,MAX(0,(BA73-BB$4)*(1+NORMINV(RAND(),INPUTS!$B$28,INPUTS!$B$29))))</f>
        <v>28496940.2160255</v>
      </c>
      <c r="BC73" s="89" t="n">
        <f aca="true">IF(BC$5=0,BB73,MAX(0,(BB73-BC$4)*(1+NORMINV(RAND(),INPUTS!$B$28,INPUTS!$B$29))))</f>
        <v>28496940.2160255</v>
      </c>
      <c r="BD73" s="89" t="n">
        <f aca="true">IF(BD$5=0,BC73,MAX(0,(BC73-BD$4)*(1+NORMINV(RAND(),INPUTS!$B$28,INPUTS!$B$29))))</f>
        <v>28496940.2160255</v>
      </c>
      <c r="BE73" s="89" t="n">
        <f aca="true">IF(BE$5=0,BD73,MAX(0,(BD73-BE$4)*(1+NORMINV(RAND(),INPUTS!$B$28,INPUTS!$B$29))))</f>
        <v>28496940.2160255</v>
      </c>
      <c r="BF73" s="89" t="n">
        <f aca="true">IF(BF$5=0,BE73,MAX(0,(BE73-BF$4)*(1+NORMINV(RAND(),INPUTS!$B$28,INPUTS!$B$29))))</f>
        <v>28496940.2160255</v>
      </c>
      <c r="BG73" s="89" t="n">
        <f aca="true">IF(BG$5=0,BF73,MAX(0,(BF73-BG$4)*(1+NORMINV(RAND(),INPUTS!$B$28,INPUTS!$B$29))))</f>
        <v>28496940.2160255</v>
      </c>
      <c r="BH73" s="89" t="n">
        <f aca="true">IF(BH$5=0,BG73,MAX(0,(BG73-BH$4)*(1+NORMINV(RAND(),INPUTS!$B$28,INPUTS!$B$29))))</f>
        <v>28496940.2160255</v>
      </c>
      <c r="BI73" s="89" t="n">
        <f aca="true">IF(BI$5=0,BH73,MAX(0,(BH73-BI$4)*(1+NORMINV(RAND(),INPUTS!$B$28,INPUTS!$B$29))))</f>
        <v>28496940.2160255</v>
      </c>
      <c r="BJ73" s="89" t="n">
        <f aca="true">IF(BJ$5=0,BI73,MAX(0,(BI73-BJ$4)*(1+NORMINV(RAND(),INPUTS!$B$28,INPUTS!$B$29))))</f>
        <v>28496940.2160255</v>
      </c>
    </row>
    <row r="74" customFormat="false" ht="15" hidden="false" customHeight="true" outlineLevel="0" collapsed="false">
      <c r="A74" s="87" t="n">
        <v>67</v>
      </c>
      <c r="B74" s="88" t="n">
        <f aca="false">LOOKUP(9.99E+307,C74:BJ74)</f>
        <v>3009088.39174326</v>
      </c>
      <c r="C74" s="89" t="n">
        <f aca="true">IF(C$5=0,INPUTS!$B$35,MAX(0,(INPUTS!$B$35-C$4)*(1+NORMINV(RAND(),INPUTS!$B$28,INPUTS!$B$29))))</f>
        <v>1604952.43768112</v>
      </c>
      <c r="D74" s="89" t="n">
        <f aca="true">IF(D$5=0,C74,MAX(0,(C74-D$4)*(1+NORMINV(RAND(),INPUTS!$B$28,INPUTS!$B$29))))</f>
        <v>1694109.71827087</v>
      </c>
      <c r="E74" s="89" t="n">
        <f aca="true">IF(E$5=0,D74,MAX(0,(D74-E$4)*(1+NORMINV(RAND(),INPUTS!$B$28,INPUTS!$B$29))))</f>
        <v>1700746.04664756</v>
      </c>
      <c r="F74" s="89" t="n">
        <f aca="true">IF(F$5=0,E74,MAX(0,(E74-F$4)*(1+NORMINV(RAND(),INPUTS!$B$28,INPUTS!$B$29))))</f>
        <v>1996110.49716862</v>
      </c>
      <c r="G74" s="89" t="n">
        <f aca="true">IF(G$5=0,F74,MAX(0,(F74-G$4)*(1+NORMINV(RAND(),INPUTS!$B$28,INPUTS!$B$29))))</f>
        <v>1750799.17296236</v>
      </c>
      <c r="H74" s="89" t="n">
        <f aca="true">IF(H$5=0,G74,MAX(0,(G74-H$4)*(1+NORMINV(RAND(),INPUTS!$B$28,INPUTS!$B$29))))</f>
        <v>1774743.29087016</v>
      </c>
      <c r="I74" s="89" t="n">
        <f aca="true">IF(I$5=0,H74,MAX(0,(H74-I$4)*(1+NORMINV(RAND(),INPUTS!$B$28,INPUTS!$B$29))))</f>
        <v>1397402.38019711</v>
      </c>
      <c r="J74" s="89" t="n">
        <f aca="true">IF(J$5=0,I74,MAX(0,(I74-J$4)*(1+NORMINV(RAND(),INPUTS!$B$28,INPUTS!$B$29))))</f>
        <v>1474907.28047651</v>
      </c>
      <c r="K74" s="89" t="n">
        <f aca="true">IF(K$5=0,J74,MAX(0,(J74-K$4)*(1+NORMINV(RAND(),INPUTS!$B$28,INPUTS!$B$29))))</f>
        <v>1810976.53422654</v>
      </c>
      <c r="L74" s="89" t="n">
        <f aca="true">IF(L$5=0,K74,MAX(0,(K74-L$4)*(1+NORMINV(RAND(),INPUTS!$B$28,INPUTS!$B$29))))</f>
        <v>1638678.08394889</v>
      </c>
      <c r="M74" s="89" t="n">
        <f aca="true">IF(M$5=0,L74,MAX(0,(L74-M$4)*(1+NORMINV(RAND(),INPUTS!$B$28,INPUTS!$B$29))))</f>
        <v>1403927.03383454</v>
      </c>
      <c r="N74" s="89" t="n">
        <f aca="true">IF(N$5=0,M74,MAX(0,(M74-N$4)*(1+NORMINV(RAND(),INPUTS!$B$28,INPUTS!$B$29))))</f>
        <v>1201732.18187161</v>
      </c>
      <c r="O74" s="89" t="n">
        <f aca="true">IF(O$5=0,N74,MAX(0,(N74-O$4)*(1+NORMINV(RAND(),INPUTS!$B$28,INPUTS!$B$29))))</f>
        <v>1317728.6825287</v>
      </c>
      <c r="P74" s="89" t="n">
        <f aca="true">IF(P$5=0,O74,MAX(0,(O74-P$4)*(1+NORMINV(RAND(),INPUTS!$B$28,INPUTS!$B$29))))</f>
        <v>1285626.9218557</v>
      </c>
      <c r="Q74" s="89" t="n">
        <f aca="true">IF(Q$5=0,P74,MAX(0,(P74-Q$4)*(1+NORMINV(RAND(),INPUTS!$B$28,INPUTS!$B$29))))</f>
        <v>1269684.72095909</v>
      </c>
      <c r="R74" s="89" t="n">
        <f aca="true">IF(R$5=0,Q74,MAX(0,(Q74-R$4)*(1+NORMINV(RAND(),INPUTS!$B$28,INPUTS!$B$29))))</f>
        <v>1368523.46632594</v>
      </c>
      <c r="S74" s="89" t="n">
        <f aca="true">IF(S$5=0,R74,MAX(0,(R74-S$4)*(1+NORMINV(RAND(),INPUTS!$B$28,INPUTS!$B$29))))</f>
        <v>1333834.62061852</v>
      </c>
      <c r="T74" s="89" t="n">
        <f aca="true">IF(T$5=0,S74,MAX(0,(S74-T$4)*(1+NORMINV(RAND(),INPUTS!$B$28,INPUTS!$B$29))))</f>
        <v>1379987.16065217</v>
      </c>
      <c r="U74" s="89" t="n">
        <f aca="true">IF(U$5=0,T74,MAX(0,(T74-U$4)*(1+NORMINV(RAND(),INPUTS!$B$28,INPUTS!$B$29))))</f>
        <v>1411128.42318628</v>
      </c>
      <c r="V74" s="89" t="n">
        <f aca="true">IF(V$5=0,U74,MAX(0,(U74-V$4)*(1+NORMINV(RAND(),INPUTS!$B$28,INPUTS!$B$29))))</f>
        <v>1649317.64250316</v>
      </c>
      <c r="W74" s="89" t="n">
        <f aca="true">IF(W$5=0,V74,MAX(0,(V74-W$4)*(1+NORMINV(RAND(),INPUTS!$B$28,INPUTS!$B$29))))</f>
        <v>1439086.22909707</v>
      </c>
      <c r="X74" s="89" t="n">
        <f aca="true">IF(X$5=0,W74,MAX(0,(W74-X$4)*(1+NORMINV(RAND(),INPUTS!$B$28,INPUTS!$B$29))))</f>
        <v>1658788.27390677</v>
      </c>
      <c r="Y74" s="89" t="n">
        <f aca="true">IF(Y$5=0,X74,MAX(0,(X74-Y$4)*(1+NORMINV(RAND(),INPUTS!$B$28,INPUTS!$B$29))))</f>
        <v>1828128.23373405</v>
      </c>
      <c r="Z74" s="89" t="n">
        <f aca="true">IF(Z$5=0,Y74,MAX(0,(Y74-Z$4)*(1+NORMINV(RAND(),INPUTS!$B$28,INPUTS!$B$29))))</f>
        <v>1638313.43246071</v>
      </c>
      <c r="AA74" s="89" t="n">
        <f aca="true">IF(AA$5=0,Z74,MAX(0,(Z74-AA$4)*(1+NORMINV(RAND(),INPUTS!$B$28,INPUTS!$B$29))))</f>
        <v>1734604.42813826</v>
      </c>
      <c r="AB74" s="89" t="n">
        <f aca="true">IF(AB$5=0,AA74,MAX(0,(AA74-AB$4)*(1+NORMINV(RAND(),INPUTS!$B$28,INPUTS!$B$29))))</f>
        <v>1756002.29149171</v>
      </c>
      <c r="AC74" s="89" t="n">
        <f aca="true">IF(AC$5=0,AB74,MAX(0,(AB74-AC$4)*(1+NORMINV(RAND(),INPUTS!$B$28,INPUTS!$B$29))))</f>
        <v>1834165.8157832</v>
      </c>
      <c r="AD74" s="89" t="n">
        <f aca="true">IF(AD$5=0,AC74,MAX(0,(AC74-AD$4)*(1+NORMINV(RAND(),INPUTS!$B$28,INPUTS!$B$29))))</f>
        <v>2067320.42755316</v>
      </c>
      <c r="AE74" s="89" t="n">
        <f aca="true">IF(AE$5=0,AD74,MAX(0,(AD74-AE$4)*(1+NORMINV(RAND(),INPUTS!$B$28,INPUTS!$B$29))))</f>
        <v>2263215.00612434</v>
      </c>
      <c r="AF74" s="89" t="n">
        <f aca="true">IF(AF$5=0,AE74,MAX(0,(AE74-AF$4)*(1+NORMINV(RAND(),INPUTS!$B$28,INPUTS!$B$29))))</f>
        <v>2467387.55347539</v>
      </c>
      <c r="AG74" s="89" t="n">
        <f aca="true">IF(AG$5=0,AF74,MAX(0,(AF74-AG$4)*(1+NORMINV(RAND(),INPUTS!$B$28,INPUTS!$B$29))))</f>
        <v>3309700.49022806</v>
      </c>
      <c r="AH74" s="89" t="n">
        <f aca="true">IF(AH$5=0,AG74,MAX(0,(AG74-AH$4)*(1+NORMINV(RAND(),INPUTS!$B$28,INPUTS!$B$29))))</f>
        <v>3036801.02603732</v>
      </c>
      <c r="AI74" s="89" t="n">
        <f aca="true">IF(AI$5=0,AH74,MAX(0,(AH74-AI$4)*(1+NORMINV(RAND(),INPUTS!$B$28,INPUTS!$B$29))))</f>
        <v>3498013.46663758</v>
      </c>
      <c r="AJ74" s="89" t="n">
        <f aca="true">IF(AJ$5=0,AI74,MAX(0,(AI74-AJ$4)*(1+NORMINV(RAND(),INPUTS!$B$28,INPUTS!$B$29))))</f>
        <v>3181557.88548636</v>
      </c>
      <c r="AK74" s="89" t="n">
        <f aca="true">IF(AK$5=0,AJ74,MAX(0,(AJ74-AK$4)*(1+NORMINV(RAND(),INPUTS!$B$28,INPUTS!$B$29))))</f>
        <v>2846834.50823728</v>
      </c>
      <c r="AL74" s="89" t="n">
        <f aca="true">IF(AL$5=0,AK74,MAX(0,(AK74-AL$4)*(1+NORMINV(RAND(),INPUTS!$B$28,INPUTS!$B$29))))</f>
        <v>3009088.39174326</v>
      </c>
      <c r="AM74" s="89" t="n">
        <f aca="true">IF(AM$5=0,AL74,MAX(0,(AL74-AM$4)*(1+NORMINV(RAND(),INPUTS!$B$28,INPUTS!$B$29))))</f>
        <v>3009088.39174326</v>
      </c>
      <c r="AN74" s="89" t="n">
        <f aca="true">IF(AN$5=0,AM74,MAX(0,(AM74-AN$4)*(1+NORMINV(RAND(),INPUTS!$B$28,INPUTS!$B$29))))</f>
        <v>3009088.39174326</v>
      </c>
      <c r="AO74" s="89" t="n">
        <f aca="true">IF(AO$5=0,AN74,MAX(0,(AN74-AO$4)*(1+NORMINV(RAND(),INPUTS!$B$28,INPUTS!$B$29))))</f>
        <v>3009088.39174326</v>
      </c>
      <c r="AP74" s="89" t="n">
        <f aca="true">IF(AP$5=0,AO74,MAX(0,(AO74-AP$4)*(1+NORMINV(RAND(),INPUTS!$B$28,INPUTS!$B$29))))</f>
        <v>3009088.39174326</v>
      </c>
      <c r="AQ74" s="89" t="n">
        <f aca="true">IF(AQ$5=0,AP74,MAX(0,(AP74-AQ$4)*(1+NORMINV(RAND(),INPUTS!$B$28,INPUTS!$B$29))))</f>
        <v>3009088.39174326</v>
      </c>
      <c r="AR74" s="89" t="n">
        <f aca="true">IF(AR$5=0,AQ74,MAX(0,(AQ74-AR$4)*(1+NORMINV(RAND(),INPUTS!$B$28,INPUTS!$B$29))))</f>
        <v>3009088.39174326</v>
      </c>
      <c r="AS74" s="89" t="n">
        <f aca="true">IF(AS$5=0,AR74,MAX(0,(AR74-AS$4)*(1+NORMINV(RAND(),INPUTS!$B$28,INPUTS!$B$29))))</f>
        <v>3009088.39174326</v>
      </c>
      <c r="AT74" s="89" t="n">
        <f aca="true">IF(AT$5=0,AS74,MAX(0,(AS74-AT$4)*(1+NORMINV(RAND(),INPUTS!$B$28,INPUTS!$B$29))))</f>
        <v>3009088.39174326</v>
      </c>
      <c r="AU74" s="89" t="n">
        <f aca="true">IF(AU$5=0,AT74,MAX(0,(AT74-AU$4)*(1+NORMINV(RAND(),INPUTS!$B$28,INPUTS!$B$29))))</f>
        <v>3009088.39174326</v>
      </c>
      <c r="AV74" s="89" t="n">
        <f aca="true">IF(AV$5=0,AU74,MAX(0,(AU74-AV$4)*(1+NORMINV(RAND(),INPUTS!$B$28,INPUTS!$B$29))))</f>
        <v>3009088.39174326</v>
      </c>
      <c r="AW74" s="89" t="n">
        <f aca="true">IF(AW$5=0,AV74,MAX(0,(AV74-AW$4)*(1+NORMINV(RAND(),INPUTS!$B$28,INPUTS!$B$29))))</f>
        <v>3009088.39174326</v>
      </c>
      <c r="AX74" s="89" t="n">
        <f aca="true">IF(AX$5=0,AW74,MAX(0,(AW74-AX$4)*(1+NORMINV(RAND(),INPUTS!$B$28,INPUTS!$B$29))))</f>
        <v>3009088.39174326</v>
      </c>
      <c r="AY74" s="89" t="n">
        <f aca="true">IF(AY$5=0,AX74,MAX(0,(AX74-AY$4)*(1+NORMINV(RAND(),INPUTS!$B$28,INPUTS!$B$29))))</f>
        <v>3009088.39174326</v>
      </c>
      <c r="AZ74" s="89" t="n">
        <f aca="true">IF(AZ$5=0,AY74,MAX(0,(AY74-AZ$4)*(1+NORMINV(RAND(),INPUTS!$B$28,INPUTS!$B$29))))</f>
        <v>3009088.39174326</v>
      </c>
      <c r="BA74" s="89" t="n">
        <f aca="true">IF(BA$5=0,AZ74,MAX(0,(AZ74-BA$4)*(1+NORMINV(RAND(),INPUTS!$B$28,INPUTS!$B$29))))</f>
        <v>3009088.39174326</v>
      </c>
      <c r="BB74" s="89" t="n">
        <f aca="true">IF(BB$5=0,BA74,MAX(0,(BA74-BB$4)*(1+NORMINV(RAND(),INPUTS!$B$28,INPUTS!$B$29))))</f>
        <v>3009088.39174326</v>
      </c>
      <c r="BC74" s="89" t="n">
        <f aca="true">IF(BC$5=0,BB74,MAX(0,(BB74-BC$4)*(1+NORMINV(RAND(),INPUTS!$B$28,INPUTS!$B$29))))</f>
        <v>3009088.39174326</v>
      </c>
      <c r="BD74" s="89" t="n">
        <f aca="true">IF(BD$5=0,BC74,MAX(0,(BC74-BD$4)*(1+NORMINV(RAND(),INPUTS!$B$28,INPUTS!$B$29))))</f>
        <v>3009088.39174326</v>
      </c>
      <c r="BE74" s="89" t="n">
        <f aca="true">IF(BE$5=0,BD74,MAX(0,(BD74-BE$4)*(1+NORMINV(RAND(),INPUTS!$B$28,INPUTS!$B$29))))</f>
        <v>3009088.39174326</v>
      </c>
      <c r="BF74" s="89" t="n">
        <f aca="true">IF(BF$5=0,BE74,MAX(0,(BE74-BF$4)*(1+NORMINV(RAND(),INPUTS!$B$28,INPUTS!$B$29))))</f>
        <v>3009088.39174326</v>
      </c>
      <c r="BG74" s="89" t="n">
        <f aca="true">IF(BG$5=0,BF74,MAX(0,(BF74-BG$4)*(1+NORMINV(RAND(),INPUTS!$B$28,INPUTS!$B$29))))</f>
        <v>3009088.39174326</v>
      </c>
      <c r="BH74" s="89" t="n">
        <f aca="true">IF(BH$5=0,BG74,MAX(0,(BG74-BH$4)*(1+NORMINV(RAND(),INPUTS!$B$28,INPUTS!$B$29))))</f>
        <v>3009088.39174326</v>
      </c>
      <c r="BI74" s="89" t="n">
        <f aca="true">IF(BI$5=0,BH74,MAX(0,(BH74-BI$4)*(1+NORMINV(RAND(),INPUTS!$B$28,INPUTS!$B$29))))</f>
        <v>3009088.39174326</v>
      </c>
      <c r="BJ74" s="89" t="n">
        <f aca="true">IF(BJ$5=0,BI74,MAX(0,(BI74-BJ$4)*(1+NORMINV(RAND(),INPUTS!$B$28,INPUTS!$B$29))))</f>
        <v>3009088.39174326</v>
      </c>
    </row>
    <row r="75" customFormat="false" ht="15" hidden="false" customHeight="true" outlineLevel="0" collapsed="false">
      <c r="A75" s="87" t="n">
        <v>68</v>
      </c>
      <c r="B75" s="88" t="n">
        <f aca="false">LOOKUP(9.99E+307,C75:BJ75)</f>
        <v>3933150.66019081</v>
      </c>
      <c r="C75" s="89" t="n">
        <f aca="true">IF(C$5=0,INPUTS!$B$35,MAX(0,(INPUTS!$B$35-C$4)*(1+NORMINV(RAND(),INPUTS!$B$28,INPUTS!$B$29))))</f>
        <v>1248717.74559828</v>
      </c>
      <c r="D75" s="89" t="n">
        <f aca="true">IF(D$5=0,C75,MAX(0,(C75-D$4)*(1+NORMINV(RAND(),INPUTS!$B$28,INPUTS!$B$29))))</f>
        <v>1226661.20356547</v>
      </c>
      <c r="E75" s="89" t="n">
        <f aca="true">IF(E$5=0,D75,MAX(0,(D75-E$4)*(1+NORMINV(RAND(),INPUTS!$B$28,INPUTS!$B$29))))</f>
        <v>1095474.01838853</v>
      </c>
      <c r="F75" s="89" t="n">
        <f aca="true">IF(F$5=0,E75,MAX(0,(E75-F$4)*(1+NORMINV(RAND(),INPUTS!$B$28,INPUTS!$B$29))))</f>
        <v>1043652.28776372</v>
      </c>
      <c r="G75" s="89" t="n">
        <f aca="true">IF(G$5=0,F75,MAX(0,(F75-G$4)*(1+NORMINV(RAND(),INPUTS!$B$28,INPUTS!$B$29))))</f>
        <v>780649.400492865</v>
      </c>
      <c r="H75" s="89" t="n">
        <f aca="true">IF(H$5=0,G75,MAX(0,(G75-H$4)*(1+NORMINV(RAND(),INPUTS!$B$28,INPUTS!$B$29))))</f>
        <v>869669.813821625</v>
      </c>
      <c r="I75" s="89" t="n">
        <f aca="true">IF(I$5=0,H75,MAX(0,(H75-I$4)*(1+NORMINV(RAND(),INPUTS!$B$28,INPUTS!$B$29))))</f>
        <v>1140497.36024262</v>
      </c>
      <c r="J75" s="89" t="n">
        <f aca="true">IF(J$5=0,I75,MAX(0,(I75-J$4)*(1+NORMINV(RAND(),INPUTS!$B$28,INPUTS!$B$29))))</f>
        <v>1014421.96866778</v>
      </c>
      <c r="K75" s="89" t="n">
        <f aca="true">IF(K$5=0,J75,MAX(0,(J75-K$4)*(1+NORMINV(RAND(),INPUTS!$B$28,INPUTS!$B$29))))</f>
        <v>1109238.61950239</v>
      </c>
      <c r="L75" s="89" t="n">
        <f aca="true">IF(L$5=0,K75,MAX(0,(K75-L$4)*(1+NORMINV(RAND(),INPUTS!$B$28,INPUTS!$B$29))))</f>
        <v>1140525.51495591</v>
      </c>
      <c r="M75" s="89" t="n">
        <f aca="true">IF(M$5=0,L75,MAX(0,(L75-M$4)*(1+NORMINV(RAND(),INPUTS!$B$28,INPUTS!$B$29))))</f>
        <v>1226230.46260697</v>
      </c>
      <c r="N75" s="89" t="n">
        <f aca="true">IF(N$5=0,M75,MAX(0,(M75-N$4)*(1+NORMINV(RAND(),INPUTS!$B$28,INPUTS!$B$29))))</f>
        <v>1258320.57332027</v>
      </c>
      <c r="O75" s="89" t="n">
        <f aca="true">IF(O$5=0,N75,MAX(0,(N75-O$4)*(1+NORMINV(RAND(),INPUTS!$B$28,INPUTS!$B$29))))</f>
        <v>1137159.8966568</v>
      </c>
      <c r="P75" s="89" t="n">
        <f aca="true">IF(P$5=0,O75,MAX(0,(O75-P$4)*(1+NORMINV(RAND(),INPUTS!$B$28,INPUTS!$B$29))))</f>
        <v>1082512.58177209</v>
      </c>
      <c r="Q75" s="89" t="n">
        <f aca="true">IF(Q$5=0,P75,MAX(0,(P75-Q$4)*(1+NORMINV(RAND(),INPUTS!$B$28,INPUTS!$B$29))))</f>
        <v>1193892.56474464</v>
      </c>
      <c r="R75" s="89" t="n">
        <f aca="true">IF(R$5=0,Q75,MAX(0,(Q75-R$4)*(1+NORMINV(RAND(),INPUTS!$B$28,INPUTS!$B$29))))</f>
        <v>1319413.20734478</v>
      </c>
      <c r="S75" s="89" t="n">
        <f aca="true">IF(S$5=0,R75,MAX(0,(R75-S$4)*(1+NORMINV(RAND(),INPUTS!$B$28,INPUTS!$B$29))))</f>
        <v>1453927.6623963</v>
      </c>
      <c r="T75" s="89" t="n">
        <f aca="true">IF(T$5=0,S75,MAX(0,(S75-T$4)*(1+NORMINV(RAND(),INPUTS!$B$28,INPUTS!$B$29))))</f>
        <v>1551764.32572352</v>
      </c>
      <c r="U75" s="89" t="n">
        <f aca="true">IF(U$5=0,T75,MAX(0,(T75-U$4)*(1+NORMINV(RAND(),INPUTS!$B$28,INPUTS!$B$29))))</f>
        <v>1668757.56291509</v>
      </c>
      <c r="V75" s="89" t="n">
        <f aca="true">IF(V$5=0,U75,MAX(0,(U75-V$4)*(1+NORMINV(RAND(),INPUTS!$B$28,INPUTS!$B$29))))</f>
        <v>1583166.48743604</v>
      </c>
      <c r="W75" s="89" t="n">
        <f aca="true">IF(W$5=0,V75,MAX(0,(V75-W$4)*(1+NORMINV(RAND(),INPUTS!$B$28,INPUTS!$B$29))))</f>
        <v>1869337.44937412</v>
      </c>
      <c r="X75" s="89" t="n">
        <f aca="true">IF(X$5=0,W75,MAX(0,(W75-X$4)*(1+NORMINV(RAND(),INPUTS!$B$28,INPUTS!$B$29))))</f>
        <v>1917844.85754139</v>
      </c>
      <c r="Y75" s="89" t="n">
        <f aca="true">IF(Y$5=0,X75,MAX(0,(X75-Y$4)*(1+NORMINV(RAND(),INPUTS!$B$28,INPUTS!$B$29))))</f>
        <v>1768446.92061747</v>
      </c>
      <c r="Z75" s="89" t="n">
        <f aca="true">IF(Z$5=0,Y75,MAX(0,(Y75-Z$4)*(1+NORMINV(RAND(),INPUTS!$B$28,INPUTS!$B$29))))</f>
        <v>1602667.92401545</v>
      </c>
      <c r="AA75" s="89" t="n">
        <f aca="true">IF(AA$5=0,Z75,MAX(0,(Z75-AA$4)*(1+NORMINV(RAND(),INPUTS!$B$28,INPUTS!$B$29))))</f>
        <v>1778149.06407291</v>
      </c>
      <c r="AB75" s="89" t="n">
        <f aca="true">IF(AB$5=0,AA75,MAX(0,(AA75-AB$4)*(1+NORMINV(RAND(),INPUTS!$B$28,INPUTS!$B$29))))</f>
        <v>2045852.60362885</v>
      </c>
      <c r="AC75" s="89" t="n">
        <f aca="true">IF(AC$5=0,AB75,MAX(0,(AB75-AC$4)*(1+NORMINV(RAND(),INPUTS!$B$28,INPUTS!$B$29))))</f>
        <v>2051702.59673145</v>
      </c>
      <c r="AD75" s="89" t="n">
        <f aca="true">IF(AD$5=0,AC75,MAX(0,(AC75-AD$4)*(1+NORMINV(RAND(),INPUTS!$B$28,INPUTS!$B$29))))</f>
        <v>2147915.05059199</v>
      </c>
      <c r="AE75" s="89" t="n">
        <f aca="true">IF(AE$5=0,AD75,MAX(0,(AD75-AE$4)*(1+NORMINV(RAND(),INPUTS!$B$28,INPUTS!$B$29))))</f>
        <v>2567803.71617734</v>
      </c>
      <c r="AF75" s="89" t="n">
        <f aca="true">IF(AF$5=0,AE75,MAX(0,(AE75-AF$4)*(1+NORMINV(RAND(),INPUTS!$B$28,INPUTS!$B$29))))</f>
        <v>2812931.71245719</v>
      </c>
      <c r="AG75" s="89" t="n">
        <f aca="true">IF(AG$5=0,AF75,MAX(0,(AF75-AG$4)*(1+NORMINV(RAND(),INPUTS!$B$28,INPUTS!$B$29))))</f>
        <v>3422373.9004214</v>
      </c>
      <c r="AH75" s="89" t="n">
        <f aca="true">IF(AH$5=0,AG75,MAX(0,(AG75-AH$4)*(1+NORMINV(RAND(),INPUTS!$B$28,INPUTS!$B$29))))</f>
        <v>3177385.78254231</v>
      </c>
      <c r="AI75" s="89" t="n">
        <f aca="true">IF(AI$5=0,AH75,MAX(0,(AH75-AI$4)*(1+NORMINV(RAND(),INPUTS!$B$28,INPUTS!$B$29))))</f>
        <v>3068988.3677901</v>
      </c>
      <c r="AJ75" s="89" t="n">
        <f aca="true">IF(AJ$5=0,AI75,MAX(0,(AI75-AJ$4)*(1+NORMINV(RAND(),INPUTS!$B$28,INPUTS!$B$29))))</f>
        <v>3637909.47515354</v>
      </c>
      <c r="AK75" s="89" t="n">
        <f aca="true">IF(AK$5=0,AJ75,MAX(0,(AJ75-AK$4)*(1+NORMINV(RAND(),INPUTS!$B$28,INPUTS!$B$29))))</f>
        <v>3618837.93052248</v>
      </c>
      <c r="AL75" s="89" t="n">
        <f aca="true">IF(AL$5=0,AK75,MAX(0,(AK75-AL$4)*(1+NORMINV(RAND(),INPUTS!$B$28,INPUTS!$B$29))))</f>
        <v>3933150.66019081</v>
      </c>
      <c r="AM75" s="89" t="n">
        <f aca="true">IF(AM$5=0,AL75,MAX(0,(AL75-AM$4)*(1+NORMINV(RAND(),INPUTS!$B$28,INPUTS!$B$29))))</f>
        <v>3933150.66019081</v>
      </c>
      <c r="AN75" s="89" t="n">
        <f aca="true">IF(AN$5=0,AM75,MAX(0,(AM75-AN$4)*(1+NORMINV(RAND(),INPUTS!$B$28,INPUTS!$B$29))))</f>
        <v>3933150.66019081</v>
      </c>
      <c r="AO75" s="89" t="n">
        <f aca="true">IF(AO$5=0,AN75,MAX(0,(AN75-AO$4)*(1+NORMINV(RAND(),INPUTS!$B$28,INPUTS!$B$29))))</f>
        <v>3933150.66019081</v>
      </c>
      <c r="AP75" s="89" t="n">
        <f aca="true">IF(AP$5=0,AO75,MAX(0,(AO75-AP$4)*(1+NORMINV(RAND(),INPUTS!$B$28,INPUTS!$B$29))))</f>
        <v>3933150.66019081</v>
      </c>
      <c r="AQ75" s="89" t="n">
        <f aca="true">IF(AQ$5=0,AP75,MAX(0,(AP75-AQ$4)*(1+NORMINV(RAND(),INPUTS!$B$28,INPUTS!$B$29))))</f>
        <v>3933150.66019081</v>
      </c>
      <c r="AR75" s="89" t="n">
        <f aca="true">IF(AR$5=0,AQ75,MAX(0,(AQ75-AR$4)*(1+NORMINV(RAND(),INPUTS!$B$28,INPUTS!$B$29))))</f>
        <v>3933150.66019081</v>
      </c>
      <c r="AS75" s="89" t="n">
        <f aca="true">IF(AS$5=0,AR75,MAX(0,(AR75-AS$4)*(1+NORMINV(RAND(),INPUTS!$B$28,INPUTS!$B$29))))</f>
        <v>3933150.66019081</v>
      </c>
      <c r="AT75" s="89" t="n">
        <f aca="true">IF(AT$5=0,AS75,MAX(0,(AS75-AT$4)*(1+NORMINV(RAND(),INPUTS!$B$28,INPUTS!$B$29))))</f>
        <v>3933150.66019081</v>
      </c>
      <c r="AU75" s="89" t="n">
        <f aca="true">IF(AU$5=0,AT75,MAX(0,(AT75-AU$4)*(1+NORMINV(RAND(),INPUTS!$B$28,INPUTS!$B$29))))</f>
        <v>3933150.66019081</v>
      </c>
      <c r="AV75" s="89" t="n">
        <f aca="true">IF(AV$5=0,AU75,MAX(0,(AU75-AV$4)*(1+NORMINV(RAND(),INPUTS!$B$28,INPUTS!$B$29))))</f>
        <v>3933150.66019081</v>
      </c>
      <c r="AW75" s="89" t="n">
        <f aca="true">IF(AW$5=0,AV75,MAX(0,(AV75-AW$4)*(1+NORMINV(RAND(),INPUTS!$B$28,INPUTS!$B$29))))</f>
        <v>3933150.66019081</v>
      </c>
      <c r="AX75" s="89" t="n">
        <f aca="true">IF(AX$5=0,AW75,MAX(0,(AW75-AX$4)*(1+NORMINV(RAND(),INPUTS!$B$28,INPUTS!$B$29))))</f>
        <v>3933150.66019081</v>
      </c>
      <c r="AY75" s="89" t="n">
        <f aca="true">IF(AY$5=0,AX75,MAX(0,(AX75-AY$4)*(1+NORMINV(RAND(),INPUTS!$B$28,INPUTS!$B$29))))</f>
        <v>3933150.66019081</v>
      </c>
      <c r="AZ75" s="89" t="n">
        <f aca="true">IF(AZ$5=0,AY75,MAX(0,(AY75-AZ$4)*(1+NORMINV(RAND(),INPUTS!$B$28,INPUTS!$B$29))))</f>
        <v>3933150.66019081</v>
      </c>
      <c r="BA75" s="89" t="n">
        <f aca="true">IF(BA$5=0,AZ75,MAX(0,(AZ75-BA$4)*(1+NORMINV(RAND(),INPUTS!$B$28,INPUTS!$B$29))))</f>
        <v>3933150.66019081</v>
      </c>
      <c r="BB75" s="89" t="n">
        <f aca="true">IF(BB$5=0,BA75,MAX(0,(BA75-BB$4)*(1+NORMINV(RAND(),INPUTS!$B$28,INPUTS!$B$29))))</f>
        <v>3933150.66019081</v>
      </c>
      <c r="BC75" s="89" t="n">
        <f aca="true">IF(BC$5=0,BB75,MAX(0,(BB75-BC$4)*(1+NORMINV(RAND(),INPUTS!$B$28,INPUTS!$B$29))))</f>
        <v>3933150.66019081</v>
      </c>
      <c r="BD75" s="89" t="n">
        <f aca="true">IF(BD$5=0,BC75,MAX(0,(BC75-BD$4)*(1+NORMINV(RAND(),INPUTS!$B$28,INPUTS!$B$29))))</f>
        <v>3933150.66019081</v>
      </c>
      <c r="BE75" s="89" t="n">
        <f aca="true">IF(BE$5=0,BD75,MAX(0,(BD75-BE$4)*(1+NORMINV(RAND(),INPUTS!$B$28,INPUTS!$B$29))))</f>
        <v>3933150.66019081</v>
      </c>
      <c r="BF75" s="89" t="n">
        <f aca="true">IF(BF$5=0,BE75,MAX(0,(BE75-BF$4)*(1+NORMINV(RAND(),INPUTS!$B$28,INPUTS!$B$29))))</f>
        <v>3933150.66019081</v>
      </c>
      <c r="BG75" s="89" t="n">
        <f aca="true">IF(BG$5=0,BF75,MAX(0,(BF75-BG$4)*(1+NORMINV(RAND(),INPUTS!$B$28,INPUTS!$B$29))))</f>
        <v>3933150.66019081</v>
      </c>
      <c r="BH75" s="89" t="n">
        <f aca="true">IF(BH$5=0,BG75,MAX(0,(BG75-BH$4)*(1+NORMINV(RAND(),INPUTS!$B$28,INPUTS!$B$29))))</f>
        <v>3933150.66019081</v>
      </c>
      <c r="BI75" s="89" t="n">
        <f aca="true">IF(BI$5=0,BH75,MAX(0,(BH75-BI$4)*(1+NORMINV(RAND(),INPUTS!$B$28,INPUTS!$B$29))))</f>
        <v>3933150.66019081</v>
      </c>
      <c r="BJ75" s="89" t="n">
        <f aca="true">IF(BJ$5=0,BI75,MAX(0,(BI75-BJ$4)*(1+NORMINV(RAND(),INPUTS!$B$28,INPUTS!$B$29))))</f>
        <v>3933150.66019081</v>
      </c>
    </row>
    <row r="76" customFormat="false" ht="15" hidden="false" customHeight="true" outlineLevel="0" collapsed="false">
      <c r="A76" s="87" t="n">
        <v>69</v>
      </c>
      <c r="B76" s="88" t="n">
        <f aca="false">LOOKUP(9.99E+307,C76:BJ76)</f>
        <v>11110907.7181562</v>
      </c>
      <c r="C76" s="89" t="n">
        <f aca="true">IF(C$5=0,INPUTS!$B$35,MAX(0,(INPUTS!$B$35-C$4)*(1+NORMINV(RAND(),INPUTS!$B$28,INPUTS!$B$29))))</f>
        <v>1569421.87240665</v>
      </c>
      <c r="D76" s="89" t="n">
        <f aca="true">IF(D$5=0,C76,MAX(0,(C76-D$4)*(1+NORMINV(RAND(),INPUTS!$B$28,INPUTS!$B$29))))</f>
        <v>1788296.82310865</v>
      </c>
      <c r="E76" s="89" t="n">
        <f aca="true">IF(E$5=0,D76,MAX(0,(D76-E$4)*(1+NORMINV(RAND(),INPUTS!$B$28,INPUTS!$B$29))))</f>
        <v>1499876.67051713</v>
      </c>
      <c r="F76" s="89" t="n">
        <f aca="true">IF(F$5=0,E76,MAX(0,(E76-F$4)*(1+NORMINV(RAND(),INPUTS!$B$28,INPUTS!$B$29))))</f>
        <v>1418883.61147407</v>
      </c>
      <c r="G76" s="89" t="n">
        <f aca="true">IF(G$5=0,F76,MAX(0,(F76-G$4)*(1+NORMINV(RAND(),INPUTS!$B$28,INPUTS!$B$29))))</f>
        <v>1502030.23369458</v>
      </c>
      <c r="H76" s="89" t="n">
        <f aca="true">IF(H$5=0,G76,MAX(0,(G76-H$4)*(1+NORMINV(RAND(),INPUTS!$B$28,INPUTS!$B$29))))</f>
        <v>1642181.24682309</v>
      </c>
      <c r="I76" s="89" t="n">
        <f aca="true">IF(I$5=0,H76,MAX(0,(H76-I$4)*(1+NORMINV(RAND(),INPUTS!$B$28,INPUTS!$B$29))))</f>
        <v>1856031.35306544</v>
      </c>
      <c r="J76" s="89" t="n">
        <f aca="true">IF(J$5=0,I76,MAX(0,(I76-J$4)*(1+NORMINV(RAND(),INPUTS!$B$28,INPUTS!$B$29))))</f>
        <v>2082568.78702189</v>
      </c>
      <c r="K76" s="89" t="n">
        <f aca="true">IF(K$5=0,J76,MAX(0,(J76-K$4)*(1+NORMINV(RAND(),INPUTS!$B$28,INPUTS!$B$29))))</f>
        <v>2351558.63530392</v>
      </c>
      <c r="L76" s="89" t="n">
        <f aca="true">IF(L$5=0,K76,MAX(0,(K76-L$4)*(1+NORMINV(RAND(),INPUTS!$B$28,INPUTS!$B$29))))</f>
        <v>2422538.4008352</v>
      </c>
      <c r="M76" s="89" t="n">
        <f aca="true">IF(M$5=0,L76,MAX(0,(L76-M$4)*(1+NORMINV(RAND(),INPUTS!$B$28,INPUTS!$B$29))))</f>
        <v>2297764.75974133</v>
      </c>
      <c r="N76" s="89" t="n">
        <f aca="true">IF(N$5=0,M76,MAX(0,(M76-N$4)*(1+NORMINV(RAND(),INPUTS!$B$28,INPUTS!$B$29))))</f>
        <v>2527126.10507958</v>
      </c>
      <c r="O76" s="89" t="n">
        <f aca="true">IF(O$5=0,N76,MAX(0,(N76-O$4)*(1+NORMINV(RAND(),INPUTS!$B$28,INPUTS!$B$29))))</f>
        <v>2253242.33898334</v>
      </c>
      <c r="P76" s="89" t="n">
        <f aca="true">IF(P$5=0,O76,MAX(0,(O76-P$4)*(1+NORMINV(RAND(),INPUTS!$B$28,INPUTS!$B$29))))</f>
        <v>2219450.41005789</v>
      </c>
      <c r="Q76" s="89" t="n">
        <f aca="true">IF(Q$5=0,P76,MAX(0,(P76-Q$4)*(1+NORMINV(RAND(),INPUTS!$B$28,INPUTS!$B$29))))</f>
        <v>2707445.86562981</v>
      </c>
      <c r="R76" s="89" t="n">
        <f aca="true">IF(R$5=0,Q76,MAX(0,(Q76-R$4)*(1+NORMINV(RAND(),INPUTS!$B$28,INPUTS!$B$29))))</f>
        <v>3116443.82244194</v>
      </c>
      <c r="S76" s="89" t="n">
        <f aca="true">IF(S$5=0,R76,MAX(0,(R76-S$4)*(1+NORMINV(RAND(),INPUTS!$B$28,INPUTS!$B$29))))</f>
        <v>2660362.56940698</v>
      </c>
      <c r="T76" s="89" t="n">
        <f aca="true">IF(T$5=0,S76,MAX(0,(S76-T$4)*(1+NORMINV(RAND(),INPUTS!$B$28,INPUTS!$B$29))))</f>
        <v>3154132.57478378</v>
      </c>
      <c r="U76" s="89" t="n">
        <f aca="true">IF(U$5=0,T76,MAX(0,(T76-U$4)*(1+NORMINV(RAND(),INPUTS!$B$28,INPUTS!$B$29))))</f>
        <v>3414208.07000896</v>
      </c>
      <c r="V76" s="89" t="n">
        <f aca="true">IF(V$5=0,U76,MAX(0,(U76-V$4)*(1+NORMINV(RAND(),INPUTS!$B$28,INPUTS!$B$29))))</f>
        <v>4418912.75992523</v>
      </c>
      <c r="W76" s="89" t="n">
        <f aca="true">IF(W$5=0,V76,MAX(0,(V76-W$4)*(1+NORMINV(RAND(),INPUTS!$B$28,INPUTS!$B$29))))</f>
        <v>4828046.93933861</v>
      </c>
      <c r="X76" s="89" t="n">
        <f aca="true">IF(X$5=0,W76,MAX(0,(W76-X$4)*(1+NORMINV(RAND(),INPUTS!$B$28,INPUTS!$B$29))))</f>
        <v>4338558.17495871</v>
      </c>
      <c r="Y76" s="89" t="n">
        <f aca="true">IF(Y$5=0,X76,MAX(0,(X76-Y$4)*(1+NORMINV(RAND(),INPUTS!$B$28,INPUTS!$B$29))))</f>
        <v>5131314.95524007</v>
      </c>
      <c r="Z76" s="89" t="n">
        <f aca="true">IF(Z$5=0,Y76,MAX(0,(Y76-Z$4)*(1+NORMINV(RAND(),INPUTS!$B$28,INPUTS!$B$29))))</f>
        <v>6451553.64623765</v>
      </c>
      <c r="AA76" s="89" t="n">
        <f aca="true">IF(AA$5=0,Z76,MAX(0,(Z76-AA$4)*(1+NORMINV(RAND(),INPUTS!$B$28,INPUTS!$B$29))))</f>
        <v>7958942.95285835</v>
      </c>
      <c r="AB76" s="89" t="n">
        <f aca="true">IF(AB$5=0,AA76,MAX(0,(AA76-AB$4)*(1+NORMINV(RAND(),INPUTS!$B$28,INPUTS!$B$29))))</f>
        <v>8096097.6642744</v>
      </c>
      <c r="AC76" s="89" t="n">
        <f aca="true">IF(AC$5=0,AB76,MAX(0,(AB76-AC$4)*(1+NORMINV(RAND(),INPUTS!$B$28,INPUTS!$B$29))))</f>
        <v>7015521.66478276</v>
      </c>
      <c r="AD76" s="89" t="n">
        <f aca="true">IF(AD$5=0,AC76,MAX(0,(AC76-AD$4)*(1+NORMINV(RAND(),INPUTS!$B$28,INPUTS!$B$29))))</f>
        <v>7190491.95592619</v>
      </c>
      <c r="AE76" s="89" t="n">
        <f aca="true">IF(AE$5=0,AD76,MAX(0,(AD76-AE$4)*(1+NORMINV(RAND(),INPUTS!$B$28,INPUTS!$B$29))))</f>
        <v>8433987.24835553</v>
      </c>
      <c r="AF76" s="89" t="n">
        <f aca="true">IF(AF$5=0,AE76,MAX(0,(AE76-AF$4)*(1+NORMINV(RAND(),INPUTS!$B$28,INPUTS!$B$29))))</f>
        <v>9769607.18842216</v>
      </c>
      <c r="AG76" s="89" t="n">
        <f aca="true">IF(AG$5=0,AF76,MAX(0,(AF76-AG$4)*(1+NORMINV(RAND(),INPUTS!$B$28,INPUTS!$B$29))))</f>
        <v>11378885.3944664</v>
      </c>
      <c r="AH76" s="89" t="n">
        <f aca="true">IF(AH$5=0,AG76,MAX(0,(AG76-AH$4)*(1+NORMINV(RAND(),INPUTS!$B$28,INPUTS!$B$29))))</f>
        <v>13191809.8859144</v>
      </c>
      <c r="AI76" s="89" t="n">
        <f aca="true">IF(AI$5=0,AH76,MAX(0,(AH76-AI$4)*(1+NORMINV(RAND(),INPUTS!$B$28,INPUTS!$B$29))))</f>
        <v>12853852.0713395</v>
      </c>
      <c r="AJ76" s="89" t="n">
        <f aca="true">IF(AJ$5=0,AI76,MAX(0,(AI76-AJ$4)*(1+NORMINV(RAND(),INPUTS!$B$28,INPUTS!$B$29))))</f>
        <v>14029267.8584116</v>
      </c>
      <c r="AK76" s="89" t="n">
        <f aca="true">IF(AK$5=0,AJ76,MAX(0,(AJ76-AK$4)*(1+NORMINV(RAND(),INPUTS!$B$28,INPUTS!$B$29))))</f>
        <v>11505017.4751566</v>
      </c>
      <c r="AL76" s="89" t="n">
        <f aca="true">IF(AL$5=0,AK76,MAX(0,(AK76-AL$4)*(1+NORMINV(RAND(),INPUTS!$B$28,INPUTS!$B$29))))</f>
        <v>11110907.7181562</v>
      </c>
      <c r="AM76" s="89" t="n">
        <f aca="true">IF(AM$5=0,AL76,MAX(0,(AL76-AM$4)*(1+NORMINV(RAND(),INPUTS!$B$28,INPUTS!$B$29))))</f>
        <v>11110907.7181562</v>
      </c>
      <c r="AN76" s="89" t="n">
        <f aca="true">IF(AN$5=0,AM76,MAX(0,(AM76-AN$4)*(1+NORMINV(RAND(),INPUTS!$B$28,INPUTS!$B$29))))</f>
        <v>11110907.7181562</v>
      </c>
      <c r="AO76" s="89" t="n">
        <f aca="true">IF(AO$5=0,AN76,MAX(0,(AN76-AO$4)*(1+NORMINV(RAND(),INPUTS!$B$28,INPUTS!$B$29))))</f>
        <v>11110907.7181562</v>
      </c>
      <c r="AP76" s="89" t="n">
        <f aca="true">IF(AP$5=0,AO76,MAX(0,(AO76-AP$4)*(1+NORMINV(RAND(),INPUTS!$B$28,INPUTS!$B$29))))</f>
        <v>11110907.7181562</v>
      </c>
      <c r="AQ76" s="89" t="n">
        <f aca="true">IF(AQ$5=0,AP76,MAX(0,(AP76-AQ$4)*(1+NORMINV(RAND(),INPUTS!$B$28,INPUTS!$B$29))))</f>
        <v>11110907.7181562</v>
      </c>
      <c r="AR76" s="89" t="n">
        <f aca="true">IF(AR$5=0,AQ76,MAX(0,(AQ76-AR$4)*(1+NORMINV(RAND(),INPUTS!$B$28,INPUTS!$B$29))))</f>
        <v>11110907.7181562</v>
      </c>
      <c r="AS76" s="89" t="n">
        <f aca="true">IF(AS$5=0,AR76,MAX(0,(AR76-AS$4)*(1+NORMINV(RAND(),INPUTS!$B$28,INPUTS!$B$29))))</f>
        <v>11110907.7181562</v>
      </c>
      <c r="AT76" s="89" t="n">
        <f aca="true">IF(AT$5=0,AS76,MAX(0,(AS76-AT$4)*(1+NORMINV(RAND(),INPUTS!$B$28,INPUTS!$B$29))))</f>
        <v>11110907.7181562</v>
      </c>
      <c r="AU76" s="89" t="n">
        <f aca="true">IF(AU$5=0,AT76,MAX(0,(AT76-AU$4)*(1+NORMINV(RAND(),INPUTS!$B$28,INPUTS!$B$29))))</f>
        <v>11110907.7181562</v>
      </c>
      <c r="AV76" s="89" t="n">
        <f aca="true">IF(AV$5=0,AU76,MAX(0,(AU76-AV$4)*(1+NORMINV(RAND(),INPUTS!$B$28,INPUTS!$B$29))))</f>
        <v>11110907.7181562</v>
      </c>
      <c r="AW76" s="89" t="n">
        <f aca="true">IF(AW$5=0,AV76,MAX(0,(AV76-AW$4)*(1+NORMINV(RAND(),INPUTS!$B$28,INPUTS!$B$29))))</f>
        <v>11110907.7181562</v>
      </c>
      <c r="AX76" s="89" t="n">
        <f aca="true">IF(AX$5=0,AW76,MAX(0,(AW76-AX$4)*(1+NORMINV(RAND(),INPUTS!$B$28,INPUTS!$B$29))))</f>
        <v>11110907.7181562</v>
      </c>
      <c r="AY76" s="89" t="n">
        <f aca="true">IF(AY$5=0,AX76,MAX(0,(AX76-AY$4)*(1+NORMINV(RAND(),INPUTS!$B$28,INPUTS!$B$29))))</f>
        <v>11110907.7181562</v>
      </c>
      <c r="AZ76" s="89" t="n">
        <f aca="true">IF(AZ$5=0,AY76,MAX(0,(AY76-AZ$4)*(1+NORMINV(RAND(),INPUTS!$B$28,INPUTS!$B$29))))</f>
        <v>11110907.7181562</v>
      </c>
      <c r="BA76" s="89" t="n">
        <f aca="true">IF(BA$5=0,AZ76,MAX(0,(AZ76-BA$4)*(1+NORMINV(RAND(),INPUTS!$B$28,INPUTS!$B$29))))</f>
        <v>11110907.7181562</v>
      </c>
      <c r="BB76" s="89" t="n">
        <f aca="true">IF(BB$5=0,BA76,MAX(0,(BA76-BB$4)*(1+NORMINV(RAND(),INPUTS!$B$28,INPUTS!$B$29))))</f>
        <v>11110907.7181562</v>
      </c>
      <c r="BC76" s="89" t="n">
        <f aca="true">IF(BC$5=0,BB76,MAX(0,(BB76-BC$4)*(1+NORMINV(RAND(),INPUTS!$B$28,INPUTS!$B$29))))</f>
        <v>11110907.7181562</v>
      </c>
      <c r="BD76" s="89" t="n">
        <f aca="true">IF(BD$5=0,BC76,MAX(0,(BC76-BD$4)*(1+NORMINV(RAND(),INPUTS!$B$28,INPUTS!$B$29))))</f>
        <v>11110907.7181562</v>
      </c>
      <c r="BE76" s="89" t="n">
        <f aca="true">IF(BE$5=0,BD76,MAX(0,(BD76-BE$4)*(1+NORMINV(RAND(),INPUTS!$B$28,INPUTS!$B$29))))</f>
        <v>11110907.7181562</v>
      </c>
      <c r="BF76" s="89" t="n">
        <f aca="true">IF(BF$5=0,BE76,MAX(0,(BE76-BF$4)*(1+NORMINV(RAND(),INPUTS!$B$28,INPUTS!$B$29))))</f>
        <v>11110907.7181562</v>
      </c>
      <c r="BG76" s="89" t="n">
        <f aca="true">IF(BG$5=0,BF76,MAX(0,(BF76-BG$4)*(1+NORMINV(RAND(),INPUTS!$B$28,INPUTS!$B$29))))</f>
        <v>11110907.7181562</v>
      </c>
      <c r="BH76" s="89" t="n">
        <f aca="true">IF(BH$5=0,BG76,MAX(0,(BG76-BH$4)*(1+NORMINV(RAND(),INPUTS!$B$28,INPUTS!$B$29))))</f>
        <v>11110907.7181562</v>
      </c>
      <c r="BI76" s="89" t="n">
        <f aca="true">IF(BI$5=0,BH76,MAX(0,(BH76-BI$4)*(1+NORMINV(RAND(),INPUTS!$B$28,INPUTS!$B$29))))</f>
        <v>11110907.7181562</v>
      </c>
      <c r="BJ76" s="89" t="n">
        <f aca="true">IF(BJ$5=0,BI76,MAX(0,(BI76-BJ$4)*(1+NORMINV(RAND(),INPUTS!$B$28,INPUTS!$B$29))))</f>
        <v>11110907.7181562</v>
      </c>
    </row>
    <row r="77" customFormat="false" ht="15" hidden="false" customHeight="true" outlineLevel="0" collapsed="false">
      <c r="A77" s="87" t="n">
        <v>70</v>
      </c>
      <c r="B77" s="88" t="n">
        <f aca="false">LOOKUP(9.99E+307,C77:BJ77)</f>
        <v>1279616.97694034</v>
      </c>
      <c r="C77" s="89" t="n">
        <f aca="true">IF(C$5=0,INPUTS!$B$35,MAX(0,(INPUTS!$B$35-C$4)*(1+NORMINV(RAND(),INPUTS!$B$28,INPUTS!$B$29))))</f>
        <v>1608364.13623457</v>
      </c>
      <c r="D77" s="89" t="n">
        <f aca="true">IF(D$5=0,C77,MAX(0,(C77-D$4)*(1+NORMINV(RAND(),INPUTS!$B$28,INPUTS!$B$29))))</f>
        <v>1420062.73463324</v>
      </c>
      <c r="E77" s="89" t="n">
        <f aca="true">IF(E$5=0,D77,MAX(0,(D77-E$4)*(1+NORMINV(RAND(),INPUTS!$B$28,INPUTS!$B$29))))</f>
        <v>1592204.23702206</v>
      </c>
      <c r="F77" s="89" t="n">
        <f aca="true">IF(F$5=0,E77,MAX(0,(E77-F$4)*(1+NORMINV(RAND(),INPUTS!$B$28,INPUTS!$B$29))))</f>
        <v>1295754.1335467</v>
      </c>
      <c r="G77" s="89" t="n">
        <f aca="true">IF(G$5=0,F77,MAX(0,(F77-G$4)*(1+NORMINV(RAND(),INPUTS!$B$28,INPUTS!$B$29))))</f>
        <v>1215217.79747219</v>
      </c>
      <c r="H77" s="89" t="n">
        <f aca="true">IF(H$5=0,G77,MAX(0,(G77-H$4)*(1+NORMINV(RAND(),INPUTS!$B$28,INPUTS!$B$29))))</f>
        <v>945952.86437876</v>
      </c>
      <c r="I77" s="89" t="n">
        <f aca="true">IF(I$5=0,H77,MAX(0,(H77-I$4)*(1+NORMINV(RAND(),INPUTS!$B$28,INPUTS!$B$29))))</f>
        <v>893122.26629349</v>
      </c>
      <c r="J77" s="89" t="n">
        <f aca="true">IF(J$5=0,I77,MAX(0,(I77-J$4)*(1+NORMINV(RAND(),INPUTS!$B$28,INPUTS!$B$29))))</f>
        <v>892236.352801749</v>
      </c>
      <c r="K77" s="89" t="n">
        <f aca="true">IF(K$5=0,J77,MAX(0,(J77-K$4)*(1+NORMINV(RAND(),INPUTS!$B$28,INPUTS!$B$29))))</f>
        <v>933066.614837409</v>
      </c>
      <c r="L77" s="89" t="n">
        <f aca="true">IF(L$5=0,K77,MAX(0,(K77-L$4)*(1+NORMINV(RAND(),INPUTS!$B$28,INPUTS!$B$29))))</f>
        <v>917712.586739666</v>
      </c>
      <c r="M77" s="89" t="n">
        <f aca="true">IF(M$5=0,L77,MAX(0,(L77-M$4)*(1+NORMINV(RAND(),INPUTS!$B$28,INPUTS!$B$29))))</f>
        <v>973105.868853348</v>
      </c>
      <c r="N77" s="89" t="n">
        <f aca="true">IF(N$5=0,M77,MAX(0,(M77-N$4)*(1+NORMINV(RAND(),INPUTS!$B$28,INPUTS!$B$29))))</f>
        <v>1110322.96551164</v>
      </c>
      <c r="O77" s="89" t="n">
        <f aca="true">IF(O$5=0,N77,MAX(0,(N77-O$4)*(1+NORMINV(RAND(),INPUTS!$B$28,INPUTS!$B$29))))</f>
        <v>1019505.15482453</v>
      </c>
      <c r="P77" s="89" t="n">
        <f aca="true">IF(P$5=0,O77,MAX(0,(O77-P$4)*(1+NORMINV(RAND(),INPUTS!$B$28,INPUTS!$B$29))))</f>
        <v>1093870.61881506</v>
      </c>
      <c r="Q77" s="89" t="n">
        <f aca="true">IF(Q$5=0,P77,MAX(0,(P77-Q$4)*(1+NORMINV(RAND(),INPUTS!$B$28,INPUTS!$B$29))))</f>
        <v>1197339.1230402</v>
      </c>
      <c r="R77" s="89" t="n">
        <f aca="true">IF(R$5=0,Q77,MAX(0,(Q77-R$4)*(1+NORMINV(RAND(),INPUTS!$B$28,INPUTS!$B$29))))</f>
        <v>1333597.87282495</v>
      </c>
      <c r="S77" s="89" t="n">
        <f aca="true">IF(S$5=0,R77,MAX(0,(R77-S$4)*(1+NORMINV(RAND(),INPUTS!$B$28,INPUTS!$B$29))))</f>
        <v>1540053.17677135</v>
      </c>
      <c r="T77" s="89" t="n">
        <f aca="true">IF(T$5=0,S77,MAX(0,(S77-T$4)*(1+NORMINV(RAND(),INPUTS!$B$28,INPUTS!$B$29))))</f>
        <v>1644617.38985458</v>
      </c>
      <c r="U77" s="89" t="n">
        <f aca="true">IF(U$5=0,T77,MAX(0,(T77-U$4)*(1+NORMINV(RAND(),INPUTS!$B$28,INPUTS!$B$29))))</f>
        <v>1717585.98095042</v>
      </c>
      <c r="V77" s="89" t="n">
        <f aca="true">IF(V$5=0,U77,MAX(0,(U77-V$4)*(1+NORMINV(RAND(),INPUTS!$B$28,INPUTS!$B$29))))</f>
        <v>1741430.04837177</v>
      </c>
      <c r="W77" s="89" t="n">
        <f aca="true">IF(W$5=0,V77,MAX(0,(V77-W$4)*(1+NORMINV(RAND(),INPUTS!$B$28,INPUTS!$B$29))))</f>
        <v>1851952.09145762</v>
      </c>
      <c r="X77" s="89" t="n">
        <f aca="true">IF(X$5=0,W77,MAX(0,(W77-X$4)*(1+NORMINV(RAND(),INPUTS!$B$28,INPUTS!$B$29))))</f>
        <v>1697450.67218348</v>
      </c>
      <c r="Y77" s="89" t="n">
        <f aca="true">IF(Y$5=0,X77,MAX(0,(X77-Y$4)*(1+NORMINV(RAND(),INPUTS!$B$28,INPUTS!$B$29))))</f>
        <v>1748500.33296428</v>
      </c>
      <c r="Z77" s="89" t="n">
        <f aca="true">IF(Z$5=0,Y77,MAX(0,(Y77-Z$4)*(1+NORMINV(RAND(),INPUTS!$B$28,INPUTS!$B$29))))</f>
        <v>1403099.34886974</v>
      </c>
      <c r="AA77" s="89" t="n">
        <f aca="true">IF(AA$5=0,Z77,MAX(0,(Z77-AA$4)*(1+NORMINV(RAND(),INPUTS!$B$28,INPUTS!$B$29))))</f>
        <v>1444616.83678733</v>
      </c>
      <c r="AB77" s="89" t="n">
        <f aca="true">IF(AB$5=0,AA77,MAX(0,(AA77-AB$4)*(1+NORMINV(RAND(),INPUTS!$B$28,INPUTS!$B$29))))</f>
        <v>1688122.38983478</v>
      </c>
      <c r="AC77" s="89" t="n">
        <f aca="true">IF(AC$5=0,AB77,MAX(0,(AB77-AC$4)*(1+NORMINV(RAND(),INPUTS!$B$28,INPUTS!$B$29))))</f>
        <v>1561878.94558737</v>
      </c>
      <c r="AD77" s="89" t="n">
        <f aca="true">IF(AD$5=0,AC77,MAX(0,(AC77-AD$4)*(1+NORMINV(RAND(),INPUTS!$B$28,INPUTS!$B$29))))</f>
        <v>1366807.05047438</v>
      </c>
      <c r="AE77" s="89" t="n">
        <f aca="true">IF(AE$5=0,AD77,MAX(0,(AD77-AE$4)*(1+NORMINV(RAND(),INPUTS!$B$28,INPUTS!$B$29))))</f>
        <v>1285604.32899813</v>
      </c>
      <c r="AF77" s="89" t="n">
        <f aca="true">IF(AF$5=0,AE77,MAX(0,(AE77-AF$4)*(1+NORMINV(RAND(),INPUTS!$B$28,INPUTS!$B$29))))</f>
        <v>1317341.94217396</v>
      </c>
      <c r="AG77" s="89" t="n">
        <f aca="true">IF(AG$5=0,AF77,MAX(0,(AF77-AG$4)*(1+NORMINV(RAND(),INPUTS!$B$28,INPUTS!$B$29))))</f>
        <v>1352070.40095887</v>
      </c>
      <c r="AH77" s="89" t="n">
        <f aca="true">IF(AH$5=0,AG77,MAX(0,(AG77-AH$4)*(1+NORMINV(RAND(),INPUTS!$B$28,INPUTS!$B$29))))</f>
        <v>1271563.17793165</v>
      </c>
      <c r="AI77" s="89" t="n">
        <f aca="true">IF(AI$5=0,AH77,MAX(0,(AH77-AI$4)*(1+NORMINV(RAND(),INPUTS!$B$28,INPUTS!$B$29))))</f>
        <v>1134422.09799389</v>
      </c>
      <c r="AJ77" s="89" t="n">
        <f aca="true">IF(AJ$5=0,AI77,MAX(0,(AI77-AJ$4)*(1+NORMINV(RAND(),INPUTS!$B$28,INPUTS!$B$29))))</f>
        <v>1177293.60407027</v>
      </c>
      <c r="AK77" s="89" t="n">
        <f aca="true">IF(AK$5=0,AJ77,MAX(0,(AJ77-AK$4)*(1+NORMINV(RAND(),INPUTS!$B$28,INPUTS!$B$29))))</f>
        <v>1118196.18749146</v>
      </c>
      <c r="AL77" s="89" t="n">
        <f aca="true">IF(AL$5=0,AK77,MAX(0,(AK77-AL$4)*(1+NORMINV(RAND(),INPUTS!$B$28,INPUTS!$B$29))))</f>
        <v>1279616.97694034</v>
      </c>
      <c r="AM77" s="89" t="n">
        <f aca="true">IF(AM$5=0,AL77,MAX(0,(AL77-AM$4)*(1+NORMINV(RAND(),INPUTS!$B$28,INPUTS!$B$29))))</f>
        <v>1279616.97694034</v>
      </c>
      <c r="AN77" s="89" t="n">
        <f aca="true">IF(AN$5=0,AM77,MAX(0,(AM77-AN$4)*(1+NORMINV(RAND(),INPUTS!$B$28,INPUTS!$B$29))))</f>
        <v>1279616.97694034</v>
      </c>
      <c r="AO77" s="89" t="n">
        <f aca="true">IF(AO$5=0,AN77,MAX(0,(AN77-AO$4)*(1+NORMINV(RAND(),INPUTS!$B$28,INPUTS!$B$29))))</f>
        <v>1279616.97694034</v>
      </c>
      <c r="AP77" s="89" t="n">
        <f aca="true">IF(AP$5=0,AO77,MAX(0,(AO77-AP$4)*(1+NORMINV(RAND(),INPUTS!$B$28,INPUTS!$B$29))))</f>
        <v>1279616.97694034</v>
      </c>
      <c r="AQ77" s="89" t="n">
        <f aca="true">IF(AQ$5=0,AP77,MAX(0,(AP77-AQ$4)*(1+NORMINV(RAND(),INPUTS!$B$28,INPUTS!$B$29))))</f>
        <v>1279616.97694034</v>
      </c>
      <c r="AR77" s="89" t="n">
        <f aca="true">IF(AR$5=0,AQ77,MAX(0,(AQ77-AR$4)*(1+NORMINV(RAND(),INPUTS!$B$28,INPUTS!$B$29))))</f>
        <v>1279616.97694034</v>
      </c>
      <c r="AS77" s="89" t="n">
        <f aca="true">IF(AS$5=0,AR77,MAX(0,(AR77-AS$4)*(1+NORMINV(RAND(),INPUTS!$B$28,INPUTS!$B$29))))</f>
        <v>1279616.97694034</v>
      </c>
      <c r="AT77" s="89" t="n">
        <f aca="true">IF(AT$5=0,AS77,MAX(0,(AS77-AT$4)*(1+NORMINV(RAND(),INPUTS!$B$28,INPUTS!$B$29))))</f>
        <v>1279616.97694034</v>
      </c>
      <c r="AU77" s="89" t="n">
        <f aca="true">IF(AU$5=0,AT77,MAX(0,(AT77-AU$4)*(1+NORMINV(RAND(),INPUTS!$B$28,INPUTS!$B$29))))</f>
        <v>1279616.97694034</v>
      </c>
      <c r="AV77" s="89" t="n">
        <f aca="true">IF(AV$5=0,AU77,MAX(0,(AU77-AV$4)*(1+NORMINV(RAND(),INPUTS!$B$28,INPUTS!$B$29))))</f>
        <v>1279616.97694034</v>
      </c>
      <c r="AW77" s="89" t="n">
        <f aca="true">IF(AW$5=0,AV77,MAX(0,(AV77-AW$4)*(1+NORMINV(RAND(),INPUTS!$B$28,INPUTS!$B$29))))</f>
        <v>1279616.97694034</v>
      </c>
      <c r="AX77" s="89" t="n">
        <f aca="true">IF(AX$5=0,AW77,MAX(0,(AW77-AX$4)*(1+NORMINV(RAND(),INPUTS!$B$28,INPUTS!$B$29))))</f>
        <v>1279616.97694034</v>
      </c>
      <c r="AY77" s="89" t="n">
        <f aca="true">IF(AY$5=0,AX77,MAX(0,(AX77-AY$4)*(1+NORMINV(RAND(),INPUTS!$B$28,INPUTS!$B$29))))</f>
        <v>1279616.97694034</v>
      </c>
      <c r="AZ77" s="89" t="n">
        <f aca="true">IF(AZ$5=0,AY77,MAX(0,(AY77-AZ$4)*(1+NORMINV(RAND(),INPUTS!$B$28,INPUTS!$B$29))))</f>
        <v>1279616.97694034</v>
      </c>
      <c r="BA77" s="89" t="n">
        <f aca="true">IF(BA$5=0,AZ77,MAX(0,(AZ77-BA$4)*(1+NORMINV(RAND(),INPUTS!$B$28,INPUTS!$B$29))))</f>
        <v>1279616.97694034</v>
      </c>
      <c r="BB77" s="89" t="n">
        <f aca="true">IF(BB$5=0,BA77,MAX(0,(BA77-BB$4)*(1+NORMINV(RAND(),INPUTS!$B$28,INPUTS!$B$29))))</f>
        <v>1279616.97694034</v>
      </c>
      <c r="BC77" s="89" t="n">
        <f aca="true">IF(BC$5=0,BB77,MAX(0,(BB77-BC$4)*(1+NORMINV(RAND(),INPUTS!$B$28,INPUTS!$B$29))))</f>
        <v>1279616.97694034</v>
      </c>
      <c r="BD77" s="89" t="n">
        <f aca="true">IF(BD$5=0,BC77,MAX(0,(BC77-BD$4)*(1+NORMINV(RAND(),INPUTS!$B$28,INPUTS!$B$29))))</f>
        <v>1279616.97694034</v>
      </c>
      <c r="BE77" s="89" t="n">
        <f aca="true">IF(BE$5=0,BD77,MAX(0,(BD77-BE$4)*(1+NORMINV(RAND(),INPUTS!$B$28,INPUTS!$B$29))))</f>
        <v>1279616.97694034</v>
      </c>
      <c r="BF77" s="89" t="n">
        <f aca="true">IF(BF$5=0,BE77,MAX(0,(BE77-BF$4)*(1+NORMINV(RAND(),INPUTS!$B$28,INPUTS!$B$29))))</f>
        <v>1279616.97694034</v>
      </c>
      <c r="BG77" s="89" t="n">
        <f aca="true">IF(BG$5=0,BF77,MAX(0,(BF77-BG$4)*(1+NORMINV(RAND(),INPUTS!$B$28,INPUTS!$B$29))))</f>
        <v>1279616.97694034</v>
      </c>
      <c r="BH77" s="89" t="n">
        <f aca="true">IF(BH$5=0,BG77,MAX(0,(BG77-BH$4)*(1+NORMINV(RAND(),INPUTS!$B$28,INPUTS!$B$29))))</f>
        <v>1279616.97694034</v>
      </c>
      <c r="BI77" s="89" t="n">
        <f aca="true">IF(BI$5=0,BH77,MAX(0,(BH77-BI$4)*(1+NORMINV(RAND(),INPUTS!$B$28,INPUTS!$B$29))))</f>
        <v>1279616.97694034</v>
      </c>
      <c r="BJ77" s="89" t="n">
        <f aca="true">IF(BJ$5=0,BI77,MAX(0,(BI77-BJ$4)*(1+NORMINV(RAND(),INPUTS!$B$28,INPUTS!$B$29))))</f>
        <v>1279616.97694034</v>
      </c>
    </row>
    <row r="78" customFormat="false" ht="15" hidden="false" customHeight="true" outlineLevel="0" collapsed="false">
      <c r="A78" s="87" t="n">
        <v>71</v>
      </c>
      <c r="B78" s="88" t="n">
        <f aca="false">LOOKUP(9.99E+307,C78:BJ78)</f>
        <v>756143.481059628</v>
      </c>
      <c r="C78" s="89" t="n">
        <f aca="true">IF(C$5=0,INPUTS!$B$35,MAX(0,(INPUTS!$B$35-C$4)*(1+NORMINV(RAND(),INPUTS!$B$28,INPUTS!$B$29))))</f>
        <v>1134508.27772514</v>
      </c>
      <c r="D78" s="89" t="n">
        <f aca="true">IF(D$5=0,C78,MAX(0,(C78-D$4)*(1+NORMINV(RAND(),INPUTS!$B$28,INPUTS!$B$29))))</f>
        <v>1191170.06206573</v>
      </c>
      <c r="E78" s="89" t="n">
        <f aca="true">IF(E$5=0,D78,MAX(0,(D78-E$4)*(1+NORMINV(RAND(),INPUTS!$B$28,INPUTS!$B$29))))</f>
        <v>1226868.07243589</v>
      </c>
      <c r="F78" s="89" t="n">
        <f aca="true">IF(F$5=0,E78,MAX(0,(E78-F$4)*(1+NORMINV(RAND(),INPUTS!$B$28,INPUTS!$B$29))))</f>
        <v>1181578.5198672</v>
      </c>
      <c r="G78" s="89" t="n">
        <f aca="true">IF(G$5=0,F78,MAX(0,(F78-G$4)*(1+NORMINV(RAND(),INPUTS!$B$28,INPUTS!$B$29))))</f>
        <v>1315300.08424386</v>
      </c>
      <c r="H78" s="89" t="n">
        <f aca="true">IF(H$5=0,G78,MAX(0,(G78-H$4)*(1+NORMINV(RAND(),INPUTS!$B$28,INPUTS!$B$29))))</f>
        <v>1228605.80375872</v>
      </c>
      <c r="I78" s="89" t="n">
        <f aca="true">IF(I$5=0,H78,MAX(0,(H78-I$4)*(1+NORMINV(RAND(),INPUTS!$B$28,INPUTS!$B$29))))</f>
        <v>1060083.7814695</v>
      </c>
      <c r="J78" s="89" t="n">
        <f aca="true">IF(J$5=0,I78,MAX(0,(I78-J$4)*(1+NORMINV(RAND(),INPUTS!$B$28,INPUTS!$B$29))))</f>
        <v>954939.348180847</v>
      </c>
      <c r="K78" s="89" t="n">
        <f aca="true">IF(K$5=0,J78,MAX(0,(J78-K$4)*(1+NORMINV(RAND(),INPUTS!$B$28,INPUTS!$B$29))))</f>
        <v>841137.869140122</v>
      </c>
      <c r="L78" s="89" t="n">
        <f aca="true">IF(L$5=0,K78,MAX(0,(K78-L$4)*(1+NORMINV(RAND(),INPUTS!$B$28,INPUTS!$B$29))))</f>
        <v>862175.950053104</v>
      </c>
      <c r="M78" s="89" t="n">
        <f aca="true">IF(M$5=0,L78,MAX(0,(L78-M$4)*(1+NORMINV(RAND(),INPUTS!$B$28,INPUTS!$B$29))))</f>
        <v>869203.109523918</v>
      </c>
      <c r="N78" s="89" t="n">
        <f aca="true">IF(N$5=0,M78,MAX(0,(M78-N$4)*(1+NORMINV(RAND(),INPUTS!$B$28,INPUTS!$B$29))))</f>
        <v>939009.89243331</v>
      </c>
      <c r="O78" s="89" t="n">
        <f aca="true">IF(O$5=0,N78,MAX(0,(N78-O$4)*(1+NORMINV(RAND(),INPUTS!$B$28,INPUTS!$B$29))))</f>
        <v>1006460.08638017</v>
      </c>
      <c r="P78" s="89" t="n">
        <f aca="true">IF(P$5=0,O78,MAX(0,(O78-P$4)*(1+NORMINV(RAND(),INPUTS!$B$28,INPUTS!$B$29))))</f>
        <v>1055456.56642751</v>
      </c>
      <c r="Q78" s="89" t="n">
        <f aca="true">IF(Q$5=0,P78,MAX(0,(P78-Q$4)*(1+NORMINV(RAND(),INPUTS!$B$28,INPUTS!$B$29))))</f>
        <v>916369.004923425</v>
      </c>
      <c r="R78" s="89" t="n">
        <f aca="true">IF(R$5=0,Q78,MAX(0,(Q78-R$4)*(1+NORMINV(RAND(),INPUTS!$B$28,INPUTS!$B$29))))</f>
        <v>1000676.80305917</v>
      </c>
      <c r="S78" s="89" t="n">
        <f aca="true">IF(S$5=0,R78,MAX(0,(R78-S$4)*(1+NORMINV(RAND(),INPUTS!$B$28,INPUTS!$B$29))))</f>
        <v>932848.236623497</v>
      </c>
      <c r="T78" s="89" t="n">
        <f aca="true">IF(T$5=0,S78,MAX(0,(S78-T$4)*(1+NORMINV(RAND(),INPUTS!$B$28,INPUTS!$B$29))))</f>
        <v>986955.714662793</v>
      </c>
      <c r="U78" s="89" t="n">
        <f aca="true">IF(U$5=0,T78,MAX(0,(T78-U$4)*(1+NORMINV(RAND(),INPUTS!$B$28,INPUTS!$B$29))))</f>
        <v>1218834.20188822</v>
      </c>
      <c r="V78" s="89" t="n">
        <f aca="true">IF(V$5=0,U78,MAX(0,(U78-V$4)*(1+NORMINV(RAND(),INPUTS!$B$28,INPUTS!$B$29))))</f>
        <v>1176123.68462054</v>
      </c>
      <c r="W78" s="89" t="n">
        <f aca="true">IF(W$5=0,V78,MAX(0,(V78-W$4)*(1+NORMINV(RAND(),INPUTS!$B$28,INPUTS!$B$29))))</f>
        <v>1066263.61843604</v>
      </c>
      <c r="X78" s="89" t="n">
        <f aca="true">IF(X$5=0,W78,MAX(0,(W78-X$4)*(1+NORMINV(RAND(),INPUTS!$B$28,INPUTS!$B$29))))</f>
        <v>1041878.95671111</v>
      </c>
      <c r="Y78" s="89" t="n">
        <f aca="true">IF(Y$5=0,X78,MAX(0,(X78-Y$4)*(1+NORMINV(RAND(),INPUTS!$B$28,INPUTS!$B$29))))</f>
        <v>1005074.49749265</v>
      </c>
      <c r="Z78" s="89" t="n">
        <f aca="true">IF(Z$5=0,Y78,MAX(0,(Y78-Z$4)*(1+NORMINV(RAND(),INPUTS!$B$28,INPUTS!$B$29))))</f>
        <v>998156.097615483</v>
      </c>
      <c r="AA78" s="89" t="n">
        <f aca="true">IF(AA$5=0,Z78,MAX(0,(Z78-AA$4)*(1+NORMINV(RAND(),INPUTS!$B$28,INPUTS!$B$29))))</f>
        <v>977983.371381568</v>
      </c>
      <c r="AB78" s="89" t="n">
        <f aca="true">IF(AB$5=0,AA78,MAX(0,(AA78-AB$4)*(1+NORMINV(RAND(),INPUTS!$B$28,INPUTS!$B$29))))</f>
        <v>769301.088169578</v>
      </c>
      <c r="AC78" s="89" t="n">
        <f aca="true">IF(AC$5=0,AB78,MAX(0,(AB78-AC$4)*(1+NORMINV(RAND(),INPUTS!$B$28,INPUTS!$B$29))))</f>
        <v>813904.971790531</v>
      </c>
      <c r="AD78" s="89" t="n">
        <f aca="true">IF(AD$5=0,AC78,MAX(0,(AC78-AD$4)*(1+NORMINV(RAND(),INPUTS!$B$28,INPUTS!$B$29))))</f>
        <v>875821.814597309</v>
      </c>
      <c r="AE78" s="89" t="n">
        <f aca="true">IF(AE$5=0,AD78,MAX(0,(AD78-AE$4)*(1+NORMINV(RAND(),INPUTS!$B$28,INPUTS!$B$29))))</f>
        <v>858328.73893567</v>
      </c>
      <c r="AF78" s="89" t="n">
        <f aca="true">IF(AF$5=0,AE78,MAX(0,(AE78-AF$4)*(1+NORMINV(RAND(),INPUTS!$B$28,INPUTS!$B$29))))</f>
        <v>807246.185575252</v>
      </c>
      <c r="AG78" s="89" t="n">
        <f aca="true">IF(AG$5=0,AF78,MAX(0,(AF78-AG$4)*(1+NORMINV(RAND(),INPUTS!$B$28,INPUTS!$B$29))))</f>
        <v>829458.478605792</v>
      </c>
      <c r="AH78" s="89" t="n">
        <f aca="true">IF(AH$5=0,AG78,MAX(0,(AG78-AH$4)*(1+NORMINV(RAND(),INPUTS!$B$28,INPUTS!$B$29))))</f>
        <v>889488.40416324</v>
      </c>
      <c r="AI78" s="89" t="n">
        <f aca="true">IF(AI$5=0,AH78,MAX(0,(AH78-AI$4)*(1+NORMINV(RAND(),INPUTS!$B$28,INPUTS!$B$29))))</f>
        <v>805559.634419937</v>
      </c>
      <c r="AJ78" s="89" t="n">
        <f aca="true">IF(AJ$5=0,AI78,MAX(0,(AI78-AJ$4)*(1+NORMINV(RAND(),INPUTS!$B$28,INPUTS!$B$29))))</f>
        <v>789649.816489745</v>
      </c>
      <c r="AK78" s="89" t="n">
        <f aca="true">IF(AK$5=0,AJ78,MAX(0,(AJ78-AK$4)*(1+NORMINV(RAND(),INPUTS!$B$28,INPUTS!$B$29))))</f>
        <v>858367.972291687</v>
      </c>
      <c r="AL78" s="89" t="n">
        <f aca="true">IF(AL$5=0,AK78,MAX(0,(AK78-AL$4)*(1+NORMINV(RAND(),INPUTS!$B$28,INPUTS!$B$29))))</f>
        <v>756143.481059628</v>
      </c>
      <c r="AM78" s="89" t="n">
        <f aca="true">IF(AM$5=0,AL78,MAX(0,(AL78-AM$4)*(1+NORMINV(RAND(),INPUTS!$B$28,INPUTS!$B$29))))</f>
        <v>756143.481059628</v>
      </c>
      <c r="AN78" s="89" t="n">
        <f aca="true">IF(AN$5=0,AM78,MAX(0,(AM78-AN$4)*(1+NORMINV(RAND(),INPUTS!$B$28,INPUTS!$B$29))))</f>
        <v>756143.481059628</v>
      </c>
      <c r="AO78" s="89" t="n">
        <f aca="true">IF(AO$5=0,AN78,MAX(0,(AN78-AO$4)*(1+NORMINV(RAND(),INPUTS!$B$28,INPUTS!$B$29))))</f>
        <v>756143.481059628</v>
      </c>
      <c r="AP78" s="89" t="n">
        <f aca="true">IF(AP$5=0,AO78,MAX(0,(AO78-AP$4)*(1+NORMINV(RAND(),INPUTS!$B$28,INPUTS!$B$29))))</f>
        <v>756143.481059628</v>
      </c>
      <c r="AQ78" s="89" t="n">
        <f aca="true">IF(AQ$5=0,AP78,MAX(0,(AP78-AQ$4)*(1+NORMINV(RAND(),INPUTS!$B$28,INPUTS!$B$29))))</f>
        <v>756143.481059628</v>
      </c>
      <c r="AR78" s="89" t="n">
        <f aca="true">IF(AR$5=0,AQ78,MAX(0,(AQ78-AR$4)*(1+NORMINV(RAND(),INPUTS!$B$28,INPUTS!$B$29))))</f>
        <v>756143.481059628</v>
      </c>
      <c r="AS78" s="89" t="n">
        <f aca="true">IF(AS$5=0,AR78,MAX(0,(AR78-AS$4)*(1+NORMINV(RAND(),INPUTS!$B$28,INPUTS!$B$29))))</f>
        <v>756143.481059628</v>
      </c>
      <c r="AT78" s="89" t="n">
        <f aca="true">IF(AT$5=0,AS78,MAX(0,(AS78-AT$4)*(1+NORMINV(RAND(),INPUTS!$B$28,INPUTS!$B$29))))</f>
        <v>756143.481059628</v>
      </c>
      <c r="AU78" s="89" t="n">
        <f aca="true">IF(AU$5=0,AT78,MAX(0,(AT78-AU$4)*(1+NORMINV(RAND(),INPUTS!$B$28,INPUTS!$B$29))))</f>
        <v>756143.481059628</v>
      </c>
      <c r="AV78" s="89" t="n">
        <f aca="true">IF(AV$5=0,AU78,MAX(0,(AU78-AV$4)*(1+NORMINV(RAND(),INPUTS!$B$28,INPUTS!$B$29))))</f>
        <v>756143.481059628</v>
      </c>
      <c r="AW78" s="89" t="n">
        <f aca="true">IF(AW$5=0,AV78,MAX(0,(AV78-AW$4)*(1+NORMINV(RAND(),INPUTS!$B$28,INPUTS!$B$29))))</f>
        <v>756143.481059628</v>
      </c>
      <c r="AX78" s="89" t="n">
        <f aca="true">IF(AX$5=0,AW78,MAX(0,(AW78-AX$4)*(1+NORMINV(RAND(),INPUTS!$B$28,INPUTS!$B$29))))</f>
        <v>756143.481059628</v>
      </c>
      <c r="AY78" s="89" t="n">
        <f aca="true">IF(AY$5=0,AX78,MAX(0,(AX78-AY$4)*(1+NORMINV(RAND(),INPUTS!$B$28,INPUTS!$B$29))))</f>
        <v>756143.481059628</v>
      </c>
      <c r="AZ78" s="89" t="n">
        <f aca="true">IF(AZ$5=0,AY78,MAX(0,(AY78-AZ$4)*(1+NORMINV(RAND(),INPUTS!$B$28,INPUTS!$B$29))))</f>
        <v>756143.481059628</v>
      </c>
      <c r="BA78" s="89" t="n">
        <f aca="true">IF(BA$5=0,AZ78,MAX(0,(AZ78-BA$4)*(1+NORMINV(RAND(),INPUTS!$B$28,INPUTS!$B$29))))</f>
        <v>756143.481059628</v>
      </c>
      <c r="BB78" s="89" t="n">
        <f aca="true">IF(BB$5=0,BA78,MAX(0,(BA78-BB$4)*(1+NORMINV(RAND(),INPUTS!$B$28,INPUTS!$B$29))))</f>
        <v>756143.481059628</v>
      </c>
      <c r="BC78" s="89" t="n">
        <f aca="true">IF(BC$5=0,BB78,MAX(0,(BB78-BC$4)*(1+NORMINV(RAND(),INPUTS!$B$28,INPUTS!$B$29))))</f>
        <v>756143.481059628</v>
      </c>
      <c r="BD78" s="89" t="n">
        <f aca="true">IF(BD$5=0,BC78,MAX(0,(BC78-BD$4)*(1+NORMINV(RAND(),INPUTS!$B$28,INPUTS!$B$29))))</f>
        <v>756143.481059628</v>
      </c>
      <c r="BE78" s="89" t="n">
        <f aca="true">IF(BE$5=0,BD78,MAX(0,(BD78-BE$4)*(1+NORMINV(RAND(),INPUTS!$B$28,INPUTS!$B$29))))</f>
        <v>756143.481059628</v>
      </c>
      <c r="BF78" s="89" t="n">
        <f aca="true">IF(BF$5=0,BE78,MAX(0,(BE78-BF$4)*(1+NORMINV(RAND(),INPUTS!$B$28,INPUTS!$B$29))))</f>
        <v>756143.481059628</v>
      </c>
      <c r="BG78" s="89" t="n">
        <f aca="true">IF(BG$5=0,BF78,MAX(0,(BF78-BG$4)*(1+NORMINV(RAND(),INPUTS!$B$28,INPUTS!$B$29))))</f>
        <v>756143.481059628</v>
      </c>
      <c r="BH78" s="89" t="n">
        <f aca="true">IF(BH$5=0,BG78,MAX(0,(BG78-BH$4)*(1+NORMINV(RAND(),INPUTS!$B$28,INPUTS!$B$29))))</f>
        <v>756143.481059628</v>
      </c>
      <c r="BI78" s="89" t="n">
        <f aca="true">IF(BI$5=0,BH78,MAX(0,(BH78-BI$4)*(1+NORMINV(RAND(),INPUTS!$B$28,INPUTS!$B$29))))</f>
        <v>756143.481059628</v>
      </c>
      <c r="BJ78" s="89" t="n">
        <f aca="true">IF(BJ$5=0,BI78,MAX(0,(BI78-BJ$4)*(1+NORMINV(RAND(),INPUTS!$B$28,INPUTS!$B$29))))</f>
        <v>756143.481059628</v>
      </c>
    </row>
    <row r="79" customFormat="false" ht="15" hidden="false" customHeight="true" outlineLevel="0" collapsed="false">
      <c r="A79" s="87" t="n">
        <v>72</v>
      </c>
      <c r="B79" s="88" t="n">
        <f aca="false">LOOKUP(9.99E+307,C79:BJ79)</f>
        <v>5952270.01723464</v>
      </c>
      <c r="C79" s="89" t="n">
        <f aca="true">IF(C$5=0,INPUTS!$B$35,MAX(0,(INPUTS!$B$35-C$4)*(1+NORMINV(RAND(),INPUTS!$B$28,INPUTS!$B$29))))</f>
        <v>1285090.25182718</v>
      </c>
      <c r="D79" s="89" t="n">
        <f aca="true">IF(D$5=0,C79,MAX(0,(C79-D$4)*(1+NORMINV(RAND(),INPUTS!$B$28,INPUTS!$B$29))))</f>
        <v>1636958.87486455</v>
      </c>
      <c r="E79" s="89" t="n">
        <f aca="true">IF(E$5=0,D79,MAX(0,(D79-E$4)*(1+NORMINV(RAND(),INPUTS!$B$28,INPUTS!$B$29))))</f>
        <v>1273038.44967384</v>
      </c>
      <c r="F79" s="89" t="n">
        <f aca="true">IF(F$5=0,E79,MAX(0,(E79-F$4)*(1+NORMINV(RAND(),INPUTS!$B$28,INPUTS!$B$29))))</f>
        <v>1398964.51118663</v>
      </c>
      <c r="G79" s="89" t="n">
        <f aca="true">IF(G$5=0,F79,MAX(0,(F79-G$4)*(1+NORMINV(RAND(),INPUTS!$B$28,INPUTS!$B$29))))</f>
        <v>1453013.94346345</v>
      </c>
      <c r="H79" s="89" t="n">
        <f aca="true">IF(H$5=0,G79,MAX(0,(G79-H$4)*(1+NORMINV(RAND(),INPUTS!$B$28,INPUTS!$B$29))))</f>
        <v>1185062.07666851</v>
      </c>
      <c r="I79" s="89" t="n">
        <f aca="true">IF(I$5=0,H79,MAX(0,(H79-I$4)*(1+NORMINV(RAND(),INPUTS!$B$28,INPUTS!$B$29))))</f>
        <v>1040566.86144228</v>
      </c>
      <c r="J79" s="89" t="n">
        <f aca="true">IF(J$5=0,I79,MAX(0,(I79-J$4)*(1+NORMINV(RAND(),INPUTS!$B$28,INPUTS!$B$29))))</f>
        <v>1024446.53711822</v>
      </c>
      <c r="K79" s="89" t="n">
        <f aca="true">IF(K$5=0,J79,MAX(0,(J79-K$4)*(1+NORMINV(RAND(),INPUTS!$B$28,INPUTS!$B$29))))</f>
        <v>1252045.83578907</v>
      </c>
      <c r="L79" s="89" t="n">
        <f aca="true">IF(L$5=0,K79,MAX(0,(K79-L$4)*(1+NORMINV(RAND(),INPUTS!$B$28,INPUTS!$B$29))))</f>
        <v>1281410.73893215</v>
      </c>
      <c r="M79" s="89" t="n">
        <f aca="true">IF(M$5=0,L79,MAX(0,(L79-M$4)*(1+NORMINV(RAND(),INPUTS!$B$28,INPUTS!$B$29))))</f>
        <v>1204957.57350677</v>
      </c>
      <c r="N79" s="89" t="n">
        <f aca="true">IF(N$5=0,M79,MAX(0,(M79-N$4)*(1+NORMINV(RAND(),INPUTS!$B$28,INPUTS!$B$29))))</f>
        <v>1078105.05949456</v>
      </c>
      <c r="O79" s="89" t="n">
        <f aca="true">IF(O$5=0,N79,MAX(0,(N79-O$4)*(1+NORMINV(RAND(),INPUTS!$B$28,INPUTS!$B$29))))</f>
        <v>1066825.70229002</v>
      </c>
      <c r="P79" s="89" t="n">
        <f aca="true">IF(P$5=0,O79,MAX(0,(O79-P$4)*(1+NORMINV(RAND(),INPUTS!$B$28,INPUTS!$B$29))))</f>
        <v>1187845.29606214</v>
      </c>
      <c r="Q79" s="89" t="n">
        <f aca="true">IF(Q$5=0,P79,MAX(0,(P79-Q$4)*(1+NORMINV(RAND(),INPUTS!$B$28,INPUTS!$B$29))))</f>
        <v>1222976.73708099</v>
      </c>
      <c r="R79" s="89" t="n">
        <f aca="true">IF(R$5=0,Q79,MAX(0,(Q79-R$4)*(1+NORMINV(RAND(),INPUTS!$B$28,INPUTS!$B$29))))</f>
        <v>1351285.05503225</v>
      </c>
      <c r="S79" s="89" t="n">
        <f aca="true">IF(S$5=0,R79,MAX(0,(R79-S$4)*(1+NORMINV(RAND(),INPUTS!$B$28,INPUTS!$B$29))))</f>
        <v>1538893.94689337</v>
      </c>
      <c r="T79" s="89" t="n">
        <f aca="true">IF(T$5=0,S79,MAX(0,(S79-T$4)*(1+NORMINV(RAND(),INPUTS!$B$28,INPUTS!$B$29))))</f>
        <v>1806153.94438533</v>
      </c>
      <c r="U79" s="89" t="n">
        <f aca="true">IF(U$5=0,T79,MAX(0,(T79-U$4)*(1+NORMINV(RAND(),INPUTS!$B$28,INPUTS!$B$29))))</f>
        <v>1697096.42506037</v>
      </c>
      <c r="V79" s="89" t="n">
        <f aca="true">IF(V$5=0,U79,MAX(0,(U79-V$4)*(1+NORMINV(RAND(),INPUTS!$B$28,INPUTS!$B$29))))</f>
        <v>1751633.4542817</v>
      </c>
      <c r="W79" s="89" t="n">
        <f aca="true">IF(W$5=0,V79,MAX(0,(V79-W$4)*(1+NORMINV(RAND(),INPUTS!$B$28,INPUTS!$B$29))))</f>
        <v>1888648.31212245</v>
      </c>
      <c r="X79" s="89" t="n">
        <f aca="true">IF(X$5=0,W79,MAX(0,(W79-X$4)*(1+NORMINV(RAND(),INPUTS!$B$28,INPUTS!$B$29))))</f>
        <v>1983655.35200506</v>
      </c>
      <c r="Y79" s="89" t="n">
        <f aca="true">IF(Y$5=0,X79,MAX(0,(X79-Y$4)*(1+NORMINV(RAND(),INPUTS!$B$28,INPUTS!$B$29))))</f>
        <v>2012197.7212971</v>
      </c>
      <c r="Z79" s="89" t="n">
        <f aca="true">IF(Z$5=0,Y79,MAX(0,(Y79-Z$4)*(1+NORMINV(RAND(),INPUTS!$B$28,INPUTS!$B$29))))</f>
        <v>2301721.44355217</v>
      </c>
      <c r="AA79" s="89" t="n">
        <f aca="true">IF(AA$5=0,Z79,MAX(0,(Z79-AA$4)*(1+NORMINV(RAND(),INPUTS!$B$28,INPUTS!$B$29))))</f>
        <v>2429378.75360469</v>
      </c>
      <c r="AB79" s="89" t="n">
        <f aca="true">IF(AB$5=0,AA79,MAX(0,(AA79-AB$4)*(1+NORMINV(RAND(),INPUTS!$B$28,INPUTS!$B$29))))</f>
        <v>3031895.60120661</v>
      </c>
      <c r="AC79" s="89" t="n">
        <f aca="true">IF(AC$5=0,AB79,MAX(0,(AB79-AC$4)*(1+NORMINV(RAND(),INPUTS!$B$28,INPUTS!$B$29))))</f>
        <v>2825554.01184762</v>
      </c>
      <c r="AD79" s="89" t="n">
        <f aca="true">IF(AD$5=0,AC79,MAX(0,(AC79-AD$4)*(1+NORMINV(RAND(),INPUTS!$B$28,INPUTS!$B$29))))</f>
        <v>2648503.48058879</v>
      </c>
      <c r="AE79" s="89" t="n">
        <f aca="true">IF(AE$5=0,AD79,MAX(0,(AD79-AE$4)*(1+NORMINV(RAND(),INPUTS!$B$28,INPUTS!$B$29))))</f>
        <v>2855698.4230276</v>
      </c>
      <c r="AF79" s="89" t="n">
        <f aca="true">IF(AF$5=0,AE79,MAX(0,(AE79-AF$4)*(1+NORMINV(RAND(),INPUTS!$B$28,INPUTS!$B$29))))</f>
        <v>3368764.33400555</v>
      </c>
      <c r="AG79" s="89" t="n">
        <f aca="true">IF(AG$5=0,AF79,MAX(0,(AF79-AG$4)*(1+NORMINV(RAND(),INPUTS!$B$28,INPUTS!$B$29))))</f>
        <v>4037600.52866188</v>
      </c>
      <c r="AH79" s="89" t="n">
        <f aca="true">IF(AH$5=0,AG79,MAX(0,(AG79-AH$4)*(1+NORMINV(RAND(),INPUTS!$B$28,INPUTS!$B$29))))</f>
        <v>4282795.2368659</v>
      </c>
      <c r="AI79" s="89" t="n">
        <f aca="true">IF(AI$5=0,AH79,MAX(0,(AH79-AI$4)*(1+NORMINV(RAND(),INPUTS!$B$28,INPUTS!$B$29))))</f>
        <v>4828222.27782765</v>
      </c>
      <c r="AJ79" s="89" t="n">
        <f aca="true">IF(AJ$5=0,AI79,MAX(0,(AI79-AJ$4)*(1+NORMINV(RAND(),INPUTS!$B$28,INPUTS!$B$29))))</f>
        <v>4932542.71993207</v>
      </c>
      <c r="AK79" s="89" t="n">
        <f aca="true">IF(AK$5=0,AJ79,MAX(0,(AJ79-AK$4)*(1+NORMINV(RAND(),INPUTS!$B$28,INPUTS!$B$29))))</f>
        <v>5097911.71791438</v>
      </c>
      <c r="AL79" s="89" t="n">
        <f aca="true">IF(AL$5=0,AK79,MAX(0,(AK79-AL$4)*(1+NORMINV(RAND(),INPUTS!$B$28,INPUTS!$B$29))))</f>
        <v>5952270.01723464</v>
      </c>
      <c r="AM79" s="89" t="n">
        <f aca="true">IF(AM$5=0,AL79,MAX(0,(AL79-AM$4)*(1+NORMINV(RAND(),INPUTS!$B$28,INPUTS!$B$29))))</f>
        <v>5952270.01723464</v>
      </c>
      <c r="AN79" s="89" t="n">
        <f aca="true">IF(AN$5=0,AM79,MAX(0,(AM79-AN$4)*(1+NORMINV(RAND(),INPUTS!$B$28,INPUTS!$B$29))))</f>
        <v>5952270.01723464</v>
      </c>
      <c r="AO79" s="89" t="n">
        <f aca="true">IF(AO$5=0,AN79,MAX(0,(AN79-AO$4)*(1+NORMINV(RAND(),INPUTS!$B$28,INPUTS!$B$29))))</f>
        <v>5952270.01723464</v>
      </c>
      <c r="AP79" s="89" t="n">
        <f aca="true">IF(AP$5=0,AO79,MAX(0,(AO79-AP$4)*(1+NORMINV(RAND(),INPUTS!$B$28,INPUTS!$B$29))))</f>
        <v>5952270.01723464</v>
      </c>
      <c r="AQ79" s="89" t="n">
        <f aca="true">IF(AQ$5=0,AP79,MAX(0,(AP79-AQ$4)*(1+NORMINV(RAND(),INPUTS!$B$28,INPUTS!$B$29))))</f>
        <v>5952270.01723464</v>
      </c>
      <c r="AR79" s="89" t="n">
        <f aca="true">IF(AR$5=0,AQ79,MAX(0,(AQ79-AR$4)*(1+NORMINV(RAND(),INPUTS!$B$28,INPUTS!$B$29))))</f>
        <v>5952270.01723464</v>
      </c>
      <c r="AS79" s="89" t="n">
        <f aca="true">IF(AS$5=0,AR79,MAX(0,(AR79-AS$4)*(1+NORMINV(RAND(),INPUTS!$B$28,INPUTS!$B$29))))</f>
        <v>5952270.01723464</v>
      </c>
      <c r="AT79" s="89" t="n">
        <f aca="true">IF(AT$5=0,AS79,MAX(0,(AS79-AT$4)*(1+NORMINV(RAND(),INPUTS!$B$28,INPUTS!$B$29))))</f>
        <v>5952270.01723464</v>
      </c>
      <c r="AU79" s="89" t="n">
        <f aca="true">IF(AU$5=0,AT79,MAX(0,(AT79-AU$4)*(1+NORMINV(RAND(),INPUTS!$B$28,INPUTS!$B$29))))</f>
        <v>5952270.01723464</v>
      </c>
      <c r="AV79" s="89" t="n">
        <f aca="true">IF(AV$5=0,AU79,MAX(0,(AU79-AV$4)*(1+NORMINV(RAND(),INPUTS!$B$28,INPUTS!$B$29))))</f>
        <v>5952270.01723464</v>
      </c>
      <c r="AW79" s="89" t="n">
        <f aca="true">IF(AW$5=0,AV79,MAX(0,(AV79-AW$4)*(1+NORMINV(RAND(),INPUTS!$B$28,INPUTS!$B$29))))</f>
        <v>5952270.01723464</v>
      </c>
      <c r="AX79" s="89" t="n">
        <f aca="true">IF(AX$5=0,AW79,MAX(0,(AW79-AX$4)*(1+NORMINV(RAND(),INPUTS!$B$28,INPUTS!$B$29))))</f>
        <v>5952270.01723464</v>
      </c>
      <c r="AY79" s="89" t="n">
        <f aca="true">IF(AY$5=0,AX79,MAX(0,(AX79-AY$4)*(1+NORMINV(RAND(),INPUTS!$B$28,INPUTS!$B$29))))</f>
        <v>5952270.01723464</v>
      </c>
      <c r="AZ79" s="89" t="n">
        <f aca="true">IF(AZ$5=0,AY79,MAX(0,(AY79-AZ$4)*(1+NORMINV(RAND(),INPUTS!$B$28,INPUTS!$B$29))))</f>
        <v>5952270.01723464</v>
      </c>
      <c r="BA79" s="89" t="n">
        <f aca="true">IF(BA$5=0,AZ79,MAX(0,(AZ79-BA$4)*(1+NORMINV(RAND(),INPUTS!$B$28,INPUTS!$B$29))))</f>
        <v>5952270.01723464</v>
      </c>
      <c r="BB79" s="89" t="n">
        <f aca="true">IF(BB$5=0,BA79,MAX(0,(BA79-BB$4)*(1+NORMINV(RAND(),INPUTS!$B$28,INPUTS!$B$29))))</f>
        <v>5952270.01723464</v>
      </c>
      <c r="BC79" s="89" t="n">
        <f aca="true">IF(BC$5=0,BB79,MAX(0,(BB79-BC$4)*(1+NORMINV(RAND(),INPUTS!$B$28,INPUTS!$B$29))))</f>
        <v>5952270.01723464</v>
      </c>
      <c r="BD79" s="89" t="n">
        <f aca="true">IF(BD$5=0,BC79,MAX(0,(BC79-BD$4)*(1+NORMINV(RAND(),INPUTS!$B$28,INPUTS!$B$29))))</f>
        <v>5952270.01723464</v>
      </c>
      <c r="BE79" s="89" t="n">
        <f aca="true">IF(BE$5=0,BD79,MAX(0,(BD79-BE$4)*(1+NORMINV(RAND(),INPUTS!$B$28,INPUTS!$B$29))))</f>
        <v>5952270.01723464</v>
      </c>
      <c r="BF79" s="89" t="n">
        <f aca="true">IF(BF$5=0,BE79,MAX(0,(BE79-BF$4)*(1+NORMINV(RAND(),INPUTS!$B$28,INPUTS!$B$29))))</f>
        <v>5952270.01723464</v>
      </c>
      <c r="BG79" s="89" t="n">
        <f aca="true">IF(BG$5=0,BF79,MAX(0,(BF79-BG$4)*(1+NORMINV(RAND(),INPUTS!$B$28,INPUTS!$B$29))))</f>
        <v>5952270.01723464</v>
      </c>
      <c r="BH79" s="89" t="n">
        <f aca="true">IF(BH$5=0,BG79,MAX(0,(BG79-BH$4)*(1+NORMINV(RAND(),INPUTS!$B$28,INPUTS!$B$29))))</f>
        <v>5952270.01723464</v>
      </c>
      <c r="BI79" s="89" t="n">
        <f aca="true">IF(BI$5=0,BH79,MAX(0,(BH79-BI$4)*(1+NORMINV(RAND(),INPUTS!$B$28,INPUTS!$B$29))))</f>
        <v>5952270.01723464</v>
      </c>
      <c r="BJ79" s="89" t="n">
        <f aca="true">IF(BJ$5=0,BI79,MAX(0,(BI79-BJ$4)*(1+NORMINV(RAND(),INPUTS!$B$28,INPUTS!$B$29))))</f>
        <v>5952270.01723464</v>
      </c>
    </row>
    <row r="80" customFormat="false" ht="15" hidden="false" customHeight="true" outlineLevel="0" collapsed="false">
      <c r="A80" s="87" t="n">
        <v>73</v>
      </c>
      <c r="B80" s="88" t="n">
        <f aca="false">LOOKUP(9.99E+307,C80:BJ80)</f>
        <v>6184623.26120955</v>
      </c>
      <c r="C80" s="89" t="n">
        <f aca="true">IF(C$5=0,INPUTS!$B$35,MAX(0,(INPUTS!$B$35-C$4)*(1+NORMINV(RAND(),INPUTS!$B$28,INPUTS!$B$29))))</f>
        <v>1481762.90533423</v>
      </c>
      <c r="D80" s="89" t="n">
        <f aca="true">IF(D$5=0,C80,MAX(0,(C80-D$4)*(1+NORMINV(RAND(),INPUTS!$B$28,INPUTS!$B$29))))</f>
        <v>1615175.5319002</v>
      </c>
      <c r="E80" s="89" t="n">
        <f aca="true">IF(E$5=0,D80,MAX(0,(D80-E$4)*(1+NORMINV(RAND(),INPUTS!$B$28,INPUTS!$B$29))))</f>
        <v>1541981.76863774</v>
      </c>
      <c r="F80" s="89" t="n">
        <f aca="true">IF(F$5=0,E80,MAX(0,(E80-F$4)*(1+NORMINV(RAND(),INPUTS!$B$28,INPUTS!$B$29))))</f>
        <v>1672486.04582108</v>
      </c>
      <c r="G80" s="89" t="n">
        <f aca="true">IF(G$5=0,F80,MAX(0,(F80-G$4)*(1+NORMINV(RAND(),INPUTS!$B$28,INPUTS!$B$29))))</f>
        <v>1836359.8125577</v>
      </c>
      <c r="H80" s="89" t="n">
        <f aca="true">IF(H$5=0,G80,MAX(0,(G80-H$4)*(1+NORMINV(RAND(),INPUTS!$B$28,INPUTS!$B$29))))</f>
        <v>1533278.81988889</v>
      </c>
      <c r="I80" s="89" t="n">
        <f aca="true">IF(I$5=0,H80,MAX(0,(H80-I$4)*(1+NORMINV(RAND(),INPUTS!$B$28,INPUTS!$B$29))))</f>
        <v>1598186.97396381</v>
      </c>
      <c r="J80" s="89" t="n">
        <f aca="true">IF(J$5=0,I80,MAX(0,(I80-J$4)*(1+NORMINV(RAND(),INPUTS!$B$28,INPUTS!$B$29))))</f>
        <v>1581455.37567125</v>
      </c>
      <c r="K80" s="89" t="n">
        <f aca="true">IF(K$5=0,J80,MAX(0,(J80-K$4)*(1+NORMINV(RAND(),INPUTS!$B$28,INPUTS!$B$29))))</f>
        <v>1663281.73707898</v>
      </c>
      <c r="L80" s="89" t="n">
        <f aca="true">IF(L$5=0,K80,MAX(0,(K80-L$4)*(1+NORMINV(RAND(),INPUTS!$B$28,INPUTS!$B$29))))</f>
        <v>1829365.7752197</v>
      </c>
      <c r="M80" s="89" t="n">
        <f aca="true">IF(M$5=0,L80,MAX(0,(L80-M$4)*(1+NORMINV(RAND(),INPUTS!$B$28,INPUTS!$B$29))))</f>
        <v>2212068.05617858</v>
      </c>
      <c r="N80" s="89" t="n">
        <f aca="true">IF(N$5=0,M80,MAX(0,(M80-N$4)*(1+NORMINV(RAND(),INPUTS!$B$28,INPUTS!$B$29))))</f>
        <v>2327228.10323475</v>
      </c>
      <c r="O80" s="89" t="n">
        <f aca="true">IF(O$5=0,N80,MAX(0,(N80-O$4)*(1+NORMINV(RAND(),INPUTS!$B$28,INPUTS!$B$29))))</f>
        <v>2742035.53686505</v>
      </c>
      <c r="P80" s="89" t="n">
        <f aca="true">IF(P$5=0,O80,MAX(0,(O80-P$4)*(1+NORMINV(RAND(),INPUTS!$B$28,INPUTS!$B$29))))</f>
        <v>2672935.90404953</v>
      </c>
      <c r="Q80" s="89" t="n">
        <f aca="true">IF(Q$5=0,P80,MAX(0,(P80-Q$4)*(1+NORMINV(RAND(),INPUTS!$B$28,INPUTS!$B$29))))</f>
        <v>2795660.62309974</v>
      </c>
      <c r="R80" s="89" t="n">
        <f aca="true">IF(R$5=0,Q80,MAX(0,(Q80-R$4)*(1+NORMINV(RAND(),INPUTS!$B$28,INPUTS!$B$29))))</f>
        <v>3324412.62720932</v>
      </c>
      <c r="S80" s="89" t="n">
        <f aca="true">IF(S$5=0,R80,MAX(0,(R80-S$4)*(1+NORMINV(RAND(),INPUTS!$B$28,INPUTS!$B$29))))</f>
        <v>3582724.41551843</v>
      </c>
      <c r="T80" s="89" t="n">
        <f aca="true">IF(T$5=0,S80,MAX(0,(S80-T$4)*(1+NORMINV(RAND(),INPUTS!$B$28,INPUTS!$B$29))))</f>
        <v>3363824.17118479</v>
      </c>
      <c r="U80" s="89" t="n">
        <f aca="true">IF(U$5=0,T80,MAX(0,(T80-U$4)*(1+NORMINV(RAND(),INPUTS!$B$28,INPUTS!$B$29))))</f>
        <v>3708474.46805036</v>
      </c>
      <c r="V80" s="89" t="n">
        <f aca="true">IF(V$5=0,U80,MAX(0,(U80-V$4)*(1+NORMINV(RAND(),INPUTS!$B$28,INPUTS!$B$29))))</f>
        <v>3744645.10342291</v>
      </c>
      <c r="W80" s="89" t="n">
        <f aca="true">IF(W$5=0,V80,MAX(0,(V80-W$4)*(1+NORMINV(RAND(),INPUTS!$B$28,INPUTS!$B$29))))</f>
        <v>4266871.61714319</v>
      </c>
      <c r="X80" s="89" t="n">
        <f aca="true">IF(X$5=0,W80,MAX(0,(W80-X$4)*(1+NORMINV(RAND(),INPUTS!$B$28,INPUTS!$B$29))))</f>
        <v>4298375.40373108</v>
      </c>
      <c r="Y80" s="89" t="n">
        <f aca="true">IF(Y$5=0,X80,MAX(0,(X80-Y$4)*(1+NORMINV(RAND(),INPUTS!$B$28,INPUTS!$B$29))))</f>
        <v>4091670.17295103</v>
      </c>
      <c r="Z80" s="89" t="n">
        <f aca="true">IF(Z$5=0,Y80,MAX(0,(Y80-Z$4)*(1+NORMINV(RAND(),INPUTS!$B$28,INPUTS!$B$29))))</f>
        <v>4233730.35183664</v>
      </c>
      <c r="AA80" s="89" t="n">
        <f aca="true">IF(AA$5=0,Z80,MAX(0,(Z80-AA$4)*(1+NORMINV(RAND(),INPUTS!$B$28,INPUTS!$B$29))))</f>
        <v>4494085.06093807</v>
      </c>
      <c r="AB80" s="89" t="n">
        <f aca="true">IF(AB$5=0,AA80,MAX(0,(AA80-AB$4)*(1+NORMINV(RAND(),INPUTS!$B$28,INPUTS!$B$29))))</f>
        <v>4648009.74335956</v>
      </c>
      <c r="AC80" s="89" t="n">
        <f aca="true">IF(AC$5=0,AB80,MAX(0,(AB80-AC$4)*(1+NORMINV(RAND(),INPUTS!$B$28,INPUTS!$B$29))))</f>
        <v>5386197.59796973</v>
      </c>
      <c r="AD80" s="89" t="n">
        <f aca="true">IF(AD$5=0,AC80,MAX(0,(AC80-AD$4)*(1+NORMINV(RAND(),INPUTS!$B$28,INPUTS!$B$29))))</f>
        <v>5853648.67486133</v>
      </c>
      <c r="AE80" s="89" t="n">
        <f aca="true">IF(AE$5=0,AD80,MAX(0,(AD80-AE$4)*(1+NORMINV(RAND(),INPUTS!$B$28,INPUTS!$B$29))))</f>
        <v>6169868.29872222</v>
      </c>
      <c r="AF80" s="89" t="n">
        <f aca="true">IF(AF$5=0,AE80,MAX(0,(AE80-AF$4)*(1+NORMINV(RAND(),INPUTS!$B$28,INPUTS!$B$29))))</f>
        <v>6138935.69240366</v>
      </c>
      <c r="AG80" s="89" t="n">
        <f aca="true">IF(AG$5=0,AF80,MAX(0,(AF80-AG$4)*(1+NORMINV(RAND(),INPUTS!$B$28,INPUTS!$B$29))))</f>
        <v>6470032.74953182</v>
      </c>
      <c r="AH80" s="89" t="n">
        <f aca="true">IF(AH$5=0,AG80,MAX(0,(AG80-AH$4)*(1+NORMINV(RAND(),INPUTS!$B$28,INPUTS!$B$29))))</f>
        <v>6036739.55986776</v>
      </c>
      <c r="AI80" s="89" t="n">
        <f aca="true">IF(AI$5=0,AH80,MAX(0,(AH80-AI$4)*(1+NORMINV(RAND(),INPUTS!$B$28,INPUTS!$B$29))))</f>
        <v>4662831.33356989</v>
      </c>
      <c r="AJ80" s="89" t="n">
        <f aca="true">IF(AJ$5=0,AI80,MAX(0,(AI80-AJ$4)*(1+NORMINV(RAND(),INPUTS!$B$28,INPUTS!$B$29))))</f>
        <v>4459100.9377479</v>
      </c>
      <c r="AK80" s="89" t="n">
        <f aca="true">IF(AK$5=0,AJ80,MAX(0,(AJ80-AK$4)*(1+NORMINV(RAND(),INPUTS!$B$28,INPUTS!$B$29))))</f>
        <v>5684486.41101358</v>
      </c>
      <c r="AL80" s="89" t="n">
        <f aca="true">IF(AL$5=0,AK80,MAX(0,(AK80-AL$4)*(1+NORMINV(RAND(),INPUTS!$B$28,INPUTS!$B$29))))</f>
        <v>6184623.26120955</v>
      </c>
      <c r="AM80" s="89" t="n">
        <f aca="true">IF(AM$5=0,AL80,MAX(0,(AL80-AM$4)*(1+NORMINV(RAND(),INPUTS!$B$28,INPUTS!$B$29))))</f>
        <v>6184623.26120955</v>
      </c>
      <c r="AN80" s="89" t="n">
        <f aca="true">IF(AN$5=0,AM80,MAX(0,(AM80-AN$4)*(1+NORMINV(RAND(),INPUTS!$B$28,INPUTS!$B$29))))</f>
        <v>6184623.26120955</v>
      </c>
      <c r="AO80" s="89" t="n">
        <f aca="true">IF(AO$5=0,AN80,MAX(0,(AN80-AO$4)*(1+NORMINV(RAND(),INPUTS!$B$28,INPUTS!$B$29))))</f>
        <v>6184623.26120955</v>
      </c>
      <c r="AP80" s="89" t="n">
        <f aca="true">IF(AP$5=0,AO80,MAX(0,(AO80-AP$4)*(1+NORMINV(RAND(),INPUTS!$B$28,INPUTS!$B$29))))</f>
        <v>6184623.26120955</v>
      </c>
      <c r="AQ80" s="89" t="n">
        <f aca="true">IF(AQ$5=0,AP80,MAX(0,(AP80-AQ$4)*(1+NORMINV(RAND(),INPUTS!$B$28,INPUTS!$B$29))))</f>
        <v>6184623.26120955</v>
      </c>
      <c r="AR80" s="89" t="n">
        <f aca="true">IF(AR$5=0,AQ80,MAX(0,(AQ80-AR$4)*(1+NORMINV(RAND(),INPUTS!$B$28,INPUTS!$B$29))))</f>
        <v>6184623.26120955</v>
      </c>
      <c r="AS80" s="89" t="n">
        <f aca="true">IF(AS$5=0,AR80,MAX(0,(AR80-AS$4)*(1+NORMINV(RAND(),INPUTS!$B$28,INPUTS!$B$29))))</f>
        <v>6184623.26120955</v>
      </c>
      <c r="AT80" s="89" t="n">
        <f aca="true">IF(AT$5=0,AS80,MAX(0,(AS80-AT$4)*(1+NORMINV(RAND(),INPUTS!$B$28,INPUTS!$B$29))))</f>
        <v>6184623.26120955</v>
      </c>
      <c r="AU80" s="89" t="n">
        <f aca="true">IF(AU$5=0,AT80,MAX(0,(AT80-AU$4)*(1+NORMINV(RAND(),INPUTS!$B$28,INPUTS!$B$29))))</f>
        <v>6184623.26120955</v>
      </c>
      <c r="AV80" s="89" t="n">
        <f aca="true">IF(AV$5=0,AU80,MAX(0,(AU80-AV$4)*(1+NORMINV(RAND(),INPUTS!$B$28,INPUTS!$B$29))))</f>
        <v>6184623.26120955</v>
      </c>
      <c r="AW80" s="89" t="n">
        <f aca="true">IF(AW$5=0,AV80,MAX(0,(AV80-AW$4)*(1+NORMINV(RAND(),INPUTS!$B$28,INPUTS!$B$29))))</f>
        <v>6184623.26120955</v>
      </c>
      <c r="AX80" s="89" t="n">
        <f aca="true">IF(AX$5=0,AW80,MAX(0,(AW80-AX$4)*(1+NORMINV(RAND(),INPUTS!$B$28,INPUTS!$B$29))))</f>
        <v>6184623.26120955</v>
      </c>
      <c r="AY80" s="89" t="n">
        <f aca="true">IF(AY$5=0,AX80,MAX(0,(AX80-AY$4)*(1+NORMINV(RAND(),INPUTS!$B$28,INPUTS!$B$29))))</f>
        <v>6184623.26120955</v>
      </c>
      <c r="AZ80" s="89" t="n">
        <f aca="true">IF(AZ$5=0,AY80,MAX(0,(AY80-AZ$4)*(1+NORMINV(RAND(),INPUTS!$B$28,INPUTS!$B$29))))</f>
        <v>6184623.26120955</v>
      </c>
      <c r="BA80" s="89" t="n">
        <f aca="true">IF(BA$5=0,AZ80,MAX(0,(AZ80-BA$4)*(1+NORMINV(RAND(),INPUTS!$B$28,INPUTS!$B$29))))</f>
        <v>6184623.26120955</v>
      </c>
      <c r="BB80" s="89" t="n">
        <f aca="true">IF(BB$5=0,BA80,MAX(0,(BA80-BB$4)*(1+NORMINV(RAND(),INPUTS!$B$28,INPUTS!$B$29))))</f>
        <v>6184623.26120955</v>
      </c>
      <c r="BC80" s="89" t="n">
        <f aca="true">IF(BC$5=0,BB80,MAX(0,(BB80-BC$4)*(1+NORMINV(RAND(),INPUTS!$B$28,INPUTS!$B$29))))</f>
        <v>6184623.26120955</v>
      </c>
      <c r="BD80" s="89" t="n">
        <f aca="true">IF(BD$5=0,BC80,MAX(0,(BC80-BD$4)*(1+NORMINV(RAND(),INPUTS!$B$28,INPUTS!$B$29))))</f>
        <v>6184623.26120955</v>
      </c>
      <c r="BE80" s="89" t="n">
        <f aca="true">IF(BE$5=0,BD80,MAX(0,(BD80-BE$4)*(1+NORMINV(RAND(),INPUTS!$B$28,INPUTS!$B$29))))</f>
        <v>6184623.26120955</v>
      </c>
      <c r="BF80" s="89" t="n">
        <f aca="true">IF(BF$5=0,BE80,MAX(0,(BE80-BF$4)*(1+NORMINV(RAND(),INPUTS!$B$28,INPUTS!$B$29))))</f>
        <v>6184623.26120955</v>
      </c>
      <c r="BG80" s="89" t="n">
        <f aca="true">IF(BG$5=0,BF80,MAX(0,(BF80-BG$4)*(1+NORMINV(RAND(),INPUTS!$B$28,INPUTS!$B$29))))</f>
        <v>6184623.26120955</v>
      </c>
      <c r="BH80" s="89" t="n">
        <f aca="true">IF(BH$5=0,BG80,MAX(0,(BG80-BH$4)*(1+NORMINV(RAND(),INPUTS!$B$28,INPUTS!$B$29))))</f>
        <v>6184623.26120955</v>
      </c>
      <c r="BI80" s="89" t="n">
        <f aca="true">IF(BI$5=0,BH80,MAX(0,(BH80-BI$4)*(1+NORMINV(RAND(),INPUTS!$B$28,INPUTS!$B$29))))</f>
        <v>6184623.26120955</v>
      </c>
      <c r="BJ80" s="89" t="n">
        <f aca="true">IF(BJ$5=0,BI80,MAX(0,(BI80-BJ$4)*(1+NORMINV(RAND(),INPUTS!$B$28,INPUTS!$B$29))))</f>
        <v>6184623.26120955</v>
      </c>
    </row>
    <row r="81" customFormat="false" ht="15" hidden="false" customHeight="true" outlineLevel="0" collapsed="false">
      <c r="A81" s="87" t="n">
        <v>74</v>
      </c>
      <c r="B81" s="88" t="n">
        <f aca="false">LOOKUP(9.99E+307,C81:BJ81)</f>
        <v>3424333.32855318</v>
      </c>
      <c r="C81" s="89" t="n">
        <f aca="true">IF(C$5=0,INPUTS!$B$35,MAX(0,(INPUTS!$B$35-C$4)*(1+NORMINV(RAND(),INPUTS!$B$28,INPUTS!$B$29))))</f>
        <v>1511500.77142643</v>
      </c>
      <c r="D81" s="89" t="n">
        <f aca="true">IF(D$5=0,C81,MAX(0,(C81-D$4)*(1+NORMINV(RAND(),INPUTS!$B$28,INPUTS!$B$29))))</f>
        <v>1963855.10389452</v>
      </c>
      <c r="E81" s="89" t="n">
        <f aca="true">IF(E$5=0,D81,MAX(0,(D81-E$4)*(1+NORMINV(RAND(),INPUTS!$B$28,INPUTS!$B$29))))</f>
        <v>1817735.21389217</v>
      </c>
      <c r="F81" s="89" t="n">
        <f aca="true">IF(F$5=0,E81,MAX(0,(E81-F$4)*(1+NORMINV(RAND(),INPUTS!$B$28,INPUTS!$B$29))))</f>
        <v>1738675.09660791</v>
      </c>
      <c r="G81" s="89" t="n">
        <f aca="true">IF(G$5=0,F81,MAX(0,(F81-G$4)*(1+NORMINV(RAND(),INPUTS!$B$28,INPUTS!$B$29))))</f>
        <v>1691068.9274536</v>
      </c>
      <c r="H81" s="89" t="n">
        <f aca="true">IF(H$5=0,G81,MAX(0,(G81-H$4)*(1+NORMINV(RAND(),INPUTS!$B$28,INPUTS!$B$29))))</f>
        <v>1988087.52175545</v>
      </c>
      <c r="I81" s="89" t="n">
        <f aca="true">IF(I$5=0,H81,MAX(0,(H81-I$4)*(1+NORMINV(RAND(),INPUTS!$B$28,INPUTS!$B$29))))</f>
        <v>1994029.21298701</v>
      </c>
      <c r="J81" s="89" t="n">
        <f aca="true">IF(J$5=0,I81,MAX(0,(I81-J$4)*(1+NORMINV(RAND(),INPUTS!$B$28,INPUTS!$B$29))))</f>
        <v>2209752.22775763</v>
      </c>
      <c r="K81" s="89" t="n">
        <f aca="true">IF(K$5=0,J81,MAX(0,(J81-K$4)*(1+NORMINV(RAND(),INPUTS!$B$28,INPUTS!$B$29))))</f>
        <v>2285154.83161589</v>
      </c>
      <c r="L81" s="89" t="n">
        <f aca="true">IF(L$5=0,K81,MAX(0,(K81-L$4)*(1+NORMINV(RAND(),INPUTS!$B$28,INPUTS!$B$29))))</f>
        <v>2798428.3386557</v>
      </c>
      <c r="M81" s="89" t="n">
        <f aca="true">IF(M$5=0,L81,MAX(0,(L81-M$4)*(1+NORMINV(RAND(),INPUTS!$B$28,INPUTS!$B$29))))</f>
        <v>3795979.23647866</v>
      </c>
      <c r="N81" s="89" t="n">
        <f aca="true">IF(N$5=0,M81,MAX(0,(M81-N$4)*(1+NORMINV(RAND(),INPUTS!$B$28,INPUTS!$B$29))))</f>
        <v>3157653.65770657</v>
      </c>
      <c r="O81" s="89" t="n">
        <f aca="true">IF(O$5=0,N81,MAX(0,(N81-O$4)*(1+NORMINV(RAND(),INPUTS!$B$28,INPUTS!$B$29))))</f>
        <v>3093360.13225266</v>
      </c>
      <c r="P81" s="89" t="n">
        <f aca="true">IF(P$5=0,O81,MAX(0,(O81-P$4)*(1+NORMINV(RAND(),INPUTS!$B$28,INPUTS!$B$29))))</f>
        <v>3101130.23591752</v>
      </c>
      <c r="Q81" s="89" t="n">
        <f aca="true">IF(Q$5=0,P81,MAX(0,(P81-Q$4)*(1+NORMINV(RAND(),INPUTS!$B$28,INPUTS!$B$29))))</f>
        <v>2444218.93183417</v>
      </c>
      <c r="R81" s="89" t="n">
        <f aca="true">IF(R$5=0,Q81,MAX(0,(Q81-R$4)*(1+NORMINV(RAND(),INPUTS!$B$28,INPUTS!$B$29))))</f>
        <v>1564494.12879276</v>
      </c>
      <c r="S81" s="89" t="n">
        <f aca="true">IF(S$5=0,R81,MAX(0,(R81-S$4)*(1+NORMINV(RAND(),INPUTS!$B$28,INPUTS!$B$29))))</f>
        <v>1948552.94000064</v>
      </c>
      <c r="T81" s="89" t="n">
        <f aca="true">IF(T$5=0,S81,MAX(0,(S81-T$4)*(1+NORMINV(RAND(),INPUTS!$B$28,INPUTS!$B$29))))</f>
        <v>2057683.63113714</v>
      </c>
      <c r="U81" s="89" t="n">
        <f aca="true">IF(U$5=0,T81,MAX(0,(T81-U$4)*(1+NORMINV(RAND(),INPUTS!$B$28,INPUTS!$B$29))))</f>
        <v>1484436.25614823</v>
      </c>
      <c r="V81" s="89" t="n">
        <f aca="true">IF(V$5=0,U81,MAX(0,(U81-V$4)*(1+NORMINV(RAND(),INPUTS!$B$28,INPUTS!$B$29))))</f>
        <v>1640500.18703207</v>
      </c>
      <c r="W81" s="89" t="n">
        <f aca="true">IF(W$5=0,V81,MAX(0,(V81-W$4)*(1+NORMINV(RAND(),INPUTS!$B$28,INPUTS!$B$29))))</f>
        <v>1827390.97189888</v>
      </c>
      <c r="X81" s="89" t="n">
        <f aca="true">IF(X$5=0,W81,MAX(0,(W81-X$4)*(1+NORMINV(RAND(),INPUTS!$B$28,INPUTS!$B$29))))</f>
        <v>2206951.46955143</v>
      </c>
      <c r="Y81" s="89" t="n">
        <f aca="true">IF(Y$5=0,X81,MAX(0,(X81-Y$4)*(1+NORMINV(RAND(),INPUTS!$B$28,INPUTS!$B$29))))</f>
        <v>2004615.14280775</v>
      </c>
      <c r="Z81" s="89" t="n">
        <f aca="true">IF(Z$5=0,Y81,MAX(0,(Y81-Z$4)*(1+NORMINV(RAND(),INPUTS!$B$28,INPUTS!$B$29))))</f>
        <v>1649898.57682922</v>
      </c>
      <c r="AA81" s="89" t="n">
        <f aca="true">IF(AA$5=0,Z81,MAX(0,(Z81-AA$4)*(1+NORMINV(RAND(),INPUTS!$B$28,INPUTS!$B$29))))</f>
        <v>1761674.18848678</v>
      </c>
      <c r="AB81" s="89" t="n">
        <f aca="true">IF(AB$5=0,AA81,MAX(0,(AA81-AB$4)*(1+NORMINV(RAND(),INPUTS!$B$28,INPUTS!$B$29))))</f>
        <v>1950030.37602971</v>
      </c>
      <c r="AC81" s="89" t="n">
        <f aca="true">IF(AC$5=0,AB81,MAX(0,(AB81-AC$4)*(1+NORMINV(RAND(),INPUTS!$B$28,INPUTS!$B$29))))</f>
        <v>2152848.22195676</v>
      </c>
      <c r="AD81" s="89" t="n">
        <f aca="true">IF(AD$5=0,AC81,MAX(0,(AC81-AD$4)*(1+NORMINV(RAND(),INPUTS!$B$28,INPUTS!$B$29))))</f>
        <v>2406119.40098972</v>
      </c>
      <c r="AE81" s="89" t="n">
        <f aca="true">IF(AE$5=0,AD81,MAX(0,(AD81-AE$4)*(1+NORMINV(RAND(),INPUTS!$B$28,INPUTS!$B$29))))</f>
        <v>2425762.98498746</v>
      </c>
      <c r="AF81" s="89" t="n">
        <f aca="true">IF(AF$5=0,AE81,MAX(0,(AE81-AF$4)*(1+NORMINV(RAND(),INPUTS!$B$28,INPUTS!$B$29))))</f>
        <v>2606915.46337423</v>
      </c>
      <c r="AG81" s="89" t="n">
        <f aca="true">IF(AG$5=0,AF81,MAX(0,(AF81-AG$4)*(1+NORMINV(RAND(),INPUTS!$B$28,INPUTS!$B$29))))</f>
        <v>2705186.52222958</v>
      </c>
      <c r="AH81" s="89" t="n">
        <f aca="true">IF(AH$5=0,AG81,MAX(0,(AG81-AH$4)*(1+NORMINV(RAND(),INPUTS!$B$28,INPUTS!$B$29))))</f>
        <v>2950959.419781</v>
      </c>
      <c r="AI81" s="89" t="n">
        <f aca="true">IF(AI$5=0,AH81,MAX(0,(AH81-AI$4)*(1+NORMINV(RAND(),INPUTS!$B$28,INPUTS!$B$29))))</f>
        <v>3198216.74825784</v>
      </c>
      <c r="AJ81" s="89" t="n">
        <f aca="true">IF(AJ$5=0,AI81,MAX(0,(AI81-AJ$4)*(1+NORMINV(RAND(),INPUTS!$B$28,INPUTS!$B$29))))</f>
        <v>3020900.57861702</v>
      </c>
      <c r="AK81" s="89" t="n">
        <f aca="true">IF(AK$5=0,AJ81,MAX(0,(AJ81-AK$4)*(1+NORMINV(RAND(),INPUTS!$B$28,INPUTS!$B$29))))</f>
        <v>3232934.57113135</v>
      </c>
      <c r="AL81" s="89" t="n">
        <f aca="true">IF(AL$5=0,AK81,MAX(0,(AK81-AL$4)*(1+NORMINV(RAND(),INPUTS!$B$28,INPUTS!$B$29))))</f>
        <v>3424333.32855318</v>
      </c>
      <c r="AM81" s="89" t="n">
        <f aca="true">IF(AM$5=0,AL81,MAX(0,(AL81-AM$4)*(1+NORMINV(RAND(),INPUTS!$B$28,INPUTS!$B$29))))</f>
        <v>3424333.32855318</v>
      </c>
      <c r="AN81" s="89" t="n">
        <f aca="true">IF(AN$5=0,AM81,MAX(0,(AM81-AN$4)*(1+NORMINV(RAND(),INPUTS!$B$28,INPUTS!$B$29))))</f>
        <v>3424333.32855318</v>
      </c>
      <c r="AO81" s="89" t="n">
        <f aca="true">IF(AO$5=0,AN81,MAX(0,(AN81-AO$4)*(1+NORMINV(RAND(),INPUTS!$B$28,INPUTS!$B$29))))</f>
        <v>3424333.32855318</v>
      </c>
      <c r="AP81" s="89" t="n">
        <f aca="true">IF(AP$5=0,AO81,MAX(0,(AO81-AP$4)*(1+NORMINV(RAND(),INPUTS!$B$28,INPUTS!$B$29))))</f>
        <v>3424333.32855318</v>
      </c>
      <c r="AQ81" s="89" t="n">
        <f aca="true">IF(AQ$5=0,AP81,MAX(0,(AP81-AQ$4)*(1+NORMINV(RAND(),INPUTS!$B$28,INPUTS!$B$29))))</f>
        <v>3424333.32855318</v>
      </c>
      <c r="AR81" s="89" t="n">
        <f aca="true">IF(AR$5=0,AQ81,MAX(0,(AQ81-AR$4)*(1+NORMINV(RAND(),INPUTS!$B$28,INPUTS!$B$29))))</f>
        <v>3424333.32855318</v>
      </c>
      <c r="AS81" s="89" t="n">
        <f aca="true">IF(AS$5=0,AR81,MAX(0,(AR81-AS$4)*(1+NORMINV(RAND(),INPUTS!$B$28,INPUTS!$B$29))))</f>
        <v>3424333.32855318</v>
      </c>
      <c r="AT81" s="89" t="n">
        <f aca="true">IF(AT$5=0,AS81,MAX(0,(AS81-AT$4)*(1+NORMINV(RAND(),INPUTS!$B$28,INPUTS!$B$29))))</f>
        <v>3424333.32855318</v>
      </c>
      <c r="AU81" s="89" t="n">
        <f aca="true">IF(AU$5=0,AT81,MAX(0,(AT81-AU$4)*(1+NORMINV(RAND(),INPUTS!$B$28,INPUTS!$B$29))))</f>
        <v>3424333.32855318</v>
      </c>
      <c r="AV81" s="89" t="n">
        <f aca="true">IF(AV$5=0,AU81,MAX(0,(AU81-AV$4)*(1+NORMINV(RAND(),INPUTS!$B$28,INPUTS!$B$29))))</f>
        <v>3424333.32855318</v>
      </c>
      <c r="AW81" s="89" t="n">
        <f aca="true">IF(AW$5=0,AV81,MAX(0,(AV81-AW$4)*(1+NORMINV(RAND(),INPUTS!$B$28,INPUTS!$B$29))))</f>
        <v>3424333.32855318</v>
      </c>
      <c r="AX81" s="89" t="n">
        <f aca="true">IF(AX$5=0,AW81,MAX(0,(AW81-AX$4)*(1+NORMINV(RAND(),INPUTS!$B$28,INPUTS!$B$29))))</f>
        <v>3424333.32855318</v>
      </c>
      <c r="AY81" s="89" t="n">
        <f aca="true">IF(AY$5=0,AX81,MAX(0,(AX81-AY$4)*(1+NORMINV(RAND(),INPUTS!$B$28,INPUTS!$B$29))))</f>
        <v>3424333.32855318</v>
      </c>
      <c r="AZ81" s="89" t="n">
        <f aca="true">IF(AZ$5=0,AY81,MAX(0,(AY81-AZ$4)*(1+NORMINV(RAND(),INPUTS!$B$28,INPUTS!$B$29))))</f>
        <v>3424333.32855318</v>
      </c>
      <c r="BA81" s="89" t="n">
        <f aca="true">IF(BA$5=0,AZ81,MAX(0,(AZ81-BA$4)*(1+NORMINV(RAND(),INPUTS!$B$28,INPUTS!$B$29))))</f>
        <v>3424333.32855318</v>
      </c>
      <c r="BB81" s="89" t="n">
        <f aca="true">IF(BB$5=0,BA81,MAX(0,(BA81-BB$4)*(1+NORMINV(RAND(),INPUTS!$B$28,INPUTS!$B$29))))</f>
        <v>3424333.32855318</v>
      </c>
      <c r="BC81" s="89" t="n">
        <f aca="true">IF(BC$5=0,BB81,MAX(0,(BB81-BC$4)*(1+NORMINV(RAND(),INPUTS!$B$28,INPUTS!$B$29))))</f>
        <v>3424333.32855318</v>
      </c>
      <c r="BD81" s="89" t="n">
        <f aca="true">IF(BD$5=0,BC81,MAX(0,(BC81-BD$4)*(1+NORMINV(RAND(),INPUTS!$B$28,INPUTS!$B$29))))</f>
        <v>3424333.32855318</v>
      </c>
      <c r="BE81" s="89" t="n">
        <f aca="true">IF(BE$5=0,BD81,MAX(0,(BD81-BE$4)*(1+NORMINV(RAND(),INPUTS!$B$28,INPUTS!$B$29))))</f>
        <v>3424333.32855318</v>
      </c>
      <c r="BF81" s="89" t="n">
        <f aca="true">IF(BF$5=0,BE81,MAX(0,(BE81-BF$4)*(1+NORMINV(RAND(),INPUTS!$B$28,INPUTS!$B$29))))</f>
        <v>3424333.32855318</v>
      </c>
      <c r="BG81" s="89" t="n">
        <f aca="true">IF(BG$5=0,BF81,MAX(0,(BF81-BG$4)*(1+NORMINV(RAND(),INPUTS!$B$28,INPUTS!$B$29))))</f>
        <v>3424333.32855318</v>
      </c>
      <c r="BH81" s="89" t="n">
        <f aca="true">IF(BH$5=0,BG81,MAX(0,(BG81-BH$4)*(1+NORMINV(RAND(),INPUTS!$B$28,INPUTS!$B$29))))</f>
        <v>3424333.32855318</v>
      </c>
      <c r="BI81" s="89" t="n">
        <f aca="true">IF(BI$5=0,BH81,MAX(0,(BH81-BI$4)*(1+NORMINV(RAND(),INPUTS!$B$28,INPUTS!$B$29))))</f>
        <v>3424333.32855318</v>
      </c>
      <c r="BJ81" s="89" t="n">
        <f aca="true">IF(BJ$5=0,BI81,MAX(0,(BI81-BJ$4)*(1+NORMINV(RAND(),INPUTS!$B$28,INPUTS!$B$29))))</f>
        <v>3424333.32855318</v>
      </c>
    </row>
    <row r="82" customFormat="false" ht="15" hidden="false" customHeight="true" outlineLevel="0" collapsed="false">
      <c r="A82" s="87" t="n">
        <v>75</v>
      </c>
      <c r="B82" s="88" t="n">
        <f aca="false">LOOKUP(9.99E+307,C82:BJ82)</f>
        <v>8717765.17170076</v>
      </c>
      <c r="C82" s="89" t="n">
        <f aca="true">IF(C$5=0,INPUTS!$B$35,MAX(0,(INPUTS!$B$35-C$4)*(1+NORMINV(RAND(),INPUTS!$B$28,INPUTS!$B$29))))</f>
        <v>1397275.56770924</v>
      </c>
      <c r="D82" s="89" t="n">
        <f aca="true">IF(D$5=0,C82,MAX(0,(C82-D$4)*(1+NORMINV(RAND(),INPUTS!$B$28,INPUTS!$B$29))))</f>
        <v>1517370.41916489</v>
      </c>
      <c r="E82" s="89" t="n">
        <f aca="true">IF(E$5=0,D82,MAX(0,(D82-E$4)*(1+NORMINV(RAND(),INPUTS!$B$28,INPUTS!$B$29))))</f>
        <v>1612433.63107936</v>
      </c>
      <c r="F82" s="89" t="n">
        <f aca="true">IF(F$5=0,E82,MAX(0,(E82-F$4)*(1+NORMINV(RAND(),INPUTS!$B$28,INPUTS!$B$29))))</f>
        <v>1738670.66297547</v>
      </c>
      <c r="G82" s="89" t="n">
        <f aca="true">IF(G$5=0,F82,MAX(0,(F82-G$4)*(1+NORMINV(RAND(),INPUTS!$B$28,INPUTS!$B$29))))</f>
        <v>1606189.59309621</v>
      </c>
      <c r="H82" s="89" t="n">
        <f aca="true">IF(H$5=0,G82,MAX(0,(G82-H$4)*(1+NORMINV(RAND(),INPUTS!$B$28,INPUTS!$B$29))))</f>
        <v>1943326.62921615</v>
      </c>
      <c r="I82" s="89" t="n">
        <f aca="true">IF(I$5=0,H82,MAX(0,(H82-I$4)*(1+NORMINV(RAND(),INPUTS!$B$28,INPUTS!$B$29))))</f>
        <v>2011346.30956398</v>
      </c>
      <c r="J82" s="89" t="n">
        <f aca="true">IF(J$5=0,I82,MAX(0,(I82-J$4)*(1+NORMINV(RAND(),INPUTS!$B$28,INPUTS!$B$29))))</f>
        <v>2564436.90421912</v>
      </c>
      <c r="K82" s="89" t="n">
        <f aca="true">IF(K$5=0,J82,MAX(0,(J82-K$4)*(1+NORMINV(RAND(),INPUTS!$B$28,INPUTS!$B$29))))</f>
        <v>2756158.35427594</v>
      </c>
      <c r="L82" s="89" t="n">
        <f aca="true">IF(L$5=0,K82,MAX(0,(K82-L$4)*(1+NORMINV(RAND(),INPUTS!$B$28,INPUTS!$B$29))))</f>
        <v>3138585.90866869</v>
      </c>
      <c r="M82" s="89" t="n">
        <f aca="true">IF(M$5=0,L82,MAX(0,(L82-M$4)*(1+NORMINV(RAND(),INPUTS!$B$28,INPUTS!$B$29))))</f>
        <v>3128535.37978696</v>
      </c>
      <c r="N82" s="89" t="n">
        <f aca="true">IF(N$5=0,M82,MAX(0,(M82-N$4)*(1+NORMINV(RAND(),INPUTS!$B$28,INPUTS!$B$29))))</f>
        <v>3202844.04061747</v>
      </c>
      <c r="O82" s="89" t="n">
        <f aca="true">IF(O$5=0,N82,MAX(0,(N82-O$4)*(1+NORMINV(RAND(),INPUTS!$B$28,INPUTS!$B$29))))</f>
        <v>3352860.07349823</v>
      </c>
      <c r="P82" s="89" t="n">
        <f aca="true">IF(P$5=0,O82,MAX(0,(O82-P$4)*(1+NORMINV(RAND(),INPUTS!$B$28,INPUTS!$B$29))))</f>
        <v>3139876.17167838</v>
      </c>
      <c r="Q82" s="89" t="n">
        <f aca="true">IF(Q$5=0,P82,MAX(0,(P82-Q$4)*(1+NORMINV(RAND(),INPUTS!$B$28,INPUTS!$B$29))))</f>
        <v>3469589.52124843</v>
      </c>
      <c r="R82" s="89" t="n">
        <f aca="true">IF(R$5=0,Q82,MAX(0,(Q82-R$4)*(1+NORMINV(RAND(),INPUTS!$B$28,INPUTS!$B$29))))</f>
        <v>3756619.32997896</v>
      </c>
      <c r="S82" s="89" t="n">
        <f aca="true">IF(S$5=0,R82,MAX(0,(R82-S$4)*(1+NORMINV(RAND(),INPUTS!$B$28,INPUTS!$B$29))))</f>
        <v>3931656.28113021</v>
      </c>
      <c r="T82" s="89" t="n">
        <f aca="true">IF(T$5=0,S82,MAX(0,(S82-T$4)*(1+NORMINV(RAND(),INPUTS!$B$28,INPUTS!$B$29))))</f>
        <v>4513139.03867998</v>
      </c>
      <c r="U82" s="89" t="n">
        <f aca="true">IF(U$5=0,T82,MAX(0,(T82-U$4)*(1+NORMINV(RAND(),INPUTS!$B$28,INPUTS!$B$29))))</f>
        <v>4614937.65556431</v>
      </c>
      <c r="V82" s="89" t="n">
        <f aca="true">IF(V$5=0,U82,MAX(0,(U82-V$4)*(1+NORMINV(RAND(),INPUTS!$B$28,INPUTS!$B$29))))</f>
        <v>4683166.08503514</v>
      </c>
      <c r="W82" s="89" t="n">
        <f aca="true">IF(W$5=0,V82,MAX(0,(V82-W$4)*(1+NORMINV(RAND(),INPUTS!$B$28,INPUTS!$B$29))))</f>
        <v>4183436.06120508</v>
      </c>
      <c r="X82" s="89" t="n">
        <f aca="true">IF(X$5=0,W82,MAX(0,(W82-X$4)*(1+NORMINV(RAND(),INPUTS!$B$28,INPUTS!$B$29))))</f>
        <v>3561243.28366308</v>
      </c>
      <c r="Y82" s="89" t="n">
        <f aca="true">IF(Y$5=0,X82,MAX(0,(X82-Y$4)*(1+NORMINV(RAND(),INPUTS!$B$28,INPUTS!$B$29))))</f>
        <v>4076011.68537911</v>
      </c>
      <c r="Z82" s="89" t="n">
        <f aca="true">IF(Z$5=0,Y82,MAX(0,(Y82-Z$4)*(1+NORMINV(RAND(),INPUTS!$B$28,INPUTS!$B$29))))</f>
        <v>4790506.86927245</v>
      </c>
      <c r="AA82" s="89" t="n">
        <f aca="true">IF(AA$5=0,Z82,MAX(0,(Z82-AA$4)*(1+NORMINV(RAND(),INPUTS!$B$28,INPUTS!$B$29))))</f>
        <v>4852247.83494231</v>
      </c>
      <c r="AB82" s="89" t="n">
        <f aca="true">IF(AB$5=0,AA82,MAX(0,(AA82-AB$4)*(1+NORMINV(RAND(),INPUTS!$B$28,INPUTS!$B$29))))</f>
        <v>5245170.12784661</v>
      </c>
      <c r="AC82" s="89" t="n">
        <f aca="true">IF(AC$5=0,AB82,MAX(0,(AB82-AC$4)*(1+NORMINV(RAND(),INPUTS!$B$28,INPUTS!$B$29))))</f>
        <v>3931636.16995108</v>
      </c>
      <c r="AD82" s="89" t="n">
        <f aca="true">IF(AD$5=0,AC82,MAX(0,(AC82-AD$4)*(1+NORMINV(RAND(),INPUTS!$B$28,INPUTS!$B$29))))</f>
        <v>4386751.19102262</v>
      </c>
      <c r="AE82" s="89" t="n">
        <f aca="true">IF(AE$5=0,AD82,MAX(0,(AD82-AE$4)*(1+NORMINV(RAND(),INPUTS!$B$28,INPUTS!$B$29))))</f>
        <v>4750962.40827638</v>
      </c>
      <c r="AF82" s="89" t="n">
        <f aca="true">IF(AF$5=0,AE82,MAX(0,(AE82-AF$4)*(1+NORMINV(RAND(),INPUTS!$B$28,INPUTS!$B$29))))</f>
        <v>5671207.05017798</v>
      </c>
      <c r="AG82" s="89" t="n">
        <f aca="true">IF(AG$5=0,AF82,MAX(0,(AF82-AG$4)*(1+NORMINV(RAND(),INPUTS!$B$28,INPUTS!$B$29))))</f>
        <v>7222722.44448945</v>
      </c>
      <c r="AH82" s="89" t="n">
        <f aca="true">IF(AH$5=0,AG82,MAX(0,(AG82-AH$4)*(1+NORMINV(RAND(),INPUTS!$B$28,INPUTS!$B$29))))</f>
        <v>8293607.76118466</v>
      </c>
      <c r="AI82" s="89" t="n">
        <f aca="true">IF(AI$5=0,AH82,MAX(0,(AH82-AI$4)*(1+NORMINV(RAND(),INPUTS!$B$28,INPUTS!$B$29))))</f>
        <v>7899076.88286301</v>
      </c>
      <c r="AJ82" s="89" t="n">
        <f aca="true">IF(AJ$5=0,AI82,MAX(0,(AI82-AJ$4)*(1+NORMINV(RAND(),INPUTS!$B$28,INPUTS!$B$29))))</f>
        <v>8175776.79901055</v>
      </c>
      <c r="AK82" s="89" t="n">
        <f aca="true">IF(AK$5=0,AJ82,MAX(0,(AJ82-AK$4)*(1+NORMINV(RAND(),INPUTS!$B$28,INPUTS!$B$29))))</f>
        <v>8356956.01191454</v>
      </c>
      <c r="AL82" s="89" t="n">
        <f aca="true">IF(AL$5=0,AK82,MAX(0,(AK82-AL$4)*(1+NORMINV(RAND(),INPUTS!$B$28,INPUTS!$B$29))))</f>
        <v>8717765.17170076</v>
      </c>
      <c r="AM82" s="89" t="n">
        <f aca="true">IF(AM$5=0,AL82,MAX(0,(AL82-AM$4)*(1+NORMINV(RAND(),INPUTS!$B$28,INPUTS!$B$29))))</f>
        <v>8717765.17170076</v>
      </c>
      <c r="AN82" s="89" t="n">
        <f aca="true">IF(AN$5=0,AM82,MAX(0,(AM82-AN$4)*(1+NORMINV(RAND(),INPUTS!$B$28,INPUTS!$B$29))))</f>
        <v>8717765.17170076</v>
      </c>
      <c r="AO82" s="89" t="n">
        <f aca="true">IF(AO$5=0,AN82,MAX(0,(AN82-AO$4)*(1+NORMINV(RAND(),INPUTS!$B$28,INPUTS!$B$29))))</f>
        <v>8717765.17170076</v>
      </c>
      <c r="AP82" s="89" t="n">
        <f aca="true">IF(AP$5=0,AO82,MAX(0,(AO82-AP$4)*(1+NORMINV(RAND(),INPUTS!$B$28,INPUTS!$B$29))))</f>
        <v>8717765.17170076</v>
      </c>
      <c r="AQ82" s="89" t="n">
        <f aca="true">IF(AQ$5=0,AP82,MAX(0,(AP82-AQ$4)*(1+NORMINV(RAND(),INPUTS!$B$28,INPUTS!$B$29))))</f>
        <v>8717765.17170076</v>
      </c>
      <c r="AR82" s="89" t="n">
        <f aca="true">IF(AR$5=0,AQ82,MAX(0,(AQ82-AR$4)*(1+NORMINV(RAND(),INPUTS!$B$28,INPUTS!$B$29))))</f>
        <v>8717765.17170076</v>
      </c>
      <c r="AS82" s="89" t="n">
        <f aca="true">IF(AS$5=0,AR82,MAX(0,(AR82-AS$4)*(1+NORMINV(RAND(),INPUTS!$B$28,INPUTS!$B$29))))</f>
        <v>8717765.17170076</v>
      </c>
      <c r="AT82" s="89" t="n">
        <f aca="true">IF(AT$5=0,AS82,MAX(0,(AS82-AT$4)*(1+NORMINV(RAND(),INPUTS!$B$28,INPUTS!$B$29))))</f>
        <v>8717765.17170076</v>
      </c>
      <c r="AU82" s="89" t="n">
        <f aca="true">IF(AU$5=0,AT82,MAX(0,(AT82-AU$4)*(1+NORMINV(RAND(),INPUTS!$B$28,INPUTS!$B$29))))</f>
        <v>8717765.17170076</v>
      </c>
      <c r="AV82" s="89" t="n">
        <f aca="true">IF(AV$5=0,AU82,MAX(0,(AU82-AV$4)*(1+NORMINV(RAND(),INPUTS!$B$28,INPUTS!$B$29))))</f>
        <v>8717765.17170076</v>
      </c>
      <c r="AW82" s="89" t="n">
        <f aca="true">IF(AW$5=0,AV82,MAX(0,(AV82-AW$4)*(1+NORMINV(RAND(),INPUTS!$B$28,INPUTS!$B$29))))</f>
        <v>8717765.17170076</v>
      </c>
      <c r="AX82" s="89" t="n">
        <f aca="true">IF(AX$5=0,AW82,MAX(0,(AW82-AX$4)*(1+NORMINV(RAND(),INPUTS!$B$28,INPUTS!$B$29))))</f>
        <v>8717765.17170076</v>
      </c>
      <c r="AY82" s="89" t="n">
        <f aca="true">IF(AY$5=0,AX82,MAX(0,(AX82-AY$4)*(1+NORMINV(RAND(),INPUTS!$B$28,INPUTS!$B$29))))</f>
        <v>8717765.17170076</v>
      </c>
      <c r="AZ82" s="89" t="n">
        <f aca="true">IF(AZ$5=0,AY82,MAX(0,(AY82-AZ$4)*(1+NORMINV(RAND(),INPUTS!$B$28,INPUTS!$B$29))))</f>
        <v>8717765.17170076</v>
      </c>
      <c r="BA82" s="89" t="n">
        <f aca="true">IF(BA$5=0,AZ82,MAX(0,(AZ82-BA$4)*(1+NORMINV(RAND(),INPUTS!$B$28,INPUTS!$B$29))))</f>
        <v>8717765.17170076</v>
      </c>
      <c r="BB82" s="89" t="n">
        <f aca="true">IF(BB$5=0,BA82,MAX(0,(BA82-BB$4)*(1+NORMINV(RAND(),INPUTS!$B$28,INPUTS!$B$29))))</f>
        <v>8717765.17170076</v>
      </c>
      <c r="BC82" s="89" t="n">
        <f aca="true">IF(BC$5=0,BB82,MAX(0,(BB82-BC$4)*(1+NORMINV(RAND(),INPUTS!$B$28,INPUTS!$B$29))))</f>
        <v>8717765.17170076</v>
      </c>
      <c r="BD82" s="89" t="n">
        <f aca="true">IF(BD$5=0,BC82,MAX(0,(BC82-BD$4)*(1+NORMINV(RAND(),INPUTS!$B$28,INPUTS!$B$29))))</f>
        <v>8717765.17170076</v>
      </c>
      <c r="BE82" s="89" t="n">
        <f aca="true">IF(BE$5=0,BD82,MAX(0,(BD82-BE$4)*(1+NORMINV(RAND(),INPUTS!$B$28,INPUTS!$B$29))))</f>
        <v>8717765.17170076</v>
      </c>
      <c r="BF82" s="89" t="n">
        <f aca="true">IF(BF$5=0,BE82,MAX(0,(BE82-BF$4)*(1+NORMINV(RAND(),INPUTS!$B$28,INPUTS!$B$29))))</f>
        <v>8717765.17170076</v>
      </c>
      <c r="BG82" s="89" t="n">
        <f aca="true">IF(BG$5=0,BF82,MAX(0,(BF82-BG$4)*(1+NORMINV(RAND(),INPUTS!$B$28,INPUTS!$B$29))))</f>
        <v>8717765.17170076</v>
      </c>
      <c r="BH82" s="89" t="n">
        <f aca="true">IF(BH$5=0,BG82,MAX(0,(BG82-BH$4)*(1+NORMINV(RAND(),INPUTS!$B$28,INPUTS!$B$29))))</f>
        <v>8717765.17170076</v>
      </c>
      <c r="BI82" s="89" t="n">
        <f aca="true">IF(BI$5=0,BH82,MAX(0,(BH82-BI$4)*(1+NORMINV(RAND(),INPUTS!$B$28,INPUTS!$B$29))))</f>
        <v>8717765.17170076</v>
      </c>
      <c r="BJ82" s="89" t="n">
        <f aca="true">IF(BJ$5=0,BI82,MAX(0,(BI82-BJ$4)*(1+NORMINV(RAND(),INPUTS!$B$28,INPUTS!$B$29))))</f>
        <v>8717765.17170076</v>
      </c>
    </row>
    <row r="83" customFormat="false" ht="15" hidden="false" customHeight="true" outlineLevel="0" collapsed="false">
      <c r="A83" s="87" t="n">
        <v>76</v>
      </c>
      <c r="B83" s="88" t="n">
        <f aca="false">LOOKUP(9.99E+307,C83:BJ83)</f>
        <v>12687095.9542809</v>
      </c>
      <c r="C83" s="89" t="n">
        <f aca="true">IF(C$5=0,INPUTS!$B$35,MAX(0,(INPUTS!$B$35-C$4)*(1+NORMINV(RAND(),INPUTS!$B$28,INPUTS!$B$29))))</f>
        <v>1500025.17460724</v>
      </c>
      <c r="D83" s="89" t="n">
        <f aca="true">IF(D$5=0,C83,MAX(0,(C83-D$4)*(1+NORMINV(RAND(),INPUTS!$B$28,INPUTS!$B$29))))</f>
        <v>1735308.56008412</v>
      </c>
      <c r="E83" s="89" t="n">
        <f aca="true">IF(E$5=0,D83,MAX(0,(D83-E$4)*(1+NORMINV(RAND(),INPUTS!$B$28,INPUTS!$B$29))))</f>
        <v>1714889.04140561</v>
      </c>
      <c r="F83" s="89" t="n">
        <f aca="true">IF(F$5=0,E83,MAX(0,(E83-F$4)*(1+NORMINV(RAND(),INPUTS!$B$28,INPUTS!$B$29))))</f>
        <v>1907946.47371054</v>
      </c>
      <c r="G83" s="89" t="n">
        <f aca="true">IF(G$5=0,F83,MAX(0,(F83-G$4)*(1+NORMINV(RAND(),INPUTS!$B$28,INPUTS!$B$29))))</f>
        <v>1954063.42665307</v>
      </c>
      <c r="H83" s="89" t="n">
        <f aca="true">IF(H$5=0,G83,MAX(0,(G83-H$4)*(1+NORMINV(RAND(),INPUTS!$B$28,INPUTS!$B$29))))</f>
        <v>2307862.44194436</v>
      </c>
      <c r="I83" s="89" t="n">
        <f aca="true">IF(I$5=0,H83,MAX(0,(H83-I$4)*(1+NORMINV(RAND(),INPUTS!$B$28,INPUTS!$B$29))))</f>
        <v>2861503.51087356</v>
      </c>
      <c r="J83" s="89" t="n">
        <f aca="true">IF(J$5=0,I83,MAX(0,(I83-J$4)*(1+NORMINV(RAND(),INPUTS!$B$28,INPUTS!$B$29))))</f>
        <v>3283410.5386066</v>
      </c>
      <c r="K83" s="89" t="n">
        <f aca="true">IF(K$5=0,J83,MAX(0,(J83-K$4)*(1+NORMINV(RAND(),INPUTS!$B$28,INPUTS!$B$29))))</f>
        <v>4045615.88181662</v>
      </c>
      <c r="L83" s="89" t="n">
        <f aca="true">IF(L$5=0,K83,MAX(0,(K83-L$4)*(1+NORMINV(RAND(),INPUTS!$B$28,INPUTS!$B$29))))</f>
        <v>3721028.61642754</v>
      </c>
      <c r="M83" s="89" t="n">
        <f aca="true">IF(M$5=0,L83,MAX(0,(L83-M$4)*(1+NORMINV(RAND(),INPUTS!$B$28,INPUTS!$B$29))))</f>
        <v>4086868.5818614</v>
      </c>
      <c r="N83" s="89" t="n">
        <f aca="true">IF(N$5=0,M83,MAX(0,(M83-N$4)*(1+NORMINV(RAND(),INPUTS!$B$28,INPUTS!$B$29))))</f>
        <v>4652637.66723307</v>
      </c>
      <c r="O83" s="89" t="n">
        <f aca="true">IF(O$5=0,N83,MAX(0,(N83-O$4)*(1+NORMINV(RAND(),INPUTS!$B$28,INPUTS!$B$29))))</f>
        <v>5564633.33871203</v>
      </c>
      <c r="P83" s="89" t="n">
        <f aca="true">IF(P$5=0,O83,MAX(0,(O83-P$4)*(1+NORMINV(RAND(),INPUTS!$B$28,INPUTS!$B$29))))</f>
        <v>6249081.92731045</v>
      </c>
      <c r="Q83" s="89" t="n">
        <f aca="true">IF(Q$5=0,P83,MAX(0,(P83-Q$4)*(1+NORMINV(RAND(),INPUTS!$B$28,INPUTS!$B$29))))</f>
        <v>7382787.01756199</v>
      </c>
      <c r="R83" s="89" t="n">
        <f aca="true">IF(R$5=0,Q83,MAX(0,(Q83-R$4)*(1+NORMINV(RAND(),INPUTS!$B$28,INPUTS!$B$29))))</f>
        <v>6769212.0396524</v>
      </c>
      <c r="S83" s="89" t="n">
        <f aca="true">IF(S$5=0,R83,MAX(0,(R83-S$4)*(1+NORMINV(RAND(),INPUTS!$B$28,INPUTS!$B$29))))</f>
        <v>7661479.29896943</v>
      </c>
      <c r="T83" s="89" t="n">
        <f aca="true">IF(T$5=0,S83,MAX(0,(S83-T$4)*(1+NORMINV(RAND(),INPUTS!$B$28,INPUTS!$B$29))))</f>
        <v>7976762.12012504</v>
      </c>
      <c r="U83" s="89" t="n">
        <f aca="true">IF(U$5=0,T83,MAX(0,(T83-U$4)*(1+NORMINV(RAND(),INPUTS!$B$28,INPUTS!$B$29))))</f>
        <v>6570112.43725996</v>
      </c>
      <c r="V83" s="89" t="n">
        <f aca="true">IF(V$5=0,U83,MAX(0,(U83-V$4)*(1+NORMINV(RAND(),INPUTS!$B$28,INPUTS!$B$29))))</f>
        <v>6180709.47928638</v>
      </c>
      <c r="W83" s="89" t="n">
        <f aca="true">IF(W$5=0,V83,MAX(0,(V83-W$4)*(1+NORMINV(RAND(),INPUTS!$B$28,INPUTS!$B$29))))</f>
        <v>6779932.95966855</v>
      </c>
      <c r="X83" s="89" t="n">
        <f aca="true">IF(X$5=0,W83,MAX(0,(W83-X$4)*(1+NORMINV(RAND(),INPUTS!$B$28,INPUTS!$B$29))))</f>
        <v>6824524.88161999</v>
      </c>
      <c r="Y83" s="89" t="n">
        <f aca="true">IF(Y$5=0,X83,MAX(0,(X83-Y$4)*(1+NORMINV(RAND(),INPUTS!$B$28,INPUTS!$B$29))))</f>
        <v>6717401.66854949</v>
      </c>
      <c r="Z83" s="89" t="n">
        <f aca="true">IF(Z$5=0,Y83,MAX(0,(Y83-Z$4)*(1+NORMINV(RAND(),INPUTS!$B$28,INPUTS!$B$29))))</f>
        <v>8195660.26401376</v>
      </c>
      <c r="AA83" s="89" t="n">
        <f aca="true">IF(AA$5=0,Z83,MAX(0,(Z83-AA$4)*(1+NORMINV(RAND(),INPUTS!$B$28,INPUTS!$B$29))))</f>
        <v>8726967.36654222</v>
      </c>
      <c r="AB83" s="89" t="n">
        <f aca="true">IF(AB$5=0,AA83,MAX(0,(AA83-AB$4)*(1+NORMINV(RAND(),INPUTS!$B$28,INPUTS!$B$29))))</f>
        <v>9246915.16070226</v>
      </c>
      <c r="AC83" s="89" t="n">
        <f aca="true">IF(AC$5=0,AB83,MAX(0,(AB83-AC$4)*(1+NORMINV(RAND(),INPUTS!$B$28,INPUTS!$B$29))))</f>
        <v>9168593.88398982</v>
      </c>
      <c r="AD83" s="89" t="n">
        <f aca="true">IF(AD$5=0,AC83,MAX(0,(AC83-AD$4)*(1+NORMINV(RAND(),INPUTS!$B$28,INPUTS!$B$29))))</f>
        <v>10524155.8254617</v>
      </c>
      <c r="AE83" s="89" t="n">
        <f aca="true">IF(AE$5=0,AD83,MAX(0,(AD83-AE$4)*(1+NORMINV(RAND(),INPUTS!$B$28,INPUTS!$B$29))))</f>
        <v>9303020.602153</v>
      </c>
      <c r="AF83" s="89" t="n">
        <f aca="true">IF(AF$5=0,AE83,MAX(0,(AE83-AF$4)*(1+NORMINV(RAND(),INPUTS!$B$28,INPUTS!$B$29))))</f>
        <v>9797991.20288017</v>
      </c>
      <c r="AG83" s="89" t="n">
        <f aca="true">IF(AG$5=0,AF83,MAX(0,(AF83-AG$4)*(1+NORMINV(RAND(),INPUTS!$B$28,INPUTS!$B$29))))</f>
        <v>11291370.7250493</v>
      </c>
      <c r="AH83" s="89" t="n">
        <f aca="true">IF(AH$5=0,AG83,MAX(0,(AG83-AH$4)*(1+NORMINV(RAND(),INPUTS!$B$28,INPUTS!$B$29))))</f>
        <v>12888660.98762</v>
      </c>
      <c r="AI83" s="89" t="n">
        <f aca="true">IF(AI$5=0,AH83,MAX(0,(AH83-AI$4)*(1+NORMINV(RAND(),INPUTS!$B$28,INPUTS!$B$29))))</f>
        <v>12730489.992294</v>
      </c>
      <c r="AJ83" s="89" t="n">
        <f aca="true">IF(AJ$5=0,AI83,MAX(0,(AI83-AJ$4)*(1+NORMINV(RAND(),INPUTS!$B$28,INPUTS!$B$29))))</f>
        <v>13901360.4044017</v>
      </c>
      <c r="AK83" s="89" t="n">
        <f aca="true">IF(AK$5=0,AJ83,MAX(0,(AJ83-AK$4)*(1+NORMINV(RAND(),INPUTS!$B$28,INPUTS!$B$29))))</f>
        <v>12712395.8518638</v>
      </c>
      <c r="AL83" s="89" t="n">
        <f aca="true">IF(AL$5=0,AK83,MAX(0,(AK83-AL$4)*(1+NORMINV(RAND(),INPUTS!$B$28,INPUTS!$B$29))))</f>
        <v>12687095.9542809</v>
      </c>
      <c r="AM83" s="89" t="n">
        <f aca="true">IF(AM$5=0,AL83,MAX(0,(AL83-AM$4)*(1+NORMINV(RAND(),INPUTS!$B$28,INPUTS!$B$29))))</f>
        <v>12687095.9542809</v>
      </c>
      <c r="AN83" s="89" t="n">
        <f aca="true">IF(AN$5=0,AM83,MAX(0,(AM83-AN$4)*(1+NORMINV(RAND(),INPUTS!$B$28,INPUTS!$B$29))))</f>
        <v>12687095.9542809</v>
      </c>
      <c r="AO83" s="89" t="n">
        <f aca="true">IF(AO$5=0,AN83,MAX(0,(AN83-AO$4)*(1+NORMINV(RAND(),INPUTS!$B$28,INPUTS!$B$29))))</f>
        <v>12687095.9542809</v>
      </c>
      <c r="AP83" s="89" t="n">
        <f aca="true">IF(AP$5=0,AO83,MAX(0,(AO83-AP$4)*(1+NORMINV(RAND(),INPUTS!$B$28,INPUTS!$B$29))))</f>
        <v>12687095.9542809</v>
      </c>
      <c r="AQ83" s="89" t="n">
        <f aca="true">IF(AQ$5=0,AP83,MAX(0,(AP83-AQ$4)*(1+NORMINV(RAND(),INPUTS!$B$28,INPUTS!$B$29))))</f>
        <v>12687095.9542809</v>
      </c>
      <c r="AR83" s="89" t="n">
        <f aca="true">IF(AR$5=0,AQ83,MAX(0,(AQ83-AR$4)*(1+NORMINV(RAND(),INPUTS!$B$28,INPUTS!$B$29))))</f>
        <v>12687095.9542809</v>
      </c>
      <c r="AS83" s="89" t="n">
        <f aca="true">IF(AS$5=0,AR83,MAX(0,(AR83-AS$4)*(1+NORMINV(RAND(),INPUTS!$B$28,INPUTS!$B$29))))</f>
        <v>12687095.9542809</v>
      </c>
      <c r="AT83" s="89" t="n">
        <f aca="true">IF(AT$5=0,AS83,MAX(0,(AS83-AT$4)*(1+NORMINV(RAND(),INPUTS!$B$28,INPUTS!$B$29))))</f>
        <v>12687095.9542809</v>
      </c>
      <c r="AU83" s="89" t="n">
        <f aca="true">IF(AU$5=0,AT83,MAX(0,(AT83-AU$4)*(1+NORMINV(RAND(),INPUTS!$B$28,INPUTS!$B$29))))</f>
        <v>12687095.9542809</v>
      </c>
      <c r="AV83" s="89" t="n">
        <f aca="true">IF(AV$5=0,AU83,MAX(0,(AU83-AV$4)*(1+NORMINV(RAND(),INPUTS!$B$28,INPUTS!$B$29))))</f>
        <v>12687095.9542809</v>
      </c>
      <c r="AW83" s="89" t="n">
        <f aca="true">IF(AW$5=0,AV83,MAX(0,(AV83-AW$4)*(1+NORMINV(RAND(),INPUTS!$B$28,INPUTS!$B$29))))</f>
        <v>12687095.9542809</v>
      </c>
      <c r="AX83" s="89" t="n">
        <f aca="true">IF(AX$5=0,AW83,MAX(0,(AW83-AX$4)*(1+NORMINV(RAND(),INPUTS!$B$28,INPUTS!$B$29))))</f>
        <v>12687095.9542809</v>
      </c>
      <c r="AY83" s="89" t="n">
        <f aca="true">IF(AY$5=0,AX83,MAX(0,(AX83-AY$4)*(1+NORMINV(RAND(),INPUTS!$B$28,INPUTS!$B$29))))</f>
        <v>12687095.9542809</v>
      </c>
      <c r="AZ83" s="89" t="n">
        <f aca="true">IF(AZ$5=0,AY83,MAX(0,(AY83-AZ$4)*(1+NORMINV(RAND(),INPUTS!$B$28,INPUTS!$B$29))))</f>
        <v>12687095.9542809</v>
      </c>
      <c r="BA83" s="89" t="n">
        <f aca="true">IF(BA$5=0,AZ83,MAX(0,(AZ83-BA$4)*(1+NORMINV(RAND(),INPUTS!$B$28,INPUTS!$B$29))))</f>
        <v>12687095.9542809</v>
      </c>
      <c r="BB83" s="89" t="n">
        <f aca="true">IF(BB$5=0,BA83,MAX(0,(BA83-BB$4)*(1+NORMINV(RAND(),INPUTS!$B$28,INPUTS!$B$29))))</f>
        <v>12687095.9542809</v>
      </c>
      <c r="BC83" s="89" t="n">
        <f aca="true">IF(BC$5=0,BB83,MAX(0,(BB83-BC$4)*(1+NORMINV(RAND(),INPUTS!$B$28,INPUTS!$B$29))))</f>
        <v>12687095.9542809</v>
      </c>
      <c r="BD83" s="89" t="n">
        <f aca="true">IF(BD$5=0,BC83,MAX(0,(BC83-BD$4)*(1+NORMINV(RAND(),INPUTS!$B$28,INPUTS!$B$29))))</f>
        <v>12687095.9542809</v>
      </c>
      <c r="BE83" s="89" t="n">
        <f aca="true">IF(BE$5=0,BD83,MAX(0,(BD83-BE$4)*(1+NORMINV(RAND(),INPUTS!$B$28,INPUTS!$B$29))))</f>
        <v>12687095.9542809</v>
      </c>
      <c r="BF83" s="89" t="n">
        <f aca="true">IF(BF$5=0,BE83,MAX(0,(BE83-BF$4)*(1+NORMINV(RAND(),INPUTS!$B$28,INPUTS!$B$29))))</f>
        <v>12687095.9542809</v>
      </c>
      <c r="BG83" s="89" t="n">
        <f aca="true">IF(BG$5=0,BF83,MAX(0,(BF83-BG$4)*(1+NORMINV(RAND(),INPUTS!$B$28,INPUTS!$B$29))))</f>
        <v>12687095.9542809</v>
      </c>
      <c r="BH83" s="89" t="n">
        <f aca="true">IF(BH$5=0,BG83,MAX(0,(BG83-BH$4)*(1+NORMINV(RAND(),INPUTS!$B$28,INPUTS!$B$29))))</f>
        <v>12687095.9542809</v>
      </c>
      <c r="BI83" s="89" t="n">
        <f aca="true">IF(BI$5=0,BH83,MAX(0,(BH83-BI$4)*(1+NORMINV(RAND(),INPUTS!$B$28,INPUTS!$B$29))))</f>
        <v>12687095.9542809</v>
      </c>
      <c r="BJ83" s="89" t="n">
        <f aca="true">IF(BJ$5=0,BI83,MAX(0,(BI83-BJ$4)*(1+NORMINV(RAND(),INPUTS!$B$28,INPUTS!$B$29))))</f>
        <v>12687095.9542809</v>
      </c>
    </row>
    <row r="84" customFormat="false" ht="15" hidden="false" customHeight="true" outlineLevel="0" collapsed="false">
      <c r="A84" s="87" t="n">
        <v>77</v>
      </c>
      <c r="B84" s="88" t="n">
        <f aca="false">LOOKUP(9.99E+307,C84:BJ84)</f>
        <v>16377448.9608263</v>
      </c>
      <c r="C84" s="89" t="n">
        <f aca="true">IF(C$5=0,INPUTS!$B$35,MAX(0,(INPUTS!$B$35-C$4)*(1+NORMINV(RAND(),INPUTS!$B$28,INPUTS!$B$29))))</f>
        <v>1641409.20915788</v>
      </c>
      <c r="D84" s="89" t="n">
        <f aca="true">IF(D$5=0,C84,MAX(0,(C84-D$4)*(1+NORMINV(RAND(),INPUTS!$B$28,INPUTS!$B$29))))</f>
        <v>1753024.55907158</v>
      </c>
      <c r="E84" s="89" t="n">
        <f aca="true">IF(E$5=0,D84,MAX(0,(D84-E$4)*(1+NORMINV(RAND(),INPUTS!$B$28,INPUTS!$B$29))))</f>
        <v>2181546.97633499</v>
      </c>
      <c r="F84" s="89" t="n">
        <f aca="true">IF(F$5=0,E84,MAX(0,(E84-F$4)*(1+NORMINV(RAND(),INPUTS!$B$28,INPUTS!$B$29))))</f>
        <v>2125299.91145201</v>
      </c>
      <c r="G84" s="89" t="n">
        <f aca="true">IF(G$5=0,F84,MAX(0,(F84-G$4)*(1+NORMINV(RAND(),INPUTS!$B$28,INPUTS!$B$29))))</f>
        <v>2014183.27305061</v>
      </c>
      <c r="H84" s="89" t="n">
        <f aca="true">IF(H$5=0,G84,MAX(0,(G84-H$4)*(1+NORMINV(RAND(),INPUTS!$B$28,INPUTS!$B$29))))</f>
        <v>2207769.54895464</v>
      </c>
      <c r="I84" s="89" t="n">
        <f aca="true">IF(I$5=0,H84,MAX(0,(H84-I$4)*(1+NORMINV(RAND(),INPUTS!$B$28,INPUTS!$B$29))))</f>
        <v>2076672.83176082</v>
      </c>
      <c r="J84" s="89" t="n">
        <f aca="true">IF(J$5=0,I84,MAX(0,(I84-J$4)*(1+NORMINV(RAND(),INPUTS!$B$28,INPUTS!$B$29))))</f>
        <v>1684541.97152216</v>
      </c>
      <c r="K84" s="89" t="n">
        <f aca="true">IF(K$5=0,J84,MAX(0,(J84-K$4)*(1+NORMINV(RAND(),INPUTS!$B$28,INPUTS!$B$29))))</f>
        <v>1623033.48734069</v>
      </c>
      <c r="L84" s="89" t="n">
        <f aca="true">IF(L$5=0,K84,MAX(0,(K84-L$4)*(1+NORMINV(RAND(),INPUTS!$B$28,INPUTS!$B$29))))</f>
        <v>1653255.96718408</v>
      </c>
      <c r="M84" s="89" t="n">
        <f aca="true">IF(M$5=0,L84,MAX(0,(L84-M$4)*(1+NORMINV(RAND(),INPUTS!$B$28,INPUTS!$B$29))))</f>
        <v>1839827.67278603</v>
      </c>
      <c r="N84" s="89" t="n">
        <f aca="true">IF(N$5=0,M84,MAX(0,(M84-N$4)*(1+NORMINV(RAND(),INPUTS!$B$28,INPUTS!$B$29))))</f>
        <v>1984156.48335972</v>
      </c>
      <c r="O84" s="89" t="n">
        <f aca="true">IF(O$5=0,N84,MAX(0,(N84-O$4)*(1+NORMINV(RAND(),INPUTS!$B$28,INPUTS!$B$29))))</f>
        <v>2399154.31902133</v>
      </c>
      <c r="P84" s="89" t="n">
        <f aca="true">IF(P$5=0,O84,MAX(0,(O84-P$4)*(1+NORMINV(RAND(),INPUTS!$B$28,INPUTS!$B$29))))</f>
        <v>2554014.14226103</v>
      </c>
      <c r="Q84" s="89" t="n">
        <f aca="true">IF(Q$5=0,P84,MAX(0,(P84-Q$4)*(1+NORMINV(RAND(),INPUTS!$B$28,INPUTS!$B$29))))</f>
        <v>3110926.35638395</v>
      </c>
      <c r="R84" s="89" t="n">
        <f aca="true">IF(R$5=0,Q84,MAX(0,(Q84-R$4)*(1+NORMINV(RAND(),INPUTS!$B$28,INPUTS!$B$29))))</f>
        <v>3206625.34532191</v>
      </c>
      <c r="S84" s="89" t="n">
        <f aca="true">IF(S$5=0,R84,MAX(0,(R84-S$4)*(1+NORMINV(RAND(),INPUTS!$B$28,INPUTS!$B$29))))</f>
        <v>3252785.46864929</v>
      </c>
      <c r="T84" s="89" t="n">
        <f aca="true">IF(T$5=0,S84,MAX(0,(S84-T$4)*(1+NORMINV(RAND(),INPUTS!$B$28,INPUTS!$B$29))))</f>
        <v>3801903.10131722</v>
      </c>
      <c r="U84" s="89" t="n">
        <f aca="true">IF(U$5=0,T84,MAX(0,(T84-U$4)*(1+NORMINV(RAND(),INPUTS!$B$28,INPUTS!$B$29))))</f>
        <v>4103663.44460717</v>
      </c>
      <c r="V84" s="89" t="n">
        <f aca="true">IF(V$5=0,U84,MAX(0,(U84-V$4)*(1+NORMINV(RAND(),INPUTS!$B$28,INPUTS!$B$29))))</f>
        <v>4903425.59126079</v>
      </c>
      <c r="W84" s="89" t="n">
        <f aca="true">IF(W$5=0,V84,MAX(0,(V84-W$4)*(1+NORMINV(RAND(),INPUTS!$B$28,INPUTS!$B$29))))</f>
        <v>5739016.41497177</v>
      </c>
      <c r="X84" s="89" t="n">
        <f aca="true">IF(X$5=0,W84,MAX(0,(W84-X$4)*(1+NORMINV(RAND(),INPUTS!$B$28,INPUTS!$B$29))))</f>
        <v>5775907.31652807</v>
      </c>
      <c r="Y84" s="89" t="n">
        <f aca="true">IF(Y$5=0,X84,MAX(0,(X84-Y$4)*(1+NORMINV(RAND(),INPUTS!$B$28,INPUTS!$B$29))))</f>
        <v>5907645.55316154</v>
      </c>
      <c r="Z84" s="89" t="n">
        <f aca="true">IF(Z$5=0,Y84,MAX(0,(Y84-Z$4)*(1+NORMINV(RAND(),INPUTS!$B$28,INPUTS!$B$29))))</f>
        <v>7726707.27343652</v>
      </c>
      <c r="AA84" s="89" t="n">
        <f aca="true">IF(AA$5=0,Z84,MAX(0,(Z84-AA$4)*(1+NORMINV(RAND(),INPUTS!$B$28,INPUTS!$B$29))))</f>
        <v>8564330.49601291</v>
      </c>
      <c r="AB84" s="89" t="n">
        <f aca="true">IF(AB$5=0,AA84,MAX(0,(AA84-AB$4)*(1+NORMINV(RAND(),INPUTS!$B$28,INPUTS!$B$29))))</f>
        <v>9120692.11485474</v>
      </c>
      <c r="AC84" s="89" t="n">
        <f aca="true">IF(AC$5=0,AB84,MAX(0,(AB84-AC$4)*(1+NORMINV(RAND(),INPUTS!$B$28,INPUTS!$B$29))))</f>
        <v>10882821.0018402</v>
      </c>
      <c r="AD84" s="89" t="n">
        <f aca="true">IF(AD$5=0,AC84,MAX(0,(AC84-AD$4)*(1+NORMINV(RAND(),INPUTS!$B$28,INPUTS!$B$29))))</f>
        <v>12359607.975523</v>
      </c>
      <c r="AE84" s="89" t="n">
        <f aca="true">IF(AE$5=0,AD84,MAX(0,(AD84-AE$4)*(1+NORMINV(RAND(),INPUTS!$B$28,INPUTS!$B$29))))</f>
        <v>11895119.2468031</v>
      </c>
      <c r="AF84" s="89" t="n">
        <f aca="true">IF(AF$5=0,AE84,MAX(0,(AE84-AF$4)*(1+NORMINV(RAND(),INPUTS!$B$28,INPUTS!$B$29))))</f>
        <v>12419369.0338961</v>
      </c>
      <c r="AG84" s="89" t="n">
        <f aca="true">IF(AG$5=0,AF84,MAX(0,(AF84-AG$4)*(1+NORMINV(RAND(),INPUTS!$B$28,INPUTS!$B$29))))</f>
        <v>13334576.4777668</v>
      </c>
      <c r="AH84" s="89" t="n">
        <f aca="true">IF(AH$5=0,AG84,MAX(0,(AG84-AH$4)*(1+NORMINV(RAND(),INPUTS!$B$28,INPUTS!$B$29))))</f>
        <v>12711550.1641995</v>
      </c>
      <c r="AI84" s="89" t="n">
        <f aca="true">IF(AI$5=0,AH84,MAX(0,(AH84-AI$4)*(1+NORMINV(RAND(),INPUTS!$B$28,INPUTS!$B$29))))</f>
        <v>13715556.7467862</v>
      </c>
      <c r="AJ84" s="89" t="n">
        <f aca="true">IF(AJ$5=0,AI84,MAX(0,(AI84-AJ$4)*(1+NORMINV(RAND(),INPUTS!$B$28,INPUTS!$B$29))))</f>
        <v>13292565.7632644</v>
      </c>
      <c r="AK84" s="89" t="n">
        <f aca="true">IF(AK$5=0,AJ84,MAX(0,(AJ84-AK$4)*(1+NORMINV(RAND(),INPUTS!$B$28,INPUTS!$B$29))))</f>
        <v>14111923.3617437</v>
      </c>
      <c r="AL84" s="89" t="n">
        <f aca="true">IF(AL$5=0,AK84,MAX(0,(AK84-AL$4)*(1+NORMINV(RAND(),INPUTS!$B$28,INPUTS!$B$29))))</f>
        <v>16377448.9608263</v>
      </c>
      <c r="AM84" s="89" t="n">
        <f aca="true">IF(AM$5=0,AL84,MAX(0,(AL84-AM$4)*(1+NORMINV(RAND(),INPUTS!$B$28,INPUTS!$B$29))))</f>
        <v>16377448.9608263</v>
      </c>
      <c r="AN84" s="89" t="n">
        <f aca="true">IF(AN$5=0,AM84,MAX(0,(AM84-AN$4)*(1+NORMINV(RAND(),INPUTS!$B$28,INPUTS!$B$29))))</f>
        <v>16377448.9608263</v>
      </c>
      <c r="AO84" s="89" t="n">
        <f aca="true">IF(AO$5=0,AN84,MAX(0,(AN84-AO$4)*(1+NORMINV(RAND(),INPUTS!$B$28,INPUTS!$B$29))))</f>
        <v>16377448.9608263</v>
      </c>
      <c r="AP84" s="89" t="n">
        <f aca="true">IF(AP$5=0,AO84,MAX(0,(AO84-AP$4)*(1+NORMINV(RAND(),INPUTS!$B$28,INPUTS!$B$29))))</f>
        <v>16377448.9608263</v>
      </c>
      <c r="AQ84" s="89" t="n">
        <f aca="true">IF(AQ$5=0,AP84,MAX(0,(AP84-AQ$4)*(1+NORMINV(RAND(),INPUTS!$B$28,INPUTS!$B$29))))</f>
        <v>16377448.9608263</v>
      </c>
      <c r="AR84" s="89" t="n">
        <f aca="true">IF(AR$5=0,AQ84,MAX(0,(AQ84-AR$4)*(1+NORMINV(RAND(),INPUTS!$B$28,INPUTS!$B$29))))</f>
        <v>16377448.9608263</v>
      </c>
      <c r="AS84" s="89" t="n">
        <f aca="true">IF(AS$5=0,AR84,MAX(0,(AR84-AS$4)*(1+NORMINV(RAND(),INPUTS!$B$28,INPUTS!$B$29))))</f>
        <v>16377448.9608263</v>
      </c>
      <c r="AT84" s="89" t="n">
        <f aca="true">IF(AT$5=0,AS84,MAX(0,(AS84-AT$4)*(1+NORMINV(RAND(),INPUTS!$B$28,INPUTS!$B$29))))</f>
        <v>16377448.9608263</v>
      </c>
      <c r="AU84" s="89" t="n">
        <f aca="true">IF(AU$5=0,AT84,MAX(0,(AT84-AU$4)*(1+NORMINV(RAND(),INPUTS!$B$28,INPUTS!$B$29))))</f>
        <v>16377448.9608263</v>
      </c>
      <c r="AV84" s="89" t="n">
        <f aca="true">IF(AV$5=0,AU84,MAX(0,(AU84-AV$4)*(1+NORMINV(RAND(),INPUTS!$B$28,INPUTS!$B$29))))</f>
        <v>16377448.9608263</v>
      </c>
      <c r="AW84" s="89" t="n">
        <f aca="true">IF(AW$5=0,AV84,MAX(0,(AV84-AW$4)*(1+NORMINV(RAND(),INPUTS!$B$28,INPUTS!$B$29))))</f>
        <v>16377448.9608263</v>
      </c>
      <c r="AX84" s="89" t="n">
        <f aca="true">IF(AX$5=0,AW84,MAX(0,(AW84-AX$4)*(1+NORMINV(RAND(),INPUTS!$B$28,INPUTS!$B$29))))</f>
        <v>16377448.9608263</v>
      </c>
      <c r="AY84" s="89" t="n">
        <f aca="true">IF(AY$5=0,AX84,MAX(0,(AX84-AY$4)*(1+NORMINV(RAND(),INPUTS!$B$28,INPUTS!$B$29))))</f>
        <v>16377448.9608263</v>
      </c>
      <c r="AZ84" s="89" t="n">
        <f aca="true">IF(AZ$5=0,AY84,MAX(0,(AY84-AZ$4)*(1+NORMINV(RAND(),INPUTS!$B$28,INPUTS!$B$29))))</f>
        <v>16377448.9608263</v>
      </c>
      <c r="BA84" s="89" t="n">
        <f aca="true">IF(BA$5=0,AZ84,MAX(0,(AZ84-BA$4)*(1+NORMINV(RAND(),INPUTS!$B$28,INPUTS!$B$29))))</f>
        <v>16377448.9608263</v>
      </c>
      <c r="BB84" s="89" t="n">
        <f aca="true">IF(BB$5=0,BA84,MAX(0,(BA84-BB$4)*(1+NORMINV(RAND(),INPUTS!$B$28,INPUTS!$B$29))))</f>
        <v>16377448.9608263</v>
      </c>
      <c r="BC84" s="89" t="n">
        <f aca="true">IF(BC$5=0,BB84,MAX(0,(BB84-BC$4)*(1+NORMINV(RAND(),INPUTS!$B$28,INPUTS!$B$29))))</f>
        <v>16377448.9608263</v>
      </c>
      <c r="BD84" s="89" t="n">
        <f aca="true">IF(BD$5=0,BC84,MAX(0,(BC84-BD$4)*(1+NORMINV(RAND(),INPUTS!$B$28,INPUTS!$B$29))))</f>
        <v>16377448.9608263</v>
      </c>
      <c r="BE84" s="89" t="n">
        <f aca="true">IF(BE$5=0,BD84,MAX(0,(BD84-BE$4)*(1+NORMINV(RAND(),INPUTS!$B$28,INPUTS!$B$29))))</f>
        <v>16377448.9608263</v>
      </c>
      <c r="BF84" s="89" t="n">
        <f aca="true">IF(BF$5=0,BE84,MAX(0,(BE84-BF$4)*(1+NORMINV(RAND(),INPUTS!$B$28,INPUTS!$B$29))))</f>
        <v>16377448.9608263</v>
      </c>
      <c r="BG84" s="89" t="n">
        <f aca="true">IF(BG$5=0,BF84,MAX(0,(BF84-BG$4)*(1+NORMINV(RAND(),INPUTS!$B$28,INPUTS!$B$29))))</f>
        <v>16377448.9608263</v>
      </c>
      <c r="BH84" s="89" t="n">
        <f aca="true">IF(BH$5=0,BG84,MAX(0,(BG84-BH$4)*(1+NORMINV(RAND(),INPUTS!$B$28,INPUTS!$B$29))))</f>
        <v>16377448.9608263</v>
      </c>
      <c r="BI84" s="89" t="n">
        <f aca="true">IF(BI$5=0,BH84,MAX(0,(BH84-BI$4)*(1+NORMINV(RAND(),INPUTS!$B$28,INPUTS!$B$29))))</f>
        <v>16377448.9608263</v>
      </c>
      <c r="BJ84" s="89" t="n">
        <f aca="true">IF(BJ$5=0,BI84,MAX(0,(BI84-BJ$4)*(1+NORMINV(RAND(),INPUTS!$B$28,INPUTS!$B$29))))</f>
        <v>16377448.9608263</v>
      </c>
    </row>
    <row r="85" customFormat="false" ht="15" hidden="false" customHeight="true" outlineLevel="0" collapsed="false">
      <c r="A85" s="87" t="n">
        <v>78</v>
      </c>
      <c r="B85" s="88" t="n">
        <f aca="false">LOOKUP(9.99E+307,C85:BJ85)</f>
        <v>29893514.2184834</v>
      </c>
      <c r="C85" s="89" t="n">
        <f aca="true">IF(C$5=0,INPUTS!$B$35,MAX(0,(INPUTS!$B$35-C$4)*(1+NORMINV(RAND(),INPUTS!$B$28,INPUTS!$B$29))))</f>
        <v>1413054.88653805</v>
      </c>
      <c r="D85" s="89" t="n">
        <f aca="true">IF(D$5=0,C85,MAX(0,(C85-D$4)*(1+NORMINV(RAND(),INPUTS!$B$28,INPUTS!$B$29))))</f>
        <v>1443085.39302917</v>
      </c>
      <c r="E85" s="89" t="n">
        <f aca="true">IF(E$5=0,D85,MAX(0,(D85-E$4)*(1+NORMINV(RAND(),INPUTS!$B$28,INPUTS!$B$29))))</f>
        <v>1577706.20870858</v>
      </c>
      <c r="F85" s="89" t="n">
        <f aca="true">IF(F$5=0,E85,MAX(0,(E85-F$4)*(1+NORMINV(RAND(),INPUTS!$B$28,INPUTS!$B$29))))</f>
        <v>1497908.3246031</v>
      </c>
      <c r="G85" s="89" t="n">
        <f aca="true">IF(G$5=0,F85,MAX(0,(F85-G$4)*(1+NORMINV(RAND(),INPUTS!$B$28,INPUTS!$B$29))))</f>
        <v>1925109.63629547</v>
      </c>
      <c r="H85" s="89" t="n">
        <f aca="true">IF(H$5=0,G85,MAX(0,(G85-H$4)*(1+NORMINV(RAND(),INPUTS!$B$28,INPUTS!$B$29))))</f>
        <v>2005582.34620442</v>
      </c>
      <c r="I85" s="89" t="n">
        <f aca="true">IF(I$5=0,H85,MAX(0,(H85-I$4)*(1+NORMINV(RAND(),INPUTS!$B$28,INPUTS!$B$29))))</f>
        <v>2376634.83969287</v>
      </c>
      <c r="J85" s="89" t="n">
        <f aca="true">IF(J$5=0,I85,MAX(0,(I85-J$4)*(1+NORMINV(RAND(),INPUTS!$B$28,INPUTS!$B$29))))</f>
        <v>2835293.15903441</v>
      </c>
      <c r="K85" s="89" t="n">
        <f aca="true">IF(K$5=0,J85,MAX(0,(J85-K$4)*(1+NORMINV(RAND(),INPUTS!$B$28,INPUTS!$B$29))))</f>
        <v>3150204.95325508</v>
      </c>
      <c r="L85" s="89" t="n">
        <f aca="true">IF(L$5=0,K85,MAX(0,(K85-L$4)*(1+NORMINV(RAND(),INPUTS!$B$28,INPUTS!$B$29))))</f>
        <v>3343342.82229002</v>
      </c>
      <c r="M85" s="89" t="n">
        <f aca="true">IF(M$5=0,L85,MAX(0,(L85-M$4)*(1+NORMINV(RAND(),INPUTS!$B$28,INPUTS!$B$29))))</f>
        <v>4303165.21791659</v>
      </c>
      <c r="N85" s="89" t="n">
        <f aca="true">IF(N$5=0,M85,MAX(0,(M85-N$4)*(1+NORMINV(RAND(),INPUTS!$B$28,INPUTS!$B$29))))</f>
        <v>4275817.50432429</v>
      </c>
      <c r="O85" s="89" t="n">
        <f aca="true">IF(O$5=0,N85,MAX(0,(N85-O$4)*(1+NORMINV(RAND(),INPUTS!$B$28,INPUTS!$B$29))))</f>
        <v>4875571.07338268</v>
      </c>
      <c r="P85" s="89" t="n">
        <f aca="true">IF(P$5=0,O85,MAX(0,(O85-P$4)*(1+NORMINV(RAND(),INPUTS!$B$28,INPUTS!$B$29))))</f>
        <v>4771615.48683455</v>
      </c>
      <c r="Q85" s="89" t="n">
        <f aca="true">IF(Q$5=0,P85,MAX(0,(P85-Q$4)*(1+NORMINV(RAND(),INPUTS!$B$28,INPUTS!$B$29))))</f>
        <v>4790319.48144538</v>
      </c>
      <c r="R85" s="89" t="n">
        <f aca="true">IF(R$5=0,Q85,MAX(0,(Q85-R$4)*(1+NORMINV(RAND(),INPUTS!$B$28,INPUTS!$B$29))))</f>
        <v>6126837.22927854</v>
      </c>
      <c r="S85" s="89" t="n">
        <f aca="true">IF(S$5=0,R85,MAX(0,(R85-S$4)*(1+NORMINV(RAND(),INPUTS!$B$28,INPUTS!$B$29))))</f>
        <v>6952551.9909392</v>
      </c>
      <c r="T85" s="89" t="n">
        <f aca="true">IF(T$5=0,S85,MAX(0,(S85-T$4)*(1+NORMINV(RAND(),INPUTS!$B$28,INPUTS!$B$29))))</f>
        <v>7028612.29595034</v>
      </c>
      <c r="U85" s="89" t="n">
        <f aca="true">IF(U$5=0,T85,MAX(0,(T85-U$4)*(1+NORMINV(RAND(),INPUTS!$B$28,INPUTS!$B$29))))</f>
        <v>7358300.30600831</v>
      </c>
      <c r="V85" s="89" t="n">
        <f aca="true">IF(V$5=0,U85,MAX(0,(U85-V$4)*(1+NORMINV(RAND(),INPUTS!$B$28,INPUTS!$B$29))))</f>
        <v>9303600.6557196</v>
      </c>
      <c r="W85" s="89" t="n">
        <f aca="true">IF(W$5=0,V85,MAX(0,(V85-W$4)*(1+NORMINV(RAND(),INPUTS!$B$28,INPUTS!$B$29))))</f>
        <v>10730176.676493</v>
      </c>
      <c r="X85" s="89" t="n">
        <f aca="true">IF(X$5=0,W85,MAX(0,(W85-X$4)*(1+NORMINV(RAND(),INPUTS!$B$28,INPUTS!$B$29))))</f>
        <v>12864587.4831024</v>
      </c>
      <c r="Y85" s="89" t="n">
        <f aca="true">IF(Y$5=0,X85,MAX(0,(X85-Y$4)*(1+NORMINV(RAND(),INPUTS!$B$28,INPUTS!$B$29))))</f>
        <v>12496893.0929425</v>
      </c>
      <c r="Z85" s="89" t="n">
        <f aca="true">IF(Z$5=0,Y85,MAX(0,(Y85-Z$4)*(1+NORMINV(RAND(),INPUTS!$B$28,INPUTS!$B$29))))</f>
        <v>13034588.0958587</v>
      </c>
      <c r="AA85" s="89" t="n">
        <f aca="true">IF(AA$5=0,Z85,MAX(0,(Z85-AA$4)*(1+NORMINV(RAND(),INPUTS!$B$28,INPUTS!$B$29))))</f>
        <v>13709597.2909509</v>
      </c>
      <c r="AB85" s="89" t="n">
        <f aca="true">IF(AB$5=0,AA85,MAX(0,(AA85-AB$4)*(1+NORMINV(RAND(),INPUTS!$B$28,INPUTS!$B$29))))</f>
        <v>17607416.2505868</v>
      </c>
      <c r="AC85" s="89" t="n">
        <f aca="true">IF(AC$5=0,AB85,MAX(0,(AB85-AC$4)*(1+NORMINV(RAND(),INPUTS!$B$28,INPUTS!$B$29))))</f>
        <v>19586487.2534635</v>
      </c>
      <c r="AD85" s="89" t="n">
        <f aca="true">IF(AD$5=0,AC85,MAX(0,(AC85-AD$4)*(1+NORMINV(RAND(),INPUTS!$B$28,INPUTS!$B$29))))</f>
        <v>19890805.2607146</v>
      </c>
      <c r="AE85" s="89" t="n">
        <f aca="true">IF(AE$5=0,AD85,MAX(0,(AD85-AE$4)*(1+NORMINV(RAND(),INPUTS!$B$28,INPUTS!$B$29))))</f>
        <v>21037905.5315874</v>
      </c>
      <c r="AF85" s="89" t="n">
        <f aca="true">IF(AF$5=0,AE85,MAX(0,(AE85-AF$4)*(1+NORMINV(RAND(),INPUTS!$B$28,INPUTS!$B$29))))</f>
        <v>22258364.9816965</v>
      </c>
      <c r="AG85" s="89" t="n">
        <f aca="true">IF(AG$5=0,AF85,MAX(0,(AF85-AG$4)*(1+NORMINV(RAND(),INPUTS!$B$28,INPUTS!$B$29))))</f>
        <v>22321060.5488682</v>
      </c>
      <c r="AH85" s="89" t="n">
        <f aca="true">IF(AH$5=0,AG85,MAX(0,(AG85-AH$4)*(1+NORMINV(RAND(),INPUTS!$B$28,INPUTS!$B$29))))</f>
        <v>25454880.6438386</v>
      </c>
      <c r="AI85" s="89" t="n">
        <f aca="true">IF(AI$5=0,AH85,MAX(0,(AH85-AI$4)*(1+NORMINV(RAND(),INPUTS!$B$28,INPUTS!$B$29))))</f>
        <v>27303840.1331443</v>
      </c>
      <c r="AJ85" s="89" t="n">
        <f aca="true">IF(AJ$5=0,AI85,MAX(0,(AI85-AJ$4)*(1+NORMINV(RAND(),INPUTS!$B$28,INPUTS!$B$29))))</f>
        <v>29657941.2970387</v>
      </c>
      <c r="AK85" s="89" t="n">
        <f aca="true">IF(AK$5=0,AJ85,MAX(0,(AJ85-AK$4)*(1+NORMINV(RAND(),INPUTS!$B$28,INPUTS!$B$29))))</f>
        <v>33993971.2066677</v>
      </c>
      <c r="AL85" s="89" t="n">
        <f aca="true">IF(AL$5=0,AK85,MAX(0,(AK85-AL$4)*(1+NORMINV(RAND(),INPUTS!$B$28,INPUTS!$B$29))))</f>
        <v>29893514.2184834</v>
      </c>
      <c r="AM85" s="89" t="n">
        <f aca="true">IF(AM$5=0,AL85,MAX(0,(AL85-AM$4)*(1+NORMINV(RAND(),INPUTS!$B$28,INPUTS!$B$29))))</f>
        <v>29893514.2184834</v>
      </c>
      <c r="AN85" s="89" t="n">
        <f aca="true">IF(AN$5=0,AM85,MAX(0,(AM85-AN$4)*(1+NORMINV(RAND(),INPUTS!$B$28,INPUTS!$B$29))))</f>
        <v>29893514.2184834</v>
      </c>
      <c r="AO85" s="89" t="n">
        <f aca="true">IF(AO$5=0,AN85,MAX(0,(AN85-AO$4)*(1+NORMINV(RAND(),INPUTS!$B$28,INPUTS!$B$29))))</f>
        <v>29893514.2184834</v>
      </c>
      <c r="AP85" s="89" t="n">
        <f aca="true">IF(AP$5=0,AO85,MAX(0,(AO85-AP$4)*(1+NORMINV(RAND(),INPUTS!$B$28,INPUTS!$B$29))))</f>
        <v>29893514.2184834</v>
      </c>
      <c r="AQ85" s="89" t="n">
        <f aca="true">IF(AQ$5=0,AP85,MAX(0,(AP85-AQ$4)*(1+NORMINV(RAND(),INPUTS!$B$28,INPUTS!$B$29))))</f>
        <v>29893514.2184834</v>
      </c>
      <c r="AR85" s="89" t="n">
        <f aca="true">IF(AR$5=0,AQ85,MAX(0,(AQ85-AR$4)*(1+NORMINV(RAND(),INPUTS!$B$28,INPUTS!$B$29))))</f>
        <v>29893514.2184834</v>
      </c>
      <c r="AS85" s="89" t="n">
        <f aca="true">IF(AS$5=0,AR85,MAX(0,(AR85-AS$4)*(1+NORMINV(RAND(),INPUTS!$B$28,INPUTS!$B$29))))</f>
        <v>29893514.2184834</v>
      </c>
      <c r="AT85" s="89" t="n">
        <f aca="true">IF(AT$5=0,AS85,MAX(0,(AS85-AT$4)*(1+NORMINV(RAND(),INPUTS!$B$28,INPUTS!$B$29))))</f>
        <v>29893514.2184834</v>
      </c>
      <c r="AU85" s="89" t="n">
        <f aca="true">IF(AU$5=0,AT85,MAX(0,(AT85-AU$4)*(1+NORMINV(RAND(),INPUTS!$B$28,INPUTS!$B$29))))</f>
        <v>29893514.2184834</v>
      </c>
      <c r="AV85" s="89" t="n">
        <f aca="true">IF(AV$5=0,AU85,MAX(0,(AU85-AV$4)*(1+NORMINV(RAND(),INPUTS!$B$28,INPUTS!$B$29))))</f>
        <v>29893514.2184834</v>
      </c>
      <c r="AW85" s="89" t="n">
        <f aca="true">IF(AW$5=0,AV85,MAX(0,(AV85-AW$4)*(1+NORMINV(RAND(),INPUTS!$B$28,INPUTS!$B$29))))</f>
        <v>29893514.2184834</v>
      </c>
      <c r="AX85" s="89" t="n">
        <f aca="true">IF(AX$5=0,AW85,MAX(0,(AW85-AX$4)*(1+NORMINV(RAND(),INPUTS!$B$28,INPUTS!$B$29))))</f>
        <v>29893514.2184834</v>
      </c>
      <c r="AY85" s="89" t="n">
        <f aca="true">IF(AY$5=0,AX85,MAX(0,(AX85-AY$4)*(1+NORMINV(RAND(),INPUTS!$B$28,INPUTS!$B$29))))</f>
        <v>29893514.2184834</v>
      </c>
      <c r="AZ85" s="89" t="n">
        <f aca="true">IF(AZ$5=0,AY85,MAX(0,(AY85-AZ$4)*(1+NORMINV(RAND(),INPUTS!$B$28,INPUTS!$B$29))))</f>
        <v>29893514.2184834</v>
      </c>
      <c r="BA85" s="89" t="n">
        <f aca="true">IF(BA$5=0,AZ85,MAX(0,(AZ85-BA$4)*(1+NORMINV(RAND(),INPUTS!$B$28,INPUTS!$B$29))))</f>
        <v>29893514.2184834</v>
      </c>
      <c r="BB85" s="89" t="n">
        <f aca="true">IF(BB$5=0,BA85,MAX(0,(BA85-BB$4)*(1+NORMINV(RAND(),INPUTS!$B$28,INPUTS!$B$29))))</f>
        <v>29893514.2184834</v>
      </c>
      <c r="BC85" s="89" t="n">
        <f aca="true">IF(BC$5=0,BB85,MAX(0,(BB85-BC$4)*(1+NORMINV(RAND(),INPUTS!$B$28,INPUTS!$B$29))))</f>
        <v>29893514.2184834</v>
      </c>
      <c r="BD85" s="89" t="n">
        <f aca="true">IF(BD$5=0,BC85,MAX(0,(BC85-BD$4)*(1+NORMINV(RAND(),INPUTS!$B$28,INPUTS!$B$29))))</f>
        <v>29893514.2184834</v>
      </c>
      <c r="BE85" s="89" t="n">
        <f aca="true">IF(BE$5=0,BD85,MAX(0,(BD85-BE$4)*(1+NORMINV(RAND(),INPUTS!$B$28,INPUTS!$B$29))))</f>
        <v>29893514.2184834</v>
      </c>
      <c r="BF85" s="89" t="n">
        <f aca="true">IF(BF$5=0,BE85,MAX(0,(BE85-BF$4)*(1+NORMINV(RAND(),INPUTS!$B$28,INPUTS!$B$29))))</f>
        <v>29893514.2184834</v>
      </c>
      <c r="BG85" s="89" t="n">
        <f aca="true">IF(BG$5=0,BF85,MAX(0,(BF85-BG$4)*(1+NORMINV(RAND(),INPUTS!$B$28,INPUTS!$B$29))))</f>
        <v>29893514.2184834</v>
      </c>
      <c r="BH85" s="89" t="n">
        <f aca="true">IF(BH$5=0,BG85,MAX(0,(BG85-BH$4)*(1+NORMINV(RAND(),INPUTS!$B$28,INPUTS!$B$29))))</f>
        <v>29893514.2184834</v>
      </c>
      <c r="BI85" s="89" t="n">
        <f aca="true">IF(BI$5=0,BH85,MAX(0,(BH85-BI$4)*(1+NORMINV(RAND(),INPUTS!$B$28,INPUTS!$B$29))))</f>
        <v>29893514.2184834</v>
      </c>
      <c r="BJ85" s="89" t="n">
        <f aca="true">IF(BJ$5=0,BI85,MAX(0,(BI85-BJ$4)*(1+NORMINV(RAND(),INPUTS!$B$28,INPUTS!$B$29))))</f>
        <v>29893514.2184834</v>
      </c>
    </row>
    <row r="86" customFormat="false" ht="15" hidden="false" customHeight="true" outlineLevel="0" collapsed="false">
      <c r="A86" s="87" t="n">
        <v>79</v>
      </c>
      <c r="B86" s="88" t="n">
        <f aca="false">LOOKUP(9.99E+307,C86:BJ86)</f>
        <v>3267227.7677127</v>
      </c>
      <c r="C86" s="89" t="n">
        <f aca="true">IF(C$5=0,INPUTS!$B$35,MAX(0,(INPUTS!$B$35-C$4)*(1+NORMINV(RAND(),INPUTS!$B$28,INPUTS!$B$29))))</f>
        <v>1453525.73604529</v>
      </c>
      <c r="D86" s="89" t="n">
        <f aca="true">IF(D$5=0,C86,MAX(0,(C86-D$4)*(1+NORMINV(RAND(),INPUTS!$B$28,INPUTS!$B$29))))</f>
        <v>1780789.59752897</v>
      </c>
      <c r="E86" s="89" t="n">
        <f aca="true">IF(E$5=0,D86,MAX(0,(D86-E$4)*(1+NORMINV(RAND(),INPUTS!$B$28,INPUTS!$B$29))))</f>
        <v>1831324.44634093</v>
      </c>
      <c r="F86" s="89" t="n">
        <f aca="true">IF(F$5=0,E86,MAX(0,(E86-F$4)*(1+NORMINV(RAND(),INPUTS!$B$28,INPUTS!$B$29))))</f>
        <v>1393930.02576454</v>
      </c>
      <c r="G86" s="89" t="n">
        <f aca="true">IF(G$5=0,F86,MAX(0,(F86-G$4)*(1+NORMINV(RAND(),INPUTS!$B$28,INPUTS!$B$29))))</f>
        <v>1407756.96018033</v>
      </c>
      <c r="H86" s="89" t="n">
        <f aca="true">IF(H$5=0,G86,MAX(0,(G86-H$4)*(1+NORMINV(RAND(),INPUTS!$B$28,INPUTS!$B$29))))</f>
        <v>1560753.95890221</v>
      </c>
      <c r="I86" s="89" t="n">
        <f aca="true">IF(I$5=0,H86,MAX(0,(H86-I$4)*(1+NORMINV(RAND(),INPUTS!$B$28,INPUTS!$B$29))))</f>
        <v>1738922.55985997</v>
      </c>
      <c r="J86" s="89" t="n">
        <f aca="true">IF(J$5=0,I86,MAX(0,(I86-J$4)*(1+NORMINV(RAND(),INPUTS!$B$28,INPUTS!$B$29))))</f>
        <v>1511491.93712399</v>
      </c>
      <c r="K86" s="89" t="n">
        <f aca="true">IF(K$5=0,J86,MAX(0,(J86-K$4)*(1+NORMINV(RAND(),INPUTS!$B$28,INPUTS!$B$29))))</f>
        <v>1654578.25784215</v>
      </c>
      <c r="L86" s="89" t="n">
        <f aca="true">IF(L$5=0,K86,MAX(0,(K86-L$4)*(1+NORMINV(RAND(),INPUTS!$B$28,INPUTS!$B$29))))</f>
        <v>1650796.45789619</v>
      </c>
      <c r="M86" s="89" t="n">
        <f aca="true">IF(M$5=0,L86,MAX(0,(L86-M$4)*(1+NORMINV(RAND(),INPUTS!$B$28,INPUTS!$B$29))))</f>
        <v>1694272.50964264</v>
      </c>
      <c r="N86" s="89" t="n">
        <f aca="true">IF(N$5=0,M86,MAX(0,(M86-N$4)*(1+NORMINV(RAND(),INPUTS!$B$28,INPUTS!$B$29))))</f>
        <v>1999499.98387579</v>
      </c>
      <c r="O86" s="89" t="n">
        <f aca="true">IF(O$5=0,N86,MAX(0,(N86-O$4)*(1+NORMINV(RAND(),INPUTS!$B$28,INPUTS!$B$29))))</f>
        <v>2036852.4517116</v>
      </c>
      <c r="P86" s="89" t="n">
        <f aca="true">IF(P$5=0,O86,MAX(0,(O86-P$4)*(1+NORMINV(RAND(),INPUTS!$B$28,INPUTS!$B$29))))</f>
        <v>2110789.55523032</v>
      </c>
      <c r="Q86" s="89" t="n">
        <f aca="true">IF(Q$5=0,P86,MAX(0,(P86-Q$4)*(1+NORMINV(RAND(),INPUTS!$B$28,INPUTS!$B$29))))</f>
        <v>2138567.43197515</v>
      </c>
      <c r="R86" s="89" t="n">
        <f aca="true">IF(R$5=0,Q86,MAX(0,(Q86-R$4)*(1+NORMINV(RAND(),INPUTS!$B$28,INPUTS!$B$29))))</f>
        <v>2299227.02314368</v>
      </c>
      <c r="S86" s="89" t="n">
        <f aca="true">IF(S$5=0,R86,MAX(0,(R86-S$4)*(1+NORMINV(RAND(),INPUTS!$B$28,INPUTS!$B$29))))</f>
        <v>2803170.6017712</v>
      </c>
      <c r="T86" s="89" t="n">
        <f aca="true">IF(T$5=0,S86,MAX(0,(S86-T$4)*(1+NORMINV(RAND(),INPUTS!$B$28,INPUTS!$B$29))))</f>
        <v>2269855.1149814</v>
      </c>
      <c r="U86" s="89" t="n">
        <f aca="true">IF(U$5=0,T86,MAX(0,(T86-U$4)*(1+NORMINV(RAND(),INPUTS!$B$28,INPUTS!$B$29))))</f>
        <v>2395140.12934399</v>
      </c>
      <c r="V86" s="89" t="n">
        <f aca="true">IF(V$5=0,U86,MAX(0,(U86-V$4)*(1+NORMINV(RAND(),INPUTS!$B$28,INPUTS!$B$29))))</f>
        <v>2664454.97052289</v>
      </c>
      <c r="W86" s="89" t="n">
        <f aca="true">IF(W$5=0,V86,MAX(0,(V86-W$4)*(1+NORMINV(RAND(),INPUTS!$B$28,INPUTS!$B$29))))</f>
        <v>2963154.85778838</v>
      </c>
      <c r="X86" s="89" t="n">
        <f aca="true">IF(X$5=0,W86,MAX(0,(W86-X$4)*(1+NORMINV(RAND(),INPUTS!$B$28,INPUTS!$B$29))))</f>
        <v>2575692.59796581</v>
      </c>
      <c r="Y86" s="89" t="n">
        <f aca="true">IF(Y$5=0,X86,MAX(0,(X86-Y$4)*(1+NORMINV(RAND(),INPUTS!$B$28,INPUTS!$B$29))))</f>
        <v>2565069.65989535</v>
      </c>
      <c r="Z86" s="89" t="n">
        <f aca="true">IF(Z$5=0,Y86,MAX(0,(Y86-Z$4)*(1+NORMINV(RAND(),INPUTS!$B$28,INPUTS!$B$29))))</f>
        <v>2427665.78292993</v>
      </c>
      <c r="AA86" s="89" t="n">
        <f aca="true">IF(AA$5=0,Z86,MAX(0,(Z86-AA$4)*(1+NORMINV(RAND(),INPUTS!$B$28,INPUTS!$B$29))))</f>
        <v>2313922.70772612</v>
      </c>
      <c r="AB86" s="89" t="n">
        <f aca="true">IF(AB$5=0,AA86,MAX(0,(AA86-AB$4)*(1+NORMINV(RAND(),INPUTS!$B$28,INPUTS!$B$29))))</f>
        <v>1964809.10168406</v>
      </c>
      <c r="AC86" s="89" t="n">
        <f aca="true">IF(AC$5=0,AB86,MAX(0,(AB86-AC$4)*(1+NORMINV(RAND(),INPUTS!$B$28,INPUTS!$B$29))))</f>
        <v>1854683.84400705</v>
      </c>
      <c r="AD86" s="89" t="n">
        <f aca="true">IF(AD$5=0,AC86,MAX(0,(AC86-AD$4)*(1+NORMINV(RAND(),INPUTS!$B$28,INPUTS!$B$29))))</f>
        <v>2076348.96587368</v>
      </c>
      <c r="AE86" s="89" t="n">
        <f aca="true">IF(AE$5=0,AD86,MAX(0,(AD86-AE$4)*(1+NORMINV(RAND(),INPUTS!$B$28,INPUTS!$B$29))))</f>
        <v>1997282.72629754</v>
      </c>
      <c r="AF86" s="89" t="n">
        <f aca="true">IF(AF$5=0,AE86,MAX(0,(AE86-AF$4)*(1+NORMINV(RAND(),INPUTS!$B$28,INPUTS!$B$29))))</f>
        <v>2225170.99829452</v>
      </c>
      <c r="AG86" s="89" t="n">
        <f aca="true">IF(AG$5=0,AF86,MAX(0,(AF86-AG$4)*(1+NORMINV(RAND(),INPUTS!$B$28,INPUTS!$B$29))))</f>
        <v>1711657.34060802</v>
      </c>
      <c r="AH86" s="89" t="n">
        <f aca="true">IF(AH$5=0,AG86,MAX(0,(AG86-AH$4)*(1+NORMINV(RAND(),INPUTS!$B$28,INPUTS!$B$29))))</f>
        <v>1948063.81247107</v>
      </c>
      <c r="AI86" s="89" t="n">
        <f aca="true">IF(AI$5=0,AH86,MAX(0,(AH86-AI$4)*(1+NORMINV(RAND(),INPUTS!$B$28,INPUTS!$B$29))))</f>
        <v>2306619.11529192</v>
      </c>
      <c r="AJ86" s="89" t="n">
        <f aca="true">IF(AJ$5=0,AI86,MAX(0,(AI86-AJ$4)*(1+NORMINV(RAND(),INPUTS!$B$28,INPUTS!$B$29))))</f>
        <v>2828348.27779022</v>
      </c>
      <c r="AK86" s="89" t="n">
        <f aca="true">IF(AK$5=0,AJ86,MAX(0,(AJ86-AK$4)*(1+NORMINV(RAND(),INPUTS!$B$28,INPUTS!$B$29))))</f>
        <v>3313335.6015929</v>
      </c>
      <c r="AL86" s="89" t="n">
        <f aca="true">IF(AL$5=0,AK86,MAX(0,(AK86-AL$4)*(1+NORMINV(RAND(),INPUTS!$B$28,INPUTS!$B$29))))</f>
        <v>3267227.7677127</v>
      </c>
      <c r="AM86" s="89" t="n">
        <f aca="true">IF(AM$5=0,AL86,MAX(0,(AL86-AM$4)*(1+NORMINV(RAND(),INPUTS!$B$28,INPUTS!$B$29))))</f>
        <v>3267227.7677127</v>
      </c>
      <c r="AN86" s="89" t="n">
        <f aca="true">IF(AN$5=0,AM86,MAX(0,(AM86-AN$4)*(1+NORMINV(RAND(),INPUTS!$B$28,INPUTS!$B$29))))</f>
        <v>3267227.7677127</v>
      </c>
      <c r="AO86" s="89" t="n">
        <f aca="true">IF(AO$5=0,AN86,MAX(0,(AN86-AO$4)*(1+NORMINV(RAND(),INPUTS!$B$28,INPUTS!$B$29))))</f>
        <v>3267227.7677127</v>
      </c>
      <c r="AP86" s="89" t="n">
        <f aca="true">IF(AP$5=0,AO86,MAX(0,(AO86-AP$4)*(1+NORMINV(RAND(),INPUTS!$B$28,INPUTS!$B$29))))</f>
        <v>3267227.7677127</v>
      </c>
      <c r="AQ86" s="89" t="n">
        <f aca="true">IF(AQ$5=0,AP86,MAX(0,(AP86-AQ$4)*(1+NORMINV(RAND(),INPUTS!$B$28,INPUTS!$B$29))))</f>
        <v>3267227.7677127</v>
      </c>
      <c r="AR86" s="89" t="n">
        <f aca="true">IF(AR$5=0,AQ86,MAX(0,(AQ86-AR$4)*(1+NORMINV(RAND(),INPUTS!$B$28,INPUTS!$B$29))))</f>
        <v>3267227.7677127</v>
      </c>
      <c r="AS86" s="89" t="n">
        <f aca="true">IF(AS$5=0,AR86,MAX(0,(AR86-AS$4)*(1+NORMINV(RAND(),INPUTS!$B$28,INPUTS!$B$29))))</f>
        <v>3267227.7677127</v>
      </c>
      <c r="AT86" s="89" t="n">
        <f aca="true">IF(AT$5=0,AS86,MAX(0,(AS86-AT$4)*(1+NORMINV(RAND(),INPUTS!$B$28,INPUTS!$B$29))))</f>
        <v>3267227.7677127</v>
      </c>
      <c r="AU86" s="89" t="n">
        <f aca="true">IF(AU$5=0,AT86,MAX(0,(AT86-AU$4)*(1+NORMINV(RAND(),INPUTS!$B$28,INPUTS!$B$29))))</f>
        <v>3267227.7677127</v>
      </c>
      <c r="AV86" s="89" t="n">
        <f aca="true">IF(AV$5=0,AU86,MAX(0,(AU86-AV$4)*(1+NORMINV(RAND(),INPUTS!$B$28,INPUTS!$B$29))))</f>
        <v>3267227.7677127</v>
      </c>
      <c r="AW86" s="89" t="n">
        <f aca="true">IF(AW$5=0,AV86,MAX(0,(AV86-AW$4)*(1+NORMINV(RAND(),INPUTS!$B$28,INPUTS!$B$29))))</f>
        <v>3267227.7677127</v>
      </c>
      <c r="AX86" s="89" t="n">
        <f aca="true">IF(AX$5=0,AW86,MAX(0,(AW86-AX$4)*(1+NORMINV(RAND(),INPUTS!$B$28,INPUTS!$B$29))))</f>
        <v>3267227.7677127</v>
      </c>
      <c r="AY86" s="89" t="n">
        <f aca="true">IF(AY$5=0,AX86,MAX(0,(AX86-AY$4)*(1+NORMINV(RAND(),INPUTS!$B$28,INPUTS!$B$29))))</f>
        <v>3267227.7677127</v>
      </c>
      <c r="AZ86" s="89" t="n">
        <f aca="true">IF(AZ$5=0,AY86,MAX(0,(AY86-AZ$4)*(1+NORMINV(RAND(),INPUTS!$B$28,INPUTS!$B$29))))</f>
        <v>3267227.7677127</v>
      </c>
      <c r="BA86" s="89" t="n">
        <f aca="true">IF(BA$5=0,AZ86,MAX(0,(AZ86-BA$4)*(1+NORMINV(RAND(),INPUTS!$B$28,INPUTS!$B$29))))</f>
        <v>3267227.7677127</v>
      </c>
      <c r="BB86" s="89" t="n">
        <f aca="true">IF(BB$5=0,BA86,MAX(0,(BA86-BB$4)*(1+NORMINV(RAND(),INPUTS!$B$28,INPUTS!$B$29))))</f>
        <v>3267227.7677127</v>
      </c>
      <c r="BC86" s="89" t="n">
        <f aca="true">IF(BC$5=0,BB86,MAX(0,(BB86-BC$4)*(1+NORMINV(RAND(),INPUTS!$B$28,INPUTS!$B$29))))</f>
        <v>3267227.7677127</v>
      </c>
      <c r="BD86" s="89" t="n">
        <f aca="true">IF(BD$5=0,BC86,MAX(0,(BC86-BD$4)*(1+NORMINV(RAND(),INPUTS!$B$28,INPUTS!$B$29))))</f>
        <v>3267227.7677127</v>
      </c>
      <c r="BE86" s="89" t="n">
        <f aca="true">IF(BE$5=0,BD86,MAX(0,(BD86-BE$4)*(1+NORMINV(RAND(),INPUTS!$B$28,INPUTS!$B$29))))</f>
        <v>3267227.7677127</v>
      </c>
      <c r="BF86" s="89" t="n">
        <f aca="true">IF(BF$5=0,BE86,MAX(0,(BE86-BF$4)*(1+NORMINV(RAND(),INPUTS!$B$28,INPUTS!$B$29))))</f>
        <v>3267227.7677127</v>
      </c>
      <c r="BG86" s="89" t="n">
        <f aca="true">IF(BG$5=0,BF86,MAX(0,(BF86-BG$4)*(1+NORMINV(RAND(),INPUTS!$B$28,INPUTS!$B$29))))</f>
        <v>3267227.7677127</v>
      </c>
      <c r="BH86" s="89" t="n">
        <f aca="true">IF(BH$5=0,BG86,MAX(0,(BG86-BH$4)*(1+NORMINV(RAND(),INPUTS!$B$28,INPUTS!$B$29))))</f>
        <v>3267227.7677127</v>
      </c>
      <c r="BI86" s="89" t="n">
        <f aca="true">IF(BI$5=0,BH86,MAX(0,(BH86-BI$4)*(1+NORMINV(RAND(),INPUTS!$B$28,INPUTS!$B$29))))</f>
        <v>3267227.7677127</v>
      </c>
      <c r="BJ86" s="89" t="n">
        <f aca="true">IF(BJ$5=0,BI86,MAX(0,(BI86-BJ$4)*(1+NORMINV(RAND(),INPUTS!$B$28,INPUTS!$B$29))))</f>
        <v>3267227.7677127</v>
      </c>
    </row>
    <row r="87" customFormat="false" ht="15" hidden="false" customHeight="true" outlineLevel="0" collapsed="false">
      <c r="A87" s="87" t="n">
        <v>80</v>
      </c>
      <c r="B87" s="88" t="n">
        <f aca="false">LOOKUP(9.99E+307,C87:BJ87)</f>
        <v>1166266.02678298</v>
      </c>
      <c r="C87" s="89" t="n">
        <f aca="true">IF(C$5=0,INPUTS!$B$35,MAX(0,(INPUTS!$B$35-C$4)*(1+NORMINV(RAND(),INPUTS!$B$28,INPUTS!$B$29))))</f>
        <v>1312642.12623406</v>
      </c>
      <c r="D87" s="89" t="n">
        <f aca="true">IF(D$5=0,C87,MAX(0,(C87-D$4)*(1+NORMINV(RAND(),INPUTS!$B$28,INPUTS!$B$29))))</f>
        <v>1147701.36826427</v>
      </c>
      <c r="E87" s="89" t="n">
        <f aca="true">IF(E$5=0,D87,MAX(0,(D87-E$4)*(1+NORMINV(RAND(),INPUTS!$B$28,INPUTS!$B$29))))</f>
        <v>1042044.40633225</v>
      </c>
      <c r="F87" s="89" t="n">
        <f aca="true">IF(F$5=0,E87,MAX(0,(E87-F$4)*(1+NORMINV(RAND(),INPUTS!$B$28,INPUTS!$B$29))))</f>
        <v>980173.603381477</v>
      </c>
      <c r="G87" s="89" t="n">
        <f aca="true">IF(G$5=0,F87,MAX(0,(F87-G$4)*(1+NORMINV(RAND(),INPUTS!$B$28,INPUTS!$B$29))))</f>
        <v>960253.351896753</v>
      </c>
      <c r="H87" s="89" t="n">
        <f aca="true">IF(H$5=0,G87,MAX(0,(G87-H$4)*(1+NORMINV(RAND(),INPUTS!$B$28,INPUTS!$B$29))))</f>
        <v>1070180.96760666</v>
      </c>
      <c r="I87" s="89" t="n">
        <f aca="true">IF(I$5=0,H87,MAX(0,(H87-I$4)*(1+NORMINV(RAND(),INPUTS!$B$28,INPUTS!$B$29))))</f>
        <v>1162389.46578889</v>
      </c>
      <c r="J87" s="89" t="n">
        <f aca="true">IF(J$5=0,I87,MAX(0,(I87-J$4)*(1+NORMINV(RAND(),INPUTS!$B$28,INPUTS!$B$29))))</f>
        <v>1134798.4133136</v>
      </c>
      <c r="K87" s="89" t="n">
        <f aca="true">IF(K$5=0,J87,MAX(0,(J87-K$4)*(1+NORMINV(RAND(),INPUTS!$B$28,INPUTS!$B$29))))</f>
        <v>1053367.60742599</v>
      </c>
      <c r="L87" s="89" t="n">
        <f aca="true">IF(L$5=0,K87,MAX(0,(K87-L$4)*(1+NORMINV(RAND(),INPUTS!$B$28,INPUTS!$B$29))))</f>
        <v>608015.28813415</v>
      </c>
      <c r="M87" s="89" t="n">
        <f aca="true">IF(M$5=0,L87,MAX(0,(L87-M$4)*(1+NORMINV(RAND(),INPUTS!$B$28,INPUTS!$B$29))))</f>
        <v>659434.629314427</v>
      </c>
      <c r="N87" s="89" t="n">
        <f aca="true">IF(N$5=0,M87,MAX(0,(M87-N$4)*(1+NORMINV(RAND(),INPUTS!$B$28,INPUTS!$B$29))))</f>
        <v>620104.905148698</v>
      </c>
      <c r="O87" s="89" t="n">
        <f aca="true">IF(O$5=0,N87,MAX(0,(N87-O$4)*(1+NORMINV(RAND(),INPUTS!$B$28,INPUTS!$B$29))))</f>
        <v>603972.74569563</v>
      </c>
      <c r="P87" s="89" t="n">
        <f aca="true">IF(P$5=0,O87,MAX(0,(O87-P$4)*(1+NORMINV(RAND(),INPUTS!$B$28,INPUTS!$B$29))))</f>
        <v>572275.772675336</v>
      </c>
      <c r="Q87" s="89" t="n">
        <f aca="true">IF(Q$5=0,P87,MAX(0,(P87-Q$4)*(1+NORMINV(RAND(),INPUTS!$B$28,INPUTS!$B$29))))</f>
        <v>639677.155493751</v>
      </c>
      <c r="R87" s="89" t="n">
        <f aca="true">IF(R$5=0,Q87,MAX(0,(Q87-R$4)*(1+NORMINV(RAND(),INPUTS!$B$28,INPUTS!$B$29))))</f>
        <v>608792.700495771</v>
      </c>
      <c r="S87" s="89" t="n">
        <f aca="true">IF(S$5=0,R87,MAX(0,(R87-S$4)*(1+NORMINV(RAND(),INPUTS!$B$28,INPUTS!$B$29))))</f>
        <v>665213.345119061</v>
      </c>
      <c r="T87" s="89" t="n">
        <f aca="true">IF(T$5=0,S87,MAX(0,(S87-T$4)*(1+NORMINV(RAND(),INPUTS!$B$28,INPUTS!$B$29))))</f>
        <v>776048.767005339</v>
      </c>
      <c r="U87" s="89" t="n">
        <f aca="true">IF(U$5=0,T87,MAX(0,(T87-U$4)*(1+NORMINV(RAND(),INPUTS!$B$28,INPUTS!$B$29))))</f>
        <v>1028416.81963364</v>
      </c>
      <c r="V87" s="89" t="n">
        <f aca="true">IF(V$5=0,U87,MAX(0,(U87-V$4)*(1+NORMINV(RAND(),INPUTS!$B$28,INPUTS!$B$29))))</f>
        <v>909537.35882943</v>
      </c>
      <c r="W87" s="89" t="n">
        <f aca="true">IF(W$5=0,V87,MAX(0,(V87-W$4)*(1+NORMINV(RAND(),INPUTS!$B$28,INPUTS!$B$29))))</f>
        <v>1046178.27835678</v>
      </c>
      <c r="X87" s="89" t="n">
        <f aca="true">IF(X$5=0,W87,MAX(0,(W87-X$4)*(1+NORMINV(RAND(),INPUTS!$B$28,INPUTS!$B$29))))</f>
        <v>1083716.42456595</v>
      </c>
      <c r="Y87" s="89" t="n">
        <f aca="true">IF(Y$5=0,X87,MAX(0,(X87-Y$4)*(1+NORMINV(RAND(),INPUTS!$B$28,INPUTS!$B$29))))</f>
        <v>1063348.40739195</v>
      </c>
      <c r="Z87" s="89" t="n">
        <f aca="true">IF(Z$5=0,Y87,MAX(0,(Y87-Z$4)*(1+NORMINV(RAND(),INPUTS!$B$28,INPUTS!$B$29))))</f>
        <v>1062489.97948869</v>
      </c>
      <c r="AA87" s="89" t="n">
        <f aca="true">IF(AA$5=0,Z87,MAX(0,(Z87-AA$4)*(1+NORMINV(RAND(),INPUTS!$B$28,INPUTS!$B$29))))</f>
        <v>1071575.87105429</v>
      </c>
      <c r="AB87" s="89" t="n">
        <f aca="true">IF(AB$5=0,AA87,MAX(0,(AA87-AB$4)*(1+NORMINV(RAND(),INPUTS!$B$28,INPUTS!$B$29))))</f>
        <v>1083713.1581009</v>
      </c>
      <c r="AC87" s="89" t="n">
        <f aca="true">IF(AC$5=0,AB87,MAX(0,(AB87-AC$4)*(1+NORMINV(RAND(),INPUTS!$B$28,INPUTS!$B$29))))</f>
        <v>1290964.47167176</v>
      </c>
      <c r="AD87" s="89" t="n">
        <f aca="true">IF(AD$5=0,AC87,MAX(0,(AC87-AD$4)*(1+NORMINV(RAND(),INPUTS!$B$28,INPUTS!$B$29))))</f>
        <v>1231387.41087823</v>
      </c>
      <c r="AE87" s="89" t="n">
        <f aca="true">IF(AE$5=0,AD87,MAX(0,(AD87-AE$4)*(1+NORMINV(RAND(),INPUTS!$B$28,INPUTS!$B$29))))</f>
        <v>1206528.16789438</v>
      </c>
      <c r="AF87" s="89" t="n">
        <f aca="true">IF(AF$5=0,AE87,MAX(0,(AE87-AF$4)*(1+NORMINV(RAND(),INPUTS!$B$28,INPUTS!$B$29))))</f>
        <v>1273115.23952559</v>
      </c>
      <c r="AG87" s="89" t="n">
        <f aca="true">IF(AG$5=0,AF87,MAX(0,(AF87-AG$4)*(1+NORMINV(RAND(),INPUTS!$B$28,INPUTS!$B$29))))</f>
        <v>1187650.82538757</v>
      </c>
      <c r="AH87" s="89" t="n">
        <f aca="true">IF(AH$5=0,AG87,MAX(0,(AG87-AH$4)*(1+NORMINV(RAND(),INPUTS!$B$28,INPUTS!$B$29))))</f>
        <v>1117322.4774871</v>
      </c>
      <c r="AI87" s="89" t="n">
        <f aca="true">IF(AI$5=0,AH87,MAX(0,(AH87-AI$4)*(1+NORMINV(RAND(),INPUTS!$B$28,INPUTS!$B$29))))</f>
        <v>1079177.16021619</v>
      </c>
      <c r="AJ87" s="89" t="n">
        <f aca="true">IF(AJ$5=0,AI87,MAX(0,(AI87-AJ$4)*(1+NORMINV(RAND(),INPUTS!$B$28,INPUTS!$B$29))))</f>
        <v>1329650.42432112</v>
      </c>
      <c r="AK87" s="89" t="n">
        <f aca="true">IF(AK$5=0,AJ87,MAX(0,(AJ87-AK$4)*(1+NORMINV(RAND(),INPUTS!$B$28,INPUTS!$B$29))))</f>
        <v>1190538.26105771</v>
      </c>
      <c r="AL87" s="89" t="n">
        <f aca="true">IF(AL$5=0,AK87,MAX(0,(AK87-AL$4)*(1+NORMINV(RAND(),INPUTS!$B$28,INPUTS!$B$29))))</f>
        <v>1166266.02678298</v>
      </c>
      <c r="AM87" s="89" t="n">
        <f aca="true">IF(AM$5=0,AL87,MAX(0,(AL87-AM$4)*(1+NORMINV(RAND(),INPUTS!$B$28,INPUTS!$B$29))))</f>
        <v>1166266.02678298</v>
      </c>
      <c r="AN87" s="89" t="n">
        <f aca="true">IF(AN$5=0,AM87,MAX(0,(AM87-AN$4)*(1+NORMINV(RAND(),INPUTS!$B$28,INPUTS!$B$29))))</f>
        <v>1166266.02678298</v>
      </c>
      <c r="AO87" s="89" t="n">
        <f aca="true">IF(AO$5=0,AN87,MAX(0,(AN87-AO$4)*(1+NORMINV(RAND(),INPUTS!$B$28,INPUTS!$B$29))))</f>
        <v>1166266.02678298</v>
      </c>
      <c r="AP87" s="89" t="n">
        <f aca="true">IF(AP$5=0,AO87,MAX(0,(AO87-AP$4)*(1+NORMINV(RAND(),INPUTS!$B$28,INPUTS!$B$29))))</f>
        <v>1166266.02678298</v>
      </c>
      <c r="AQ87" s="89" t="n">
        <f aca="true">IF(AQ$5=0,AP87,MAX(0,(AP87-AQ$4)*(1+NORMINV(RAND(),INPUTS!$B$28,INPUTS!$B$29))))</f>
        <v>1166266.02678298</v>
      </c>
      <c r="AR87" s="89" t="n">
        <f aca="true">IF(AR$5=0,AQ87,MAX(0,(AQ87-AR$4)*(1+NORMINV(RAND(),INPUTS!$B$28,INPUTS!$B$29))))</f>
        <v>1166266.02678298</v>
      </c>
      <c r="AS87" s="89" t="n">
        <f aca="true">IF(AS$5=0,AR87,MAX(0,(AR87-AS$4)*(1+NORMINV(RAND(),INPUTS!$B$28,INPUTS!$B$29))))</f>
        <v>1166266.02678298</v>
      </c>
      <c r="AT87" s="89" t="n">
        <f aca="true">IF(AT$5=0,AS87,MAX(0,(AS87-AT$4)*(1+NORMINV(RAND(),INPUTS!$B$28,INPUTS!$B$29))))</f>
        <v>1166266.02678298</v>
      </c>
      <c r="AU87" s="89" t="n">
        <f aca="true">IF(AU$5=0,AT87,MAX(0,(AT87-AU$4)*(1+NORMINV(RAND(),INPUTS!$B$28,INPUTS!$B$29))))</f>
        <v>1166266.02678298</v>
      </c>
      <c r="AV87" s="89" t="n">
        <f aca="true">IF(AV$5=0,AU87,MAX(0,(AU87-AV$4)*(1+NORMINV(RAND(),INPUTS!$B$28,INPUTS!$B$29))))</f>
        <v>1166266.02678298</v>
      </c>
      <c r="AW87" s="89" t="n">
        <f aca="true">IF(AW$5=0,AV87,MAX(0,(AV87-AW$4)*(1+NORMINV(RAND(),INPUTS!$B$28,INPUTS!$B$29))))</f>
        <v>1166266.02678298</v>
      </c>
      <c r="AX87" s="89" t="n">
        <f aca="true">IF(AX$5=0,AW87,MAX(0,(AW87-AX$4)*(1+NORMINV(RAND(),INPUTS!$B$28,INPUTS!$B$29))))</f>
        <v>1166266.02678298</v>
      </c>
      <c r="AY87" s="89" t="n">
        <f aca="true">IF(AY$5=0,AX87,MAX(0,(AX87-AY$4)*(1+NORMINV(RAND(),INPUTS!$B$28,INPUTS!$B$29))))</f>
        <v>1166266.02678298</v>
      </c>
      <c r="AZ87" s="89" t="n">
        <f aca="true">IF(AZ$5=0,AY87,MAX(0,(AY87-AZ$4)*(1+NORMINV(RAND(),INPUTS!$B$28,INPUTS!$B$29))))</f>
        <v>1166266.02678298</v>
      </c>
      <c r="BA87" s="89" t="n">
        <f aca="true">IF(BA$5=0,AZ87,MAX(0,(AZ87-BA$4)*(1+NORMINV(RAND(),INPUTS!$B$28,INPUTS!$B$29))))</f>
        <v>1166266.02678298</v>
      </c>
      <c r="BB87" s="89" t="n">
        <f aca="true">IF(BB$5=0,BA87,MAX(0,(BA87-BB$4)*(1+NORMINV(RAND(),INPUTS!$B$28,INPUTS!$B$29))))</f>
        <v>1166266.02678298</v>
      </c>
      <c r="BC87" s="89" t="n">
        <f aca="true">IF(BC$5=0,BB87,MAX(0,(BB87-BC$4)*(1+NORMINV(RAND(),INPUTS!$B$28,INPUTS!$B$29))))</f>
        <v>1166266.02678298</v>
      </c>
      <c r="BD87" s="89" t="n">
        <f aca="true">IF(BD$5=0,BC87,MAX(0,(BC87-BD$4)*(1+NORMINV(RAND(),INPUTS!$B$28,INPUTS!$B$29))))</f>
        <v>1166266.02678298</v>
      </c>
      <c r="BE87" s="89" t="n">
        <f aca="true">IF(BE$5=0,BD87,MAX(0,(BD87-BE$4)*(1+NORMINV(RAND(),INPUTS!$B$28,INPUTS!$B$29))))</f>
        <v>1166266.02678298</v>
      </c>
      <c r="BF87" s="89" t="n">
        <f aca="true">IF(BF$5=0,BE87,MAX(0,(BE87-BF$4)*(1+NORMINV(RAND(),INPUTS!$B$28,INPUTS!$B$29))))</f>
        <v>1166266.02678298</v>
      </c>
      <c r="BG87" s="89" t="n">
        <f aca="true">IF(BG$5=0,BF87,MAX(0,(BF87-BG$4)*(1+NORMINV(RAND(),INPUTS!$B$28,INPUTS!$B$29))))</f>
        <v>1166266.02678298</v>
      </c>
      <c r="BH87" s="89" t="n">
        <f aca="true">IF(BH$5=0,BG87,MAX(0,(BG87-BH$4)*(1+NORMINV(RAND(),INPUTS!$B$28,INPUTS!$B$29))))</f>
        <v>1166266.02678298</v>
      </c>
      <c r="BI87" s="89" t="n">
        <f aca="true">IF(BI$5=0,BH87,MAX(0,(BH87-BI$4)*(1+NORMINV(RAND(),INPUTS!$B$28,INPUTS!$B$29))))</f>
        <v>1166266.02678298</v>
      </c>
      <c r="BJ87" s="89" t="n">
        <f aca="true">IF(BJ$5=0,BI87,MAX(0,(BI87-BJ$4)*(1+NORMINV(RAND(),INPUTS!$B$28,INPUTS!$B$29))))</f>
        <v>1166266.02678298</v>
      </c>
    </row>
    <row r="88" customFormat="false" ht="15" hidden="false" customHeight="true" outlineLevel="0" collapsed="false">
      <c r="A88" s="87" t="n">
        <v>81</v>
      </c>
      <c r="B88" s="88" t="n">
        <f aca="false">LOOKUP(9.99E+307,C88:BJ88)</f>
        <v>4516369.48391852</v>
      </c>
      <c r="C88" s="89" t="n">
        <f aca="true">IF(C$5=0,INPUTS!$B$35,MAX(0,(INPUTS!$B$35-C$4)*(1+NORMINV(RAND(),INPUTS!$B$28,INPUTS!$B$29))))</f>
        <v>1561857.55263101</v>
      </c>
      <c r="D88" s="89" t="n">
        <f aca="true">IF(D$5=0,C88,MAX(0,(C88-D$4)*(1+NORMINV(RAND(),INPUTS!$B$28,INPUTS!$B$29))))</f>
        <v>1483347.10741089</v>
      </c>
      <c r="E88" s="89" t="n">
        <f aca="true">IF(E$5=0,D88,MAX(0,(D88-E$4)*(1+NORMINV(RAND(),INPUTS!$B$28,INPUTS!$B$29))))</f>
        <v>1282076.07130619</v>
      </c>
      <c r="F88" s="89" t="n">
        <f aca="true">IF(F$5=0,E88,MAX(0,(E88-F$4)*(1+NORMINV(RAND(),INPUTS!$B$28,INPUTS!$B$29))))</f>
        <v>1368355.20682722</v>
      </c>
      <c r="G88" s="89" t="n">
        <f aca="true">IF(G$5=0,F88,MAX(0,(F88-G$4)*(1+NORMINV(RAND(),INPUTS!$B$28,INPUTS!$B$29))))</f>
        <v>1482777.75438538</v>
      </c>
      <c r="H88" s="89" t="n">
        <f aca="true">IF(H$5=0,G88,MAX(0,(G88-H$4)*(1+NORMINV(RAND(),INPUTS!$B$28,INPUTS!$B$29))))</f>
        <v>1542655.90707473</v>
      </c>
      <c r="I88" s="89" t="n">
        <f aca="true">IF(I$5=0,H88,MAX(0,(H88-I$4)*(1+NORMINV(RAND(),INPUTS!$B$28,INPUTS!$B$29))))</f>
        <v>1607181.33216197</v>
      </c>
      <c r="J88" s="89" t="n">
        <f aca="true">IF(J$5=0,I88,MAX(0,(I88-J$4)*(1+NORMINV(RAND(),INPUTS!$B$28,INPUTS!$B$29))))</f>
        <v>1456597.54440397</v>
      </c>
      <c r="K88" s="89" t="n">
        <f aca="true">IF(K$5=0,J88,MAX(0,(J88-K$4)*(1+NORMINV(RAND(),INPUTS!$B$28,INPUTS!$B$29))))</f>
        <v>1838444.30251196</v>
      </c>
      <c r="L88" s="89" t="n">
        <f aca="true">IF(L$5=0,K88,MAX(0,(K88-L$4)*(1+NORMINV(RAND(),INPUTS!$B$28,INPUTS!$B$29))))</f>
        <v>1874661.21334299</v>
      </c>
      <c r="M88" s="89" t="n">
        <f aca="true">IF(M$5=0,L88,MAX(0,(L88-M$4)*(1+NORMINV(RAND(),INPUTS!$B$28,INPUTS!$B$29))))</f>
        <v>2047043.73953029</v>
      </c>
      <c r="N88" s="89" t="n">
        <f aca="true">IF(N$5=0,M88,MAX(0,(M88-N$4)*(1+NORMINV(RAND(),INPUTS!$B$28,INPUTS!$B$29))))</f>
        <v>2127164.30505156</v>
      </c>
      <c r="O88" s="89" t="n">
        <f aca="true">IF(O$5=0,N88,MAX(0,(N88-O$4)*(1+NORMINV(RAND(),INPUTS!$B$28,INPUTS!$B$29))))</f>
        <v>2053121.62575688</v>
      </c>
      <c r="P88" s="89" t="n">
        <f aca="true">IF(P$5=0,O88,MAX(0,(O88-P$4)*(1+NORMINV(RAND(),INPUTS!$B$28,INPUTS!$B$29))))</f>
        <v>2404249.75948476</v>
      </c>
      <c r="Q88" s="89" t="n">
        <f aca="true">IF(Q$5=0,P88,MAX(0,(P88-Q$4)*(1+NORMINV(RAND(),INPUTS!$B$28,INPUTS!$B$29))))</f>
        <v>2294125.45220225</v>
      </c>
      <c r="R88" s="89" t="n">
        <f aca="true">IF(R$5=0,Q88,MAX(0,(Q88-R$4)*(1+NORMINV(RAND(),INPUTS!$B$28,INPUTS!$B$29))))</f>
        <v>2597876.86635878</v>
      </c>
      <c r="S88" s="89" t="n">
        <f aca="true">IF(S$5=0,R88,MAX(0,(R88-S$4)*(1+NORMINV(RAND(),INPUTS!$B$28,INPUTS!$B$29))))</f>
        <v>2179546.45663156</v>
      </c>
      <c r="T88" s="89" t="n">
        <f aca="true">IF(T$5=0,S88,MAX(0,(S88-T$4)*(1+NORMINV(RAND(),INPUTS!$B$28,INPUTS!$B$29))))</f>
        <v>2657419.85720771</v>
      </c>
      <c r="U88" s="89" t="n">
        <f aca="true">IF(U$5=0,T88,MAX(0,(T88-U$4)*(1+NORMINV(RAND(),INPUTS!$B$28,INPUTS!$B$29))))</f>
        <v>2644680.84509684</v>
      </c>
      <c r="V88" s="89" t="n">
        <f aca="true">IF(V$5=0,U88,MAX(0,(U88-V$4)*(1+NORMINV(RAND(),INPUTS!$B$28,INPUTS!$B$29))))</f>
        <v>2543545.98822104</v>
      </c>
      <c r="W88" s="89" t="n">
        <f aca="true">IF(W$5=0,V88,MAX(0,(V88-W$4)*(1+NORMINV(RAND(),INPUTS!$B$28,INPUTS!$B$29))))</f>
        <v>2720280.65719861</v>
      </c>
      <c r="X88" s="89" t="n">
        <f aca="true">IF(X$5=0,W88,MAX(0,(W88-X$4)*(1+NORMINV(RAND(),INPUTS!$B$28,INPUTS!$B$29))))</f>
        <v>2847283.19299464</v>
      </c>
      <c r="Y88" s="89" t="n">
        <f aca="true">IF(Y$5=0,X88,MAX(0,(X88-Y$4)*(1+NORMINV(RAND(),INPUTS!$B$28,INPUTS!$B$29))))</f>
        <v>2625536.64569583</v>
      </c>
      <c r="Z88" s="89" t="n">
        <f aca="true">IF(Z$5=0,Y88,MAX(0,(Y88-Z$4)*(1+NORMINV(RAND(),INPUTS!$B$28,INPUTS!$B$29))))</f>
        <v>3021434.80566697</v>
      </c>
      <c r="AA88" s="89" t="n">
        <f aca="true">IF(AA$5=0,Z88,MAX(0,(Z88-AA$4)*(1+NORMINV(RAND(),INPUTS!$B$28,INPUTS!$B$29))))</f>
        <v>3363459.37659628</v>
      </c>
      <c r="AB88" s="89" t="n">
        <f aca="true">IF(AB$5=0,AA88,MAX(0,(AA88-AB$4)*(1+NORMINV(RAND(),INPUTS!$B$28,INPUTS!$B$29))))</f>
        <v>3495638.91048078</v>
      </c>
      <c r="AC88" s="89" t="n">
        <f aca="true">IF(AC$5=0,AB88,MAX(0,(AB88-AC$4)*(1+NORMINV(RAND(),INPUTS!$B$28,INPUTS!$B$29))))</f>
        <v>3881080.71495167</v>
      </c>
      <c r="AD88" s="89" t="n">
        <f aca="true">IF(AD$5=0,AC88,MAX(0,(AC88-AD$4)*(1+NORMINV(RAND(),INPUTS!$B$28,INPUTS!$B$29))))</f>
        <v>3589593.20878838</v>
      </c>
      <c r="AE88" s="89" t="n">
        <f aca="true">IF(AE$5=0,AD88,MAX(0,(AD88-AE$4)*(1+NORMINV(RAND(),INPUTS!$B$28,INPUTS!$B$29))))</f>
        <v>3508654.48043588</v>
      </c>
      <c r="AF88" s="89" t="n">
        <f aca="true">IF(AF$5=0,AE88,MAX(0,(AE88-AF$4)*(1+NORMINV(RAND(),INPUTS!$B$28,INPUTS!$B$29))))</f>
        <v>3828800.9213057</v>
      </c>
      <c r="AG88" s="89" t="n">
        <f aca="true">IF(AG$5=0,AF88,MAX(0,(AF88-AG$4)*(1+NORMINV(RAND(),INPUTS!$B$28,INPUTS!$B$29))))</f>
        <v>4349597.56751401</v>
      </c>
      <c r="AH88" s="89" t="n">
        <f aca="true">IF(AH$5=0,AG88,MAX(0,(AG88-AH$4)*(1+NORMINV(RAND(),INPUTS!$B$28,INPUTS!$B$29))))</f>
        <v>4206702.11967847</v>
      </c>
      <c r="AI88" s="89" t="n">
        <f aca="true">IF(AI$5=0,AH88,MAX(0,(AH88-AI$4)*(1+NORMINV(RAND(),INPUTS!$B$28,INPUTS!$B$29))))</f>
        <v>4222196.0341024</v>
      </c>
      <c r="AJ88" s="89" t="n">
        <f aca="true">IF(AJ$5=0,AI88,MAX(0,(AI88-AJ$4)*(1+NORMINV(RAND(),INPUTS!$B$28,INPUTS!$B$29))))</f>
        <v>4813412.33643976</v>
      </c>
      <c r="AK88" s="89" t="n">
        <f aca="true">IF(AK$5=0,AJ88,MAX(0,(AJ88-AK$4)*(1+NORMINV(RAND(),INPUTS!$B$28,INPUTS!$B$29))))</f>
        <v>4327041.0711685</v>
      </c>
      <c r="AL88" s="89" t="n">
        <f aca="true">IF(AL$5=0,AK88,MAX(0,(AK88-AL$4)*(1+NORMINV(RAND(),INPUTS!$B$28,INPUTS!$B$29))))</f>
        <v>4516369.48391852</v>
      </c>
      <c r="AM88" s="89" t="n">
        <f aca="true">IF(AM$5=0,AL88,MAX(0,(AL88-AM$4)*(1+NORMINV(RAND(),INPUTS!$B$28,INPUTS!$B$29))))</f>
        <v>4516369.48391852</v>
      </c>
      <c r="AN88" s="89" t="n">
        <f aca="true">IF(AN$5=0,AM88,MAX(0,(AM88-AN$4)*(1+NORMINV(RAND(),INPUTS!$B$28,INPUTS!$B$29))))</f>
        <v>4516369.48391852</v>
      </c>
      <c r="AO88" s="89" t="n">
        <f aca="true">IF(AO$5=0,AN88,MAX(0,(AN88-AO$4)*(1+NORMINV(RAND(),INPUTS!$B$28,INPUTS!$B$29))))</f>
        <v>4516369.48391852</v>
      </c>
      <c r="AP88" s="89" t="n">
        <f aca="true">IF(AP$5=0,AO88,MAX(0,(AO88-AP$4)*(1+NORMINV(RAND(),INPUTS!$B$28,INPUTS!$B$29))))</f>
        <v>4516369.48391852</v>
      </c>
      <c r="AQ88" s="89" t="n">
        <f aca="true">IF(AQ$5=0,AP88,MAX(0,(AP88-AQ$4)*(1+NORMINV(RAND(),INPUTS!$B$28,INPUTS!$B$29))))</f>
        <v>4516369.48391852</v>
      </c>
      <c r="AR88" s="89" t="n">
        <f aca="true">IF(AR$5=0,AQ88,MAX(0,(AQ88-AR$4)*(1+NORMINV(RAND(),INPUTS!$B$28,INPUTS!$B$29))))</f>
        <v>4516369.48391852</v>
      </c>
      <c r="AS88" s="89" t="n">
        <f aca="true">IF(AS$5=0,AR88,MAX(0,(AR88-AS$4)*(1+NORMINV(RAND(),INPUTS!$B$28,INPUTS!$B$29))))</f>
        <v>4516369.48391852</v>
      </c>
      <c r="AT88" s="89" t="n">
        <f aca="true">IF(AT$5=0,AS88,MAX(0,(AS88-AT$4)*(1+NORMINV(RAND(),INPUTS!$B$28,INPUTS!$B$29))))</f>
        <v>4516369.48391852</v>
      </c>
      <c r="AU88" s="89" t="n">
        <f aca="true">IF(AU$5=0,AT88,MAX(0,(AT88-AU$4)*(1+NORMINV(RAND(),INPUTS!$B$28,INPUTS!$B$29))))</f>
        <v>4516369.48391852</v>
      </c>
      <c r="AV88" s="89" t="n">
        <f aca="true">IF(AV$5=0,AU88,MAX(0,(AU88-AV$4)*(1+NORMINV(RAND(),INPUTS!$B$28,INPUTS!$B$29))))</f>
        <v>4516369.48391852</v>
      </c>
      <c r="AW88" s="89" t="n">
        <f aca="true">IF(AW$5=0,AV88,MAX(0,(AV88-AW$4)*(1+NORMINV(RAND(),INPUTS!$B$28,INPUTS!$B$29))))</f>
        <v>4516369.48391852</v>
      </c>
      <c r="AX88" s="89" t="n">
        <f aca="true">IF(AX$5=0,AW88,MAX(0,(AW88-AX$4)*(1+NORMINV(RAND(),INPUTS!$B$28,INPUTS!$B$29))))</f>
        <v>4516369.48391852</v>
      </c>
      <c r="AY88" s="89" t="n">
        <f aca="true">IF(AY$5=0,AX88,MAX(0,(AX88-AY$4)*(1+NORMINV(RAND(),INPUTS!$B$28,INPUTS!$B$29))))</f>
        <v>4516369.48391852</v>
      </c>
      <c r="AZ88" s="89" t="n">
        <f aca="true">IF(AZ$5=0,AY88,MAX(0,(AY88-AZ$4)*(1+NORMINV(RAND(),INPUTS!$B$28,INPUTS!$B$29))))</f>
        <v>4516369.48391852</v>
      </c>
      <c r="BA88" s="89" t="n">
        <f aca="true">IF(BA$5=0,AZ88,MAX(0,(AZ88-BA$4)*(1+NORMINV(RAND(),INPUTS!$B$28,INPUTS!$B$29))))</f>
        <v>4516369.48391852</v>
      </c>
      <c r="BB88" s="89" t="n">
        <f aca="true">IF(BB$5=0,BA88,MAX(0,(BA88-BB$4)*(1+NORMINV(RAND(),INPUTS!$B$28,INPUTS!$B$29))))</f>
        <v>4516369.48391852</v>
      </c>
      <c r="BC88" s="89" t="n">
        <f aca="true">IF(BC$5=0,BB88,MAX(0,(BB88-BC$4)*(1+NORMINV(RAND(),INPUTS!$B$28,INPUTS!$B$29))))</f>
        <v>4516369.48391852</v>
      </c>
      <c r="BD88" s="89" t="n">
        <f aca="true">IF(BD$5=0,BC88,MAX(0,(BC88-BD$4)*(1+NORMINV(RAND(),INPUTS!$B$28,INPUTS!$B$29))))</f>
        <v>4516369.48391852</v>
      </c>
      <c r="BE88" s="89" t="n">
        <f aca="true">IF(BE$5=0,BD88,MAX(0,(BD88-BE$4)*(1+NORMINV(RAND(),INPUTS!$B$28,INPUTS!$B$29))))</f>
        <v>4516369.48391852</v>
      </c>
      <c r="BF88" s="89" t="n">
        <f aca="true">IF(BF$5=0,BE88,MAX(0,(BE88-BF$4)*(1+NORMINV(RAND(),INPUTS!$B$28,INPUTS!$B$29))))</f>
        <v>4516369.48391852</v>
      </c>
      <c r="BG88" s="89" t="n">
        <f aca="true">IF(BG$5=0,BF88,MAX(0,(BF88-BG$4)*(1+NORMINV(RAND(),INPUTS!$B$28,INPUTS!$B$29))))</f>
        <v>4516369.48391852</v>
      </c>
      <c r="BH88" s="89" t="n">
        <f aca="true">IF(BH$5=0,BG88,MAX(0,(BG88-BH$4)*(1+NORMINV(RAND(),INPUTS!$B$28,INPUTS!$B$29))))</f>
        <v>4516369.48391852</v>
      </c>
      <c r="BI88" s="89" t="n">
        <f aca="true">IF(BI$5=0,BH88,MAX(0,(BH88-BI$4)*(1+NORMINV(RAND(),INPUTS!$B$28,INPUTS!$B$29))))</f>
        <v>4516369.48391852</v>
      </c>
      <c r="BJ88" s="89" t="n">
        <f aca="true">IF(BJ$5=0,BI88,MAX(0,(BI88-BJ$4)*(1+NORMINV(RAND(),INPUTS!$B$28,INPUTS!$B$29))))</f>
        <v>4516369.48391852</v>
      </c>
    </row>
    <row r="89" customFormat="false" ht="15" hidden="false" customHeight="true" outlineLevel="0" collapsed="false">
      <c r="A89" s="87" t="n">
        <v>82</v>
      </c>
      <c r="B89" s="88" t="n">
        <f aca="false">LOOKUP(9.99E+307,C89:BJ89)</f>
        <v>3561043.17075213</v>
      </c>
      <c r="C89" s="89" t="n">
        <f aca="true">IF(C$5=0,INPUTS!$B$35,MAX(0,(INPUTS!$B$35-C$4)*(1+NORMINV(RAND(),INPUTS!$B$28,INPUTS!$B$29))))</f>
        <v>1470535.65025787</v>
      </c>
      <c r="D89" s="89" t="n">
        <f aca="true">IF(D$5=0,C89,MAX(0,(C89-D$4)*(1+NORMINV(RAND(),INPUTS!$B$28,INPUTS!$B$29))))</f>
        <v>1171061.95754817</v>
      </c>
      <c r="E89" s="89" t="n">
        <f aca="true">IF(E$5=0,D89,MAX(0,(D89-E$4)*(1+NORMINV(RAND(),INPUTS!$B$28,INPUTS!$B$29))))</f>
        <v>1232505.03483364</v>
      </c>
      <c r="F89" s="89" t="n">
        <f aca="true">IF(F$5=0,E89,MAX(0,(E89-F$4)*(1+NORMINV(RAND(),INPUTS!$B$28,INPUTS!$B$29))))</f>
        <v>1249541.94651154</v>
      </c>
      <c r="G89" s="89" t="n">
        <f aca="true">IF(G$5=0,F89,MAX(0,(F89-G$4)*(1+NORMINV(RAND(),INPUTS!$B$28,INPUTS!$B$29))))</f>
        <v>984551.635794046</v>
      </c>
      <c r="H89" s="89" t="n">
        <f aca="true">IF(H$5=0,G89,MAX(0,(G89-H$4)*(1+NORMINV(RAND(),INPUTS!$B$28,INPUTS!$B$29))))</f>
        <v>1063510.06067</v>
      </c>
      <c r="I89" s="89" t="n">
        <f aca="true">IF(I$5=0,H89,MAX(0,(H89-I$4)*(1+NORMINV(RAND(),INPUTS!$B$28,INPUTS!$B$29))))</f>
        <v>1092419.69855015</v>
      </c>
      <c r="J89" s="89" t="n">
        <f aca="true">IF(J$5=0,I89,MAX(0,(I89-J$4)*(1+NORMINV(RAND(),INPUTS!$B$28,INPUTS!$B$29))))</f>
        <v>977758.914734698</v>
      </c>
      <c r="K89" s="89" t="n">
        <f aca="true">IF(K$5=0,J89,MAX(0,(J89-K$4)*(1+NORMINV(RAND(),INPUTS!$B$28,INPUTS!$B$29))))</f>
        <v>1062241.18160522</v>
      </c>
      <c r="L89" s="89" t="n">
        <f aca="true">IF(L$5=0,K89,MAX(0,(K89-L$4)*(1+NORMINV(RAND(),INPUTS!$B$28,INPUTS!$B$29))))</f>
        <v>909485.86297362</v>
      </c>
      <c r="M89" s="89" t="n">
        <f aca="true">IF(M$5=0,L89,MAX(0,(L89-M$4)*(1+NORMINV(RAND(),INPUTS!$B$28,INPUTS!$B$29))))</f>
        <v>926265.942589851</v>
      </c>
      <c r="N89" s="89" t="n">
        <f aca="true">IF(N$5=0,M89,MAX(0,(M89-N$4)*(1+NORMINV(RAND(),INPUTS!$B$28,INPUTS!$B$29))))</f>
        <v>1048174.14968511</v>
      </c>
      <c r="O89" s="89" t="n">
        <f aca="true">IF(O$5=0,N89,MAX(0,(N89-O$4)*(1+NORMINV(RAND(),INPUTS!$B$28,INPUTS!$B$29))))</f>
        <v>1119998.03027623</v>
      </c>
      <c r="P89" s="89" t="n">
        <f aca="true">IF(P$5=0,O89,MAX(0,(O89-P$4)*(1+NORMINV(RAND(),INPUTS!$B$28,INPUTS!$B$29))))</f>
        <v>1085578.10372229</v>
      </c>
      <c r="Q89" s="89" t="n">
        <f aca="true">IF(Q$5=0,P89,MAX(0,(P89-Q$4)*(1+NORMINV(RAND(),INPUTS!$B$28,INPUTS!$B$29))))</f>
        <v>1145609.44394873</v>
      </c>
      <c r="R89" s="89" t="n">
        <f aca="true">IF(R$5=0,Q89,MAX(0,(Q89-R$4)*(1+NORMINV(RAND(),INPUTS!$B$28,INPUTS!$B$29))))</f>
        <v>1328689.26849734</v>
      </c>
      <c r="S89" s="89" t="n">
        <f aca="true">IF(S$5=0,R89,MAX(0,(R89-S$4)*(1+NORMINV(RAND(),INPUTS!$B$28,INPUTS!$B$29))))</f>
        <v>1395749.81087937</v>
      </c>
      <c r="T89" s="89" t="n">
        <f aca="true">IF(T$5=0,S89,MAX(0,(S89-T$4)*(1+NORMINV(RAND(),INPUTS!$B$28,INPUTS!$B$29))))</f>
        <v>1443309.52945288</v>
      </c>
      <c r="U89" s="89" t="n">
        <f aca="true">IF(U$5=0,T89,MAX(0,(T89-U$4)*(1+NORMINV(RAND(),INPUTS!$B$28,INPUTS!$B$29))))</f>
        <v>1407270.08398738</v>
      </c>
      <c r="V89" s="89" t="n">
        <f aca="true">IF(V$5=0,U89,MAX(0,(U89-V$4)*(1+NORMINV(RAND(),INPUTS!$B$28,INPUTS!$B$29))))</f>
        <v>1332166.96078345</v>
      </c>
      <c r="W89" s="89" t="n">
        <f aca="true">IF(W$5=0,V89,MAX(0,(V89-W$4)*(1+NORMINV(RAND(),INPUTS!$B$28,INPUTS!$B$29))))</f>
        <v>1520594.03652848</v>
      </c>
      <c r="X89" s="89" t="n">
        <f aca="true">IF(X$5=0,W89,MAX(0,(W89-X$4)*(1+NORMINV(RAND(),INPUTS!$B$28,INPUTS!$B$29))))</f>
        <v>1471903.70339745</v>
      </c>
      <c r="Y89" s="89" t="n">
        <f aca="true">IF(Y$5=0,X89,MAX(0,(X89-Y$4)*(1+NORMINV(RAND(),INPUTS!$B$28,INPUTS!$B$29))))</f>
        <v>1785574.29319734</v>
      </c>
      <c r="Z89" s="89" t="n">
        <f aca="true">IF(Z$5=0,Y89,MAX(0,(Y89-Z$4)*(1+NORMINV(RAND(),INPUTS!$B$28,INPUTS!$B$29))))</f>
        <v>1902843.84469926</v>
      </c>
      <c r="AA89" s="89" t="n">
        <f aca="true">IF(AA$5=0,Z89,MAX(0,(Z89-AA$4)*(1+NORMINV(RAND(),INPUTS!$B$28,INPUTS!$B$29))))</f>
        <v>1819700.58604489</v>
      </c>
      <c r="AB89" s="89" t="n">
        <f aca="true">IF(AB$5=0,AA89,MAX(0,(AA89-AB$4)*(1+NORMINV(RAND(),INPUTS!$B$28,INPUTS!$B$29))))</f>
        <v>2083158.74783183</v>
      </c>
      <c r="AC89" s="89" t="n">
        <f aca="true">IF(AC$5=0,AB89,MAX(0,(AB89-AC$4)*(1+NORMINV(RAND(),INPUTS!$B$28,INPUTS!$B$29))))</f>
        <v>2539218.64930717</v>
      </c>
      <c r="AD89" s="89" t="n">
        <f aca="true">IF(AD$5=0,AC89,MAX(0,(AC89-AD$4)*(1+NORMINV(RAND(),INPUTS!$B$28,INPUTS!$B$29))))</f>
        <v>2612674.76781277</v>
      </c>
      <c r="AE89" s="89" t="n">
        <f aca="true">IF(AE$5=0,AD89,MAX(0,(AD89-AE$4)*(1+NORMINV(RAND(),INPUTS!$B$28,INPUTS!$B$29))))</f>
        <v>2421682.61401895</v>
      </c>
      <c r="AF89" s="89" t="n">
        <f aca="true">IF(AF$5=0,AE89,MAX(0,(AE89-AF$4)*(1+NORMINV(RAND(),INPUTS!$B$28,INPUTS!$B$29))))</f>
        <v>2611119.16918461</v>
      </c>
      <c r="AG89" s="89" t="n">
        <f aca="true">IF(AG$5=0,AF89,MAX(0,(AF89-AG$4)*(1+NORMINV(RAND(),INPUTS!$B$28,INPUTS!$B$29))))</f>
        <v>2759152.44784358</v>
      </c>
      <c r="AH89" s="89" t="n">
        <f aca="true">IF(AH$5=0,AG89,MAX(0,(AG89-AH$4)*(1+NORMINV(RAND(),INPUTS!$B$28,INPUTS!$B$29))))</f>
        <v>2895816.23419483</v>
      </c>
      <c r="AI89" s="89" t="n">
        <f aca="true">IF(AI$5=0,AH89,MAX(0,(AH89-AI$4)*(1+NORMINV(RAND(),INPUTS!$B$28,INPUTS!$B$29))))</f>
        <v>2772405.38629541</v>
      </c>
      <c r="AJ89" s="89" t="n">
        <f aca="true">IF(AJ$5=0,AI89,MAX(0,(AI89-AJ$4)*(1+NORMINV(RAND(),INPUTS!$B$28,INPUTS!$B$29))))</f>
        <v>2962728.46198291</v>
      </c>
      <c r="AK89" s="89" t="n">
        <f aca="true">IF(AK$5=0,AJ89,MAX(0,(AJ89-AK$4)*(1+NORMINV(RAND(),INPUTS!$B$28,INPUTS!$B$29))))</f>
        <v>2779330.91998147</v>
      </c>
      <c r="AL89" s="89" t="n">
        <f aca="true">IF(AL$5=0,AK89,MAX(0,(AK89-AL$4)*(1+NORMINV(RAND(),INPUTS!$B$28,INPUTS!$B$29))))</f>
        <v>3561043.17075213</v>
      </c>
      <c r="AM89" s="89" t="n">
        <f aca="true">IF(AM$5=0,AL89,MAX(0,(AL89-AM$4)*(1+NORMINV(RAND(),INPUTS!$B$28,INPUTS!$B$29))))</f>
        <v>3561043.17075213</v>
      </c>
      <c r="AN89" s="89" t="n">
        <f aca="true">IF(AN$5=0,AM89,MAX(0,(AM89-AN$4)*(1+NORMINV(RAND(),INPUTS!$B$28,INPUTS!$B$29))))</f>
        <v>3561043.17075213</v>
      </c>
      <c r="AO89" s="89" t="n">
        <f aca="true">IF(AO$5=0,AN89,MAX(0,(AN89-AO$4)*(1+NORMINV(RAND(),INPUTS!$B$28,INPUTS!$B$29))))</f>
        <v>3561043.17075213</v>
      </c>
      <c r="AP89" s="89" t="n">
        <f aca="true">IF(AP$5=0,AO89,MAX(0,(AO89-AP$4)*(1+NORMINV(RAND(),INPUTS!$B$28,INPUTS!$B$29))))</f>
        <v>3561043.17075213</v>
      </c>
      <c r="AQ89" s="89" t="n">
        <f aca="true">IF(AQ$5=0,AP89,MAX(0,(AP89-AQ$4)*(1+NORMINV(RAND(),INPUTS!$B$28,INPUTS!$B$29))))</f>
        <v>3561043.17075213</v>
      </c>
      <c r="AR89" s="89" t="n">
        <f aca="true">IF(AR$5=0,AQ89,MAX(0,(AQ89-AR$4)*(1+NORMINV(RAND(),INPUTS!$B$28,INPUTS!$B$29))))</f>
        <v>3561043.17075213</v>
      </c>
      <c r="AS89" s="89" t="n">
        <f aca="true">IF(AS$5=0,AR89,MAX(0,(AR89-AS$4)*(1+NORMINV(RAND(),INPUTS!$B$28,INPUTS!$B$29))))</f>
        <v>3561043.17075213</v>
      </c>
      <c r="AT89" s="89" t="n">
        <f aca="true">IF(AT$5=0,AS89,MAX(0,(AS89-AT$4)*(1+NORMINV(RAND(),INPUTS!$B$28,INPUTS!$B$29))))</f>
        <v>3561043.17075213</v>
      </c>
      <c r="AU89" s="89" t="n">
        <f aca="true">IF(AU$5=0,AT89,MAX(0,(AT89-AU$4)*(1+NORMINV(RAND(),INPUTS!$B$28,INPUTS!$B$29))))</f>
        <v>3561043.17075213</v>
      </c>
      <c r="AV89" s="89" t="n">
        <f aca="true">IF(AV$5=0,AU89,MAX(0,(AU89-AV$4)*(1+NORMINV(RAND(),INPUTS!$B$28,INPUTS!$B$29))))</f>
        <v>3561043.17075213</v>
      </c>
      <c r="AW89" s="89" t="n">
        <f aca="true">IF(AW$5=0,AV89,MAX(0,(AV89-AW$4)*(1+NORMINV(RAND(),INPUTS!$B$28,INPUTS!$B$29))))</f>
        <v>3561043.17075213</v>
      </c>
      <c r="AX89" s="89" t="n">
        <f aca="true">IF(AX$5=0,AW89,MAX(0,(AW89-AX$4)*(1+NORMINV(RAND(),INPUTS!$B$28,INPUTS!$B$29))))</f>
        <v>3561043.17075213</v>
      </c>
      <c r="AY89" s="89" t="n">
        <f aca="true">IF(AY$5=0,AX89,MAX(0,(AX89-AY$4)*(1+NORMINV(RAND(),INPUTS!$B$28,INPUTS!$B$29))))</f>
        <v>3561043.17075213</v>
      </c>
      <c r="AZ89" s="89" t="n">
        <f aca="true">IF(AZ$5=0,AY89,MAX(0,(AY89-AZ$4)*(1+NORMINV(RAND(),INPUTS!$B$28,INPUTS!$B$29))))</f>
        <v>3561043.17075213</v>
      </c>
      <c r="BA89" s="89" t="n">
        <f aca="true">IF(BA$5=0,AZ89,MAX(0,(AZ89-BA$4)*(1+NORMINV(RAND(),INPUTS!$B$28,INPUTS!$B$29))))</f>
        <v>3561043.17075213</v>
      </c>
      <c r="BB89" s="89" t="n">
        <f aca="true">IF(BB$5=0,BA89,MAX(0,(BA89-BB$4)*(1+NORMINV(RAND(),INPUTS!$B$28,INPUTS!$B$29))))</f>
        <v>3561043.17075213</v>
      </c>
      <c r="BC89" s="89" t="n">
        <f aca="true">IF(BC$5=0,BB89,MAX(0,(BB89-BC$4)*(1+NORMINV(RAND(),INPUTS!$B$28,INPUTS!$B$29))))</f>
        <v>3561043.17075213</v>
      </c>
      <c r="BD89" s="89" t="n">
        <f aca="true">IF(BD$5=0,BC89,MAX(0,(BC89-BD$4)*(1+NORMINV(RAND(),INPUTS!$B$28,INPUTS!$B$29))))</f>
        <v>3561043.17075213</v>
      </c>
      <c r="BE89" s="89" t="n">
        <f aca="true">IF(BE$5=0,BD89,MAX(0,(BD89-BE$4)*(1+NORMINV(RAND(),INPUTS!$B$28,INPUTS!$B$29))))</f>
        <v>3561043.17075213</v>
      </c>
      <c r="BF89" s="89" t="n">
        <f aca="true">IF(BF$5=0,BE89,MAX(0,(BE89-BF$4)*(1+NORMINV(RAND(),INPUTS!$B$28,INPUTS!$B$29))))</f>
        <v>3561043.17075213</v>
      </c>
      <c r="BG89" s="89" t="n">
        <f aca="true">IF(BG$5=0,BF89,MAX(0,(BF89-BG$4)*(1+NORMINV(RAND(),INPUTS!$B$28,INPUTS!$B$29))))</f>
        <v>3561043.17075213</v>
      </c>
      <c r="BH89" s="89" t="n">
        <f aca="true">IF(BH$5=0,BG89,MAX(0,(BG89-BH$4)*(1+NORMINV(RAND(),INPUTS!$B$28,INPUTS!$B$29))))</f>
        <v>3561043.17075213</v>
      </c>
      <c r="BI89" s="89" t="n">
        <f aca="true">IF(BI$5=0,BH89,MAX(0,(BH89-BI$4)*(1+NORMINV(RAND(),INPUTS!$B$28,INPUTS!$B$29))))</f>
        <v>3561043.17075213</v>
      </c>
      <c r="BJ89" s="89" t="n">
        <f aca="true">IF(BJ$5=0,BI89,MAX(0,(BI89-BJ$4)*(1+NORMINV(RAND(),INPUTS!$B$28,INPUTS!$B$29))))</f>
        <v>3561043.17075213</v>
      </c>
    </row>
    <row r="90" customFormat="false" ht="15" hidden="false" customHeight="true" outlineLevel="0" collapsed="false">
      <c r="A90" s="87" t="n">
        <v>83</v>
      </c>
      <c r="B90" s="88" t="n">
        <f aca="false">LOOKUP(9.99E+307,C90:BJ90)</f>
        <v>2507580.6535053</v>
      </c>
      <c r="C90" s="89" t="n">
        <f aca="true">IF(C$5=0,INPUTS!$B$35,MAX(0,(INPUTS!$B$35-C$4)*(1+NORMINV(RAND(),INPUTS!$B$28,INPUTS!$B$29))))</f>
        <v>1415971.20043831</v>
      </c>
      <c r="D90" s="89" t="n">
        <f aca="true">IF(D$5=0,C90,MAX(0,(C90-D$4)*(1+NORMINV(RAND(),INPUTS!$B$28,INPUTS!$B$29))))</f>
        <v>1418774.45465933</v>
      </c>
      <c r="E90" s="89" t="n">
        <f aca="true">IF(E$5=0,D90,MAX(0,(D90-E$4)*(1+NORMINV(RAND(),INPUTS!$B$28,INPUTS!$B$29))))</f>
        <v>1270619.22555516</v>
      </c>
      <c r="F90" s="89" t="n">
        <f aca="true">IF(F$5=0,E90,MAX(0,(E90-F$4)*(1+NORMINV(RAND(),INPUTS!$B$28,INPUTS!$B$29))))</f>
        <v>1335552.31871385</v>
      </c>
      <c r="G90" s="89" t="n">
        <f aca="true">IF(G$5=0,F90,MAX(0,(F90-G$4)*(1+NORMINV(RAND(),INPUTS!$B$28,INPUTS!$B$29))))</f>
        <v>1305582.9525271</v>
      </c>
      <c r="H90" s="89" t="n">
        <f aca="true">IF(H$5=0,G90,MAX(0,(G90-H$4)*(1+NORMINV(RAND(),INPUTS!$B$28,INPUTS!$B$29))))</f>
        <v>1308664.88708346</v>
      </c>
      <c r="I90" s="89" t="n">
        <f aca="true">IF(I$5=0,H90,MAX(0,(H90-I$4)*(1+NORMINV(RAND(),INPUTS!$B$28,INPUTS!$B$29))))</f>
        <v>1447646.54430387</v>
      </c>
      <c r="J90" s="89" t="n">
        <f aca="true">IF(J$5=0,I90,MAX(0,(I90-J$4)*(1+NORMINV(RAND(),INPUTS!$B$28,INPUTS!$B$29))))</f>
        <v>1613561.76372779</v>
      </c>
      <c r="K90" s="89" t="n">
        <f aca="true">IF(K$5=0,J90,MAX(0,(J90-K$4)*(1+NORMINV(RAND(),INPUTS!$B$28,INPUTS!$B$29))))</f>
        <v>1691662.28186616</v>
      </c>
      <c r="L90" s="89" t="n">
        <f aca="true">IF(L$5=0,K90,MAX(0,(K90-L$4)*(1+NORMINV(RAND(),INPUTS!$B$28,INPUTS!$B$29))))</f>
        <v>1448566.05276216</v>
      </c>
      <c r="M90" s="89" t="n">
        <f aca="true">IF(M$5=0,L90,MAX(0,(L90-M$4)*(1+NORMINV(RAND(),INPUTS!$B$28,INPUTS!$B$29))))</f>
        <v>1638200.71388449</v>
      </c>
      <c r="N90" s="89" t="n">
        <f aca="true">IF(N$5=0,M90,MAX(0,(M90-N$4)*(1+NORMINV(RAND(),INPUTS!$B$28,INPUTS!$B$29))))</f>
        <v>1872909.15501925</v>
      </c>
      <c r="O90" s="89" t="n">
        <f aca="true">IF(O$5=0,N90,MAX(0,(N90-O$4)*(1+NORMINV(RAND(),INPUTS!$B$28,INPUTS!$B$29))))</f>
        <v>1790801.59042759</v>
      </c>
      <c r="P90" s="89" t="n">
        <f aca="true">IF(P$5=0,O90,MAX(0,(O90-P$4)*(1+NORMINV(RAND(),INPUTS!$B$28,INPUTS!$B$29))))</f>
        <v>1521163.94517321</v>
      </c>
      <c r="Q90" s="89" t="n">
        <f aca="true">IF(Q$5=0,P90,MAX(0,(P90-Q$4)*(1+NORMINV(RAND(),INPUTS!$B$28,INPUTS!$B$29))))</f>
        <v>1437847.95038753</v>
      </c>
      <c r="R90" s="89" t="n">
        <f aca="true">IF(R$5=0,Q90,MAX(0,(Q90-R$4)*(1+NORMINV(RAND(),INPUTS!$B$28,INPUTS!$B$29))))</f>
        <v>1299765.00209816</v>
      </c>
      <c r="S90" s="89" t="n">
        <f aca="true">IF(S$5=0,R90,MAX(0,(R90-S$4)*(1+NORMINV(RAND(),INPUTS!$B$28,INPUTS!$B$29))))</f>
        <v>1295421.34672728</v>
      </c>
      <c r="T90" s="89" t="n">
        <f aca="true">IF(T$5=0,S90,MAX(0,(S90-T$4)*(1+NORMINV(RAND(),INPUTS!$B$28,INPUTS!$B$29))))</f>
        <v>1620177.79941932</v>
      </c>
      <c r="U90" s="89" t="n">
        <f aca="true">IF(U$5=0,T90,MAX(0,(T90-U$4)*(1+NORMINV(RAND(),INPUTS!$B$28,INPUTS!$B$29))))</f>
        <v>1623980.24331442</v>
      </c>
      <c r="V90" s="89" t="n">
        <f aca="true">IF(V$5=0,U90,MAX(0,(U90-V$4)*(1+NORMINV(RAND(),INPUTS!$B$28,INPUTS!$B$29))))</f>
        <v>1659923.14550308</v>
      </c>
      <c r="W90" s="89" t="n">
        <f aca="true">IF(W$5=0,V90,MAX(0,(V90-W$4)*(1+NORMINV(RAND(),INPUTS!$B$28,INPUTS!$B$29))))</f>
        <v>1845485.13077923</v>
      </c>
      <c r="X90" s="89" t="n">
        <f aca="true">IF(X$5=0,W90,MAX(0,(W90-X$4)*(1+NORMINV(RAND(),INPUTS!$B$28,INPUTS!$B$29))))</f>
        <v>2248131.17557286</v>
      </c>
      <c r="Y90" s="89" t="n">
        <f aca="true">IF(Y$5=0,X90,MAX(0,(X90-Y$4)*(1+NORMINV(RAND(),INPUTS!$B$28,INPUTS!$B$29))))</f>
        <v>2301289.69301435</v>
      </c>
      <c r="Z90" s="89" t="n">
        <f aca="true">IF(Z$5=0,Y90,MAX(0,(Y90-Z$4)*(1+NORMINV(RAND(),INPUTS!$B$28,INPUTS!$B$29))))</f>
        <v>2101830.21464604</v>
      </c>
      <c r="AA90" s="89" t="n">
        <f aca="true">IF(AA$5=0,Z90,MAX(0,(Z90-AA$4)*(1+NORMINV(RAND(),INPUTS!$B$28,INPUTS!$B$29))))</f>
        <v>1971258.95837618</v>
      </c>
      <c r="AB90" s="89" t="n">
        <f aca="true">IF(AB$5=0,AA90,MAX(0,(AA90-AB$4)*(1+NORMINV(RAND(),INPUTS!$B$28,INPUTS!$B$29))))</f>
        <v>2055442.44155375</v>
      </c>
      <c r="AC90" s="89" t="n">
        <f aca="true">IF(AC$5=0,AB90,MAX(0,(AB90-AC$4)*(1+NORMINV(RAND(),INPUTS!$B$28,INPUTS!$B$29))))</f>
        <v>2373041.85309429</v>
      </c>
      <c r="AD90" s="89" t="n">
        <f aca="true">IF(AD$5=0,AC90,MAX(0,(AC90-AD$4)*(1+NORMINV(RAND(),INPUTS!$B$28,INPUTS!$B$29))))</f>
        <v>2528670.8302994</v>
      </c>
      <c r="AE90" s="89" t="n">
        <f aca="true">IF(AE$5=0,AD90,MAX(0,(AD90-AE$4)*(1+NORMINV(RAND(),INPUTS!$B$28,INPUTS!$B$29))))</f>
        <v>2217258.90282815</v>
      </c>
      <c r="AF90" s="89" t="n">
        <f aca="true">IF(AF$5=0,AE90,MAX(0,(AE90-AF$4)*(1+NORMINV(RAND(),INPUTS!$B$28,INPUTS!$B$29))))</f>
        <v>2568125.28012609</v>
      </c>
      <c r="AG90" s="89" t="n">
        <f aca="true">IF(AG$5=0,AF90,MAX(0,(AF90-AG$4)*(1+NORMINV(RAND(),INPUTS!$B$28,INPUTS!$B$29))))</f>
        <v>2838379.44651552</v>
      </c>
      <c r="AH90" s="89" t="n">
        <f aca="true">IF(AH$5=0,AG90,MAX(0,(AG90-AH$4)*(1+NORMINV(RAND(),INPUTS!$B$28,INPUTS!$B$29))))</f>
        <v>2941155.76181093</v>
      </c>
      <c r="AI90" s="89" t="n">
        <f aca="true">IF(AI$5=0,AH90,MAX(0,(AH90-AI$4)*(1+NORMINV(RAND(),INPUTS!$B$28,INPUTS!$B$29))))</f>
        <v>3017630.88411632</v>
      </c>
      <c r="AJ90" s="89" t="n">
        <f aca="true">IF(AJ$5=0,AI90,MAX(0,(AI90-AJ$4)*(1+NORMINV(RAND(),INPUTS!$B$28,INPUTS!$B$29))))</f>
        <v>3016325.2146962</v>
      </c>
      <c r="AK90" s="89" t="n">
        <f aca="true">IF(AK$5=0,AJ90,MAX(0,(AJ90-AK$4)*(1+NORMINV(RAND(),INPUTS!$B$28,INPUTS!$B$29))))</f>
        <v>2572551.32486896</v>
      </c>
      <c r="AL90" s="89" t="n">
        <f aca="true">IF(AL$5=0,AK90,MAX(0,(AK90-AL$4)*(1+NORMINV(RAND(),INPUTS!$B$28,INPUTS!$B$29))))</f>
        <v>2507580.6535053</v>
      </c>
      <c r="AM90" s="89" t="n">
        <f aca="true">IF(AM$5=0,AL90,MAX(0,(AL90-AM$4)*(1+NORMINV(RAND(),INPUTS!$B$28,INPUTS!$B$29))))</f>
        <v>2507580.6535053</v>
      </c>
      <c r="AN90" s="89" t="n">
        <f aca="true">IF(AN$5=0,AM90,MAX(0,(AM90-AN$4)*(1+NORMINV(RAND(),INPUTS!$B$28,INPUTS!$B$29))))</f>
        <v>2507580.6535053</v>
      </c>
      <c r="AO90" s="89" t="n">
        <f aca="true">IF(AO$5=0,AN90,MAX(0,(AN90-AO$4)*(1+NORMINV(RAND(),INPUTS!$B$28,INPUTS!$B$29))))</f>
        <v>2507580.6535053</v>
      </c>
      <c r="AP90" s="89" t="n">
        <f aca="true">IF(AP$5=0,AO90,MAX(0,(AO90-AP$4)*(1+NORMINV(RAND(),INPUTS!$B$28,INPUTS!$B$29))))</f>
        <v>2507580.6535053</v>
      </c>
      <c r="AQ90" s="89" t="n">
        <f aca="true">IF(AQ$5=0,AP90,MAX(0,(AP90-AQ$4)*(1+NORMINV(RAND(),INPUTS!$B$28,INPUTS!$B$29))))</f>
        <v>2507580.6535053</v>
      </c>
      <c r="AR90" s="89" t="n">
        <f aca="true">IF(AR$5=0,AQ90,MAX(0,(AQ90-AR$4)*(1+NORMINV(RAND(),INPUTS!$B$28,INPUTS!$B$29))))</f>
        <v>2507580.6535053</v>
      </c>
      <c r="AS90" s="89" t="n">
        <f aca="true">IF(AS$5=0,AR90,MAX(0,(AR90-AS$4)*(1+NORMINV(RAND(),INPUTS!$B$28,INPUTS!$B$29))))</f>
        <v>2507580.6535053</v>
      </c>
      <c r="AT90" s="89" t="n">
        <f aca="true">IF(AT$5=0,AS90,MAX(0,(AS90-AT$4)*(1+NORMINV(RAND(),INPUTS!$B$28,INPUTS!$B$29))))</f>
        <v>2507580.6535053</v>
      </c>
      <c r="AU90" s="89" t="n">
        <f aca="true">IF(AU$5=0,AT90,MAX(0,(AT90-AU$4)*(1+NORMINV(RAND(),INPUTS!$B$28,INPUTS!$B$29))))</f>
        <v>2507580.6535053</v>
      </c>
      <c r="AV90" s="89" t="n">
        <f aca="true">IF(AV$5=0,AU90,MAX(0,(AU90-AV$4)*(1+NORMINV(RAND(),INPUTS!$B$28,INPUTS!$B$29))))</f>
        <v>2507580.6535053</v>
      </c>
      <c r="AW90" s="89" t="n">
        <f aca="true">IF(AW$5=0,AV90,MAX(0,(AV90-AW$4)*(1+NORMINV(RAND(),INPUTS!$B$28,INPUTS!$B$29))))</f>
        <v>2507580.6535053</v>
      </c>
      <c r="AX90" s="89" t="n">
        <f aca="true">IF(AX$5=0,AW90,MAX(0,(AW90-AX$4)*(1+NORMINV(RAND(),INPUTS!$B$28,INPUTS!$B$29))))</f>
        <v>2507580.6535053</v>
      </c>
      <c r="AY90" s="89" t="n">
        <f aca="true">IF(AY$5=0,AX90,MAX(0,(AX90-AY$4)*(1+NORMINV(RAND(),INPUTS!$B$28,INPUTS!$B$29))))</f>
        <v>2507580.6535053</v>
      </c>
      <c r="AZ90" s="89" t="n">
        <f aca="true">IF(AZ$5=0,AY90,MAX(0,(AY90-AZ$4)*(1+NORMINV(RAND(),INPUTS!$B$28,INPUTS!$B$29))))</f>
        <v>2507580.6535053</v>
      </c>
      <c r="BA90" s="89" t="n">
        <f aca="true">IF(BA$5=0,AZ90,MAX(0,(AZ90-BA$4)*(1+NORMINV(RAND(),INPUTS!$B$28,INPUTS!$B$29))))</f>
        <v>2507580.6535053</v>
      </c>
      <c r="BB90" s="89" t="n">
        <f aca="true">IF(BB$5=0,BA90,MAX(0,(BA90-BB$4)*(1+NORMINV(RAND(),INPUTS!$B$28,INPUTS!$B$29))))</f>
        <v>2507580.6535053</v>
      </c>
      <c r="BC90" s="89" t="n">
        <f aca="true">IF(BC$5=0,BB90,MAX(0,(BB90-BC$4)*(1+NORMINV(RAND(),INPUTS!$B$28,INPUTS!$B$29))))</f>
        <v>2507580.6535053</v>
      </c>
      <c r="BD90" s="89" t="n">
        <f aca="true">IF(BD$5=0,BC90,MAX(0,(BC90-BD$4)*(1+NORMINV(RAND(),INPUTS!$B$28,INPUTS!$B$29))))</f>
        <v>2507580.6535053</v>
      </c>
      <c r="BE90" s="89" t="n">
        <f aca="true">IF(BE$5=0,BD90,MAX(0,(BD90-BE$4)*(1+NORMINV(RAND(),INPUTS!$B$28,INPUTS!$B$29))))</f>
        <v>2507580.6535053</v>
      </c>
      <c r="BF90" s="89" t="n">
        <f aca="true">IF(BF$5=0,BE90,MAX(0,(BE90-BF$4)*(1+NORMINV(RAND(),INPUTS!$B$28,INPUTS!$B$29))))</f>
        <v>2507580.6535053</v>
      </c>
      <c r="BG90" s="89" t="n">
        <f aca="true">IF(BG$5=0,BF90,MAX(0,(BF90-BG$4)*(1+NORMINV(RAND(),INPUTS!$B$28,INPUTS!$B$29))))</f>
        <v>2507580.6535053</v>
      </c>
      <c r="BH90" s="89" t="n">
        <f aca="true">IF(BH$5=0,BG90,MAX(0,(BG90-BH$4)*(1+NORMINV(RAND(),INPUTS!$B$28,INPUTS!$B$29))))</f>
        <v>2507580.6535053</v>
      </c>
      <c r="BI90" s="89" t="n">
        <f aca="true">IF(BI$5=0,BH90,MAX(0,(BH90-BI$4)*(1+NORMINV(RAND(),INPUTS!$B$28,INPUTS!$B$29))))</f>
        <v>2507580.6535053</v>
      </c>
      <c r="BJ90" s="89" t="n">
        <f aca="true">IF(BJ$5=0,BI90,MAX(0,(BI90-BJ$4)*(1+NORMINV(RAND(),INPUTS!$B$28,INPUTS!$B$29))))</f>
        <v>2507580.6535053</v>
      </c>
    </row>
    <row r="91" customFormat="false" ht="15" hidden="false" customHeight="true" outlineLevel="0" collapsed="false">
      <c r="A91" s="87" t="n">
        <v>84</v>
      </c>
      <c r="B91" s="88" t="n">
        <f aca="false">LOOKUP(9.99E+307,C91:BJ91)</f>
        <v>6498972.58118344</v>
      </c>
      <c r="C91" s="89" t="n">
        <f aca="true">IF(C$5=0,INPUTS!$B$35,MAX(0,(INPUTS!$B$35-C$4)*(1+NORMINV(RAND(),INPUTS!$B$28,INPUTS!$B$29))))</f>
        <v>1781984.25439429</v>
      </c>
      <c r="D91" s="89" t="n">
        <f aca="true">IF(D$5=0,C91,MAX(0,(C91-D$4)*(1+NORMINV(RAND(),INPUTS!$B$28,INPUTS!$B$29))))</f>
        <v>1792688.64842602</v>
      </c>
      <c r="E91" s="89" t="n">
        <f aca="true">IF(E$5=0,D91,MAX(0,(D91-E$4)*(1+NORMINV(RAND(),INPUTS!$B$28,INPUTS!$B$29))))</f>
        <v>2027939.77178284</v>
      </c>
      <c r="F91" s="89" t="n">
        <f aca="true">IF(F$5=0,E91,MAX(0,(E91-F$4)*(1+NORMINV(RAND(),INPUTS!$B$28,INPUTS!$B$29))))</f>
        <v>2328993.70144792</v>
      </c>
      <c r="G91" s="89" t="n">
        <f aca="true">IF(G$5=0,F91,MAX(0,(F91-G$4)*(1+NORMINV(RAND(),INPUTS!$B$28,INPUTS!$B$29))))</f>
        <v>2589024.88461553</v>
      </c>
      <c r="H91" s="89" t="n">
        <f aca="true">IF(H$5=0,G91,MAX(0,(G91-H$4)*(1+NORMINV(RAND(),INPUTS!$B$28,INPUTS!$B$29))))</f>
        <v>2651366.12394694</v>
      </c>
      <c r="I91" s="89" t="n">
        <f aca="true">IF(I$5=0,H91,MAX(0,(H91-I$4)*(1+NORMINV(RAND(),INPUTS!$B$28,INPUTS!$B$29))))</f>
        <v>2947776.03613671</v>
      </c>
      <c r="J91" s="89" t="n">
        <f aca="true">IF(J$5=0,I91,MAX(0,(I91-J$4)*(1+NORMINV(RAND(),INPUTS!$B$28,INPUTS!$B$29))))</f>
        <v>2795055.0061615</v>
      </c>
      <c r="K91" s="89" t="n">
        <f aca="true">IF(K$5=0,J91,MAX(0,(J91-K$4)*(1+NORMINV(RAND(),INPUTS!$B$28,INPUTS!$B$29))))</f>
        <v>3103563.93645956</v>
      </c>
      <c r="L91" s="89" t="n">
        <f aca="true">IF(L$5=0,K91,MAX(0,(K91-L$4)*(1+NORMINV(RAND(),INPUTS!$B$28,INPUTS!$B$29))))</f>
        <v>2415233.37159197</v>
      </c>
      <c r="M91" s="89" t="n">
        <f aca="true">IF(M$5=0,L91,MAX(0,(L91-M$4)*(1+NORMINV(RAND(),INPUTS!$B$28,INPUTS!$B$29))))</f>
        <v>2307020.24585543</v>
      </c>
      <c r="N91" s="89" t="n">
        <f aca="true">IF(N$5=0,M91,MAX(0,(M91-N$4)*(1+NORMINV(RAND(),INPUTS!$B$28,INPUTS!$B$29))))</f>
        <v>2816002.5412464</v>
      </c>
      <c r="O91" s="89" t="n">
        <f aca="true">IF(O$5=0,N91,MAX(0,(N91-O$4)*(1+NORMINV(RAND(),INPUTS!$B$28,INPUTS!$B$29))))</f>
        <v>3148203.9790693</v>
      </c>
      <c r="P91" s="89" t="n">
        <f aca="true">IF(P$5=0,O91,MAX(0,(O91-P$4)*(1+NORMINV(RAND(),INPUTS!$B$28,INPUTS!$B$29))))</f>
        <v>3350720.10152695</v>
      </c>
      <c r="Q91" s="89" t="n">
        <f aca="true">IF(Q$5=0,P91,MAX(0,(P91-Q$4)*(1+NORMINV(RAND(),INPUTS!$B$28,INPUTS!$B$29))))</f>
        <v>2965881.0679766</v>
      </c>
      <c r="R91" s="89" t="n">
        <f aca="true">IF(R$5=0,Q91,MAX(0,(Q91-R$4)*(1+NORMINV(RAND(),INPUTS!$B$28,INPUTS!$B$29))))</f>
        <v>2642074.37411734</v>
      </c>
      <c r="S91" s="89" t="n">
        <f aca="true">IF(S$5=0,R91,MAX(0,(R91-S$4)*(1+NORMINV(RAND(),INPUTS!$B$28,INPUTS!$B$29))))</f>
        <v>2724825.39571912</v>
      </c>
      <c r="T91" s="89" t="n">
        <f aca="true">IF(T$5=0,S91,MAX(0,(S91-T$4)*(1+NORMINV(RAND(),INPUTS!$B$28,INPUTS!$B$29))))</f>
        <v>3203936.59909794</v>
      </c>
      <c r="U91" s="89" t="n">
        <f aca="true">IF(U$5=0,T91,MAX(0,(T91-U$4)*(1+NORMINV(RAND(),INPUTS!$B$28,INPUTS!$B$29))))</f>
        <v>3456931.18123169</v>
      </c>
      <c r="V91" s="89" t="n">
        <f aca="true">IF(V$5=0,U91,MAX(0,(U91-V$4)*(1+NORMINV(RAND(),INPUTS!$B$28,INPUTS!$B$29))))</f>
        <v>3888547.29963859</v>
      </c>
      <c r="W91" s="89" t="n">
        <f aca="true">IF(W$5=0,V91,MAX(0,(V91-W$4)*(1+NORMINV(RAND(),INPUTS!$B$28,INPUTS!$B$29))))</f>
        <v>3969442.22384571</v>
      </c>
      <c r="X91" s="89" t="n">
        <f aca="true">IF(X$5=0,W91,MAX(0,(W91-X$4)*(1+NORMINV(RAND(),INPUTS!$B$28,INPUTS!$B$29))))</f>
        <v>4240406.70173392</v>
      </c>
      <c r="Y91" s="89" t="n">
        <f aca="true">IF(Y$5=0,X91,MAX(0,(X91-Y$4)*(1+NORMINV(RAND(),INPUTS!$B$28,INPUTS!$B$29))))</f>
        <v>4265990.49183693</v>
      </c>
      <c r="Z91" s="89" t="n">
        <f aca="true">IF(Z$5=0,Y91,MAX(0,(Y91-Z$4)*(1+NORMINV(RAND(),INPUTS!$B$28,INPUTS!$B$29))))</f>
        <v>4530888.57620602</v>
      </c>
      <c r="AA91" s="89" t="n">
        <f aca="true">IF(AA$5=0,Z91,MAX(0,(Z91-AA$4)*(1+NORMINV(RAND(),INPUTS!$B$28,INPUTS!$B$29))))</f>
        <v>5322179.05167882</v>
      </c>
      <c r="AB91" s="89" t="n">
        <f aca="true">IF(AB$5=0,AA91,MAX(0,(AA91-AB$4)*(1+NORMINV(RAND(),INPUTS!$B$28,INPUTS!$B$29))))</f>
        <v>5748905.8125559</v>
      </c>
      <c r="AC91" s="89" t="n">
        <f aca="true">IF(AC$5=0,AB91,MAX(0,(AB91-AC$4)*(1+NORMINV(RAND(),INPUTS!$B$28,INPUTS!$B$29))))</f>
        <v>5642466.66290081</v>
      </c>
      <c r="AD91" s="89" t="n">
        <f aca="true">IF(AD$5=0,AC91,MAX(0,(AC91-AD$4)*(1+NORMINV(RAND(),INPUTS!$B$28,INPUTS!$B$29))))</f>
        <v>5983444.73017682</v>
      </c>
      <c r="AE91" s="89" t="n">
        <f aca="true">IF(AE$5=0,AD91,MAX(0,(AD91-AE$4)*(1+NORMINV(RAND(),INPUTS!$B$28,INPUTS!$B$29))))</f>
        <v>6135568.42011174</v>
      </c>
      <c r="AF91" s="89" t="n">
        <f aca="true">IF(AF$5=0,AE91,MAX(0,(AE91-AF$4)*(1+NORMINV(RAND(),INPUTS!$B$28,INPUTS!$B$29))))</f>
        <v>6658907.46054688</v>
      </c>
      <c r="AG91" s="89" t="n">
        <f aca="true">IF(AG$5=0,AF91,MAX(0,(AF91-AG$4)*(1+NORMINV(RAND(),INPUTS!$B$28,INPUTS!$B$29))))</f>
        <v>6223239.1285362</v>
      </c>
      <c r="AH91" s="89" t="n">
        <f aca="true">IF(AH$5=0,AG91,MAX(0,(AG91-AH$4)*(1+NORMINV(RAND(),INPUTS!$B$28,INPUTS!$B$29))))</f>
        <v>7206511.37393637</v>
      </c>
      <c r="AI91" s="89" t="n">
        <f aca="true">IF(AI$5=0,AH91,MAX(0,(AH91-AI$4)*(1+NORMINV(RAND(),INPUTS!$B$28,INPUTS!$B$29))))</f>
        <v>7608264.5880182</v>
      </c>
      <c r="AJ91" s="89" t="n">
        <f aca="true">IF(AJ$5=0,AI91,MAX(0,(AI91-AJ$4)*(1+NORMINV(RAND(),INPUTS!$B$28,INPUTS!$B$29))))</f>
        <v>8180081.53634671</v>
      </c>
      <c r="AK91" s="89" t="n">
        <f aca="true">IF(AK$5=0,AJ91,MAX(0,(AJ91-AK$4)*(1+NORMINV(RAND(),INPUTS!$B$28,INPUTS!$B$29))))</f>
        <v>6716539.45771767</v>
      </c>
      <c r="AL91" s="89" t="n">
        <f aca="true">IF(AL$5=0,AK91,MAX(0,(AK91-AL$4)*(1+NORMINV(RAND(),INPUTS!$B$28,INPUTS!$B$29))))</f>
        <v>6498972.58118344</v>
      </c>
      <c r="AM91" s="89" t="n">
        <f aca="true">IF(AM$5=0,AL91,MAX(0,(AL91-AM$4)*(1+NORMINV(RAND(),INPUTS!$B$28,INPUTS!$B$29))))</f>
        <v>6498972.58118344</v>
      </c>
      <c r="AN91" s="89" t="n">
        <f aca="true">IF(AN$5=0,AM91,MAX(0,(AM91-AN$4)*(1+NORMINV(RAND(),INPUTS!$B$28,INPUTS!$B$29))))</f>
        <v>6498972.58118344</v>
      </c>
      <c r="AO91" s="89" t="n">
        <f aca="true">IF(AO$5=0,AN91,MAX(0,(AN91-AO$4)*(1+NORMINV(RAND(),INPUTS!$B$28,INPUTS!$B$29))))</f>
        <v>6498972.58118344</v>
      </c>
      <c r="AP91" s="89" t="n">
        <f aca="true">IF(AP$5=0,AO91,MAX(0,(AO91-AP$4)*(1+NORMINV(RAND(),INPUTS!$B$28,INPUTS!$B$29))))</f>
        <v>6498972.58118344</v>
      </c>
      <c r="AQ91" s="89" t="n">
        <f aca="true">IF(AQ$5=0,AP91,MAX(0,(AP91-AQ$4)*(1+NORMINV(RAND(),INPUTS!$B$28,INPUTS!$B$29))))</f>
        <v>6498972.58118344</v>
      </c>
      <c r="AR91" s="89" t="n">
        <f aca="true">IF(AR$5=0,AQ91,MAX(0,(AQ91-AR$4)*(1+NORMINV(RAND(),INPUTS!$B$28,INPUTS!$B$29))))</f>
        <v>6498972.58118344</v>
      </c>
      <c r="AS91" s="89" t="n">
        <f aca="true">IF(AS$5=0,AR91,MAX(0,(AR91-AS$4)*(1+NORMINV(RAND(),INPUTS!$B$28,INPUTS!$B$29))))</f>
        <v>6498972.58118344</v>
      </c>
      <c r="AT91" s="89" t="n">
        <f aca="true">IF(AT$5=0,AS91,MAX(0,(AS91-AT$4)*(1+NORMINV(RAND(),INPUTS!$B$28,INPUTS!$B$29))))</f>
        <v>6498972.58118344</v>
      </c>
      <c r="AU91" s="89" t="n">
        <f aca="true">IF(AU$5=0,AT91,MAX(0,(AT91-AU$4)*(1+NORMINV(RAND(),INPUTS!$B$28,INPUTS!$B$29))))</f>
        <v>6498972.58118344</v>
      </c>
      <c r="AV91" s="89" t="n">
        <f aca="true">IF(AV$5=0,AU91,MAX(0,(AU91-AV$4)*(1+NORMINV(RAND(),INPUTS!$B$28,INPUTS!$B$29))))</f>
        <v>6498972.58118344</v>
      </c>
      <c r="AW91" s="89" t="n">
        <f aca="true">IF(AW$5=0,AV91,MAX(0,(AV91-AW$4)*(1+NORMINV(RAND(),INPUTS!$B$28,INPUTS!$B$29))))</f>
        <v>6498972.58118344</v>
      </c>
      <c r="AX91" s="89" t="n">
        <f aca="true">IF(AX$5=0,AW91,MAX(0,(AW91-AX$4)*(1+NORMINV(RAND(),INPUTS!$B$28,INPUTS!$B$29))))</f>
        <v>6498972.58118344</v>
      </c>
      <c r="AY91" s="89" t="n">
        <f aca="true">IF(AY$5=0,AX91,MAX(0,(AX91-AY$4)*(1+NORMINV(RAND(),INPUTS!$B$28,INPUTS!$B$29))))</f>
        <v>6498972.58118344</v>
      </c>
      <c r="AZ91" s="89" t="n">
        <f aca="true">IF(AZ$5=0,AY91,MAX(0,(AY91-AZ$4)*(1+NORMINV(RAND(),INPUTS!$B$28,INPUTS!$B$29))))</f>
        <v>6498972.58118344</v>
      </c>
      <c r="BA91" s="89" t="n">
        <f aca="true">IF(BA$5=0,AZ91,MAX(0,(AZ91-BA$4)*(1+NORMINV(RAND(),INPUTS!$B$28,INPUTS!$B$29))))</f>
        <v>6498972.58118344</v>
      </c>
      <c r="BB91" s="89" t="n">
        <f aca="true">IF(BB$5=0,BA91,MAX(0,(BA91-BB$4)*(1+NORMINV(RAND(),INPUTS!$B$28,INPUTS!$B$29))))</f>
        <v>6498972.58118344</v>
      </c>
      <c r="BC91" s="89" t="n">
        <f aca="true">IF(BC$5=0,BB91,MAX(0,(BB91-BC$4)*(1+NORMINV(RAND(),INPUTS!$B$28,INPUTS!$B$29))))</f>
        <v>6498972.58118344</v>
      </c>
      <c r="BD91" s="89" t="n">
        <f aca="true">IF(BD$5=0,BC91,MAX(0,(BC91-BD$4)*(1+NORMINV(RAND(),INPUTS!$B$28,INPUTS!$B$29))))</f>
        <v>6498972.58118344</v>
      </c>
      <c r="BE91" s="89" t="n">
        <f aca="true">IF(BE$5=0,BD91,MAX(0,(BD91-BE$4)*(1+NORMINV(RAND(),INPUTS!$B$28,INPUTS!$B$29))))</f>
        <v>6498972.58118344</v>
      </c>
      <c r="BF91" s="89" t="n">
        <f aca="true">IF(BF$5=0,BE91,MAX(0,(BE91-BF$4)*(1+NORMINV(RAND(),INPUTS!$B$28,INPUTS!$B$29))))</f>
        <v>6498972.58118344</v>
      </c>
      <c r="BG91" s="89" t="n">
        <f aca="true">IF(BG$5=0,BF91,MAX(0,(BF91-BG$4)*(1+NORMINV(RAND(),INPUTS!$B$28,INPUTS!$B$29))))</f>
        <v>6498972.58118344</v>
      </c>
      <c r="BH91" s="89" t="n">
        <f aca="true">IF(BH$5=0,BG91,MAX(0,(BG91-BH$4)*(1+NORMINV(RAND(),INPUTS!$B$28,INPUTS!$B$29))))</f>
        <v>6498972.58118344</v>
      </c>
      <c r="BI91" s="89" t="n">
        <f aca="true">IF(BI$5=0,BH91,MAX(0,(BH91-BI$4)*(1+NORMINV(RAND(),INPUTS!$B$28,INPUTS!$B$29))))</f>
        <v>6498972.58118344</v>
      </c>
      <c r="BJ91" s="89" t="n">
        <f aca="true">IF(BJ$5=0,BI91,MAX(0,(BI91-BJ$4)*(1+NORMINV(RAND(),INPUTS!$B$28,INPUTS!$B$29))))</f>
        <v>6498972.58118344</v>
      </c>
    </row>
    <row r="92" customFormat="false" ht="15" hidden="false" customHeight="true" outlineLevel="0" collapsed="false">
      <c r="A92" s="87" t="n">
        <v>85</v>
      </c>
      <c r="B92" s="88" t="n">
        <f aca="false">LOOKUP(9.99E+307,C92:BJ92)</f>
        <v>2417418.39122156</v>
      </c>
      <c r="C92" s="89" t="n">
        <f aca="true">IF(C$5=0,INPUTS!$B$35,MAX(0,(INPUTS!$B$35-C$4)*(1+NORMINV(RAND(),INPUTS!$B$28,INPUTS!$B$29))))</f>
        <v>1251225.15386528</v>
      </c>
      <c r="D92" s="89" t="n">
        <f aca="true">IF(D$5=0,C92,MAX(0,(C92-D$4)*(1+NORMINV(RAND(),INPUTS!$B$28,INPUTS!$B$29))))</f>
        <v>1317879.82268265</v>
      </c>
      <c r="E92" s="89" t="n">
        <f aca="true">IF(E$5=0,D92,MAX(0,(D92-E$4)*(1+NORMINV(RAND(),INPUTS!$B$28,INPUTS!$B$29))))</f>
        <v>1278213.75460833</v>
      </c>
      <c r="F92" s="89" t="n">
        <f aca="true">IF(F$5=0,E92,MAX(0,(E92-F$4)*(1+NORMINV(RAND(),INPUTS!$B$28,INPUTS!$B$29))))</f>
        <v>1434622.83170691</v>
      </c>
      <c r="G92" s="89" t="n">
        <f aca="true">IF(G$5=0,F92,MAX(0,(F92-G$4)*(1+NORMINV(RAND(),INPUTS!$B$28,INPUTS!$B$29))))</f>
        <v>1477009.94029869</v>
      </c>
      <c r="H92" s="89" t="n">
        <f aca="true">IF(H$5=0,G92,MAX(0,(G92-H$4)*(1+NORMINV(RAND(),INPUTS!$B$28,INPUTS!$B$29))))</f>
        <v>1793740.1092059</v>
      </c>
      <c r="I92" s="89" t="n">
        <f aca="true">IF(I$5=0,H92,MAX(0,(H92-I$4)*(1+NORMINV(RAND(),INPUTS!$B$28,INPUTS!$B$29))))</f>
        <v>1776181.24988672</v>
      </c>
      <c r="J92" s="89" t="n">
        <f aca="true">IF(J$5=0,I92,MAX(0,(I92-J$4)*(1+NORMINV(RAND(),INPUTS!$B$28,INPUTS!$B$29))))</f>
        <v>1801562.9344003</v>
      </c>
      <c r="K92" s="89" t="n">
        <f aca="true">IF(K$5=0,J92,MAX(0,(J92-K$4)*(1+NORMINV(RAND(),INPUTS!$B$28,INPUTS!$B$29))))</f>
        <v>1617768.39555269</v>
      </c>
      <c r="L92" s="89" t="n">
        <f aca="true">IF(L$5=0,K92,MAX(0,(K92-L$4)*(1+NORMINV(RAND(),INPUTS!$B$28,INPUTS!$B$29))))</f>
        <v>1773835.03219915</v>
      </c>
      <c r="M92" s="89" t="n">
        <f aca="true">IF(M$5=0,L92,MAX(0,(L92-M$4)*(1+NORMINV(RAND(),INPUTS!$B$28,INPUTS!$B$29))))</f>
        <v>1723783.75971524</v>
      </c>
      <c r="N92" s="89" t="n">
        <f aca="true">IF(N$5=0,M92,MAX(0,(M92-N$4)*(1+NORMINV(RAND(),INPUTS!$B$28,INPUTS!$B$29))))</f>
        <v>1695624.26477924</v>
      </c>
      <c r="O92" s="89" t="n">
        <f aca="true">IF(O$5=0,N92,MAX(0,(N92-O$4)*(1+NORMINV(RAND(),INPUTS!$B$28,INPUTS!$B$29))))</f>
        <v>1769138.63270566</v>
      </c>
      <c r="P92" s="89" t="n">
        <f aca="true">IF(P$5=0,O92,MAX(0,(O92-P$4)*(1+NORMINV(RAND(),INPUTS!$B$28,INPUTS!$B$29))))</f>
        <v>1625116.71595246</v>
      </c>
      <c r="Q92" s="89" t="n">
        <f aca="true">IF(Q$5=0,P92,MAX(0,(P92-Q$4)*(1+NORMINV(RAND(),INPUTS!$B$28,INPUTS!$B$29))))</f>
        <v>1441654.76821883</v>
      </c>
      <c r="R92" s="89" t="n">
        <f aca="true">IF(R$5=0,Q92,MAX(0,(Q92-R$4)*(1+NORMINV(RAND(),INPUTS!$B$28,INPUTS!$B$29))))</f>
        <v>1569940.07503221</v>
      </c>
      <c r="S92" s="89" t="n">
        <f aca="true">IF(S$5=0,R92,MAX(0,(R92-S$4)*(1+NORMINV(RAND(),INPUTS!$B$28,INPUTS!$B$29))))</f>
        <v>1755943.50957479</v>
      </c>
      <c r="T92" s="89" t="n">
        <f aca="true">IF(T$5=0,S92,MAX(0,(S92-T$4)*(1+NORMINV(RAND(),INPUTS!$B$28,INPUTS!$B$29))))</f>
        <v>1334473.85083722</v>
      </c>
      <c r="U92" s="89" t="n">
        <f aca="true">IF(U$5=0,T92,MAX(0,(T92-U$4)*(1+NORMINV(RAND(),INPUTS!$B$28,INPUTS!$B$29))))</f>
        <v>1499488.32764315</v>
      </c>
      <c r="V92" s="89" t="n">
        <f aca="true">IF(V$5=0,U92,MAX(0,(U92-V$4)*(1+NORMINV(RAND(),INPUTS!$B$28,INPUTS!$B$29))))</f>
        <v>1542608.3373789</v>
      </c>
      <c r="W92" s="89" t="n">
        <f aca="true">IF(W$5=0,V92,MAX(0,(V92-W$4)*(1+NORMINV(RAND(),INPUTS!$B$28,INPUTS!$B$29))))</f>
        <v>1592145.98726744</v>
      </c>
      <c r="X92" s="89" t="n">
        <f aca="true">IF(X$5=0,W92,MAX(0,(W92-X$4)*(1+NORMINV(RAND(),INPUTS!$B$28,INPUTS!$B$29))))</f>
        <v>1752016.36393031</v>
      </c>
      <c r="Y92" s="89" t="n">
        <f aca="true">IF(Y$5=0,X92,MAX(0,(X92-Y$4)*(1+NORMINV(RAND(),INPUTS!$B$28,INPUTS!$B$29))))</f>
        <v>1609951.21475113</v>
      </c>
      <c r="Z92" s="89" t="n">
        <f aca="true">IF(Z$5=0,Y92,MAX(0,(Y92-Z$4)*(1+NORMINV(RAND(),INPUTS!$B$28,INPUTS!$B$29))))</f>
        <v>1951624.34891133</v>
      </c>
      <c r="AA92" s="89" t="n">
        <f aca="true">IF(AA$5=0,Z92,MAX(0,(Z92-AA$4)*(1+NORMINV(RAND(),INPUTS!$B$28,INPUTS!$B$29))))</f>
        <v>2114055.62434369</v>
      </c>
      <c r="AB92" s="89" t="n">
        <f aca="true">IF(AB$5=0,AA92,MAX(0,(AA92-AB$4)*(1+NORMINV(RAND(),INPUTS!$B$28,INPUTS!$B$29))))</f>
        <v>1808268.93837209</v>
      </c>
      <c r="AC92" s="89" t="n">
        <f aca="true">IF(AC$5=0,AB92,MAX(0,(AB92-AC$4)*(1+NORMINV(RAND(),INPUTS!$B$28,INPUTS!$B$29))))</f>
        <v>1809706.5707209</v>
      </c>
      <c r="AD92" s="89" t="n">
        <f aca="true">IF(AD$5=0,AC92,MAX(0,(AC92-AD$4)*(1+NORMINV(RAND(),INPUTS!$B$28,INPUTS!$B$29))))</f>
        <v>1919564.97103651</v>
      </c>
      <c r="AE92" s="89" t="n">
        <f aca="true">IF(AE$5=0,AD92,MAX(0,(AD92-AE$4)*(1+NORMINV(RAND(),INPUTS!$B$28,INPUTS!$B$29))))</f>
        <v>1921234.08965466</v>
      </c>
      <c r="AF92" s="89" t="n">
        <f aca="true">IF(AF$5=0,AE92,MAX(0,(AE92-AF$4)*(1+NORMINV(RAND(),INPUTS!$B$28,INPUTS!$B$29))))</f>
        <v>2004515.85529642</v>
      </c>
      <c r="AG92" s="89" t="n">
        <f aca="true">IF(AG$5=0,AF92,MAX(0,(AF92-AG$4)*(1+NORMINV(RAND(),INPUTS!$B$28,INPUTS!$B$29))))</f>
        <v>2152175.41126185</v>
      </c>
      <c r="AH92" s="89" t="n">
        <f aca="true">IF(AH$5=0,AG92,MAX(0,(AG92-AH$4)*(1+NORMINV(RAND(),INPUTS!$B$28,INPUTS!$B$29))))</f>
        <v>2754730.63317126</v>
      </c>
      <c r="AI92" s="89" t="n">
        <f aca="true">IF(AI$5=0,AH92,MAX(0,(AH92-AI$4)*(1+NORMINV(RAND(),INPUTS!$B$28,INPUTS!$B$29))))</f>
        <v>2434321.61102404</v>
      </c>
      <c r="AJ92" s="89" t="n">
        <f aca="true">IF(AJ$5=0,AI92,MAX(0,(AI92-AJ$4)*(1+NORMINV(RAND(),INPUTS!$B$28,INPUTS!$B$29))))</f>
        <v>2378382.77823472</v>
      </c>
      <c r="AK92" s="89" t="n">
        <f aca="true">IF(AK$5=0,AJ92,MAX(0,(AJ92-AK$4)*(1+NORMINV(RAND(),INPUTS!$B$28,INPUTS!$B$29))))</f>
        <v>2448839.40778436</v>
      </c>
      <c r="AL92" s="89" t="n">
        <f aca="true">IF(AL$5=0,AK92,MAX(0,(AK92-AL$4)*(1+NORMINV(RAND(),INPUTS!$B$28,INPUTS!$B$29))))</f>
        <v>2417418.39122156</v>
      </c>
      <c r="AM92" s="89" t="n">
        <f aca="true">IF(AM$5=0,AL92,MAX(0,(AL92-AM$4)*(1+NORMINV(RAND(),INPUTS!$B$28,INPUTS!$B$29))))</f>
        <v>2417418.39122156</v>
      </c>
      <c r="AN92" s="89" t="n">
        <f aca="true">IF(AN$5=0,AM92,MAX(0,(AM92-AN$4)*(1+NORMINV(RAND(),INPUTS!$B$28,INPUTS!$B$29))))</f>
        <v>2417418.39122156</v>
      </c>
      <c r="AO92" s="89" t="n">
        <f aca="true">IF(AO$5=0,AN92,MAX(0,(AN92-AO$4)*(1+NORMINV(RAND(),INPUTS!$B$28,INPUTS!$B$29))))</f>
        <v>2417418.39122156</v>
      </c>
      <c r="AP92" s="89" t="n">
        <f aca="true">IF(AP$5=0,AO92,MAX(0,(AO92-AP$4)*(1+NORMINV(RAND(),INPUTS!$B$28,INPUTS!$B$29))))</f>
        <v>2417418.39122156</v>
      </c>
      <c r="AQ92" s="89" t="n">
        <f aca="true">IF(AQ$5=0,AP92,MAX(0,(AP92-AQ$4)*(1+NORMINV(RAND(),INPUTS!$B$28,INPUTS!$B$29))))</f>
        <v>2417418.39122156</v>
      </c>
      <c r="AR92" s="89" t="n">
        <f aca="true">IF(AR$5=0,AQ92,MAX(0,(AQ92-AR$4)*(1+NORMINV(RAND(),INPUTS!$B$28,INPUTS!$B$29))))</f>
        <v>2417418.39122156</v>
      </c>
      <c r="AS92" s="89" t="n">
        <f aca="true">IF(AS$5=0,AR92,MAX(0,(AR92-AS$4)*(1+NORMINV(RAND(),INPUTS!$B$28,INPUTS!$B$29))))</f>
        <v>2417418.39122156</v>
      </c>
      <c r="AT92" s="89" t="n">
        <f aca="true">IF(AT$5=0,AS92,MAX(0,(AS92-AT$4)*(1+NORMINV(RAND(),INPUTS!$B$28,INPUTS!$B$29))))</f>
        <v>2417418.39122156</v>
      </c>
      <c r="AU92" s="89" t="n">
        <f aca="true">IF(AU$5=0,AT92,MAX(0,(AT92-AU$4)*(1+NORMINV(RAND(),INPUTS!$B$28,INPUTS!$B$29))))</f>
        <v>2417418.39122156</v>
      </c>
      <c r="AV92" s="89" t="n">
        <f aca="true">IF(AV$5=0,AU92,MAX(0,(AU92-AV$4)*(1+NORMINV(RAND(),INPUTS!$B$28,INPUTS!$B$29))))</f>
        <v>2417418.39122156</v>
      </c>
      <c r="AW92" s="89" t="n">
        <f aca="true">IF(AW$5=0,AV92,MAX(0,(AV92-AW$4)*(1+NORMINV(RAND(),INPUTS!$B$28,INPUTS!$B$29))))</f>
        <v>2417418.39122156</v>
      </c>
      <c r="AX92" s="89" t="n">
        <f aca="true">IF(AX$5=0,AW92,MAX(0,(AW92-AX$4)*(1+NORMINV(RAND(),INPUTS!$B$28,INPUTS!$B$29))))</f>
        <v>2417418.39122156</v>
      </c>
      <c r="AY92" s="89" t="n">
        <f aca="true">IF(AY$5=0,AX92,MAX(0,(AX92-AY$4)*(1+NORMINV(RAND(),INPUTS!$B$28,INPUTS!$B$29))))</f>
        <v>2417418.39122156</v>
      </c>
      <c r="AZ92" s="89" t="n">
        <f aca="true">IF(AZ$5=0,AY92,MAX(0,(AY92-AZ$4)*(1+NORMINV(RAND(),INPUTS!$B$28,INPUTS!$B$29))))</f>
        <v>2417418.39122156</v>
      </c>
      <c r="BA92" s="89" t="n">
        <f aca="true">IF(BA$5=0,AZ92,MAX(0,(AZ92-BA$4)*(1+NORMINV(RAND(),INPUTS!$B$28,INPUTS!$B$29))))</f>
        <v>2417418.39122156</v>
      </c>
      <c r="BB92" s="89" t="n">
        <f aca="true">IF(BB$5=0,BA92,MAX(0,(BA92-BB$4)*(1+NORMINV(RAND(),INPUTS!$B$28,INPUTS!$B$29))))</f>
        <v>2417418.39122156</v>
      </c>
      <c r="BC92" s="89" t="n">
        <f aca="true">IF(BC$5=0,BB92,MAX(0,(BB92-BC$4)*(1+NORMINV(RAND(),INPUTS!$B$28,INPUTS!$B$29))))</f>
        <v>2417418.39122156</v>
      </c>
      <c r="BD92" s="89" t="n">
        <f aca="true">IF(BD$5=0,BC92,MAX(0,(BC92-BD$4)*(1+NORMINV(RAND(),INPUTS!$B$28,INPUTS!$B$29))))</f>
        <v>2417418.39122156</v>
      </c>
      <c r="BE92" s="89" t="n">
        <f aca="true">IF(BE$5=0,BD92,MAX(0,(BD92-BE$4)*(1+NORMINV(RAND(),INPUTS!$B$28,INPUTS!$B$29))))</f>
        <v>2417418.39122156</v>
      </c>
      <c r="BF92" s="89" t="n">
        <f aca="true">IF(BF$5=0,BE92,MAX(0,(BE92-BF$4)*(1+NORMINV(RAND(),INPUTS!$B$28,INPUTS!$B$29))))</f>
        <v>2417418.39122156</v>
      </c>
      <c r="BG92" s="89" t="n">
        <f aca="true">IF(BG$5=0,BF92,MAX(0,(BF92-BG$4)*(1+NORMINV(RAND(),INPUTS!$B$28,INPUTS!$B$29))))</f>
        <v>2417418.39122156</v>
      </c>
      <c r="BH92" s="89" t="n">
        <f aca="true">IF(BH$5=0,BG92,MAX(0,(BG92-BH$4)*(1+NORMINV(RAND(),INPUTS!$B$28,INPUTS!$B$29))))</f>
        <v>2417418.39122156</v>
      </c>
      <c r="BI92" s="89" t="n">
        <f aca="true">IF(BI$5=0,BH92,MAX(0,(BH92-BI$4)*(1+NORMINV(RAND(),INPUTS!$B$28,INPUTS!$B$29))))</f>
        <v>2417418.39122156</v>
      </c>
      <c r="BJ92" s="89" t="n">
        <f aca="true">IF(BJ$5=0,BI92,MAX(0,(BI92-BJ$4)*(1+NORMINV(RAND(),INPUTS!$B$28,INPUTS!$B$29))))</f>
        <v>2417418.39122156</v>
      </c>
    </row>
    <row r="93" customFormat="false" ht="15" hidden="false" customHeight="true" outlineLevel="0" collapsed="false">
      <c r="A93" s="87" t="n">
        <v>86</v>
      </c>
      <c r="B93" s="88" t="n">
        <f aca="false">LOOKUP(9.99E+307,C93:BJ93)</f>
        <v>6465613.84053954</v>
      </c>
      <c r="C93" s="89" t="n">
        <f aca="true">IF(C$5=0,INPUTS!$B$35,MAX(0,(INPUTS!$B$35-C$4)*(1+NORMINV(RAND(),INPUTS!$B$28,INPUTS!$B$29))))</f>
        <v>1428302.47489308</v>
      </c>
      <c r="D93" s="89" t="n">
        <f aca="true">IF(D$5=0,C93,MAX(0,(C93-D$4)*(1+NORMINV(RAND(),INPUTS!$B$28,INPUTS!$B$29))))</f>
        <v>1397294.63458114</v>
      </c>
      <c r="E93" s="89" t="n">
        <f aca="true">IF(E$5=0,D93,MAX(0,(D93-E$4)*(1+NORMINV(RAND(),INPUTS!$B$28,INPUTS!$B$29))))</f>
        <v>1538968.31875621</v>
      </c>
      <c r="F93" s="89" t="n">
        <f aca="true">IF(F$5=0,E93,MAX(0,(E93-F$4)*(1+NORMINV(RAND(),INPUTS!$B$28,INPUTS!$B$29))))</f>
        <v>1700897.21487107</v>
      </c>
      <c r="G93" s="89" t="n">
        <f aca="true">IF(G$5=0,F93,MAX(0,(F93-G$4)*(1+NORMINV(RAND(),INPUTS!$B$28,INPUTS!$B$29))))</f>
        <v>1633938.91407186</v>
      </c>
      <c r="H93" s="89" t="n">
        <f aca="true">IF(H$5=0,G93,MAX(0,(G93-H$4)*(1+NORMINV(RAND(),INPUTS!$B$28,INPUTS!$B$29))))</f>
        <v>1931009.05068914</v>
      </c>
      <c r="I93" s="89" t="n">
        <f aca="true">IF(I$5=0,H93,MAX(0,(H93-I$4)*(1+NORMINV(RAND(),INPUTS!$B$28,INPUTS!$B$29))))</f>
        <v>2180803.47230366</v>
      </c>
      <c r="J93" s="89" t="n">
        <f aca="true">IF(J$5=0,I93,MAX(0,(I93-J$4)*(1+NORMINV(RAND(),INPUTS!$B$28,INPUTS!$B$29))))</f>
        <v>2113623.16135143</v>
      </c>
      <c r="K93" s="89" t="n">
        <f aca="true">IF(K$5=0,J93,MAX(0,(J93-K$4)*(1+NORMINV(RAND(),INPUTS!$B$28,INPUTS!$B$29))))</f>
        <v>1516910.52554904</v>
      </c>
      <c r="L93" s="89" t="n">
        <f aca="true">IF(L$5=0,K93,MAX(0,(K93-L$4)*(1+NORMINV(RAND(),INPUTS!$B$28,INPUTS!$B$29))))</f>
        <v>1364394.96038509</v>
      </c>
      <c r="M93" s="89" t="n">
        <f aca="true">IF(M$5=0,L93,MAX(0,(L93-M$4)*(1+NORMINV(RAND(),INPUTS!$B$28,INPUTS!$B$29))))</f>
        <v>1579606.7780281</v>
      </c>
      <c r="N93" s="89" t="n">
        <f aca="true">IF(N$5=0,M93,MAX(0,(M93-N$4)*(1+NORMINV(RAND(),INPUTS!$B$28,INPUTS!$B$29))))</f>
        <v>1635035.19209105</v>
      </c>
      <c r="O93" s="89" t="n">
        <f aca="true">IF(O$5=0,N93,MAX(0,(N93-O$4)*(1+NORMINV(RAND(),INPUTS!$B$28,INPUTS!$B$29))))</f>
        <v>2041161.94520682</v>
      </c>
      <c r="P93" s="89" t="n">
        <f aca="true">IF(P$5=0,O93,MAX(0,(O93-P$4)*(1+NORMINV(RAND(),INPUTS!$B$28,INPUTS!$B$29))))</f>
        <v>2346397.5313789</v>
      </c>
      <c r="Q93" s="89" t="n">
        <f aca="true">IF(Q$5=0,P93,MAX(0,(P93-Q$4)*(1+NORMINV(RAND(),INPUTS!$B$28,INPUTS!$B$29))))</f>
        <v>2530298.16019649</v>
      </c>
      <c r="R93" s="89" t="n">
        <f aca="true">IF(R$5=0,Q93,MAX(0,(Q93-R$4)*(1+NORMINV(RAND(),INPUTS!$B$28,INPUTS!$B$29))))</f>
        <v>2042202.36423901</v>
      </c>
      <c r="S93" s="89" t="n">
        <f aca="true">IF(S$5=0,R93,MAX(0,(R93-S$4)*(1+NORMINV(RAND(),INPUTS!$B$28,INPUTS!$B$29))))</f>
        <v>2196197.879875</v>
      </c>
      <c r="T93" s="89" t="n">
        <f aca="true">IF(T$5=0,S93,MAX(0,(S93-T$4)*(1+NORMINV(RAND(),INPUTS!$B$28,INPUTS!$B$29))))</f>
        <v>2508768.43375174</v>
      </c>
      <c r="U93" s="89" t="n">
        <f aca="true">IF(U$5=0,T93,MAX(0,(T93-U$4)*(1+NORMINV(RAND(),INPUTS!$B$28,INPUTS!$B$29))))</f>
        <v>2927480.20495891</v>
      </c>
      <c r="V93" s="89" t="n">
        <f aca="true">IF(V$5=0,U93,MAX(0,(U93-V$4)*(1+NORMINV(RAND(),INPUTS!$B$28,INPUTS!$B$29))))</f>
        <v>3635637.64099687</v>
      </c>
      <c r="W93" s="89" t="n">
        <f aca="true">IF(W$5=0,V93,MAX(0,(V93-W$4)*(1+NORMINV(RAND(),INPUTS!$B$28,INPUTS!$B$29))))</f>
        <v>4332627.14559262</v>
      </c>
      <c r="X93" s="89" t="n">
        <f aca="true">IF(X$5=0,W93,MAX(0,(W93-X$4)*(1+NORMINV(RAND(),INPUTS!$B$28,INPUTS!$B$29))))</f>
        <v>4257571.9277591</v>
      </c>
      <c r="Y93" s="89" t="n">
        <f aca="true">IF(Y$5=0,X93,MAX(0,(X93-Y$4)*(1+NORMINV(RAND(),INPUTS!$B$28,INPUTS!$B$29))))</f>
        <v>4746889.72893735</v>
      </c>
      <c r="Z93" s="89" t="n">
        <f aca="true">IF(Z$5=0,Y93,MAX(0,(Y93-Z$4)*(1+NORMINV(RAND(),INPUTS!$B$28,INPUTS!$B$29))))</f>
        <v>4624666.16950187</v>
      </c>
      <c r="AA93" s="89" t="n">
        <f aca="true">IF(AA$5=0,Z93,MAX(0,(Z93-AA$4)*(1+NORMINV(RAND(),INPUTS!$B$28,INPUTS!$B$29))))</f>
        <v>5051394.17927312</v>
      </c>
      <c r="AB93" s="89" t="n">
        <f aca="true">IF(AB$5=0,AA93,MAX(0,(AA93-AB$4)*(1+NORMINV(RAND(),INPUTS!$B$28,INPUTS!$B$29))))</f>
        <v>3993615.11003761</v>
      </c>
      <c r="AC93" s="89" t="n">
        <f aca="true">IF(AC$5=0,AB93,MAX(0,(AB93-AC$4)*(1+NORMINV(RAND(),INPUTS!$B$28,INPUTS!$B$29))))</f>
        <v>3792660.55631294</v>
      </c>
      <c r="AD93" s="89" t="n">
        <f aca="true">IF(AD$5=0,AC93,MAX(0,(AC93-AD$4)*(1+NORMINV(RAND(),INPUTS!$B$28,INPUTS!$B$29))))</f>
        <v>4267144.48380772</v>
      </c>
      <c r="AE93" s="89" t="n">
        <f aca="true">IF(AE$5=0,AD93,MAX(0,(AD93-AE$4)*(1+NORMINV(RAND(),INPUTS!$B$28,INPUTS!$B$29))))</f>
        <v>4787725.06433224</v>
      </c>
      <c r="AF93" s="89" t="n">
        <f aca="true">IF(AF$5=0,AE93,MAX(0,(AE93-AF$4)*(1+NORMINV(RAND(),INPUTS!$B$28,INPUTS!$B$29))))</f>
        <v>4860261.79991347</v>
      </c>
      <c r="AG93" s="89" t="n">
        <f aca="true">IF(AG$5=0,AF93,MAX(0,(AF93-AG$4)*(1+NORMINV(RAND(),INPUTS!$B$28,INPUTS!$B$29))))</f>
        <v>6340278.38993529</v>
      </c>
      <c r="AH93" s="89" t="n">
        <f aca="true">IF(AH$5=0,AG93,MAX(0,(AG93-AH$4)*(1+NORMINV(RAND(),INPUTS!$B$28,INPUTS!$B$29))))</f>
        <v>6637874.04526823</v>
      </c>
      <c r="AI93" s="89" t="n">
        <f aca="true">IF(AI$5=0,AH93,MAX(0,(AH93-AI$4)*(1+NORMINV(RAND(),INPUTS!$B$28,INPUTS!$B$29))))</f>
        <v>7465359.31533299</v>
      </c>
      <c r="AJ93" s="89" t="n">
        <f aca="true">IF(AJ$5=0,AI93,MAX(0,(AI93-AJ$4)*(1+NORMINV(RAND(),INPUTS!$B$28,INPUTS!$B$29))))</f>
        <v>7086953.90135488</v>
      </c>
      <c r="AK93" s="89" t="n">
        <f aca="true">IF(AK$5=0,AJ93,MAX(0,(AJ93-AK$4)*(1+NORMINV(RAND(),INPUTS!$B$28,INPUTS!$B$29))))</f>
        <v>6549341.44370536</v>
      </c>
      <c r="AL93" s="89" t="n">
        <f aca="true">IF(AL$5=0,AK93,MAX(0,(AK93-AL$4)*(1+NORMINV(RAND(),INPUTS!$B$28,INPUTS!$B$29))))</f>
        <v>6465613.84053954</v>
      </c>
      <c r="AM93" s="89" t="n">
        <f aca="true">IF(AM$5=0,AL93,MAX(0,(AL93-AM$4)*(1+NORMINV(RAND(),INPUTS!$B$28,INPUTS!$B$29))))</f>
        <v>6465613.84053954</v>
      </c>
      <c r="AN93" s="89" t="n">
        <f aca="true">IF(AN$5=0,AM93,MAX(0,(AM93-AN$4)*(1+NORMINV(RAND(),INPUTS!$B$28,INPUTS!$B$29))))</f>
        <v>6465613.84053954</v>
      </c>
      <c r="AO93" s="89" t="n">
        <f aca="true">IF(AO$5=0,AN93,MAX(0,(AN93-AO$4)*(1+NORMINV(RAND(),INPUTS!$B$28,INPUTS!$B$29))))</f>
        <v>6465613.84053954</v>
      </c>
      <c r="AP93" s="89" t="n">
        <f aca="true">IF(AP$5=0,AO93,MAX(0,(AO93-AP$4)*(1+NORMINV(RAND(),INPUTS!$B$28,INPUTS!$B$29))))</f>
        <v>6465613.84053954</v>
      </c>
      <c r="AQ93" s="89" t="n">
        <f aca="true">IF(AQ$5=0,AP93,MAX(0,(AP93-AQ$4)*(1+NORMINV(RAND(),INPUTS!$B$28,INPUTS!$B$29))))</f>
        <v>6465613.84053954</v>
      </c>
      <c r="AR93" s="89" t="n">
        <f aca="true">IF(AR$5=0,AQ93,MAX(0,(AQ93-AR$4)*(1+NORMINV(RAND(),INPUTS!$B$28,INPUTS!$B$29))))</f>
        <v>6465613.84053954</v>
      </c>
      <c r="AS93" s="89" t="n">
        <f aca="true">IF(AS$5=0,AR93,MAX(0,(AR93-AS$4)*(1+NORMINV(RAND(),INPUTS!$B$28,INPUTS!$B$29))))</f>
        <v>6465613.84053954</v>
      </c>
      <c r="AT93" s="89" t="n">
        <f aca="true">IF(AT$5=0,AS93,MAX(0,(AS93-AT$4)*(1+NORMINV(RAND(),INPUTS!$B$28,INPUTS!$B$29))))</f>
        <v>6465613.84053954</v>
      </c>
      <c r="AU93" s="89" t="n">
        <f aca="true">IF(AU$5=0,AT93,MAX(0,(AT93-AU$4)*(1+NORMINV(RAND(),INPUTS!$B$28,INPUTS!$B$29))))</f>
        <v>6465613.84053954</v>
      </c>
      <c r="AV93" s="89" t="n">
        <f aca="true">IF(AV$5=0,AU93,MAX(0,(AU93-AV$4)*(1+NORMINV(RAND(),INPUTS!$B$28,INPUTS!$B$29))))</f>
        <v>6465613.84053954</v>
      </c>
      <c r="AW93" s="89" t="n">
        <f aca="true">IF(AW$5=0,AV93,MAX(0,(AV93-AW$4)*(1+NORMINV(RAND(),INPUTS!$B$28,INPUTS!$B$29))))</f>
        <v>6465613.84053954</v>
      </c>
      <c r="AX93" s="89" t="n">
        <f aca="true">IF(AX$5=0,AW93,MAX(0,(AW93-AX$4)*(1+NORMINV(RAND(),INPUTS!$B$28,INPUTS!$B$29))))</f>
        <v>6465613.84053954</v>
      </c>
      <c r="AY93" s="89" t="n">
        <f aca="true">IF(AY$5=0,AX93,MAX(0,(AX93-AY$4)*(1+NORMINV(RAND(),INPUTS!$B$28,INPUTS!$B$29))))</f>
        <v>6465613.84053954</v>
      </c>
      <c r="AZ93" s="89" t="n">
        <f aca="true">IF(AZ$5=0,AY93,MAX(0,(AY93-AZ$4)*(1+NORMINV(RAND(),INPUTS!$B$28,INPUTS!$B$29))))</f>
        <v>6465613.84053954</v>
      </c>
      <c r="BA93" s="89" t="n">
        <f aca="true">IF(BA$5=0,AZ93,MAX(0,(AZ93-BA$4)*(1+NORMINV(RAND(),INPUTS!$B$28,INPUTS!$B$29))))</f>
        <v>6465613.84053954</v>
      </c>
      <c r="BB93" s="89" t="n">
        <f aca="true">IF(BB$5=0,BA93,MAX(0,(BA93-BB$4)*(1+NORMINV(RAND(),INPUTS!$B$28,INPUTS!$B$29))))</f>
        <v>6465613.84053954</v>
      </c>
      <c r="BC93" s="89" t="n">
        <f aca="true">IF(BC$5=0,BB93,MAX(0,(BB93-BC$4)*(1+NORMINV(RAND(),INPUTS!$B$28,INPUTS!$B$29))))</f>
        <v>6465613.84053954</v>
      </c>
      <c r="BD93" s="89" t="n">
        <f aca="true">IF(BD$5=0,BC93,MAX(0,(BC93-BD$4)*(1+NORMINV(RAND(),INPUTS!$B$28,INPUTS!$B$29))))</f>
        <v>6465613.84053954</v>
      </c>
      <c r="BE93" s="89" t="n">
        <f aca="true">IF(BE$5=0,BD93,MAX(0,(BD93-BE$4)*(1+NORMINV(RAND(),INPUTS!$B$28,INPUTS!$B$29))))</f>
        <v>6465613.84053954</v>
      </c>
      <c r="BF93" s="89" t="n">
        <f aca="true">IF(BF$5=0,BE93,MAX(0,(BE93-BF$4)*(1+NORMINV(RAND(),INPUTS!$B$28,INPUTS!$B$29))))</f>
        <v>6465613.84053954</v>
      </c>
      <c r="BG93" s="89" t="n">
        <f aca="true">IF(BG$5=0,BF93,MAX(0,(BF93-BG$4)*(1+NORMINV(RAND(),INPUTS!$B$28,INPUTS!$B$29))))</f>
        <v>6465613.84053954</v>
      </c>
      <c r="BH93" s="89" t="n">
        <f aca="true">IF(BH$5=0,BG93,MAX(0,(BG93-BH$4)*(1+NORMINV(RAND(),INPUTS!$B$28,INPUTS!$B$29))))</f>
        <v>6465613.84053954</v>
      </c>
      <c r="BI93" s="89" t="n">
        <f aca="true">IF(BI$5=0,BH93,MAX(0,(BH93-BI$4)*(1+NORMINV(RAND(),INPUTS!$B$28,INPUTS!$B$29))))</f>
        <v>6465613.84053954</v>
      </c>
      <c r="BJ93" s="89" t="n">
        <f aca="true">IF(BJ$5=0,BI93,MAX(0,(BI93-BJ$4)*(1+NORMINV(RAND(),INPUTS!$B$28,INPUTS!$B$29))))</f>
        <v>6465613.84053954</v>
      </c>
    </row>
    <row r="94" customFormat="false" ht="15" hidden="false" customHeight="true" outlineLevel="0" collapsed="false">
      <c r="A94" s="87" t="n">
        <v>87</v>
      </c>
      <c r="B94" s="88" t="n">
        <f aca="false">LOOKUP(9.99E+307,C94:BJ94)</f>
        <v>21618384.7489311</v>
      </c>
      <c r="C94" s="89" t="n">
        <f aca="true">IF(C$5=0,INPUTS!$B$35,MAX(0,(INPUTS!$B$35-C$4)*(1+NORMINV(RAND(),INPUTS!$B$28,INPUTS!$B$29))))</f>
        <v>1692617.04326294</v>
      </c>
      <c r="D94" s="89" t="n">
        <f aca="true">IF(D$5=0,C94,MAX(0,(C94-D$4)*(1+NORMINV(RAND(),INPUTS!$B$28,INPUTS!$B$29))))</f>
        <v>1364331.85056682</v>
      </c>
      <c r="E94" s="89" t="n">
        <f aca="true">IF(E$5=0,D94,MAX(0,(D94-E$4)*(1+NORMINV(RAND(),INPUTS!$B$28,INPUTS!$B$29))))</f>
        <v>1611755.69199636</v>
      </c>
      <c r="F94" s="89" t="n">
        <f aca="true">IF(F$5=0,E94,MAX(0,(E94-F$4)*(1+NORMINV(RAND(),INPUTS!$B$28,INPUTS!$B$29))))</f>
        <v>1606268.23545483</v>
      </c>
      <c r="G94" s="89" t="n">
        <f aca="true">IF(G$5=0,F94,MAX(0,(F94-G$4)*(1+NORMINV(RAND(),INPUTS!$B$28,INPUTS!$B$29))))</f>
        <v>1617461.30817597</v>
      </c>
      <c r="H94" s="89" t="n">
        <f aca="true">IF(H$5=0,G94,MAX(0,(G94-H$4)*(1+NORMINV(RAND(),INPUTS!$B$28,INPUTS!$B$29))))</f>
        <v>1611682.01303808</v>
      </c>
      <c r="I94" s="89" t="n">
        <f aca="true">IF(I$5=0,H94,MAX(0,(H94-I$4)*(1+NORMINV(RAND(),INPUTS!$B$28,INPUTS!$B$29))))</f>
        <v>1695677.99378073</v>
      </c>
      <c r="J94" s="89" t="n">
        <f aca="true">IF(J$5=0,I94,MAX(0,(I94-J$4)*(1+NORMINV(RAND(),INPUTS!$B$28,INPUTS!$B$29))))</f>
        <v>1653649.40495256</v>
      </c>
      <c r="K94" s="89" t="n">
        <f aca="true">IF(K$5=0,J94,MAX(0,(J94-K$4)*(1+NORMINV(RAND(),INPUTS!$B$28,INPUTS!$B$29))))</f>
        <v>1865576.25865951</v>
      </c>
      <c r="L94" s="89" t="n">
        <f aca="true">IF(L$5=0,K94,MAX(0,(K94-L$4)*(1+NORMINV(RAND(),INPUTS!$B$28,INPUTS!$B$29))))</f>
        <v>1816206.47214865</v>
      </c>
      <c r="M94" s="89" t="n">
        <f aca="true">IF(M$5=0,L94,MAX(0,(L94-M$4)*(1+NORMINV(RAND(),INPUTS!$B$28,INPUTS!$B$29))))</f>
        <v>1980606.78474184</v>
      </c>
      <c r="N94" s="89" t="n">
        <f aca="true">IF(N$5=0,M94,MAX(0,(M94-N$4)*(1+NORMINV(RAND(),INPUTS!$B$28,INPUTS!$B$29))))</f>
        <v>1782498.9245344</v>
      </c>
      <c r="O94" s="89" t="n">
        <f aca="true">IF(O$5=0,N94,MAX(0,(N94-O$4)*(1+NORMINV(RAND(),INPUTS!$B$28,INPUTS!$B$29))))</f>
        <v>1930500.9039641</v>
      </c>
      <c r="P94" s="89" t="n">
        <f aca="true">IF(P$5=0,O94,MAX(0,(O94-P$4)*(1+NORMINV(RAND(),INPUTS!$B$28,INPUTS!$B$29))))</f>
        <v>2255563.86593036</v>
      </c>
      <c r="Q94" s="89" t="n">
        <f aca="true">IF(Q$5=0,P94,MAX(0,(P94-Q$4)*(1+NORMINV(RAND(),INPUTS!$B$28,INPUTS!$B$29))))</f>
        <v>2260443.69909155</v>
      </c>
      <c r="R94" s="89" t="n">
        <f aca="true">IF(R$5=0,Q94,MAX(0,(Q94-R$4)*(1+NORMINV(RAND(),INPUTS!$B$28,INPUTS!$B$29))))</f>
        <v>2435362.06825115</v>
      </c>
      <c r="S94" s="89" t="n">
        <f aca="true">IF(S$5=0,R94,MAX(0,(R94-S$4)*(1+NORMINV(RAND(),INPUTS!$B$28,INPUTS!$B$29))))</f>
        <v>2335075.63735653</v>
      </c>
      <c r="T94" s="89" t="n">
        <f aca="true">IF(T$5=0,S94,MAX(0,(S94-T$4)*(1+NORMINV(RAND(),INPUTS!$B$28,INPUTS!$B$29))))</f>
        <v>2956623.09709731</v>
      </c>
      <c r="U94" s="89" t="n">
        <f aca="true">IF(U$5=0,T94,MAX(0,(T94-U$4)*(1+NORMINV(RAND(),INPUTS!$B$28,INPUTS!$B$29))))</f>
        <v>3195356.93864773</v>
      </c>
      <c r="V94" s="89" t="n">
        <f aca="true">IF(V$5=0,U94,MAX(0,(U94-V$4)*(1+NORMINV(RAND(),INPUTS!$B$28,INPUTS!$B$29))))</f>
        <v>3714455.56424075</v>
      </c>
      <c r="W94" s="89" t="n">
        <f aca="true">IF(W$5=0,V94,MAX(0,(V94-W$4)*(1+NORMINV(RAND(),INPUTS!$B$28,INPUTS!$B$29))))</f>
        <v>4132377.35190842</v>
      </c>
      <c r="X94" s="89" t="n">
        <f aca="true">IF(X$5=0,W94,MAX(0,(W94-X$4)*(1+NORMINV(RAND(),INPUTS!$B$28,INPUTS!$B$29))))</f>
        <v>4723386.63135708</v>
      </c>
      <c r="Y94" s="89" t="n">
        <f aca="true">IF(Y$5=0,X94,MAX(0,(X94-Y$4)*(1+NORMINV(RAND(),INPUTS!$B$28,INPUTS!$B$29))))</f>
        <v>5541381.29415337</v>
      </c>
      <c r="Z94" s="89" t="n">
        <f aca="true">IF(Z$5=0,Y94,MAX(0,(Y94-Z$4)*(1+NORMINV(RAND(),INPUTS!$B$28,INPUTS!$B$29))))</f>
        <v>4818208.6872449</v>
      </c>
      <c r="AA94" s="89" t="n">
        <f aca="true">IF(AA$5=0,Z94,MAX(0,(Z94-AA$4)*(1+NORMINV(RAND(),INPUTS!$B$28,INPUTS!$B$29))))</f>
        <v>4762531.62149721</v>
      </c>
      <c r="AB94" s="89" t="n">
        <f aca="true">IF(AB$5=0,AA94,MAX(0,(AA94-AB$4)*(1+NORMINV(RAND(),INPUTS!$B$28,INPUTS!$B$29))))</f>
        <v>5395047.53751595</v>
      </c>
      <c r="AC94" s="89" t="n">
        <f aca="true">IF(AC$5=0,AB94,MAX(0,(AB94-AC$4)*(1+NORMINV(RAND(),INPUTS!$B$28,INPUTS!$B$29))))</f>
        <v>6286067.60751261</v>
      </c>
      <c r="AD94" s="89" t="n">
        <f aca="true">IF(AD$5=0,AC94,MAX(0,(AC94-AD$4)*(1+NORMINV(RAND(),INPUTS!$B$28,INPUTS!$B$29))))</f>
        <v>7597469.11369331</v>
      </c>
      <c r="AE94" s="89" t="n">
        <f aca="true">IF(AE$5=0,AD94,MAX(0,(AD94-AE$4)*(1+NORMINV(RAND(),INPUTS!$B$28,INPUTS!$B$29))))</f>
        <v>6793548.24555909</v>
      </c>
      <c r="AF94" s="89" t="n">
        <f aca="true">IF(AF$5=0,AE94,MAX(0,(AE94-AF$4)*(1+NORMINV(RAND(),INPUTS!$B$28,INPUTS!$B$29))))</f>
        <v>9487102.71654276</v>
      </c>
      <c r="AG94" s="89" t="n">
        <f aca="true">IF(AG$5=0,AF94,MAX(0,(AF94-AG$4)*(1+NORMINV(RAND(),INPUTS!$B$28,INPUTS!$B$29))))</f>
        <v>11294004.0657639</v>
      </c>
      <c r="AH94" s="89" t="n">
        <f aca="true">IF(AH$5=0,AG94,MAX(0,(AG94-AH$4)*(1+NORMINV(RAND(),INPUTS!$B$28,INPUTS!$B$29))))</f>
        <v>12027896.5492231</v>
      </c>
      <c r="AI94" s="89" t="n">
        <f aca="true">IF(AI$5=0,AH94,MAX(0,(AH94-AI$4)*(1+NORMINV(RAND(),INPUTS!$B$28,INPUTS!$B$29))))</f>
        <v>13329612.0202678</v>
      </c>
      <c r="AJ94" s="89" t="n">
        <f aca="true">IF(AJ$5=0,AI94,MAX(0,(AI94-AJ$4)*(1+NORMINV(RAND(),INPUTS!$B$28,INPUTS!$B$29))))</f>
        <v>16128892.7084658</v>
      </c>
      <c r="AK94" s="89" t="n">
        <f aca="true">IF(AK$5=0,AJ94,MAX(0,(AJ94-AK$4)*(1+NORMINV(RAND(),INPUTS!$B$28,INPUTS!$B$29))))</f>
        <v>16313719.3346712</v>
      </c>
      <c r="AL94" s="89" t="n">
        <f aca="true">IF(AL$5=0,AK94,MAX(0,(AK94-AL$4)*(1+NORMINV(RAND(),INPUTS!$B$28,INPUTS!$B$29))))</f>
        <v>21618384.7489311</v>
      </c>
      <c r="AM94" s="89" t="n">
        <f aca="true">IF(AM$5=0,AL94,MAX(0,(AL94-AM$4)*(1+NORMINV(RAND(),INPUTS!$B$28,INPUTS!$B$29))))</f>
        <v>21618384.7489311</v>
      </c>
      <c r="AN94" s="89" t="n">
        <f aca="true">IF(AN$5=0,AM94,MAX(0,(AM94-AN$4)*(1+NORMINV(RAND(),INPUTS!$B$28,INPUTS!$B$29))))</f>
        <v>21618384.7489311</v>
      </c>
      <c r="AO94" s="89" t="n">
        <f aca="true">IF(AO$5=0,AN94,MAX(0,(AN94-AO$4)*(1+NORMINV(RAND(),INPUTS!$B$28,INPUTS!$B$29))))</f>
        <v>21618384.7489311</v>
      </c>
      <c r="AP94" s="89" t="n">
        <f aca="true">IF(AP$5=0,AO94,MAX(0,(AO94-AP$4)*(1+NORMINV(RAND(),INPUTS!$B$28,INPUTS!$B$29))))</f>
        <v>21618384.7489311</v>
      </c>
      <c r="AQ94" s="89" t="n">
        <f aca="true">IF(AQ$5=0,AP94,MAX(0,(AP94-AQ$4)*(1+NORMINV(RAND(),INPUTS!$B$28,INPUTS!$B$29))))</f>
        <v>21618384.7489311</v>
      </c>
      <c r="AR94" s="89" t="n">
        <f aca="true">IF(AR$5=0,AQ94,MAX(0,(AQ94-AR$4)*(1+NORMINV(RAND(),INPUTS!$B$28,INPUTS!$B$29))))</f>
        <v>21618384.7489311</v>
      </c>
      <c r="AS94" s="89" t="n">
        <f aca="true">IF(AS$5=0,AR94,MAX(0,(AR94-AS$4)*(1+NORMINV(RAND(),INPUTS!$B$28,INPUTS!$B$29))))</f>
        <v>21618384.7489311</v>
      </c>
      <c r="AT94" s="89" t="n">
        <f aca="true">IF(AT$5=0,AS94,MAX(0,(AS94-AT$4)*(1+NORMINV(RAND(),INPUTS!$B$28,INPUTS!$B$29))))</f>
        <v>21618384.7489311</v>
      </c>
      <c r="AU94" s="89" t="n">
        <f aca="true">IF(AU$5=0,AT94,MAX(0,(AT94-AU$4)*(1+NORMINV(RAND(),INPUTS!$B$28,INPUTS!$B$29))))</f>
        <v>21618384.7489311</v>
      </c>
      <c r="AV94" s="89" t="n">
        <f aca="true">IF(AV$5=0,AU94,MAX(0,(AU94-AV$4)*(1+NORMINV(RAND(),INPUTS!$B$28,INPUTS!$B$29))))</f>
        <v>21618384.7489311</v>
      </c>
      <c r="AW94" s="89" t="n">
        <f aca="true">IF(AW$5=0,AV94,MAX(0,(AV94-AW$4)*(1+NORMINV(RAND(),INPUTS!$B$28,INPUTS!$B$29))))</f>
        <v>21618384.7489311</v>
      </c>
      <c r="AX94" s="89" t="n">
        <f aca="true">IF(AX$5=0,AW94,MAX(0,(AW94-AX$4)*(1+NORMINV(RAND(),INPUTS!$B$28,INPUTS!$B$29))))</f>
        <v>21618384.7489311</v>
      </c>
      <c r="AY94" s="89" t="n">
        <f aca="true">IF(AY$5=0,AX94,MAX(0,(AX94-AY$4)*(1+NORMINV(RAND(),INPUTS!$B$28,INPUTS!$B$29))))</f>
        <v>21618384.7489311</v>
      </c>
      <c r="AZ94" s="89" t="n">
        <f aca="true">IF(AZ$5=0,AY94,MAX(0,(AY94-AZ$4)*(1+NORMINV(RAND(),INPUTS!$B$28,INPUTS!$B$29))))</f>
        <v>21618384.7489311</v>
      </c>
      <c r="BA94" s="89" t="n">
        <f aca="true">IF(BA$5=0,AZ94,MAX(0,(AZ94-BA$4)*(1+NORMINV(RAND(),INPUTS!$B$28,INPUTS!$B$29))))</f>
        <v>21618384.7489311</v>
      </c>
      <c r="BB94" s="89" t="n">
        <f aca="true">IF(BB$5=0,BA94,MAX(0,(BA94-BB$4)*(1+NORMINV(RAND(),INPUTS!$B$28,INPUTS!$B$29))))</f>
        <v>21618384.7489311</v>
      </c>
      <c r="BC94" s="89" t="n">
        <f aca="true">IF(BC$5=0,BB94,MAX(0,(BB94-BC$4)*(1+NORMINV(RAND(),INPUTS!$B$28,INPUTS!$B$29))))</f>
        <v>21618384.7489311</v>
      </c>
      <c r="BD94" s="89" t="n">
        <f aca="true">IF(BD$5=0,BC94,MAX(0,(BC94-BD$4)*(1+NORMINV(RAND(),INPUTS!$B$28,INPUTS!$B$29))))</f>
        <v>21618384.7489311</v>
      </c>
      <c r="BE94" s="89" t="n">
        <f aca="true">IF(BE$5=0,BD94,MAX(0,(BD94-BE$4)*(1+NORMINV(RAND(),INPUTS!$B$28,INPUTS!$B$29))))</f>
        <v>21618384.7489311</v>
      </c>
      <c r="BF94" s="89" t="n">
        <f aca="true">IF(BF$5=0,BE94,MAX(0,(BE94-BF$4)*(1+NORMINV(RAND(),INPUTS!$B$28,INPUTS!$B$29))))</f>
        <v>21618384.7489311</v>
      </c>
      <c r="BG94" s="89" t="n">
        <f aca="true">IF(BG$5=0,BF94,MAX(0,(BF94-BG$4)*(1+NORMINV(RAND(),INPUTS!$B$28,INPUTS!$B$29))))</f>
        <v>21618384.7489311</v>
      </c>
      <c r="BH94" s="89" t="n">
        <f aca="true">IF(BH$5=0,BG94,MAX(0,(BG94-BH$4)*(1+NORMINV(RAND(),INPUTS!$B$28,INPUTS!$B$29))))</f>
        <v>21618384.7489311</v>
      </c>
      <c r="BI94" s="89" t="n">
        <f aca="true">IF(BI$5=0,BH94,MAX(0,(BH94-BI$4)*(1+NORMINV(RAND(),INPUTS!$B$28,INPUTS!$B$29))))</f>
        <v>21618384.7489311</v>
      </c>
      <c r="BJ94" s="89" t="n">
        <f aca="true">IF(BJ$5=0,BI94,MAX(0,(BI94-BJ$4)*(1+NORMINV(RAND(),INPUTS!$B$28,INPUTS!$B$29))))</f>
        <v>21618384.7489311</v>
      </c>
    </row>
    <row r="95" customFormat="false" ht="15" hidden="false" customHeight="true" outlineLevel="0" collapsed="false">
      <c r="A95" s="87" t="n">
        <v>88</v>
      </c>
      <c r="B95" s="88" t="n">
        <f aca="false">LOOKUP(9.99E+307,C95:BJ95)</f>
        <v>8601447.20376186</v>
      </c>
      <c r="C95" s="89" t="n">
        <f aca="true">IF(C$5=0,INPUTS!$B$35,MAX(0,(INPUTS!$B$35-C$4)*(1+NORMINV(RAND(),INPUTS!$B$28,INPUTS!$B$29))))</f>
        <v>1495870.84077772</v>
      </c>
      <c r="D95" s="89" t="n">
        <f aca="true">IF(D$5=0,C95,MAX(0,(C95-D$4)*(1+NORMINV(RAND(),INPUTS!$B$28,INPUTS!$B$29))))</f>
        <v>1315744.88277456</v>
      </c>
      <c r="E95" s="89" t="n">
        <f aca="true">IF(E$5=0,D95,MAX(0,(D95-E$4)*(1+NORMINV(RAND(),INPUTS!$B$28,INPUTS!$B$29))))</f>
        <v>1502271.04316287</v>
      </c>
      <c r="F95" s="89" t="n">
        <f aca="true">IF(F$5=0,E95,MAX(0,(E95-F$4)*(1+NORMINV(RAND(),INPUTS!$B$28,INPUTS!$B$29))))</f>
        <v>1710860.46025992</v>
      </c>
      <c r="G95" s="89" t="n">
        <f aca="true">IF(G$5=0,F95,MAX(0,(F95-G$4)*(1+NORMINV(RAND(),INPUTS!$B$28,INPUTS!$B$29))))</f>
        <v>1971164.3692237</v>
      </c>
      <c r="H95" s="89" t="n">
        <f aca="true">IF(H$5=0,G95,MAX(0,(G95-H$4)*(1+NORMINV(RAND(),INPUTS!$B$28,INPUTS!$B$29))))</f>
        <v>1894208.83121526</v>
      </c>
      <c r="I95" s="89" t="n">
        <f aca="true">IF(I$5=0,H95,MAX(0,(H95-I$4)*(1+NORMINV(RAND(),INPUTS!$B$28,INPUTS!$B$29))))</f>
        <v>1847855.68364151</v>
      </c>
      <c r="J95" s="89" t="n">
        <f aca="true">IF(J$5=0,I95,MAX(0,(I95-J$4)*(1+NORMINV(RAND(),INPUTS!$B$28,INPUTS!$B$29))))</f>
        <v>2249534.22229598</v>
      </c>
      <c r="K95" s="89" t="n">
        <f aca="true">IF(K$5=0,J95,MAX(0,(J95-K$4)*(1+NORMINV(RAND(),INPUTS!$B$28,INPUTS!$B$29))))</f>
        <v>2080783.34267295</v>
      </c>
      <c r="L95" s="89" t="n">
        <f aca="true">IF(L$5=0,K95,MAX(0,(K95-L$4)*(1+NORMINV(RAND(),INPUTS!$B$28,INPUTS!$B$29))))</f>
        <v>2036091.58237459</v>
      </c>
      <c r="M95" s="89" t="n">
        <f aca="true">IF(M$5=0,L95,MAX(0,(L95-M$4)*(1+NORMINV(RAND(),INPUTS!$B$28,INPUTS!$B$29))))</f>
        <v>2304121.81755065</v>
      </c>
      <c r="N95" s="89" t="n">
        <f aca="true">IF(N$5=0,M95,MAX(0,(M95-N$4)*(1+NORMINV(RAND(),INPUTS!$B$28,INPUTS!$B$29))))</f>
        <v>2314818.32025233</v>
      </c>
      <c r="O95" s="89" t="n">
        <f aca="true">IF(O$5=0,N95,MAX(0,(N95-O$4)*(1+NORMINV(RAND(),INPUTS!$B$28,INPUTS!$B$29))))</f>
        <v>2389553.07437204</v>
      </c>
      <c r="P95" s="89" t="n">
        <f aca="true">IF(P$5=0,O95,MAX(0,(O95-P$4)*(1+NORMINV(RAND(),INPUTS!$B$28,INPUTS!$B$29))))</f>
        <v>2203150.86249081</v>
      </c>
      <c r="Q95" s="89" t="n">
        <f aca="true">IF(Q$5=0,P95,MAX(0,(P95-Q$4)*(1+NORMINV(RAND(),INPUTS!$B$28,INPUTS!$B$29))))</f>
        <v>2452253.14692343</v>
      </c>
      <c r="R95" s="89" t="n">
        <f aca="true">IF(R$5=0,Q95,MAX(0,(Q95-R$4)*(1+NORMINV(RAND(),INPUTS!$B$28,INPUTS!$B$29))))</f>
        <v>2515497.62439534</v>
      </c>
      <c r="S95" s="89" t="n">
        <f aca="true">IF(S$5=0,R95,MAX(0,(R95-S$4)*(1+NORMINV(RAND(),INPUTS!$B$28,INPUTS!$B$29))))</f>
        <v>2376333.2437684</v>
      </c>
      <c r="T95" s="89" t="n">
        <f aca="true">IF(T$5=0,S95,MAX(0,(S95-T$4)*(1+NORMINV(RAND(),INPUTS!$B$28,INPUTS!$B$29))))</f>
        <v>1962491.55427257</v>
      </c>
      <c r="U95" s="89" t="n">
        <f aca="true">IF(U$5=0,T95,MAX(0,(T95-U$4)*(1+NORMINV(RAND(),INPUTS!$B$28,INPUTS!$B$29))))</f>
        <v>2411554.48839945</v>
      </c>
      <c r="V95" s="89" t="n">
        <f aca="true">IF(V$5=0,U95,MAX(0,(U95-V$4)*(1+NORMINV(RAND(),INPUTS!$B$28,INPUTS!$B$29))))</f>
        <v>2459846.74142611</v>
      </c>
      <c r="W95" s="89" t="n">
        <f aca="true">IF(W$5=0,V95,MAX(0,(V95-W$4)*(1+NORMINV(RAND(),INPUTS!$B$28,INPUTS!$B$29))))</f>
        <v>3375654.88391535</v>
      </c>
      <c r="X95" s="89" t="n">
        <f aca="true">IF(X$5=0,W95,MAX(0,(W95-X$4)*(1+NORMINV(RAND(),INPUTS!$B$28,INPUTS!$B$29))))</f>
        <v>3313436.82452721</v>
      </c>
      <c r="Y95" s="89" t="n">
        <f aca="true">IF(Y$5=0,X95,MAX(0,(X95-Y$4)*(1+NORMINV(RAND(),INPUTS!$B$28,INPUTS!$B$29))))</f>
        <v>3449455.5958989</v>
      </c>
      <c r="Z95" s="89" t="n">
        <f aca="true">IF(Z$5=0,Y95,MAX(0,(Y95-Z$4)*(1+NORMINV(RAND(),INPUTS!$B$28,INPUTS!$B$29))))</f>
        <v>3559671.47095315</v>
      </c>
      <c r="AA95" s="89" t="n">
        <f aca="true">IF(AA$5=0,Z95,MAX(0,(Z95-AA$4)*(1+NORMINV(RAND(),INPUTS!$B$28,INPUTS!$B$29))))</f>
        <v>3868241.57312544</v>
      </c>
      <c r="AB95" s="89" t="n">
        <f aca="true">IF(AB$5=0,AA95,MAX(0,(AA95-AB$4)*(1+NORMINV(RAND(),INPUTS!$B$28,INPUTS!$B$29))))</f>
        <v>4865171.88076714</v>
      </c>
      <c r="AC95" s="89" t="n">
        <f aca="true">IF(AC$5=0,AB95,MAX(0,(AB95-AC$4)*(1+NORMINV(RAND(),INPUTS!$B$28,INPUTS!$B$29))))</f>
        <v>5556648.47863566</v>
      </c>
      <c r="AD95" s="89" t="n">
        <f aca="true">IF(AD$5=0,AC95,MAX(0,(AC95-AD$4)*(1+NORMINV(RAND(),INPUTS!$B$28,INPUTS!$B$29))))</f>
        <v>5155437.00997702</v>
      </c>
      <c r="AE95" s="89" t="n">
        <f aca="true">IF(AE$5=0,AD95,MAX(0,(AD95-AE$4)*(1+NORMINV(RAND(),INPUTS!$B$28,INPUTS!$B$29))))</f>
        <v>5403952.55645132</v>
      </c>
      <c r="AF95" s="89" t="n">
        <f aca="true">IF(AF$5=0,AE95,MAX(0,(AE95-AF$4)*(1+NORMINV(RAND(),INPUTS!$B$28,INPUTS!$B$29))))</f>
        <v>6029761.16278502</v>
      </c>
      <c r="AG95" s="89" t="n">
        <f aca="true">IF(AG$5=0,AF95,MAX(0,(AF95-AG$4)*(1+NORMINV(RAND(),INPUTS!$B$28,INPUTS!$B$29))))</f>
        <v>6344434.64335204</v>
      </c>
      <c r="AH95" s="89" t="n">
        <f aca="true">IF(AH$5=0,AG95,MAX(0,(AG95-AH$4)*(1+NORMINV(RAND(),INPUTS!$B$28,INPUTS!$B$29))))</f>
        <v>8145797.10940768</v>
      </c>
      <c r="AI95" s="89" t="n">
        <f aca="true">IF(AI$5=0,AH95,MAX(0,(AH95-AI$4)*(1+NORMINV(RAND(),INPUTS!$B$28,INPUTS!$B$29))))</f>
        <v>9906400.69023483</v>
      </c>
      <c r="AJ95" s="89" t="n">
        <f aca="true">IF(AJ$5=0,AI95,MAX(0,(AI95-AJ$4)*(1+NORMINV(RAND(),INPUTS!$B$28,INPUTS!$B$29))))</f>
        <v>10892653.8490578</v>
      </c>
      <c r="AK95" s="89" t="n">
        <f aca="true">IF(AK$5=0,AJ95,MAX(0,(AJ95-AK$4)*(1+NORMINV(RAND(),INPUTS!$B$28,INPUTS!$B$29))))</f>
        <v>10641331.9650643</v>
      </c>
      <c r="AL95" s="89" t="n">
        <f aca="true">IF(AL$5=0,AK95,MAX(0,(AK95-AL$4)*(1+NORMINV(RAND(),INPUTS!$B$28,INPUTS!$B$29))))</f>
        <v>8601447.20376186</v>
      </c>
      <c r="AM95" s="89" t="n">
        <f aca="true">IF(AM$5=0,AL95,MAX(0,(AL95-AM$4)*(1+NORMINV(RAND(),INPUTS!$B$28,INPUTS!$B$29))))</f>
        <v>8601447.20376186</v>
      </c>
      <c r="AN95" s="89" t="n">
        <f aca="true">IF(AN$5=0,AM95,MAX(0,(AM95-AN$4)*(1+NORMINV(RAND(),INPUTS!$B$28,INPUTS!$B$29))))</f>
        <v>8601447.20376186</v>
      </c>
      <c r="AO95" s="89" t="n">
        <f aca="true">IF(AO$5=0,AN95,MAX(0,(AN95-AO$4)*(1+NORMINV(RAND(),INPUTS!$B$28,INPUTS!$B$29))))</f>
        <v>8601447.20376186</v>
      </c>
      <c r="AP95" s="89" t="n">
        <f aca="true">IF(AP$5=0,AO95,MAX(0,(AO95-AP$4)*(1+NORMINV(RAND(),INPUTS!$B$28,INPUTS!$B$29))))</f>
        <v>8601447.20376186</v>
      </c>
      <c r="AQ95" s="89" t="n">
        <f aca="true">IF(AQ$5=0,AP95,MAX(0,(AP95-AQ$4)*(1+NORMINV(RAND(),INPUTS!$B$28,INPUTS!$B$29))))</f>
        <v>8601447.20376186</v>
      </c>
      <c r="AR95" s="89" t="n">
        <f aca="true">IF(AR$5=0,AQ95,MAX(0,(AQ95-AR$4)*(1+NORMINV(RAND(),INPUTS!$B$28,INPUTS!$B$29))))</f>
        <v>8601447.20376186</v>
      </c>
      <c r="AS95" s="89" t="n">
        <f aca="true">IF(AS$5=0,AR95,MAX(0,(AR95-AS$4)*(1+NORMINV(RAND(),INPUTS!$B$28,INPUTS!$B$29))))</f>
        <v>8601447.20376186</v>
      </c>
      <c r="AT95" s="89" t="n">
        <f aca="true">IF(AT$5=0,AS95,MAX(0,(AS95-AT$4)*(1+NORMINV(RAND(),INPUTS!$B$28,INPUTS!$B$29))))</f>
        <v>8601447.20376186</v>
      </c>
      <c r="AU95" s="89" t="n">
        <f aca="true">IF(AU$5=0,AT95,MAX(0,(AT95-AU$4)*(1+NORMINV(RAND(),INPUTS!$B$28,INPUTS!$B$29))))</f>
        <v>8601447.20376186</v>
      </c>
      <c r="AV95" s="89" t="n">
        <f aca="true">IF(AV$5=0,AU95,MAX(0,(AU95-AV$4)*(1+NORMINV(RAND(),INPUTS!$B$28,INPUTS!$B$29))))</f>
        <v>8601447.20376186</v>
      </c>
      <c r="AW95" s="89" t="n">
        <f aca="true">IF(AW$5=0,AV95,MAX(0,(AV95-AW$4)*(1+NORMINV(RAND(),INPUTS!$B$28,INPUTS!$B$29))))</f>
        <v>8601447.20376186</v>
      </c>
      <c r="AX95" s="89" t="n">
        <f aca="true">IF(AX$5=0,AW95,MAX(0,(AW95-AX$4)*(1+NORMINV(RAND(),INPUTS!$B$28,INPUTS!$B$29))))</f>
        <v>8601447.20376186</v>
      </c>
      <c r="AY95" s="89" t="n">
        <f aca="true">IF(AY$5=0,AX95,MAX(0,(AX95-AY$4)*(1+NORMINV(RAND(),INPUTS!$B$28,INPUTS!$B$29))))</f>
        <v>8601447.20376186</v>
      </c>
      <c r="AZ95" s="89" t="n">
        <f aca="true">IF(AZ$5=0,AY95,MAX(0,(AY95-AZ$4)*(1+NORMINV(RAND(),INPUTS!$B$28,INPUTS!$B$29))))</f>
        <v>8601447.20376186</v>
      </c>
      <c r="BA95" s="89" t="n">
        <f aca="true">IF(BA$5=0,AZ95,MAX(0,(AZ95-BA$4)*(1+NORMINV(RAND(),INPUTS!$B$28,INPUTS!$B$29))))</f>
        <v>8601447.20376186</v>
      </c>
      <c r="BB95" s="89" t="n">
        <f aca="true">IF(BB$5=0,BA95,MAX(0,(BA95-BB$4)*(1+NORMINV(RAND(),INPUTS!$B$28,INPUTS!$B$29))))</f>
        <v>8601447.20376186</v>
      </c>
      <c r="BC95" s="89" t="n">
        <f aca="true">IF(BC$5=0,BB95,MAX(0,(BB95-BC$4)*(1+NORMINV(RAND(),INPUTS!$B$28,INPUTS!$B$29))))</f>
        <v>8601447.20376186</v>
      </c>
      <c r="BD95" s="89" t="n">
        <f aca="true">IF(BD$5=0,BC95,MAX(0,(BC95-BD$4)*(1+NORMINV(RAND(),INPUTS!$B$28,INPUTS!$B$29))))</f>
        <v>8601447.20376186</v>
      </c>
      <c r="BE95" s="89" t="n">
        <f aca="true">IF(BE$5=0,BD95,MAX(0,(BD95-BE$4)*(1+NORMINV(RAND(),INPUTS!$B$28,INPUTS!$B$29))))</f>
        <v>8601447.20376186</v>
      </c>
      <c r="BF95" s="89" t="n">
        <f aca="true">IF(BF$5=0,BE95,MAX(0,(BE95-BF$4)*(1+NORMINV(RAND(),INPUTS!$B$28,INPUTS!$B$29))))</f>
        <v>8601447.20376186</v>
      </c>
      <c r="BG95" s="89" t="n">
        <f aca="true">IF(BG$5=0,BF95,MAX(0,(BF95-BG$4)*(1+NORMINV(RAND(),INPUTS!$B$28,INPUTS!$B$29))))</f>
        <v>8601447.20376186</v>
      </c>
      <c r="BH95" s="89" t="n">
        <f aca="true">IF(BH$5=0,BG95,MAX(0,(BG95-BH$4)*(1+NORMINV(RAND(),INPUTS!$B$28,INPUTS!$B$29))))</f>
        <v>8601447.20376186</v>
      </c>
      <c r="BI95" s="89" t="n">
        <f aca="true">IF(BI$5=0,BH95,MAX(0,(BH95-BI$4)*(1+NORMINV(RAND(),INPUTS!$B$28,INPUTS!$B$29))))</f>
        <v>8601447.20376186</v>
      </c>
      <c r="BJ95" s="89" t="n">
        <f aca="true">IF(BJ$5=0,BI95,MAX(0,(BI95-BJ$4)*(1+NORMINV(RAND(),INPUTS!$B$28,INPUTS!$B$29))))</f>
        <v>8601447.20376186</v>
      </c>
    </row>
    <row r="96" customFormat="false" ht="15" hidden="false" customHeight="true" outlineLevel="0" collapsed="false">
      <c r="A96" s="87" t="n">
        <v>89</v>
      </c>
      <c r="B96" s="88" t="n">
        <f aca="false">LOOKUP(9.99E+307,C96:BJ96)</f>
        <v>5025148.75655236</v>
      </c>
      <c r="C96" s="89" t="n">
        <f aca="true">IF(C$5=0,INPUTS!$B$35,MAX(0,(INPUTS!$B$35-C$4)*(1+NORMINV(RAND(),INPUTS!$B$28,INPUTS!$B$29))))</f>
        <v>1404945.44781945</v>
      </c>
      <c r="D96" s="89" t="n">
        <f aca="true">IF(D$5=0,C96,MAX(0,(C96-D$4)*(1+NORMINV(RAND(),INPUTS!$B$28,INPUTS!$B$29))))</f>
        <v>1575342.68869288</v>
      </c>
      <c r="E96" s="89" t="n">
        <f aca="true">IF(E$5=0,D96,MAX(0,(D96-E$4)*(1+NORMINV(RAND(),INPUTS!$B$28,INPUTS!$B$29))))</f>
        <v>1903716.23416652</v>
      </c>
      <c r="F96" s="89" t="n">
        <f aca="true">IF(F$5=0,E96,MAX(0,(E96-F$4)*(1+NORMINV(RAND(),INPUTS!$B$28,INPUTS!$B$29))))</f>
        <v>1713760.49808765</v>
      </c>
      <c r="G96" s="89" t="n">
        <f aca="true">IF(G$5=0,F96,MAX(0,(F96-G$4)*(1+NORMINV(RAND(),INPUTS!$B$28,INPUTS!$B$29))))</f>
        <v>1750588.65224997</v>
      </c>
      <c r="H96" s="89" t="n">
        <f aca="true">IF(H$5=0,G96,MAX(0,(G96-H$4)*(1+NORMINV(RAND(),INPUTS!$B$28,INPUTS!$B$29))))</f>
        <v>1585344.69308686</v>
      </c>
      <c r="I96" s="89" t="n">
        <f aca="true">IF(I$5=0,H96,MAX(0,(H96-I$4)*(1+NORMINV(RAND(),INPUTS!$B$28,INPUTS!$B$29))))</f>
        <v>1816179.65168693</v>
      </c>
      <c r="J96" s="89" t="n">
        <f aca="true">IF(J$5=0,I96,MAX(0,(I96-J$4)*(1+NORMINV(RAND(),INPUTS!$B$28,INPUTS!$B$29))))</f>
        <v>1929710.08669201</v>
      </c>
      <c r="K96" s="89" t="n">
        <f aca="true">IF(K$5=0,J96,MAX(0,(J96-K$4)*(1+NORMINV(RAND(),INPUTS!$B$28,INPUTS!$B$29))))</f>
        <v>2132910.66311437</v>
      </c>
      <c r="L96" s="89" t="n">
        <f aca="true">IF(L$5=0,K96,MAX(0,(K96-L$4)*(1+NORMINV(RAND(),INPUTS!$B$28,INPUTS!$B$29))))</f>
        <v>1905573.31924919</v>
      </c>
      <c r="M96" s="89" t="n">
        <f aca="true">IF(M$5=0,L96,MAX(0,(L96-M$4)*(1+NORMINV(RAND(),INPUTS!$B$28,INPUTS!$B$29))))</f>
        <v>2136722.92757117</v>
      </c>
      <c r="N96" s="89" t="n">
        <f aca="true">IF(N$5=0,M96,MAX(0,(M96-N$4)*(1+NORMINV(RAND(),INPUTS!$B$28,INPUTS!$B$29))))</f>
        <v>2218191.61044678</v>
      </c>
      <c r="O96" s="89" t="n">
        <f aca="true">IF(O$5=0,N96,MAX(0,(N96-O$4)*(1+NORMINV(RAND(),INPUTS!$B$28,INPUTS!$B$29))))</f>
        <v>2065922.52563003</v>
      </c>
      <c r="P96" s="89" t="n">
        <f aca="true">IF(P$5=0,O96,MAX(0,(O96-P$4)*(1+NORMINV(RAND(),INPUTS!$B$28,INPUTS!$B$29))))</f>
        <v>1990446.98386765</v>
      </c>
      <c r="Q96" s="89" t="n">
        <f aca="true">IF(Q$5=0,P96,MAX(0,(P96-Q$4)*(1+NORMINV(RAND(),INPUTS!$B$28,INPUTS!$B$29))))</f>
        <v>2357730.09868927</v>
      </c>
      <c r="R96" s="89" t="n">
        <f aca="true">IF(R$5=0,Q96,MAX(0,(Q96-R$4)*(1+NORMINV(RAND(),INPUTS!$B$28,INPUTS!$B$29))))</f>
        <v>2405928.89488499</v>
      </c>
      <c r="S96" s="89" t="n">
        <f aca="true">IF(S$5=0,R96,MAX(0,(R96-S$4)*(1+NORMINV(RAND(),INPUTS!$B$28,INPUTS!$B$29))))</f>
        <v>2576887.70641897</v>
      </c>
      <c r="T96" s="89" t="n">
        <f aca="true">IF(T$5=0,S96,MAX(0,(S96-T$4)*(1+NORMINV(RAND(),INPUTS!$B$28,INPUTS!$B$29))))</f>
        <v>2858649.61763622</v>
      </c>
      <c r="U96" s="89" t="n">
        <f aca="true">IF(U$5=0,T96,MAX(0,(T96-U$4)*(1+NORMINV(RAND(),INPUTS!$B$28,INPUTS!$B$29))))</f>
        <v>2789910.48013355</v>
      </c>
      <c r="V96" s="89" t="n">
        <f aca="true">IF(V$5=0,U96,MAX(0,(U96-V$4)*(1+NORMINV(RAND(),INPUTS!$B$28,INPUTS!$B$29))))</f>
        <v>2838062.84726434</v>
      </c>
      <c r="W96" s="89" t="n">
        <f aca="true">IF(W$5=0,V96,MAX(0,(V96-W$4)*(1+NORMINV(RAND(),INPUTS!$B$28,INPUTS!$B$29))))</f>
        <v>2806481.24116707</v>
      </c>
      <c r="X96" s="89" t="n">
        <f aca="true">IF(X$5=0,W96,MAX(0,(W96-X$4)*(1+NORMINV(RAND(),INPUTS!$B$28,INPUTS!$B$29))))</f>
        <v>3147010.3466565</v>
      </c>
      <c r="Y96" s="89" t="n">
        <f aca="true">IF(Y$5=0,X96,MAX(0,(X96-Y$4)*(1+NORMINV(RAND(),INPUTS!$B$28,INPUTS!$B$29))))</f>
        <v>3055173.79223861</v>
      </c>
      <c r="Z96" s="89" t="n">
        <f aca="true">IF(Z$5=0,Y96,MAX(0,(Y96-Z$4)*(1+NORMINV(RAND(),INPUTS!$B$28,INPUTS!$B$29))))</f>
        <v>3211777.36097194</v>
      </c>
      <c r="AA96" s="89" t="n">
        <f aca="true">IF(AA$5=0,Z96,MAX(0,(Z96-AA$4)*(1+NORMINV(RAND(),INPUTS!$B$28,INPUTS!$B$29))))</f>
        <v>3933893.69606673</v>
      </c>
      <c r="AB96" s="89" t="n">
        <f aca="true">IF(AB$5=0,AA96,MAX(0,(AA96-AB$4)*(1+NORMINV(RAND(),INPUTS!$B$28,INPUTS!$B$29))))</f>
        <v>3473840.52187676</v>
      </c>
      <c r="AC96" s="89" t="n">
        <f aca="true">IF(AC$5=0,AB96,MAX(0,(AB96-AC$4)*(1+NORMINV(RAND(),INPUTS!$B$28,INPUTS!$B$29))))</f>
        <v>3092530.09719108</v>
      </c>
      <c r="AD96" s="89" t="n">
        <f aca="true">IF(AD$5=0,AC96,MAX(0,(AC96-AD$4)*(1+NORMINV(RAND(),INPUTS!$B$28,INPUTS!$B$29))))</f>
        <v>3670158.8629541</v>
      </c>
      <c r="AE96" s="89" t="n">
        <f aca="true">IF(AE$5=0,AD96,MAX(0,(AD96-AE$4)*(1+NORMINV(RAND(),INPUTS!$B$28,INPUTS!$B$29))))</f>
        <v>3706589.08154574</v>
      </c>
      <c r="AF96" s="89" t="n">
        <f aca="true">IF(AF$5=0,AE96,MAX(0,(AE96-AF$4)*(1+NORMINV(RAND(),INPUTS!$B$28,INPUTS!$B$29))))</f>
        <v>4029011.46017381</v>
      </c>
      <c r="AG96" s="89" t="n">
        <f aca="true">IF(AG$5=0,AF96,MAX(0,(AF96-AG$4)*(1+NORMINV(RAND(),INPUTS!$B$28,INPUTS!$B$29))))</f>
        <v>3475495.61932932</v>
      </c>
      <c r="AH96" s="89" t="n">
        <f aca="true">IF(AH$5=0,AG96,MAX(0,(AG96-AH$4)*(1+NORMINV(RAND(),INPUTS!$B$28,INPUTS!$B$29))))</f>
        <v>3683427.22488547</v>
      </c>
      <c r="AI96" s="89" t="n">
        <f aca="true">IF(AI$5=0,AH96,MAX(0,(AH96-AI$4)*(1+NORMINV(RAND(),INPUTS!$B$28,INPUTS!$B$29))))</f>
        <v>3683455.88313633</v>
      </c>
      <c r="AJ96" s="89" t="n">
        <f aca="true">IF(AJ$5=0,AI96,MAX(0,(AI96-AJ$4)*(1+NORMINV(RAND(),INPUTS!$B$28,INPUTS!$B$29))))</f>
        <v>3803253.71446863</v>
      </c>
      <c r="AK96" s="89" t="n">
        <f aca="true">IF(AK$5=0,AJ96,MAX(0,(AJ96-AK$4)*(1+NORMINV(RAND(),INPUTS!$B$28,INPUTS!$B$29))))</f>
        <v>4259596.10877445</v>
      </c>
      <c r="AL96" s="89" t="n">
        <f aca="true">IF(AL$5=0,AK96,MAX(0,(AK96-AL$4)*(1+NORMINV(RAND(),INPUTS!$B$28,INPUTS!$B$29))))</f>
        <v>5025148.75655236</v>
      </c>
      <c r="AM96" s="89" t="n">
        <f aca="true">IF(AM$5=0,AL96,MAX(0,(AL96-AM$4)*(1+NORMINV(RAND(),INPUTS!$B$28,INPUTS!$B$29))))</f>
        <v>5025148.75655236</v>
      </c>
      <c r="AN96" s="89" t="n">
        <f aca="true">IF(AN$5=0,AM96,MAX(0,(AM96-AN$4)*(1+NORMINV(RAND(),INPUTS!$B$28,INPUTS!$B$29))))</f>
        <v>5025148.75655236</v>
      </c>
      <c r="AO96" s="89" t="n">
        <f aca="true">IF(AO$5=0,AN96,MAX(0,(AN96-AO$4)*(1+NORMINV(RAND(),INPUTS!$B$28,INPUTS!$B$29))))</f>
        <v>5025148.75655236</v>
      </c>
      <c r="AP96" s="89" t="n">
        <f aca="true">IF(AP$5=0,AO96,MAX(0,(AO96-AP$4)*(1+NORMINV(RAND(),INPUTS!$B$28,INPUTS!$B$29))))</f>
        <v>5025148.75655236</v>
      </c>
      <c r="AQ96" s="89" t="n">
        <f aca="true">IF(AQ$5=0,AP96,MAX(0,(AP96-AQ$4)*(1+NORMINV(RAND(),INPUTS!$B$28,INPUTS!$B$29))))</f>
        <v>5025148.75655236</v>
      </c>
      <c r="AR96" s="89" t="n">
        <f aca="true">IF(AR$5=0,AQ96,MAX(0,(AQ96-AR$4)*(1+NORMINV(RAND(),INPUTS!$B$28,INPUTS!$B$29))))</f>
        <v>5025148.75655236</v>
      </c>
      <c r="AS96" s="89" t="n">
        <f aca="true">IF(AS$5=0,AR96,MAX(0,(AR96-AS$4)*(1+NORMINV(RAND(),INPUTS!$B$28,INPUTS!$B$29))))</f>
        <v>5025148.75655236</v>
      </c>
      <c r="AT96" s="89" t="n">
        <f aca="true">IF(AT$5=0,AS96,MAX(0,(AS96-AT$4)*(1+NORMINV(RAND(),INPUTS!$B$28,INPUTS!$B$29))))</f>
        <v>5025148.75655236</v>
      </c>
      <c r="AU96" s="89" t="n">
        <f aca="true">IF(AU$5=0,AT96,MAX(0,(AT96-AU$4)*(1+NORMINV(RAND(),INPUTS!$B$28,INPUTS!$B$29))))</f>
        <v>5025148.75655236</v>
      </c>
      <c r="AV96" s="89" t="n">
        <f aca="true">IF(AV$5=0,AU96,MAX(0,(AU96-AV$4)*(1+NORMINV(RAND(),INPUTS!$B$28,INPUTS!$B$29))))</f>
        <v>5025148.75655236</v>
      </c>
      <c r="AW96" s="89" t="n">
        <f aca="true">IF(AW$5=0,AV96,MAX(0,(AV96-AW$4)*(1+NORMINV(RAND(),INPUTS!$B$28,INPUTS!$B$29))))</f>
        <v>5025148.75655236</v>
      </c>
      <c r="AX96" s="89" t="n">
        <f aca="true">IF(AX$5=0,AW96,MAX(0,(AW96-AX$4)*(1+NORMINV(RAND(),INPUTS!$B$28,INPUTS!$B$29))))</f>
        <v>5025148.75655236</v>
      </c>
      <c r="AY96" s="89" t="n">
        <f aca="true">IF(AY$5=0,AX96,MAX(0,(AX96-AY$4)*(1+NORMINV(RAND(),INPUTS!$B$28,INPUTS!$B$29))))</f>
        <v>5025148.75655236</v>
      </c>
      <c r="AZ96" s="89" t="n">
        <f aca="true">IF(AZ$5=0,AY96,MAX(0,(AY96-AZ$4)*(1+NORMINV(RAND(),INPUTS!$B$28,INPUTS!$B$29))))</f>
        <v>5025148.75655236</v>
      </c>
      <c r="BA96" s="89" t="n">
        <f aca="true">IF(BA$5=0,AZ96,MAX(0,(AZ96-BA$4)*(1+NORMINV(RAND(),INPUTS!$B$28,INPUTS!$B$29))))</f>
        <v>5025148.75655236</v>
      </c>
      <c r="BB96" s="89" t="n">
        <f aca="true">IF(BB$5=0,BA96,MAX(0,(BA96-BB$4)*(1+NORMINV(RAND(),INPUTS!$B$28,INPUTS!$B$29))))</f>
        <v>5025148.75655236</v>
      </c>
      <c r="BC96" s="89" t="n">
        <f aca="true">IF(BC$5=0,BB96,MAX(0,(BB96-BC$4)*(1+NORMINV(RAND(),INPUTS!$B$28,INPUTS!$B$29))))</f>
        <v>5025148.75655236</v>
      </c>
      <c r="BD96" s="89" t="n">
        <f aca="true">IF(BD$5=0,BC96,MAX(0,(BC96-BD$4)*(1+NORMINV(RAND(),INPUTS!$B$28,INPUTS!$B$29))))</f>
        <v>5025148.75655236</v>
      </c>
      <c r="BE96" s="89" t="n">
        <f aca="true">IF(BE$5=0,BD96,MAX(0,(BD96-BE$4)*(1+NORMINV(RAND(),INPUTS!$B$28,INPUTS!$B$29))))</f>
        <v>5025148.75655236</v>
      </c>
      <c r="BF96" s="89" t="n">
        <f aca="true">IF(BF$5=0,BE96,MAX(0,(BE96-BF$4)*(1+NORMINV(RAND(),INPUTS!$B$28,INPUTS!$B$29))))</f>
        <v>5025148.75655236</v>
      </c>
      <c r="BG96" s="89" t="n">
        <f aca="true">IF(BG$5=0,BF96,MAX(0,(BF96-BG$4)*(1+NORMINV(RAND(),INPUTS!$B$28,INPUTS!$B$29))))</f>
        <v>5025148.75655236</v>
      </c>
      <c r="BH96" s="89" t="n">
        <f aca="true">IF(BH$5=0,BG96,MAX(0,(BG96-BH$4)*(1+NORMINV(RAND(),INPUTS!$B$28,INPUTS!$B$29))))</f>
        <v>5025148.75655236</v>
      </c>
      <c r="BI96" s="89" t="n">
        <f aca="true">IF(BI$5=0,BH96,MAX(0,(BH96-BI$4)*(1+NORMINV(RAND(),INPUTS!$B$28,INPUTS!$B$29))))</f>
        <v>5025148.75655236</v>
      </c>
      <c r="BJ96" s="89" t="n">
        <f aca="true">IF(BJ$5=0,BI96,MAX(0,(BI96-BJ$4)*(1+NORMINV(RAND(),INPUTS!$B$28,INPUTS!$B$29))))</f>
        <v>5025148.75655236</v>
      </c>
    </row>
    <row r="97" customFormat="false" ht="15" hidden="false" customHeight="true" outlineLevel="0" collapsed="false">
      <c r="A97" s="87" t="n">
        <v>90</v>
      </c>
      <c r="B97" s="88" t="n">
        <f aca="false">LOOKUP(9.99E+307,C97:BJ97)</f>
        <v>10126664.9209588</v>
      </c>
      <c r="C97" s="89" t="n">
        <f aca="true">IF(C$5=0,INPUTS!$B$35,MAX(0,(INPUTS!$B$35-C$4)*(1+NORMINV(RAND(),INPUTS!$B$28,INPUTS!$B$29))))</f>
        <v>1362653.79919733</v>
      </c>
      <c r="D97" s="89" t="n">
        <f aca="true">IF(D$5=0,C97,MAX(0,(C97-D$4)*(1+NORMINV(RAND(),INPUTS!$B$28,INPUTS!$B$29))))</f>
        <v>1289103.1966148</v>
      </c>
      <c r="E97" s="89" t="n">
        <f aca="true">IF(E$5=0,D97,MAX(0,(D97-E$4)*(1+NORMINV(RAND(),INPUTS!$B$28,INPUTS!$B$29))))</f>
        <v>1366279.63844501</v>
      </c>
      <c r="F97" s="89" t="n">
        <f aca="true">IF(F$5=0,E97,MAX(0,(E97-F$4)*(1+NORMINV(RAND(),INPUTS!$B$28,INPUTS!$B$29))))</f>
        <v>1398292.52083031</v>
      </c>
      <c r="G97" s="89" t="n">
        <f aca="true">IF(G$5=0,F97,MAX(0,(F97-G$4)*(1+NORMINV(RAND(),INPUTS!$B$28,INPUTS!$B$29))))</f>
        <v>1540824.75862037</v>
      </c>
      <c r="H97" s="89" t="n">
        <f aca="true">IF(H$5=0,G97,MAX(0,(G97-H$4)*(1+NORMINV(RAND(),INPUTS!$B$28,INPUTS!$B$29))))</f>
        <v>1718833.11445262</v>
      </c>
      <c r="I97" s="89" t="n">
        <f aca="true">IF(I$5=0,H97,MAX(0,(H97-I$4)*(1+NORMINV(RAND(),INPUTS!$B$28,INPUTS!$B$29))))</f>
        <v>1818807.84958983</v>
      </c>
      <c r="J97" s="89" t="n">
        <f aca="true">IF(J$5=0,I97,MAX(0,(I97-J$4)*(1+NORMINV(RAND(),INPUTS!$B$28,INPUTS!$B$29))))</f>
        <v>1955719.08101883</v>
      </c>
      <c r="K97" s="89" t="n">
        <f aca="true">IF(K$5=0,J97,MAX(0,(J97-K$4)*(1+NORMINV(RAND(),INPUTS!$B$28,INPUTS!$B$29))))</f>
        <v>2198954.03417314</v>
      </c>
      <c r="L97" s="89" t="n">
        <f aca="true">IF(L$5=0,K97,MAX(0,(K97-L$4)*(1+NORMINV(RAND(),INPUTS!$B$28,INPUTS!$B$29))))</f>
        <v>2220080.95262569</v>
      </c>
      <c r="M97" s="89" t="n">
        <f aca="true">IF(M$5=0,L97,MAX(0,(L97-M$4)*(1+NORMINV(RAND(),INPUTS!$B$28,INPUTS!$B$29))))</f>
        <v>2190693.18405343</v>
      </c>
      <c r="N97" s="89" t="n">
        <f aca="true">IF(N$5=0,M97,MAX(0,(M97-N$4)*(1+NORMINV(RAND(),INPUTS!$B$28,INPUTS!$B$29))))</f>
        <v>2043954.31840653</v>
      </c>
      <c r="O97" s="89" t="n">
        <f aca="true">IF(O$5=0,N97,MAX(0,(N97-O$4)*(1+NORMINV(RAND(),INPUTS!$B$28,INPUTS!$B$29))))</f>
        <v>2315574.3581582</v>
      </c>
      <c r="P97" s="89" t="n">
        <f aca="true">IF(P$5=0,O97,MAX(0,(O97-P$4)*(1+NORMINV(RAND(),INPUTS!$B$28,INPUTS!$B$29))))</f>
        <v>2170510.98645913</v>
      </c>
      <c r="Q97" s="89" t="n">
        <f aca="true">IF(Q$5=0,P97,MAX(0,(P97-Q$4)*(1+NORMINV(RAND(),INPUTS!$B$28,INPUTS!$B$29))))</f>
        <v>2086680.15073427</v>
      </c>
      <c r="R97" s="89" t="n">
        <f aca="true">IF(R$5=0,Q97,MAX(0,(Q97-R$4)*(1+NORMINV(RAND(),INPUTS!$B$28,INPUTS!$B$29))))</f>
        <v>2000027.39803934</v>
      </c>
      <c r="S97" s="89" t="n">
        <f aca="true">IF(S$5=0,R97,MAX(0,(R97-S$4)*(1+NORMINV(RAND(),INPUTS!$B$28,INPUTS!$B$29))))</f>
        <v>1807801.80148417</v>
      </c>
      <c r="T97" s="89" t="n">
        <f aca="true">IF(T$5=0,S97,MAX(0,(S97-T$4)*(1+NORMINV(RAND(),INPUTS!$B$28,INPUTS!$B$29))))</f>
        <v>1954752.51022133</v>
      </c>
      <c r="U97" s="89" t="n">
        <f aca="true">IF(U$5=0,T97,MAX(0,(T97-U$4)*(1+NORMINV(RAND(),INPUTS!$B$28,INPUTS!$B$29))))</f>
        <v>2163700.89413873</v>
      </c>
      <c r="V97" s="89" t="n">
        <f aca="true">IF(V$5=0,U97,MAX(0,(U97-V$4)*(1+NORMINV(RAND(),INPUTS!$B$28,INPUTS!$B$29))))</f>
        <v>2364187.64975578</v>
      </c>
      <c r="W97" s="89" t="n">
        <f aca="true">IF(W$5=0,V97,MAX(0,(V97-W$4)*(1+NORMINV(RAND(),INPUTS!$B$28,INPUTS!$B$29))))</f>
        <v>2549097.07444983</v>
      </c>
      <c r="X97" s="89" t="n">
        <f aca="true">IF(X$5=0,W97,MAX(0,(W97-X$4)*(1+NORMINV(RAND(),INPUTS!$B$28,INPUTS!$B$29))))</f>
        <v>2676270.9174865</v>
      </c>
      <c r="Y97" s="89" t="n">
        <f aca="true">IF(Y$5=0,X97,MAX(0,(X97-Y$4)*(1+NORMINV(RAND(),INPUTS!$B$28,INPUTS!$B$29))))</f>
        <v>2829230.76318316</v>
      </c>
      <c r="Z97" s="89" t="n">
        <f aca="true">IF(Z$5=0,Y97,MAX(0,(Y97-Z$4)*(1+NORMINV(RAND(),INPUTS!$B$28,INPUTS!$B$29))))</f>
        <v>3105667.15361635</v>
      </c>
      <c r="AA97" s="89" t="n">
        <f aca="true">IF(AA$5=0,Z97,MAX(0,(Z97-AA$4)*(1+NORMINV(RAND(),INPUTS!$B$28,INPUTS!$B$29))))</f>
        <v>3703564.56488875</v>
      </c>
      <c r="AB97" s="89" t="n">
        <f aca="true">IF(AB$5=0,AA97,MAX(0,(AA97-AB$4)*(1+NORMINV(RAND(),INPUTS!$B$28,INPUTS!$B$29))))</f>
        <v>4077753.10184267</v>
      </c>
      <c r="AC97" s="89" t="n">
        <f aca="true">IF(AC$5=0,AB97,MAX(0,(AB97-AC$4)*(1+NORMINV(RAND(),INPUTS!$B$28,INPUTS!$B$29))))</f>
        <v>3868226.37498234</v>
      </c>
      <c r="AD97" s="89" t="n">
        <f aca="true">IF(AD$5=0,AC97,MAX(0,(AC97-AD$4)*(1+NORMINV(RAND(),INPUTS!$B$28,INPUTS!$B$29))))</f>
        <v>4625297.98974326</v>
      </c>
      <c r="AE97" s="89" t="n">
        <f aca="true">IF(AE$5=0,AD97,MAX(0,(AD97-AE$4)*(1+NORMINV(RAND(),INPUTS!$B$28,INPUTS!$B$29))))</f>
        <v>4229570.51003392</v>
      </c>
      <c r="AF97" s="89" t="n">
        <f aca="true">IF(AF$5=0,AE97,MAX(0,(AE97-AF$4)*(1+NORMINV(RAND(),INPUTS!$B$28,INPUTS!$B$29))))</f>
        <v>4423887.0729481</v>
      </c>
      <c r="AG97" s="89" t="n">
        <f aca="true">IF(AG$5=0,AF97,MAX(0,(AF97-AG$4)*(1+NORMINV(RAND(),INPUTS!$B$28,INPUTS!$B$29))))</f>
        <v>5128116.98888192</v>
      </c>
      <c r="AH97" s="89" t="n">
        <f aca="true">IF(AH$5=0,AG97,MAX(0,(AG97-AH$4)*(1+NORMINV(RAND(),INPUTS!$B$28,INPUTS!$B$29))))</f>
        <v>6621497.75083888</v>
      </c>
      <c r="AI97" s="89" t="n">
        <f aca="true">IF(AI$5=0,AH97,MAX(0,(AH97-AI$4)*(1+NORMINV(RAND(),INPUTS!$B$28,INPUTS!$B$29))))</f>
        <v>6537244.16843551</v>
      </c>
      <c r="AJ97" s="89" t="n">
        <f aca="true">IF(AJ$5=0,AI97,MAX(0,(AI97-AJ$4)*(1+NORMINV(RAND(),INPUTS!$B$28,INPUTS!$B$29))))</f>
        <v>7472788.512274</v>
      </c>
      <c r="AK97" s="89" t="n">
        <f aca="true">IF(AK$5=0,AJ97,MAX(0,(AJ97-AK$4)*(1+NORMINV(RAND(),INPUTS!$B$28,INPUTS!$B$29))))</f>
        <v>8785953.42843448</v>
      </c>
      <c r="AL97" s="89" t="n">
        <f aca="true">IF(AL$5=0,AK97,MAX(0,(AK97-AL$4)*(1+NORMINV(RAND(),INPUTS!$B$28,INPUTS!$B$29))))</f>
        <v>10126664.9209588</v>
      </c>
      <c r="AM97" s="89" t="n">
        <f aca="true">IF(AM$5=0,AL97,MAX(0,(AL97-AM$4)*(1+NORMINV(RAND(),INPUTS!$B$28,INPUTS!$B$29))))</f>
        <v>10126664.9209588</v>
      </c>
      <c r="AN97" s="89" t="n">
        <f aca="true">IF(AN$5=0,AM97,MAX(0,(AM97-AN$4)*(1+NORMINV(RAND(),INPUTS!$B$28,INPUTS!$B$29))))</f>
        <v>10126664.9209588</v>
      </c>
      <c r="AO97" s="89" t="n">
        <f aca="true">IF(AO$5=0,AN97,MAX(0,(AN97-AO$4)*(1+NORMINV(RAND(),INPUTS!$B$28,INPUTS!$B$29))))</f>
        <v>10126664.9209588</v>
      </c>
      <c r="AP97" s="89" t="n">
        <f aca="true">IF(AP$5=0,AO97,MAX(0,(AO97-AP$4)*(1+NORMINV(RAND(),INPUTS!$B$28,INPUTS!$B$29))))</f>
        <v>10126664.9209588</v>
      </c>
      <c r="AQ97" s="89" t="n">
        <f aca="true">IF(AQ$5=0,AP97,MAX(0,(AP97-AQ$4)*(1+NORMINV(RAND(),INPUTS!$B$28,INPUTS!$B$29))))</f>
        <v>10126664.9209588</v>
      </c>
      <c r="AR97" s="89" t="n">
        <f aca="true">IF(AR$5=0,AQ97,MAX(0,(AQ97-AR$4)*(1+NORMINV(RAND(),INPUTS!$B$28,INPUTS!$B$29))))</f>
        <v>10126664.9209588</v>
      </c>
      <c r="AS97" s="89" t="n">
        <f aca="true">IF(AS$5=0,AR97,MAX(0,(AR97-AS$4)*(1+NORMINV(RAND(),INPUTS!$B$28,INPUTS!$B$29))))</f>
        <v>10126664.9209588</v>
      </c>
      <c r="AT97" s="89" t="n">
        <f aca="true">IF(AT$5=0,AS97,MAX(0,(AS97-AT$4)*(1+NORMINV(RAND(),INPUTS!$B$28,INPUTS!$B$29))))</f>
        <v>10126664.9209588</v>
      </c>
      <c r="AU97" s="89" t="n">
        <f aca="true">IF(AU$5=0,AT97,MAX(0,(AT97-AU$4)*(1+NORMINV(RAND(),INPUTS!$B$28,INPUTS!$B$29))))</f>
        <v>10126664.9209588</v>
      </c>
      <c r="AV97" s="89" t="n">
        <f aca="true">IF(AV$5=0,AU97,MAX(0,(AU97-AV$4)*(1+NORMINV(RAND(),INPUTS!$B$28,INPUTS!$B$29))))</f>
        <v>10126664.9209588</v>
      </c>
      <c r="AW97" s="89" t="n">
        <f aca="true">IF(AW$5=0,AV97,MAX(0,(AV97-AW$4)*(1+NORMINV(RAND(),INPUTS!$B$28,INPUTS!$B$29))))</f>
        <v>10126664.9209588</v>
      </c>
      <c r="AX97" s="89" t="n">
        <f aca="true">IF(AX$5=0,AW97,MAX(0,(AW97-AX$4)*(1+NORMINV(RAND(),INPUTS!$B$28,INPUTS!$B$29))))</f>
        <v>10126664.9209588</v>
      </c>
      <c r="AY97" s="89" t="n">
        <f aca="true">IF(AY$5=0,AX97,MAX(0,(AX97-AY$4)*(1+NORMINV(RAND(),INPUTS!$B$28,INPUTS!$B$29))))</f>
        <v>10126664.9209588</v>
      </c>
      <c r="AZ97" s="89" t="n">
        <f aca="true">IF(AZ$5=0,AY97,MAX(0,(AY97-AZ$4)*(1+NORMINV(RAND(),INPUTS!$B$28,INPUTS!$B$29))))</f>
        <v>10126664.9209588</v>
      </c>
      <c r="BA97" s="89" t="n">
        <f aca="true">IF(BA$5=0,AZ97,MAX(0,(AZ97-BA$4)*(1+NORMINV(RAND(),INPUTS!$B$28,INPUTS!$B$29))))</f>
        <v>10126664.9209588</v>
      </c>
      <c r="BB97" s="89" t="n">
        <f aca="true">IF(BB$5=0,BA97,MAX(0,(BA97-BB$4)*(1+NORMINV(RAND(),INPUTS!$B$28,INPUTS!$B$29))))</f>
        <v>10126664.9209588</v>
      </c>
      <c r="BC97" s="89" t="n">
        <f aca="true">IF(BC$5=0,BB97,MAX(0,(BB97-BC$4)*(1+NORMINV(RAND(),INPUTS!$B$28,INPUTS!$B$29))))</f>
        <v>10126664.9209588</v>
      </c>
      <c r="BD97" s="89" t="n">
        <f aca="true">IF(BD$5=0,BC97,MAX(0,(BC97-BD$4)*(1+NORMINV(RAND(),INPUTS!$B$28,INPUTS!$B$29))))</f>
        <v>10126664.9209588</v>
      </c>
      <c r="BE97" s="89" t="n">
        <f aca="true">IF(BE$5=0,BD97,MAX(0,(BD97-BE$4)*(1+NORMINV(RAND(),INPUTS!$B$28,INPUTS!$B$29))))</f>
        <v>10126664.9209588</v>
      </c>
      <c r="BF97" s="89" t="n">
        <f aca="true">IF(BF$5=0,BE97,MAX(0,(BE97-BF$4)*(1+NORMINV(RAND(),INPUTS!$B$28,INPUTS!$B$29))))</f>
        <v>10126664.9209588</v>
      </c>
      <c r="BG97" s="89" t="n">
        <f aca="true">IF(BG$5=0,BF97,MAX(0,(BF97-BG$4)*(1+NORMINV(RAND(),INPUTS!$B$28,INPUTS!$B$29))))</f>
        <v>10126664.9209588</v>
      </c>
      <c r="BH97" s="89" t="n">
        <f aca="true">IF(BH$5=0,BG97,MAX(0,(BG97-BH$4)*(1+NORMINV(RAND(),INPUTS!$B$28,INPUTS!$B$29))))</f>
        <v>10126664.9209588</v>
      </c>
      <c r="BI97" s="89" t="n">
        <f aca="true">IF(BI$5=0,BH97,MAX(0,(BH97-BI$4)*(1+NORMINV(RAND(),INPUTS!$B$28,INPUTS!$B$29))))</f>
        <v>10126664.9209588</v>
      </c>
      <c r="BJ97" s="89" t="n">
        <f aca="true">IF(BJ$5=0,BI97,MAX(0,(BI97-BJ$4)*(1+NORMINV(RAND(),INPUTS!$B$28,INPUTS!$B$29))))</f>
        <v>10126664.9209588</v>
      </c>
    </row>
    <row r="98" customFormat="false" ht="15" hidden="false" customHeight="true" outlineLevel="0" collapsed="false">
      <c r="A98" s="87" t="n">
        <v>91</v>
      </c>
      <c r="B98" s="88" t="n">
        <f aca="false">LOOKUP(9.99E+307,C98:BJ98)</f>
        <v>1916228.30881927</v>
      </c>
      <c r="C98" s="89" t="n">
        <f aca="true">IF(C$5=0,INPUTS!$B$35,MAX(0,(INPUTS!$B$35-C$4)*(1+NORMINV(RAND(),INPUTS!$B$28,INPUTS!$B$29))))</f>
        <v>1371440.92369232</v>
      </c>
      <c r="D98" s="89" t="n">
        <f aca="true">IF(D$5=0,C98,MAX(0,(C98-D$4)*(1+NORMINV(RAND(),INPUTS!$B$28,INPUTS!$B$29))))</f>
        <v>1447313.28495346</v>
      </c>
      <c r="E98" s="89" t="n">
        <f aca="true">IF(E$5=0,D98,MAX(0,(D98-E$4)*(1+NORMINV(RAND(),INPUTS!$B$28,INPUTS!$B$29))))</f>
        <v>1560154.73904715</v>
      </c>
      <c r="F98" s="89" t="n">
        <f aca="true">IF(F$5=0,E98,MAX(0,(E98-F$4)*(1+NORMINV(RAND(),INPUTS!$B$28,INPUTS!$B$29))))</f>
        <v>1756155.3186408</v>
      </c>
      <c r="G98" s="89" t="n">
        <f aca="true">IF(G$5=0,F98,MAX(0,(F98-G$4)*(1+NORMINV(RAND(),INPUTS!$B$28,INPUTS!$B$29))))</f>
        <v>1773826.61761335</v>
      </c>
      <c r="H98" s="89" t="n">
        <f aca="true">IF(H$5=0,G98,MAX(0,(G98-H$4)*(1+NORMINV(RAND(),INPUTS!$B$28,INPUTS!$B$29))))</f>
        <v>1897679.73582517</v>
      </c>
      <c r="I98" s="89" t="n">
        <f aca="true">IF(I$5=0,H98,MAX(0,(H98-I$4)*(1+NORMINV(RAND(),INPUTS!$B$28,INPUTS!$B$29))))</f>
        <v>1774577.24038613</v>
      </c>
      <c r="J98" s="89" t="n">
        <f aca="true">IF(J$5=0,I98,MAX(0,(I98-J$4)*(1+NORMINV(RAND(),INPUTS!$B$28,INPUTS!$B$29))))</f>
        <v>1575622.66647747</v>
      </c>
      <c r="K98" s="89" t="n">
        <f aca="true">IF(K$5=0,J98,MAX(0,(J98-K$4)*(1+NORMINV(RAND(),INPUTS!$B$28,INPUTS!$B$29))))</f>
        <v>1416137.2621508</v>
      </c>
      <c r="L98" s="89" t="n">
        <f aca="true">IF(L$5=0,K98,MAX(0,(K98-L$4)*(1+NORMINV(RAND(),INPUTS!$B$28,INPUTS!$B$29))))</f>
        <v>1413163.91417788</v>
      </c>
      <c r="M98" s="89" t="n">
        <f aca="true">IF(M$5=0,L98,MAX(0,(L98-M$4)*(1+NORMINV(RAND(),INPUTS!$B$28,INPUTS!$B$29))))</f>
        <v>1261845.4107251</v>
      </c>
      <c r="N98" s="89" t="n">
        <f aca="true">IF(N$5=0,M98,MAX(0,(M98-N$4)*(1+NORMINV(RAND(),INPUTS!$B$28,INPUTS!$B$29))))</f>
        <v>1495998.41724852</v>
      </c>
      <c r="O98" s="89" t="n">
        <f aca="true">IF(O$5=0,N98,MAX(0,(N98-O$4)*(1+NORMINV(RAND(),INPUTS!$B$28,INPUTS!$B$29))))</f>
        <v>1460860.81245834</v>
      </c>
      <c r="P98" s="89" t="n">
        <f aca="true">IF(P$5=0,O98,MAX(0,(O98-P$4)*(1+NORMINV(RAND(),INPUTS!$B$28,INPUTS!$B$29))))</f>
        <v>1419271.111</v>
      </c>
      <c r="Q98" s="89" t="n">
        <f aca="true">IF(Q$5=0,P98,MAX(0,(P98-Q$4)*(1+NORMINV(RAND(),INPUTS!$B$28,INPUTS!$B$29))))</f>
        <v>1228583.16988696</v>
      </c>
      <c r="R98" s="89" t="n">
        <f aca="true">IF(R$5=0,Q98,MAX(0,(Q98-R$4)*(1+NORMINV(RAND(),INPUTS!$B$28,INPUTS!$B$29))))</f>
        <v>1073711.34568274</v>
      </c>
      <c r="S98" s="89" t="n">
        <f aca="true">IF(S$5=0,R98,MAX(0,(R98-S$4)*(1+NORMINV(RAND(),INPUTS!$B$28,INPUTS!$B$29))))</f>
        <v>1065826.16002169</v>
      </c>
      <c r="T98" s="89" t="n">
        <f aca="true">IF(T$5=0,S98,MAX(0,(S98-T$4)*(1+NORMINV(RAND(),INPUTS!$B$28,INPUTS!$B$29))))</f>
        <v>1223558.71095933</v>
      </c>
      <c r="U98" s="89" t="n">
        <f aca="true">IF(U$5=0,T98,MAX(0,(T98-U$4)*(1+NORMINV(RAND(),INPUTS!$B$28,INPUTS!$B$29))))</f>
        <v>1607863.30204184</v>
      </c>
      <c r="V98" s="89" t="n">
        <f aca="true">IF(V$5=0,U98,MAX(0,(U98-V$4)*(1+NORMINV(RAND(),INPUTS!$B$28,INPUTS!$B$29))))</f>
        <v>1717594.37960831</v>
      </c>
      <c r="W98" s="89" t="n">
        <f aca="true">IF(W$5=0,V98,MAX(0,(V98-W$4)*(1+NORMINV(RAND(),INPUTS!$B$28,INPUTS!$B$29))))</f>
        <v>1576345.13346725</v>
      </c>
      <c r="X98" s="89" t="n">
        <f aca="true">IF(X$5=0,W98,MAX(0,(W98-X$4)*(1+NORMINV(RAND(),INPUTS!$B$28,INPUTS!$B$29))))</f>
        <v>1752795.70079775</v>
      </c>
      <c r="Y98" s="89" t="n">
        <f aca="true">IF(Y$5=0,X98,MAX(0,(X98-Y$4)*(1+NORMINV(RAND(),INPUTS!$B$28,INPUTS!$B$29))))</f>
        <v>1619139.60701719</v>
      </c>
      <c r="Z98" s="89" t="n">
        <f aca="true">IF(Z$5=0,Y98,MAX(0,(Y98-Z$4)*(1+NORMINV(RAND(),INPUTS!$B$28,INPUTS!$B$29))))</f>
        <v>1575234.43073426</v>
      </c>
      <c r="AA98" s="89" t="n">
        <f aca="true">IF(AA$5=0,Z98,MAX(0,(Z98-AA$4)*(1+NORMINV(RAND(),INPUTS!$B$28,INPUTS!$B$29))))</f>
        <v>1691740.76782204</v>
      </c>
      <c r="AB98" s="89" t="n">
        <f aca="true">IF(AB$5=0,AA98,MAX(0,(AA98-AB$4)*(1+NORMINV(RAND(),INPUTS!$B$28,INPUTS!$B$29))))</f>
        <v>1456973.57119215</v>
      </c>
      <c r="AC98" s="89" t="n">
        <f aca="true">IF(AC$5=0,AB98,MAX(0,(AB98-AC$4)*(1+NORMINV(RAND(),INPUTS!$B$28,INPUTS!$B$29))))</f>
        <v>1560047.43369873</v>
      </c>
      <c r="AD98" s="89" t="n">
        <f aca="true">IF(AD$5=0,AC98,MAX(0,(AC98-AD$4)*(1+NORMINV(RAND(),INPUTS!$B$28,INPUTS!$B$29))))</f>
        <v>1695271.84251022</v>
      </c>
      <c r="AE98" s="89" t="n">
        <f aca="true">IF(AE$5=0,AD98,MAX(0,(AD98-AE$4)*(1+NORMINV(RAND(),INPUTS!$B$28,INPUTS!$B$29))))</f>
        <v>1855510.14299419</v>
      </c>
      <c r="AF98" s="89" t="n">
        <f aca="true">IF(AF$5=0,AE98,MAX(0,(AE98-AF$4)*(1+NORMINV(RAND(),INPUTS!$B$28,INPUTS!$B$29))))</f>
        <v>2041586.30835866</v>
      </c>
      <c r="AG98" s="89" t="n">
        <f aca="true">IF(AG$5=0,AF98,MAX(0,(AF98-AG$4)*(1+NORMINV(RAND(),INPUTS!$B$28,INPUTS!$B$29))))</f>
        <v>1894690.41709484</v>
      </c>
      <c r="AH98" s="89" t="n">
        <f aca="true">IF(AH$5=0,AG98,MAX(0,(AG98-AH$4)*(1+NORMINV(RAND(),INPUTS!$B$28,INPUTS!$B$29))))</f>
        <v>1917908.64698687</v>
      </c>
      <c r="AI98" s="89" t="n">
        <f aca="true">IF(AI$5=0,AH98,MAX(0,(AH98-AI$4)*(1+NORMINV(RAND(),INPUTS!$B$28,INPUTS!$B$29))))</f>
        <v>2267583.53633516</v>
      </c>
      <c r="AJ98" s="89" t="n">
        <f aca="true">IF(AJ$5=0,AI98,MAX(0,(AI98-AJ$4)*(1+NORMINV(RAND(),INPUTS!$B$28,INPUTS!$B$29))))</f>
        <v>2264403.72845918</v>
      </c>
      <c r="AK98" s="89" t="n">
        <f aca="true">IF(AK$5=0,AJ98,MAX(0,(AJ98-AK$4)*(1+NORMINV(RAND(),INPUTS!$B$28,INPUTS!$B$29))))</f>
        <v>2034388.98350667</v>
      </c>
      <c r="AL98" s="89" t="n">
        <f aca="true">IF(AL$5=0,AK98,MAX(0,(AK98-AL$4)*(1+NORMINV(RAND(),INPUTS!$B$28,INPUTS!$B$29))))</f>
        <v>1916228.30881927</v>
      </c>
      <c r="AM98" s="89" t="n">
        <f aca="true">IF(AM$5=0,AL98,MAX(0,(AL98-AM$4)*(1+NORMINV(RAND(),INPUTS!$B$28,INPUTS!$B$29))))</f>
        <v>1916228.30881927</v>
      </c>
      <c r="AN98" s="89" t="n">
        <f aca="true">IF(AN$5=0,AM98,MAX(0,(AM98-AN$4)*(1+NORMINV(RAND(),INPUTS!$B$28,INPUTS!$B$29))))</f>
        <v>1916228.30881927</v>
      </c>
      <c r="AO98" s="89" t="n">
        <f aca="true">IF(AO$5=0,AN98,MAX(0,(AN98-AO$4)*(1+NORMINV(RAND(),INPUTS!$B$28,INPUTS!$B$29))))</f>
        <v>1916228.30881927</v>
      </c>
      <c r="AP98" s="89" t="n">
        <f aca="true">IF(AP$5=0,AO98,MAX(0,(AO98-AP$4)*(1+NORMINV(RAND(),INPUTS!$B$28,INPUTS!$B$29))))</f>
        <v>1916228.30881927</v>
      </c>
      <c r="AQ98" s="89" t="n">
        <f aca="true">IF(AQ$5=0,AP98,MAX(0,(AP98-AQ$4)*(1+NORMINV(RAND(),INPUTS!$B$28,INPUTS!$B$29))))</f>
        <v>1916228.30881927</v>
      </c>
      <c r="AR98" s="89" t="n">
        <f aca="true">IF(AR$5=0,AQ98,MAX(0,(AQ98-AR$4)*(1+NORMINV(RAND(),INPUTS!$B$28,INPUTS!$B$29))))</f>
        <v>1916228.30881927</v>
      </c>
      <c r="AS98" s="89" t="n">
        <f aca="true">IF(AS$5=0,AR98,MAX(0,(AR98-AS$4)*(1+NORMINV(RAND(),INPUTS!$B$28,INPUTS!$B$29))))</f>
        <v>1916228.30881927</v>
      </c>
      <c r="AT98" s="89" t="n">
        <f aca="true">IF(AT$5=0,AS98,MAX(0,(AS98-AT$4)*(1+NORMINV(RAND(),INPUTS!$B$28,INPUTS!$B$29))))</f>
        <v>1916228.30881927</v>
      </c>
      <c r="AU98" s="89" t="n">
        <f aca="true">IF(AU$5=0,AT98,MAX(0,(AT98-AU$4)*(1+NORMINV(RAND(),INPUTS!$B$28,INPUTS!$B$29))))</f>
        <v>1916228.30881927</v>
      </c>
      <c r="AV98" s="89" t="n">
        <f aca="true">IF(AV$5=0,AU98,MAX(0,(AU98-AV$4)*(1+NORMINV(RAND(),INPUTS!$B$28,INPUTS!$B$29))))</f>
        <v>1916228.30881927</v>
      </c>
      <c r="AW98" s="89" t="n">
        <f aca="true">IF(AW$5=0,AV98,MAX(0,(AV98-AW$4)*(1+NORMINV(RAND(),INPUTS!$B$28,INPUTS!$B$29))))</f>
        <v>1916228.30881927</v>
      </c>
      <c r="AX98" s="89" t="n">
        <f aca="true">IF(AX$5=0,AW98,MAX(0,(AW98-AX$4)*(1+NORMINV(RAND(),INPUTS!$B$28,INPUTS!$B$29))))</f>
        <v>1916228.30881927</v>
      </c>
      <c r="AY98" s="89" t="n">
        <f aca="true">IF(AY$5=0,AX98,MAX(0,(AX98-AY$4)*(1+NORMINV(RAND(),INPUTS!$B$28,INPUTS!$B$29))))</f>
        <v>1916228.30881927</v>
      </c>
      <c r="AZ98" s="89" t="n">
        <f aca="true">IF(AZ$5=0,AY98,MAX(0,(AY98-AZ$4)*(1+NORMINV(RAND(),INPUTS!$B$28,INPUTS!$B$29))))</f>
        <v>1916228.30881927</v>
      </c>
      <c r="BA98" s="89" t="n">
        <f aca="true">IF(BA$5=0,AZ98,MAX(0,(AZ98-BA$4)*(1+NORMINV(RAND(),INPUTS!$B$28,INPUTS!$B$29))))</f>
        <v>1916228.30881927</v>
      </c>
      <c r="BB98" s="89" t="n">
        <f aca="true">IF(BB$5=0,BA98,MAX(0,(BA98-BB$4)*(1+NORMINV(RAND(),INPUTS!$B$28,INPUTS!$B$29))))</f>
        <v>1916228.30881927</v>
      </c>
      <c r="BC98" s="89" t="n">
        <f aca="true">IF(BC$5=0,BB98,MAX(0,(BB98-BC$4)*(1+NORMINV(RAND(),INPUTS!$B$28,INPUTS!$B$29))))</f>
        <v>1916228.30881927</v>
      </c>
      <c r="BD98" s="89" t="n">
        <f aca="true">IF(BD$5=0,BC98,MAX(0,(BC98-BD$4)*(1+NORMINV(RAND(),INPUTS!$B$28,INPUTS!$B$29))))</f>
        <v>1916228.30881927</v>
      </c>
      <c r="BE98" s="89" t="n">
        <f aca="true">IF(BE$5=0,BD98,MAX(0,(BD98-BE$4)*(1+NORMINV(RAND(),INPUTS!$B$28,INPUTS!$B$29))))</f>
        <v>1916228.30881927</v>
      </c>
      <c r="BF98" s="89" t="n">
        <f aca="true">IF(BF$5=0,BE98,MAX(0,(BE98-BF$4)*(1+NORMINV(RAND(),INPUTS!$B$28,INPUTS!$B$29))))</f>
        <v>1916228.30881927</v>
      </c>
      <c r="BG98" s="89" t="n">
        <f aca="true">IF(BG$5=0,BF98,MAX(0,(BF98-BG$4)*(1+NORMINV(RAND(),INPUTS!$B$28,INPUTS!$B$29))))</f>
        <v>1916228.30881927</v>
      </c>
      <c r="BH98" s="89" t="n">
        <f aca="true">IF(BH$5=0,BG98,MAX(0,(BG98-BH$4)*(1+NORMINV(RAND(),INPUTS!$B$28,INPUTS!$B$29))))</f>
        <v>1916228.30881927</v>
      </c>
      <c r="BI98" s="89" t="n">
        <f aca="true">IF(BI$5=0,BH98,MAX(0,(BH98-BI$4)*(1+NORMINV(RAND(),INPUTS!$B$28,INPUTS!$B$29))))</f>
        <v>1916228.30881927</v>
      </c>
      <c r="BJ98" s="89" t="n">
        <f aca="true">IF(BJ$5=0,BI98,MAX(0,(BI98-BJ$4)*(1+NORMINV(RAND(),INPUTS!$B$28,INPUTS!$B$29))))</f>
        <v>1916228.30881927</v>
      </c>
    </row>
    <row r="99" customFormat="false" ht="15" hidden="false" customHeight="true" outlineLevel="0" collapsed="false">
      <c r="A99" s="87" t="n">
        <v>92</v>
      </c>
      <c r="B99" s="88" t="n">
        <f aca="false">LOOKUP(9.99E+307,C99:BJ99)</f>
        <v>3125284.49820173</v>
      </c>
      <c r="C99" s="89" t="n">
        <f aca="true">IF(C$5=0,INPUTS!$B$35,MAX(0,(INPUTS!$B$35-C$4)*(1+NORMINV(RAND(),INPUTS!$B$28,INPUTS!$B$29))))</f>
        <v>1565815.41540272</v>
      </c>
      <c r="D99" s="89" t="n">
        <f aca="true">IF(D$5=0,C99,MAX(0,(C99-D$4)*(1+NORMINV(RAND(),INPUTS!$B$28,INPUTS!$B$29))))</f>
        <v>1419351.57015264</v>
      </c>
      <c r="E99" s="89" t="n">
        <f aca="true">IF(E$5=0,D99,MAX(0,(D99-E$4)*(1+NORMINV(RAND(),INPUTS!$B$28,INPUTS!$B$29))))</f>
        <v>1636521.05947731</v>
      </c>
      <c r="F99" s="89" t="n">
        <f aca="true">IF(F$5=0,E99,MAX(0,(E99-F$4)*(1+NORMINV(RAND(),INPUTS!$B$28,INPUTS!$B$29))))</f>
        <v>1686635.91000911</v>
      </c>
      <c r="G99" s="89" t="n">
        <f aca="true">IF(G$5=0,F99,MAX(0,(F99-G$4)*(1+NORMINV(RAND(),INPUTS!$B$28,INPUTS!$B$29))))</f>
        <v>1813868.76671866</v>
      </c>
      <c r="H99" s="89" t="n">
        <f aca="true">IF(H$5=0,G99,MAX(0,(G99-H$4)*(1+NORMINV(RAND(),INPUTS!$B$28,INPUTS!$B$29))))</f>
        <v>2053846.89455892</v>
      </c>
      <c r="I99" s="89" t="n">
        <f aca="true">IF(I$5=0,H99,MAX(0,(H99-I$4)*(1+NORMINV(RAND(),INPUTS!$B$28,INPUTS!$B$29))))</f>
        <v>2029618.26467505</v>
      </c>
      <c r="J99" s="89" t="n">
        <f aca="true">IF(J$5=0,I99,MAX(0,(I99-J$4)*(1+NORMINV(RAND(),INPUTS!$B$28,INPUTS!$B$29))))</f>
        <v>1866557.46472128</v>
      </c>
      <c r="K99" s="89" t="n">
        <f aca="true">IF(K$5=0,J99,MAX(0,(J99-K$4)*(1+NORMINV(RAND(),INPUTS!$B$28,INPUTS!$B$29))))</f>
        <v>1619688.62433376</v>
      </c>
      <c r="L99" s="89" t="n">
        <f aca="true">IF(L$5=0,K99,MAX(0,(K99-L$4)*(1+NORMINV(RAND(),INPUTS!$B$28,INPUTS!$B$29))))</f>
        <v>1709092.31492089</v>
      </c>
      <c r="M99" s="89" t="n">
        <f aca="true">IF(M$5=0,L99,MAX(0,(L99-M$4)*(1+NORMINV(RAND(),INPUTS!$B$28,INPUTS!$B$29))))</f>
        <v>1491746.56529726</v>
      </c>
      <c r="N99" s="89" t="n">
        <f aca="true">IF(N$5=0,M99,MAX(0,(M99-N$4)*(1+NORMINV(RAND(),INPUTS!$B$28,INPUTS!$B$29))))</f>
        <v>1562448.80933897</v>
      </c>
      <c r="O99" s="89" t="n">
        <f aca="true">IF(O$5=0,N99,MAX(0,(N99-O$4)*(1+NORMINV(RAND(),INPUTS!$B$28,INPUTS!$B$29))))</f>
        <v>1650378.26974932</v>
      </c>
      <c r="P99" s="89" t="n">
        <f aca="true">IF(P$5=0,O99,MAX(0,(O99-P$4)*(1+NORMINV(RAND(),INPUTS!$B$28,INPUTS!$B$29))))</f>
        <v>1648297.33083595</v>
      </c>
      <c r="Q99" s="89" t="n">
        <f aca="true">IF(Q$5=0,P99,MAX(0,(P99-Q$4)*(1+NORMINV(RAND(),INPUTS!$B$28,INPUTS!$B$29))))</f>
        <v>1495252.20541867</v>
      </c>
      <c r="R99" s="89" t="n">
        <f aca="true">IF(R$5=0,Q99,MAX(0,(Q99-R$4)*(1+NORMINV(RAND(),INPUTS!$B$28,INPUTS!$B$29))))</f>
        <v>1481312.84350764</v>
      </c>
      <c r="S99" s="89" t="n">
        <f aca="true">IF(S$5=0,R99,MAX(0,(R99-S$4)*(1+NORMINV(RAND(),INPUTS!$B$28,INPUTS!$B$29))))</f>
        <v>1900738.69052235</v>
      </c>
      <c r="T99" s="89" t="n">
        <f aca="true">IF(T$5=0,S99,MAX(0,(S99-T$4)*(1+NORMINV(RAND(),INPUTS!$B$28,INPUTS!$B$29))))</f>
        <v>1516268.85665228</v>
      </c>
      <c r="U99" s="89" t="n">
        <f aca="true">IF(U$5=0,T99,MAX(0,(T99-U$4)*(1+NORMINV(RAND(),INPUTS!$B$28,INPUTS!$B$29))))</f>
        <v>1759343.04624461</v>
      </c>
      <c r="V99" s="89" t="n">
        <f aca="true">IF(V$5=0,U99,MAX(0,(U99-V$4)*(1+NORMINV(RAND(),INPUTS!$B$28,INPUTS!$B$29))))</f>
        <v>1801110.18473162</v>
      </c>
      <c r="W99" s="89" t="n">
        <f aca="true">IF(W$5=0,V99,MAX(0,(V99-W$4)*(1+NORMINV(RAND(),INPUTS!$B$28,INPUTS!$B$29))))</f>
        <v>1750341.87801222</v>
      </c>
      <c r="X99" s="89" t="n">
        <f aca="true">IF(X$5=0,W99,MAX(0,(W99-X$4)*(1+NORMINV(RAND(),INPUTS!$B$28,INPUTS!$B$29))))</f>
        <v>1967232.84113142</v>
      </c>
      <c r="Y99" s="89" t="n">
        <f aca="true">IF(Y$5=0,X99,MAX(0,(X99-Y$4)*(1+NORMINV(RAND(),INPUTS!$B$28,INPUTS!$B$29))))</f>
        <v>2019096.46709782</v>
      </c>
      <c r="Z99" s="89" t="n">
        <f aca="true">IF(Z$5=0,Y99,MAX(0,(Y99-Z$4)*(1+NORMINV(RAND(),INPUTS!$B$28,INPUTS!$B$29))))</f>
        <v>2526753.23765299</v>
      </c>
      <c r="AA99" s="89" t="n">
        <f aca="true">IF(AA$5=0,Z99,MAX(0,(Z99-AA$4)*(1+NORMINV(RAND(),INPUTS!$B$28,INPUTS!$B$29))))</f>
        <v>2538064.65503526</v>
      </c>
      <c r="AB99" s="89" t="n">
        <f aca="true">IF(AB$5=0,AA99,MAX(0,(AA99-AB$4)*(1+NORMINV(RAND(),INPUTS!$B$28,INPUTS!$B$29))))</f>
        <v>3147532.46567805</v>
      </c>
      <c r="AC99" s="89" t="n">
        <f aca="true">IF(AC$5=0,AB99,MAX(0,(AB99-AC$4)*(1+NORMINV(RAND(),INPUTS!$B$28,INPUTS!$B$29))))</f>
        <v>3282587.54471741</v>
      </c>
      <c r="AD99" s="89" t="n">
        <f aca="true">IF(AD$5=0,AC99,MAX(0,(AC99-AD$4)*(1+NORMINV(RAND(),INPUTS!$B$28,INPUTS!$B$29))))</f>
        <v>4188650.85910694</v>
      </c>
      <c r="AE99" s="89" t="n">
        <f aca="true">IF(AE$5=0,AD99,MAX(0,(AD99-AE$4)*(1+NORMINV(RAND(),INPUTS!$B$28,INPUTS!$B$29))))</f>
        <v>3820206.31564124</v>
      </c>
      <c r="AF99" s="89" t="n">
        <f aca="true">IF(AF$5=0,AE99,MAX(0,(AE99-AF$4)*(1+NORMINV(RAND(),INPUTS!$B$28,INPUTS!$B$29))))</f>
        <v>3919223.28377666</v>
      </c>
      <c r="AG99" s="89" t="n">
        <f aca="true">IF(AG$5=0,AF99,MAX(0,(AF99-AG$4)*(1+NORMINV(RAND(),INPUTS!$B$28,INPUTS!$B$29))))</f>
        <v>3804859.21170282</v>
      </c>
      <c r="AH99" s="89" t="n">
        <f aca="true">IF(AH$5=0,AG99,MAX(0,(AG99-AH$4)*(1+NORMINV(RAND(),INPUTS!$B$28,INPUTS!$B$29))))</f>
        <v>4011254.42925691</v>
      </c>
      <c r="AI99" s="89" t="n">
        <f aca="true">IF(AI$5=0,AH99,MAX(0,(AH99-AI$4)*(1+NORMINV(RAND(),INPUTS!$B$28,INPUTS!$B$29))))</f>
        <v>5385178.84000749</v>
      </c>
      <c r="AJ99" s="89" t="n">
        <f aca="true">IF(AJ$5=0,AI99,MAX(0,(AI99-AJ$4)*(1+NORMINV(RAND(),INPUTS!$B$28,INPUTS!$B$29))))</f>
        <v>5700787.03016254</v>
      </c>
      <c r="AK99" s="89" t="n">
        <f aca="true">IF(AK$5=0,AJ99,MAX(0,(AJ99-AK$4)*(1+NORMINV(RAND(),INPUTS!$B$28,INPUTS!$B$29))))</f>
        <v>3484806.19426466</v>
      </c>
      <c r="AL99" s="89" t="n">
        <f aca="true">IF(AL$5=0,AK99,MAX(0,(AK99-AL$4)*(1+NORMINV(RAND(),INPUTS!$B$28,INPUTS!$B$29))))</f>
        <v>3125284.49820173</v>
      </c>
      <c r="AM99" s="89" t="n">
        <f aca="true">IF(AM$5=0,AL99,MAX(0,(AL99-AM$4)*(1+NORMINV(RAND(),INPUTS!$B$28,INPUTS!$B$29))))</f>
        <v>3125284.49820173</v>
      </c>
      <c r="AN99" s="89" t="n">
        <f aca="true">IF(AN$5=0,AM99,MAX(0,(AM99-AN$4)*(1+NORMINV(RAND(),INPUTS!$B$28,INPUTS!$B$29))))</f>
        <v>3125284.49820173</v>
      </c>
      <c r="AO99" s="89" t="n">
        <f aca="true">IF(AO$5=0,AN99,MAX(0,(AN99-AO$4)*(1+NORMINV(RAND(),INPUTS!$B$28,INPUTS!$B$29))))</f>
        <v>3125284.49820173</v>
      </c>
      <c r="AP99" s="89" t="n">
        <f aca="true">IF(AP$5=0,AO99,MAX(0,(AO99-AP$4)*(1+NORMINV(RAND(),INPUTS!$B$28,INPUTS!$B$29))))</f>
        <v>3125284.49820173</v>
      </c>
      <c r="AQ99" s="89" t="n">
        <f aca="true">IF(AQ$5=0,AP99,MAX(0,(AP99-AQ$4)*(1+NORMINV(RAND(),INPUTS!$B$28,INPUTS!$B$29))))</f>
        <v>3125284.49820173</v>
      </c>
      <c r="AR99" s="89" t="n">
        <f aca="true">IF(AR$5=0,AQ99,MAX(0,(AQ99-AR$4)*(1+NORMINV(RAND(),INPUTS!$B$28,INPUTS!$B$29))))</f>
        <v>3125284.49820173</v>
      </c>
      <c r="AS99" s="89" t="n">
        <f aca="true">IF(AS$5=0,AR99,MAX(0,(AR99-AS$4)*(1+NORMINV(RAND(),INPUTS!$B$28,INPUTS!$B$29))))</f>
        <v>3125284.49820173</v>
      </c>
      <c r="AT99" s="89" t="n">
        <f aca="true">IF(AT$5=0,AS99,MAX(0,(AS99-AT$4)*(1+NORMINV(RAND(),INPUTS!$B$28,INPUTS!$B$29))))</f>
        <v>3125284.49820173</v>
      </c>
      <c r="AU99" s="89" t="n">
        <f aca="true">IF(AU$5=0,AT99,MAX(0,(AT99-AU$4)*(1+NORMINV(RAND(),INPUTS!$B$28,INPUTS!$B$29))))</f>
        <v>3125284.49820173</v>
      </c>
      <c r="AV99" s="89" t="n">
        <f aca="true">IF(AV$5=0,AU99,MAX(0,(AU99-AV$4)*(1+NORMINV(RAND(),INPUTS!$B$28,INPUTS!$B$29))))</f>
        <v>3125284.49820173</v>
      </c>
      <c r="AW99" s="89" t="n">
        <f aca="true">IF(AW$5=0,AV99,MAX(0,(AV99-AW$4)*(1+NORMINV(RAND(),INPUTS!$B$28,INPUTS!$B$29))))</f>
        <v>3125284.49820173</v>
      </c>
      <c r="AX99" s="89" t="n">
        <f aca="true">IF(AX$5=0,AW99,MAX(0,(AW99-AX$4)*(1+NORMINV(RAND(),INPUTS!$B$28,INPUTS!$B$29))))</f>
        <v>3125284.49820173</v>
      </c>
      <c r="AY99" s="89" t="n">
        <f aca="true">IF(AY$5=0,AX99,MAX(0,(AX99-AY$4)*(1+NORMINV(RAND(),INPUTS!$B$28,INPUTS!$B$29))))</f>
        <v>3125284.49820173</v>
      </c>
      <c r="AZ99" s="89" t="n">
        <f aca="true">IF(AZ$5=0,AY99,MAX(0,(AY99-AZ$4)*(1+NORMINV(RAND(),INPUTS!$B$28,INPUTS!$B$29))))</f>
        <v>3125284.49820173</v>
      </c>
      <c r="BA99" s="89" t="n">
        <f aca="true">IF(BA$5=0,AZ99,MAX(0,(AZ99-BA$4)*(1+NORMINV(RAND(),INPUTS!$B$28,INPUTS!$B$29))))</f>
        <v>3125284.49820173</v>
      </c>
      <c r="BB99" s="89" t="n">
        <f aca="true">IF(BB$5=0,BA99,MAX(0,(BA99-BB$4)*(1+NORMINV(RAND(),INPUTS!$B$28,INPUTS!$B$29))))</f>
        <v>3125284.49820173</v>
      </c>
      <c r="BC99" s="89" t="n">
        <f aca="true">IF(BC$5=0,BB99,MAX(0,(BB99-BC$4)*(1+NORMINV(RAND(),INPUTS!$B$28,INPUTS!$B$29))))</f>
        <v>3125284.49820173</v>
      </c>
      <c r="BD99" s="89" t="n">
        <f aca="true">IF(BD$5=0,BC99,MAX(0,(BC99-BD$4)*(1+NORMINV(RAND(),INPUTS!$B$28,INPUTS!$B$29))))</f>
        <v>3125284.49820173</v>
      </c>
      <c r="BE99" s="89" t="n">
        <f aca="true">IF(BE$5=0,BD99,MAX(0,(BD99-BE$4)*(1+NORMINV(RAND(),INPUTS!$B$28,INPUTS!$B$29))))</f>
        <v>3125284.49820173</v>
      </c>
      <c r="BF99" s="89" t="n">
        <f aca="true">IF(BF$5=0,BE99,MAX(0,(BE99-BF$4)*(1+NORMINV(RAND(),INPUTS!$B$28,INPUTS!$B$29))))</f>
        <v>3125284.49820173</v>
      </c>
      <c r="BG99" s="89" t="n">
        <f aca="true">IF(BG$5=0,BF99,MAX(0,(BF99-BG$4)*(1+NORMINV(RAND(),INPUTS!$B$28,INPUTS!$B$29))))</f>
        <v>3125284.49820173</v>
      </c>
      <c r="BH99" s="89" t="n">
        <f aca="true">IF(BH$5=0,BG99,MAX(0,(BG99-BH$4)*(1+NORMINV(RAND(),INPUTS!$B$28,INPUTS!$B$29))))</f>
        <v>3125284.49820173</v>
      </c>
      <c r="BI99" s="89" t="n">
        <f aca="true">IF(BI$5=0,BH99,MAX(0,(BH99-BI$4)*(1+NORMINV(RAND(),INPUTS!$B$28,INPUTS!$B$29))))</f>
        <v>3125284.49820173</v>
      </c>
      <c r="BJ99" s="89" t="n">
        <f aca="true">IF(BJ$5=0,BI99,MAX(0,(BI99-BJ$4)*(1+NORMINV(RAND(),INPUTS!$B$28,INPUTS!$B$29))))</f>
        <v>3125284.49820173</v>
      </c>
    </row>
    <row r="100" customFormat="false" ht="15" hidden="false" customHeight="true" outlineLevel="0" collapsed="false">
      <c r="A100" s="87" t="n">
        <v>93</v>
      </c>
      <c r="B100" s="88" t="n">
        <f aca="false">LOOKUP(9.99E+307,C100:BJ100)</f>
        <v>13275346.6204956</v>
      </c>
      <c r="C100" s="89" t="n">
        <f aca="true">IF(C$5=0,INPUTS!$B$35,MAX(0,(INPUTS!$B$35-C$4)*(1+NORMINV(RAND(),INPUTS!$B$28,INPUTS!$B$29))))</f>
        <v>1320254.70791088</v>
      </c>
      <c r="D100" s="89" t="n">
        <f aca="true">IF(D$5=0,C100,MAX(0,(C100-D$4)*(1+NORMINV(RAND(),INPUTS!$B$28,INPUTS!$B$29))))</f>
        <v>1472328.15439791</v>
      </c>
      <c r="E100" s="89" t="n">
        <f aca="true">IF(E$5=0,D100,MAX(0,(D100-E$4)*(1+NORMINV(RAND(),INPUTS!$B$28,INPUTS!$B$29))))</f>
        <v>1576114.56176151</v>
      </c>
      <c r="F100" s="89" t="n">
        <f aca="true">IF(F$5=0,E100,MAX(0,(E100-F$4)*(1+NORMINV(RAND(),INPUTS!$B$28,INPUTS!$B$29))))</f>
        <v>1643480.42180308</v>
      </c>
      <c r="G100" s="89" t="n">
        <f aca="true">IF(G$5=0,F100,MAX(0,(F100-G$4)*(1+NORMINV(RAND(),INPUTS!$B$28,INPUTS!$B$29))))</f>
        <v>1379574.50022213</v>
      </c>
      <c r="H100" s="89" t="n">
        <f aca="true">IF(H$5=0,G100,MAX(0,(G100-H$4)*(1+NORMINV(RAND(),INPUTS!$B$28,INPUTS!$B$29))))</f>
        <v>1402883.69726018</v>
      </c>
      <c r="I100" s="89" t="n">
        <f aca="true">IF(I$5=0,H100,MAX(0,(H100-I$4)*(1+NORMINV(RAND(),INPUTS!$B$28,INPUTS!$B$29))))</f>
        <v>1475801.35120069</v>
      </c>
      <c r="J100" s="89" t="n">
        <f aca="true">IF(J$5=0,I100,MAX(0,(I100-J$4)*(1+NORMINV(RAND(),INPUTS!$B$28,INPUTS!$B$29))))</f>
        <v>1758062.14895793</v>
      </c>
      <c r="K100" s="89" t="n">
        <f aca="true">IF(K$5=0,J100,MAX(0,(J100-K$4)*(1+NORMINV(RAND(),INPUTS!$B$28,INPUTS!$B$29))))</f>
        <v>1912688.78662789</v>
      </c>
      <c r="L100" s="89" t="n">
        <f aca="true">IF(L$5=0,K100,MAX(0,(K100-L$4)*(1+NORMINV(RAND(),INPUTS!$B$28,INPUTS!$B$29))))</f>
        <v>1771032.32615711</v>
      </c>
      <c r="M100" s="89" t="n">
        <f aca="true">IF(M$5=0,L100,MAX(0,(L100-M$4)*(1+NORMINV(RAND(),INPUTS!$B$28,INPUTS!$B$29))))</f>
        <v>1870844.44281242</v>
      </c>
      <c r="N100" s="89" t="n">
        <f aca="true">IF(N$5=0,M100,MAX(0,(M100-N$4)*(1+NORMINV(RAND(),INPUTS!$B$28,INPUTS!$B$29))))</f>
        <v>1809965.4322033</v>
      </c>
      <c r="O100" s="89" t="n">
        <f aca="true">IF(O$5=0,N100,MAX(0,(N100-O$4)*(1+NORMINV(RAND(),INPUTS!$B$28,INPUTS!$B$29))))</f>
        <v>1614389.8564997</v>
      </c>
      <c r="P100" s="89" t="n">
        <f aca="true">IF(P$5=0,O100,MAX(0,(O100-P$4)*(1+NORMINV(RAND(),INPUTS!$B$28,INPUTS!$B$29))))</f>
        <v>1612320.61452636</v>
      </c>
      <c r="Q100" s="89" t="n">
        <f aca="true">IF(Q$5=0,P100,MAX(0,(P100-Q$4)*(1+NORMINV(RAND(),INPUTS!$B$28,INPUTS!$B$29))))</f>
        <v>1965348.61112674</v>
      </c>
      <c r="R100" s="89" t="n">
        <f aca="true">IF(R$5=0,Q100,MAX(0,(Q100-R$4)*(1+NORMINV(RAND(),INPUTS!$B$28,INPUTS!$B$29))))</f>
        <v>2147646.48161001</v>
      </c>
      <c r="S100" s="89" t="n">
        <f aca="true">IF(S$5=0,R100,MAX(0,(R100-S$4)*(1+NORMINV(RAND(),INPUTS!$B$28,INPUTS!$B$29))))</f>
        <v>2230107.37582909</v>
      </c>
      <c r="T100" s="89" t="n">
        <f aca="true">IF(T$5=0,S100,MAX(0,(S100-T$4)*(1+NORMINV(RAND(),INPUTS!$B$28,INPUTS!$B$29))))</f>
        <v>2223613.29827187</v>
      </c>
      <c r="U100" s="89" t="n">
        <f aca="true">IF(U$5=0,T100,MAX(0,(T100-U$4)*(1+NORMINV(RAND(),INPUTS!$B$28,INPUTS!$B$29))))</f>
        <v>2743312.12087021</v>
      </c>
      <c r="V100" s="89" t="n">
        <f aca="true">IF(V$5=0,U100,MAX(0,(U100-V$4)*(1+NORMINV(RAND(),INPUTS!$B$28,INPUTS!$B$29))))</f>
        <v>3584222.69982547</v>
      </c>
      <c r="W100" s="89" t="n">
        <f aca="true">IF(W$5=0,V100,MAX(0,(V100-W$4)*(1+NORMINV(RAND(),INPUTS!$B$28,INPUTS!$B$29))))</f>
        <v>4361273.51648006</v>
      </c>
      <c r="X100" s="89" t="n">
        <f aca="true">IF(X$5=0,W100,MAX(0,(W100-X$4)*(1+NORMINV(RAND(),INPUTS!$B$28,INPUTS!$B$29))))</f>
        <v>4433166.83351314</v>
      </c>
      <c r="Y100" s="89" t="n">
        <f aca="true">IF(Y$5=0,X100,MAX(0,(X100-Y$4)*(1+NORMINV(RAND(),INPUTS!$B$28,INPUTS!$B$29))))</f>
        <v>4966333.30903266</v>
      </c>
      <c r="Z100" s="89" t="n">
        <f aca="true">IF(Z$5=0,Y100,MAX(0,(Y100-Z$4)*(1+NORMINV(RAND(),INPUTS!$B$28,INPUTS!$B$29))))</f>
        <v>3873496.22501238</v>
      </c>
      <c r="AA100" s="89" t="n">
        <f aca="true">IF(AA$5=0,Z100,MAX(0,(Z100-AA$4)*(1+NORMINV(RAND(),INPUTS!$B$28,INPUTS!$B$29))))</f>
        <v>4449487.62986685</v>
      </c>
      <c r="AB100" s="89" t="n">
        <f aca="true">IF(AB$5=0,AA100,MAX(0,(AA100-AB$4)*(1+NORMINV(RAND(),INPUTS!$B$28,INPUTS!$B$29))))</f>
        <v>5162679.53409888</v>
      </c>
      <c r="AC100" s="89" t="n">
        <f aca="true">IF(AC$5=0,AB100,MAX(0,(AB100-AC$4)*(1+NORMINV(RAND(),INPUTS!$B$28,INPUTS!$B$29))))</f>
        <v>4849044.66371804</v>
      </c>
      <c r="AD100" s="89" t="n">
        <f aca="true">IF(AD$5=0,AC100,MAX(0,(AC100-AD$4)*(1+NORMINV(RAND(),INPUTS!$B$28,INPUTS!$B$29))))</f>
        <v>5128669.4253805</v>
      </c>
      <c r="AE100" s="89" t="n">
        <f aca="true">IF(AE$5=0,AD100,MAX(0,(AD100-AE$4)*(1+NORMINV(RAND(),INPUTS!$B$28,INPUTS!$B$29))))</f>
        <v>6803722.80906466</v>
      </c>
      <c r="AF100" s="89" t="n">
        <f aca="true">IF(AF$5=0,AE100,MAX(0,(AE100-AF$4)*(1+NORMINV(RAND(),INPUTS!$B$28,INPUTS!$B$29))))</f>
        <v>7907446.19852702</v>
      </c>
      <c r="AG100" s="89" t="n">
        <f aca="true">IF(AG$5=0,AF100,MAX(0,(AF100-AG$4)*(1+NORMINV(RAND(),INPUTS!$B$28,INPUTS!$B$29))))</f>
        <v>7938907.10872978</v>
      </c>
      <c r="AH100" s="89" t="n">
        <f aca="true">IF(AH$5=0,AG100,MAX(0,(AG100-AH$4)*(1+NORMINV(RAND(),INPUTS!$B$28,INPUTS!$B$29))))</f>
        <v>9568343.06264173</v>
      </c>
      <c r="AI100" s="89" t="n">
        <f aca="true">IF(AI$5=0,AH100,MAX(0,(AH100-AI$4)*(1+NORMINV(RAND(),INPUTS!$B$28,INPUTS!$B$29))))</f>
        <v>8247993.89045968</v>
      </c>
      <c r="AJ100" s="89" t="n">
        <f aca="true">IF(AJ$5=0,AI100,MAX(0,(AI100-AJ$4)*(1+NORMINV(RAND(),INPUTS!$B$28,INPUTS!$B$29))))</f>
        <v>9332444.64160067</v>
      </c>
      <c r="AK100" s="89" t="n">
        <f aca="true">IF(AK$5=0,AJ100,MAX(0,(AJ100-AK$4)*(1+NORMINV(RAND(),INPUTS!$B$28,INPUTS!$B$29))))</f>
        <v>11292269.4852477</v>
      </c>
      <c r="AL100" s="89" t="n">
        <f aca="true">IF(AL$5=0,AK100,MAX(0,(AK100-AL$4)*(1+NORMINV(RAND(),INPUTS!$B$28,INPUTS!$B$29))))</f>
        <v>13275346.6204956</v>
      </c>
      <c r="AM100" s="89" t="n">
        <f aca="true">IF(AM$5=0,AL100,MAX(0,(AL100-AM$4)*(1+NORMINV(RAND(),INPUTS!$B$28,INPUTS!$B$29))))</f>
        <v>13275346.6204956</v>
      </c>
      <c r="AN100" s="89" t="n">
        <f aca="true">IF(AN$5=0,AM100,MAX(0,(AM100-AN$4)*(1+NORMINV(RAND(),INPUTS!$B$28,INPUTS!$B$29))))</f>
        <v>13275346.6204956</v>
      </c>
      <c r="AO100" s="89" t="n">
        <f aca="true">IF(AO$5=0,AN100,MAX(0,(AN100-AO$4)*(1+NORMINV(RAND(),INPUTS!$B$28,INPUTS!$B$29))))</f>
        <v>13275346.6204956</v>
      </c>
      <c r="AP100" s="89" t="n">
        <f aca="true">IF(AP$5=0,AO100,MAX(0,(AO100-AP$4)*(1+NORMINV(RAND(),INPUTS!$B$28,INPUTS!$B$29))))</f>
        <v>13275346.6204956</v>
      </c>
      <c r="AQ100" s="89" t="n">
        <f aca="true">IF(AQ$5=0,AP100,MAX(0,(AP100-AQ$4)*(1+NORMINV(RAND(),INPUTS!$B$28,INPUTS!$B$29))))</f>
        <v>13275346.6204956</v>
      </c>
      <c r="AR100" s="89" t="n">
        <f aca="true">IF(AR$5=0,AQ100,MAX(0,(AQ100-AR$4)*(1+NORMINV(RAND(),INPUTS!$B$28,INPUTS!$B$29))))</f>
        <v>13275346.6204956</v>
      </c>
      <c r="AS100" s="89" t="n">
        <f aca="true">IF(AS$5=0,AR100,MAX(0,(AR100-AS$4)*(1+NORMINV(RAND(),INPUTS!$B$28,INPUTS!$B$29))))</f>
        <v>13275346.6204956</v>
      </c>
      <c r="AT100" s="89" t="n">
        <f aca="true">IF(AT$5=0,AS100,MAX(0,(AS100-AT$4)*(1+NORMINV(RAND(),INPUTS!$B$28,INPUTS!$B$29))))</f>
        <v>13275346.6204956</v>
      </c>
      <c r="AU100" s="89" t="n">
        <f aca="true">IF(AU$5=0,AT100,MAX(0,(AT100-AU$4)*(1+NORMINV(RAND(),INPUTS!$B$28,INPUTS!$B$29))))</f>
        <v>13275346.6204956</v>
      </c>
      <c r="AV100" s="89" t="n">
        <f aca="true">IF(AV$5=0,AU100,MAX(0,(AU100-AV$4)*(1+NORMINV(RAND(),INPUTS!$B$28,INPUTS!$B$29))))</f>
        <v>13275346.6204956</v>
      </c>
      <c r="AW100" s="89" t="n">
        <f aca="true">IF(AW$5=0,AV100,MAX(0,(AV100-AW$4)*(1+NORMINV(RAND(),INPUTS!$B$28,INPUTS!$B$29))))</f>
        <v>13275346.6204956</v>
      </c>
      <c r="AX100" s="89" t="n">
        <f aca="true">IF(AX$5=0,AW100,MAX(0,(AW100-AX$4)*(1+NORMINV(RAND(),INPUTS!$B$28,INPUTS!$B$29))))</f>
        <v>13275346.6204956</v>
      </c>
      <c r="AY100" s="89" t="n">
        <f aca="true">IF(AY$5=0,AX100,MAX(0,(AX100-AY$4)*(1+NORMINV(RAND(),INPUTS!$B$28,INPUTS!$B$29))))</f>
        <v>13275346.6204956</v>
      </c>
      <c r="AZ100" s="89" t="n">
        <f aca="true">IF(AZ$5=0,AY100,MAX(0,(AY100-AZ$4)*(1+NORMINV(RAND(),INPUTS!$B$28,INPUTS!$B$29))))</f>
        <v>13275346.6204956</v>
      </c>
      <c r="BA100" s="89" t="n">
        <f aca="true">IF(BA$5=0,AZ100,MAX(0,(AZ100-BA$4)*(1+NORMINV(RAND(),INPUTS!$B$28,INPUTS!$B$29))))</f>
        <v>13275346.6204956</v>
      </c>
      <c r="BB100" s="89" t="n">
        <f aca="true">IF(BB$5=0,BA100,MAX(0,(BA100-BB$4)*(1+NORMINV(RAND(),INPUTS!$B$28,INPUTS!$B$29))))</f>
        <v>13275346.6204956</v>
      </c>
      <c r="BC100" s="89" t="n">
        <f aca="true">IF(BC$5=0,BB100,MAX(0,(BB100-BC$4)*(1+NORMINV(RAND(),INPUTS!$B$28,INPUTS!$B$29))))</f>
        <v>13275346.6204956</v>
      </c>
      <c r="BD100" s="89" t="n">
        <f aca="true">IF(BD$5=0,BC100,MAX(0,(BC100-BD$4)*(1+NORMINV(RAND(),INPUTS!$B$28,INPUTS!$B$29))))</f>
        <v>13275346.6204956</v>
      </c>
      <c r="BE100" s="89" t="n">
        <f aca="true">IF(BE$5=0,BD100,MAX(0,(BD100-BE$4)*(1+NORMINV(RAND(),INPUTS!$B$28,INPUTS!$B$29))))</f>
        <v>13275346.6204956</v>
      </c>
      <c r="BF100" s="89" t="n">
        <f aca="true">IF(BF$5=0,BE100,MAX(0,(BE100-BF$4)*(1+NORMINV(RAND(),INPUTS!$B$28,INPUTS!$B$29))))</f>
        <v>13275346.6204956</v>
      </c>
      <c r="BG100" s="89" t="n">
        <f aca="true">IF(BG$5=0,BF100,MAX(0,(BF100-BG$4)*(1+NORMINV(RAND(),INPUTS!$B$28,INPUTS!$B$29))))</f>
        <v>13275346.6204956</v>
      </c>
      <c r="BH100" s="89" t="n">
        <f aca="true">IF(BH$5=0,BG100,MAX(0,(BG100-BH$4)*(1+NORMINV(RAND(),INPUTS!$B$28,INPUTS!$B$29))))</f>
        <v>13275346.6204956</v>
      </c>
      <c r="BI100" s="89" t="n">
        <f aca="true">IF(BI$5=0,BH100,MAX(0,(BH100-BI$4)*(1+NORMINV(RAND(),INPUTS!$B$28,INPUTS!$B$29))))</f>
        <v>13275346.6204956</v>
      </c>
      <c r="BJ100" s="89" t="n">
        <f aca="true">IF(BJ$5=0,BI100,MAX(0,(BI100-BJ$4)*(1+NORMINV(RAND(),INPUTS!$B$28,INPUTS!$B$29))))</f>
        <v>13275346.6204956</v>
      </c>
    </row>
    <row r="101" customFormat="false" ht="15" hidden="false" customHeight="true" outlineLevel="0" collapsed="false">
      <c r="A101" s="87" t="n">
        <v>94</v>
      </c>
      <c r="B101" s="88" t="n">
        <f aca="false">LOOKUP(9.99E+307,C101:BJ101)</f>
        <v>162042.507692863</v>
      </c>
      <c r="C101" s="89" t="n">
        <f aca="true">IF(C$5=0,INPUTS!$B$35,MAX(0,(INPUTS!$B$35-C$4)*(1+NORMINV(RAND(),INPUTS!$B$28,INPUTS!$B$29))))</f>
        <v>1605215.4408305</v>
      </c>
      <c r="D101" s="89" t="n">
        <f aca="true">IF(D$5=0,C101,MAX(0,(C101-D$4)*(1+NORMINV(RAND(),INPUTS!$B$28,INPUTS!$B$29))))</f>
        <v>1476947.39804794</v>
      </c>
      <c r="E101" s="89" t="n">
        <f aca="true">IF(E$5=0,D101,MAX(0,(D101-E$4)*(1+NORMINV(RAND(),INPUTS!$B$28,INPUTS!$B$29))))</f>
        <v>1498907.06664401</v>
      </c>
      <c r="F101" s="89" t="n">
        <f aca="true">IF(F$5=0,E101,MAX(0,(E101-F$4)*(1+NORMINV(RAND(),INPUTS!$B$28,INPUTS!$B$29))))</f>
        <v>1731968.28819989</v>
      </c>
      <c r="G101" s="89" t="n">
        <f aca="true">IF(G$5=0,F101,MAX(0,(F101-G$4)*(1+NORMINV(RAND(),INPUTS!$B$28,INPUTS!$B$29))))</f>
        <v>1454870.5187787</v>
      </c>
      <c r="H101" s="89" t="n">
        <f aca="true">IF(H$5=0,G101,MAX(0,(G101-H$4)*(1+NORMINV(RAND(),INPUTS!$B$28,INPUTS!$B$29))))</f>
        <v>1414394.62553382</v>
      </c>
      <c r="I101" s="89" t="n">
        <f aca="true">IF(I$5=0,H101,MAX(0,(H101-I$4)*(1+NORMINV(RAND(),INPUTS!$B$28,INPUTS!$B$29))))</f>
        <v>1193733.89027492</v>
      </c>
      <c r="J101" s="89" t="n">
        <f aca="true">IF(J$5=0,I101,MAX(0,(I101-J$4)*(1+NORMINV(RAND(),INPUTS!$B$28,INPUTS!$B$29))))</f>
        <v>1369897.72426238</v>
      </c>
      <c r="K101" s="89" t="n">
        <f aca="true">IF(K$5=0,J101,MAX(0,(J101-K$4)*(1+NORMINV(RAND(),INPUTS!$B$28,INPUTS!$B$29))))</f>
        <v>1266040.61539564</v>
      </c>
      <c r="L101" s="89" t="n">
        <f aca="true">IF(L$5=0,K101,MAX(0,(K101-L$4)*(1+NORMINV(RAND(),INPUTS!$B$28,INPUTS!$B$29))))</f>
        <v>1429424.9714381</v>
      </c>
      <c r="M101" s="89" t="n">
        <f aca="true">IF(M$5=0,L101,MAX(0,(L101-M$4)*(1+NORMINV(RAND(),INPUTS!$B$28,INPUTS!$B$29))))</f>
        <v>1492330.93540669</v>
      </c>
      <c r="N101" s="89" t="n">
        <f aca="true">IF(N$5=0,M101,MAX(0,(M101-N$4)*(1+NORMINV(RAND(),INPUTS!$B$28,INPUTS!$B$29))))</f>
        <v>1261410.90739474</v>
      </c>
      <c r="O101" s="89" t="n">
        <f aca="true">IF(O$5=0,N101,MAX(0,(N101-O$4)*(1+NORMINV(RAND(),INPUTS!$B$28,INPUTS!$B$29))))</f>
        <v>1058649.46213863</v>
      </c>
      <c r="P101" s="89" t="n">
        <f aca="true">IF(P$5=0,O101,MAX(0,(O101-P$4)*(1+NORMINV(RAND(),INPUTS!$B$28,INPUTS!$B$29))))</f>
        <v>1114205.57054695</v>
      </c>
      <c r="Q101" s="89" t="n">
        <f aca="true">IF(Q$5=0,P101,MAX(0,(P101-Q$4)*(1+NORMINV(RAND(),INPUTS!$B$28,INPUTS!$B$29))))</f>
        <v>877337.500155619</v>
      </c>
      <c r="R101" s="89" t="n">
        <f aca="true">IF(R$5=0,Q101,MAX(0,(Q101-R$4)*(1+NORMINV(RAND(),INPUTS!$B$28,INPUTS!$B$29))))</f>
        <v>872405.811213134</v>
      </c>
      <c r="S101" s="89" t="n">
        <f aca="true">IF(S$5=0,R101,MAX(0,(R101-S$4)*(1+NORMINV(RAND(),INPUTS!$B$28,INPUTS!$B$29))))</f>
        <v>739993.117173905</v>
      </c>
      <c r="T101" s="89" t="n">
        <f aca="true">IF(T$5=0,S101,MAX(0,(S101-T$4)*(1+NORMINV(RAND(),INPUTS!$B$28,INPUTS!$B$29))))</f>
        <v>759168.31826311</v>
      </c>
      <c r="U101" s="89" t="n">
        <f aca="true">IF(U$5=0,T101,MAX(0,(T101-U$4)*(1+NORMINV(RAND(),INPUTS!$B$28,INPUTS!$B$29))))</f>
        <v>645202.290926221</v>
      </c>
      <c r="V101" s="89" t="n">
        <f aca="true">IF(V$5=0,U101,MAX(0,(U101-V$4)*(1+NORMINV(RAND(),INPUTS!$B$28,INPUTS!$B$29))))</f>
        <v>653611.702913845</v>
      </c>
      <c r="W101" s="89" t="n">
        <f aca="true">IF(W$5=0,V101,MAX(0,(V101-W$4)*(1+NORMINV(RAND(),INPUTS!$B$28,INPUTS!$B$29))))</f>
        <v>719618.269668902</v>
      </c>
      <c r="X101" s="89" t="n">
        <f aca="true">IF(X$5=0,W101,MAX(0,(W101-X$4)*(1+NORMINV(RAND(),INPUTS!$B$28,INPUTS!$B$29))))</f>
        <v>639320.069301829</v>
      </c>
      <c r="Y101" s="89" t="n">
        <f aca="true">IF(Y$5=0,X101,MAX(0,(X101-Y$4)*(1+NORMINV(RAND(),INPUTS!$B$28,INPUTS!$B$29))))</f>
        <v>585762.887081564</v>
      </c>
      <c r="Z101" s="89" t="n">
        <f aca="true">IF(Z$5=0,Y101,MAX(0,(Y101-Z$4)*(1+NORMINV(RAND(),INPUTS!$B$28,INPUTS!$B$29))))</f>
        <v>508081.910958434</v>
      </c>
      <c r="AA101" s="89" t="n">
        <f aca="true">IF(AA$5=0,Z101,MAX(0,(Z101-AA$4)*(1+NORMINV(RAND(),INPUTS!$B$28,INPUTS!$B$29))))</f>
        <v>522573.198764531</v>
      </c>
      <c r="AB101" s="89" t="n">
        <f aca="true">IF(AB$5=0,AA101,MAX(0,(AA101-AB$4)*(1+NORMINV(RAND(),INPUTS!$B$28,INPUTS!$B$29))))</f>
        <v>474325.351575153</v>
      </c>
      <c r="AC101" s="89" t="n">
        <f aca="true">IF(AC$5=0,AB101,MAX(0,(AB101-AC$4)*(1+NORMINV(RAND(),INPUTS!$B$28,INPUTS!$B$29))))</f>
        <v>458010.657849939</v>
      </c>
      <c r="AD101" s="89" t="n">
        <f aca="true">IF(AD$5=0,AC101,MAX(0,(AC101-AD$4)*(1+NORMINV(RAND(),INPUTS!$B$28,INPUTS!$B$29))))</f>
        <v>446126.5632836</v>
      </c>
      <c r="AE101" s="89" t="n">
        <f aca="true">IF(AE$5=0,AD101,MAX(0,(AD101-AE$4)*(1+NORMINV(RAND(),INPUTS!$B$28,INPUTS!$B$29))))</f>
        <v>439886.333912423</v>
      </c>
      <c r="AF101" s="89" t="n">
        <f aca="true">IF(AF$5=0,AE101,MAX(0,(AE101-AF$4)*(1+NORMINV(RAND(),INPUTS!$B$28,INPUTS!$B$29))))</f>
        <v>439093.45003358</v>
      </c>
      <c r="AG101" s="89" t="n">
        <f aca="true">IF(AG$5=0,AF101,MAX(0,(AF101-AG$4)*(1+NORMINV(RAND(),INPUTS!$B$28,INPUTS!$B$29))))</f>
        <v>381356.199980797</v>
      </c>
      <c r="AH101" s="89" t="n">
        <f aca="true">IF(AH$5=0,AG101,MAX(0,(AG101-AH$4)*(1+NORMINV(RAND(),INPUTS!$B$28,INPUTS!$B$29))))</f>
        <v>330393.128216345</v>
      </c>
      <c r="AI101" s="89" t="n">
        <f aca="true">IF(AI$5=0,AH101,MAX(0,(AH101-AI$4)*(1+NORMINV(RAND(),INPUTS!$B$28,INPUTS!$B$29))))</f>
        <v>314681.425828156</v>
      </c>
      <c r="AJ101" s="89" t="n">
        <f aca="true">IF(AJ$5=0,AI101,MAX(0,(AI101-AJ$4)*(1+NORMINV(RAND(),INPUTS!$B$28,INPUTS!$B$29))))</f>
        <v>251860.752614469</v>
      </c>
      <c r="AK101" s="89" t="n">
        <f aca="true">IF(AK$5=0,AJ101,MAX(0,(AJ101-AK$4)*(1+NORMINV(RAND(),INPUTS!$B$28,INPUTS!$B$29))))</f>
        <v>217690.194682767</v>
      </c>
      <c r="AL101" s="89" t="n">
        <f aca="true">IF(AL$5=0,AK101,MAX(0,(AK101-AL$4)*(1+NORMINV(RAND(),INPUTS!$B$28,INPUTS!$B$29))))</f>
        <v>162042.507692863</v>
      </c>
      <c r="AM101" s="89" t="n">
        <f aca="true">IF(AM$5=0,AL101,MAX(0,(AL101-AM$4)*(1+NORMINV(RAND(),INPUTS!$B$28,INPUTS!$B$29))))</f>
        <v>162042.507692863</v>
      </c>
      <c r="AN101" s="89" t="n">
        <f aca="true">IF(AN$5=0,AM101,MAX(0,(AM101-AN$4)*(1+NORMINV(RAND(),INPUTS!$B$28,INPUTS!$B$29))))</f>
        <v>162042.507692863</v>
      </c>
      <c r="AO101" s="89" t="n">
        <f aca="true">IF(AO$5=0,AN101,MAX(0,(AN101-AO$4)*(1+NORMINV(RAND(),INPUTS!$B$28,INPUTS!$B$29))))</f>
        <v>162042.507692863</v>
      </c>
      <c r="AP101" s="89" t="n">
        <f aca="true">IF(AP$5=0,AO101,MAX(0,(AO101-AP$4)*(1+NORMINV(RAND(),INPUTS!$B$28,INPUTS!$B$29))))</f>
        <v>162042.507692863</v>
      </c>
      <c r="AQ101" s="89" t="n">
        <f aca="true">IF(AQ$5=0,AP101,MAX(0,(AP101-AQ$4)*(1+NORMINV(RAND(),INPUTS!$B$28,INPUTS!$B$29))))</f>
        <v>162042.507692863</v>
      </c>
      <c r="AR101" s="89" t="n">
        <f aca="true">IF(AR$5=0,AQ101,MAX(0,(AQ101-AR$4)*(1+NORMINV(RAND(),INPUTS!$B$28,INPUTS!$B$29))))</f>
        <v>162042.507692863</v>
      </c>
      <c r="AS101" s="89" t="n">
        <f aca="true">IF(AS$5=0,AR101,MAX(0,(AR101-AS$4)*(1+NORMINV(RAND(),INPUTS!$B$28,INPUTS!$B$29))))</f>
        <v>162042.507692863</v>
      </c>
      <c r="AT101" s="89" t="n">
        <f aca="true">IF(AT$5=0,AS101,MAX(0,(AS101-AT$4)*(1+NORMINV(RAND(),INPUTS!$B$28,INPUTS!$B$29))))</f>
        <v>162042.507692863</v>
      </c>
      <c r="AU101" s="89" t="n">
        <f aca="true">IF(AU$5=0,AT101,MAX(0,(AT101-AU$4)*(1+NORMINV(RAND(),INPUTS!$B$28,INPUTS!$B$29))))</f>
        <v>162042.507692863</v>
      </c>
      <c r="AV101" s="89" t="n">
        <f aca="true">IF(AV$5=0,AU101,MAX(0,(AU101-AV$4)*(1+NORMINV(RAND(),INPUTS!$B$28,INPUTS!$B$29))))</f>
        <v>162042.507692863</v>
      </c>
      <c r="AW101" s="89" t="n">
        <f aca="true">IF(AW$5=0,AV101,MAX(0,(AV101-AW$4)*(1+NORMINV(RAND(),INPUTS!$B$28,INPUTS!$B$29))))</f>
        <v>162042.507692863</v>
      </c>
      <c r="AX101" s="89" t="n">
        <f aca="true">IF(AX$5=0,AW101,MAX(0,(AW101-AX$4)*(1+NORMINV(RAND(),INPUTS!$B$28,INPUTS!$B$29))))</f>
        <v>162042.507692863</v>
      </c>
      <c r="AY101" s="89" t="n">
        <f aca="true">IF(AY$5=0,AX101,MAX(0,(AX101-AY$4)*(1+NORMINV(RAND(),INPUTS!$B$28,INPUTS!$B$29))))</f>
        <v>162042.507692863</v>
      </c>
      <c r="AZ101" s="89" t="n">
        <f aca="true">IF(AZ$5=0,AY101,MAX(0,(AY101-AZ$4)*(1+NORMINV(RAND(),INPUTS!$B$28,INPUTS!$B$29))))</f>
        <v>162042.507692863</v>
      </c>
      <c r="BA101" s="89" t="n">
        <f aca="true">IF(BA$5=0,AZ101,MAX(0,(AZ101-BA$4)*(1+NORMINV(RAND(),INPUTS!$B$28,INPUTS!$B$29))))</f>
        <v>162042.507692863</v>
      </c>
      <c r="BB101" s="89" t="n">
        <f aca="true">IF(BB$5=0,BA101,MAX(0,(BA101-BB$4)*(1+NORMINV(RAND(),INPUTS!$B$28,INPUTS!$B$29))))</f>
        <v>162042.507692863</v>
      </c>
      <c r="BC101" s="89" t="n">
        <f aca="true">IF(BC$5=0,BB101,MAX(0,(BB101-BC$4)*(1+NORMINV(RAND(),INPUTS!$B$28,INPUTS!$B$29))))</f>
        <v>162042.507692863</v>
      </c>
      <c r="BD101" s="89" t="n">
        <f aca="true">IF(BD$5=0,BC101,MAX(0,(BC101-BD$4)*(1+NORMINV(RAND(),INPUTS!$B$28,INPUTS!$B$29))))</f>
        <v>162042.507692863</v>
      </c>
      <c r="BE101" s="89" t="n">
        <f aca="true">IF(BE$5=0,BD101,MAX(0,(BD101-BE$4)*(1+NORMINV(RAND(),INPUTS!$B$28,INPUTS!$B$29))))</f>
        <v>162042.507692863</v>
      </c>
      <c r="BF101" s="89" t="n">
        <f aca="true">IF(BF$5=0,BE101,MAX(0,(BE101-BF$4)*(1+NORMINV(RAND(),INPUTS!$B$28,INPUTS!$B$29))))</f>
        <v>162042.507692863</v>
      </c>
      <c r="BG101" s="89" t="n">
        <f aca="true">IF(BG$5=0,BF101,MAX(0,(BF101-BG$4)*(1+NORMINV(RAND(),INPUTS!$B$28,INPUTS!$B$29))))</f>
        <v>162042.507692863</v>
      </c>
      <c r="BH101" s="89" t="n">
        <f aca="true">IF(BH$5=0,BG101,MAX(0,(BG101-BH$4)*(1+NORMINV(RAND(),INPUTS!$B$28,INPUTS!$B$29))))</f>
        <v>162042.507692863</v>
      </c>
      <c r="BI101" s="89" t="n">
        <f aca="true">IF(BI$5=0,BH101,MAX(0,(BH101-BI$4)*(1+NORMINV(RAND(),INPUTS!$B$28,INPUTS!$B$29))))</f>
        <v>162042.507692863</v>
      </c>
      <c r="BJ101" s="89" t="n">
        <f aca="true">IF(BJ$5=0,BI101,MAX(0,(BI101-BJ$4)*(1+NORMINV(RAND(),INPUTS!$B$28,INPUTS!$B$29))))</f>
        <v>162042.507692863</v>
      </c>
    </row>
    <row r="102" customFormat="false" ht="15" hidden="false" customHeight="true" outlineLevel="0" collapsed="false">
      <c r="A102" s="87" t="n">
        <v>95</v>
      </c>
      <c r="B102" s="88" t="n">
        <f aca="false">LOOKUP(9.99E+307,C102:BJ102)</f>
        <v>35050021.9340326</v>
      </c>
      <c r="C102" s="89" t="n">
        <f aca="true">IF(C$5=0,INPUTS!$B$35,MAX(0,(INPUTS!$B$35-C$4)*(1+NORMINV(RAND(),INPUTS!$B$28,INPUTS!$B$29))))</f>
        <v>1649401.08076292</v>
      </c>
      <c r="D102" s="89" t="n">
        <f aca="true">IF(D$5=0,C102,MAX(0,(C102-D$4)*(1+NORMINV(RAND(),INPUTS!$B$28,INPUTS!$B$29))))</f>
        <v>1748333.80285338</v>
      </c>
      <c r="E102" s="89" t="n">
        <f aca="true">IF(E$5=0,D102,MAX(0,(D102-E$4)*(1+NORMINV(RAND(),INPUTS!$B$28,INPUTS!$B$29))))</f>
        <v>1965649.49189647</v>
      </c>
      <c r="F102" s="89" t="n">
        <f aca="true">IF(F$5=0,E102,MAX(0,(E102-F$4)*(1+NORMINV(RAND(),INPUTS!$B$28,INPUTS!$B$29))))</f>
        <v>1949064.7522796</v>
      </c>
      <c r="G102" s="89" t="n">
        <f aca="true">IF(G$5=0,F102,MAX(0,(F102-G$4)*(1+NORMINV(RAND(),INPUTS!$B$28,INPUTS!$B$29))))</f>
        <v>1981390.66529622</v>
      </c>
      <c r="H102" s="89" t="n">
        <f aca="true">IF(H$5=0,G102,MAX(0,(G102-H$4)*(1+NORMINV(RAND(),INPUTS!$B$28,INPUTS!$B$29))))</f>
        <v>2219643.1854111</v>
      </c>
      <c r="I102" s="89" t="n">
        <f aca="true">IF(I$5=0,H102,MAX(0,(H102-I$4)*(1+NORMINV(RAND(),INPUTS!$B$28,INPUTS!$B$29))))</f>
        <v>2530116.89773679</v>
      </c>
      <c r="J102" s="89" t="n">
        <f aca="true">IF(J$5=0,I102,MAX(0,(I102-J$4)*(1+NORMINV(RAND(),INPUTS!$B$28,INPUTS!$B$29))))</f>
        <v>2611674.58691761</v>
      </c>
      <c r="K102" s="89" t="n">
        <f aca="true">IF(K$5=0,J102,MAX(0,(J102-K$4)*(1+NORMINV(RAND(),INPUTS!$B$28,INPUTS!$B$29))))</f>
        <v>3103469.85391574</v>
      </c>
      <c r="L102" s="89" t="n">
        <f aca="true">IF(L$5=0,K102,MAX(0,(K102-L$4)*(1+NORMINV(RAND(),INPUTS!$B$28,INPUTS!$B$29))))</f>
        <v>3588720.87893472</v>
      </c>
      <c r="M102" s="89" t="n">
        <f aca="true">IF(M$5=0,L102,MAX(0,(L102-M$4)*(1+NORMINV(RAND(),INPUTS!$B$28,INPUTS!$B$29))))</f>
        <v>3805551.16919068</v>
      </c>
      <c r="N102" s="89" t="n">
        <f aca="true">IF(N$5=0,M102,MAX(0,(M102-N$4)*(1+NORMINV(RAND(),INPUTS!$B$28,INPUTS!$B$29))))</f>
        <v>3659929.85790665</v>
      </c>
      <c r="O102" s="89" t="n">
        <f aca="true">IF(O$5=0,N102,MAX(0,(N102-O$4)*(1+NORMINV(RAND(),INPUTS!$B$28,INPUTS!$B$29))))</f>
        <v>4132277.38480488</v>
      </c>
      <c r="P102" s="89" t="n">
        <f aca="true">IF(P$5=0,O102,MAX(0,(O102-P$4)*(1+NORMINV(RAND(),INPUTS!$B$28,INPUTS!$B$29))))</f>
        <v>3993717.92073106</v>
      </c>
      <c r="Q102" s="89" t="n">
        <f aca="true">IF(Q$5=0,P102,MAX(0,(P102-Q$4)*(1+NORMINV(RAND(),INPUTS!$B$28,INPUTS!$B$29))))</f>
        <v>4319452.43864454</v>
      </c>
      <c r="R102" s="89" t="n">
        <f aca="true">IF(R$5=0,Q102,MAX(0,(Q102-R$4)*(1+NORMINV(RAND(),INPUTS!$B$28,INPUTS!$B$29))))</f>
        <v>4457424.28964318</v>
      </c>
      <c r="S102" s="89" t="n">
        <f aca="true">IF(S$5=0,R102,MAX(0,(R102-S$4)*(1+NORMINV(RAND(),INPUTS!$B$28,INPUTS!$B$29))))</f>
        <v>4343461.75865334</v>
      </c>
      <c r="T102" s="89" t="n">
        <f aca="true">IF(T$5=0,S102,MAX(0,(S102-T$4)*(1+NORMINV(RAND(),INPUTS!$B$28,INPUTS!$B$29))))</f>
        <v>4923228.61123641</v>
      </c>
      <c r="U102" s="89" t="n">
        <f aca="true">IF(U$5=0,T102,MAX(0,(T102-U$4)*(1+NORMINV(RAND(),INPUTS!$B$28,INPUTS!$B$29))))</f>
        <v>5030018.61335152</v>
      </c>
      <c r="V102" s="89" t="n">
        <f aca="true">IF(V$5=0,U102,MAX(0,(U102-V$4)*(1+NORMINV(RAND(),INPUTS!$B$28,INPUTS!$B$29))))</f>
        <v>5284367.83984004</v>
      </c>
      <c r="W102" s="89" t="n">
        <f aca="true">IF(W$5=0,V102,MAX(0,(V102-W$4)*(1+NORMINV(RAND(),INPUTS!$B$28,INPUTS!$B$29))))</f>
        <v>6032255.65276938</v>
      </c>
      <c r="X102" s="89" t="n">
        <f aca="true">IF(X$5=0,W102,MAX(0,(W102-X$4)*(1+NORMINV(RAND(),INPUTS!$B$28,INPUTS!$B$29))))</f>
        <v>6650297.16301563</v>
      </c>
      <c r="Y102" s="89" t="n">
        <f aca="true">IF(Y$5=0,X102,MAX(0,(X102-Y$4)*(1+NORMINV(RAND(),INPUTS!$B$28,INPUTS!$B$29))))</f>
        <v>8088140.69417769</v>
      </c>
      <c r="Z102" s="89" t="n">
        <f aca="true">IF(Z$5=0,Y102,MAX(0,(Y102-Z$4)*(1+NORMINV(RAND(),INPUTS!$B$28,INPUTS!$B$29))))</f>
        <v>10683208.0420781</v>
      </c>
      <c r="AA102" s="89" t="n">
        <f aca="true">IF(AA$5=0,Z102,MAX(0,(Z102-AA$4)*(1+NORMINV(RAND(),INPUTS!$B$28,INPUTS!$B$29))))</f>
        <v>13987772.7298451</v>
      </c>
      <c r="AB102" s="89" t="n">
        <f aca="true">IF(AB$5=0,AA102,MAX(0,(AA102-AB$4)*(1+NORMINV(RAND(),INPUTS!$B$28,INPUTS!$B$29))))</f>
        <v>12742117.9458762</v>
      </c>
      <c r="AC102" s="89" t="n">
        <f aca="true">IF(AC$5=0,AB102,MAX(0,(AB102-AC$4)*(1+NORMINV(RAND(),INPUTS!$B$28,INPUTS!$B$29))))</f>
        <v>11020503.6949286</v>
      </c>
      <c r="AD102" s="89" t="n">
        <f aca="true">IF(AD$5=0,AC102,MAX(0,(AC102-AD$4)*(1+NORMINV(RAND(),INPUTS!$B$28,INPUTS!$B$29))))</f>
        <v>12613156.2159316</v>
      </c>
      <c r="AE102" s="89" t="n">
        <f aca="true">IF(AE$5=0,AD102,MAX(0,(AD102-AE$4)*(1+NORMINV(RAND(),INPUTS!$B$28,INPUTS!$B$29))))</f>
        <v>12778326.9282112</v>
      </c>
      <c r="AF102" s="89" t="n">
        <f aca="true">IF(AF$5=0,AE102,MAX(0,(AE102-AF$4)*(1+NORMINV(RAND(),INPUTS!$B$28,INPUTS!$B$29))))</f>
        <v>16823273.9896016</v>
      </c>
      <c r="AG102" s="89" t="n">
        <f aca="true">IF(AG$5=0,AF102,MAX(0,(AF102-AG$4)*(1+NORMINV(RAND(),INPUTS!$B$28,INPUTS!$B$29))))</f>
        <v>19759063.5893223</v>
      </c>
      <c r="AH102" s="89" t="n">
        <f aca="true">IF(AH$5=0,AG102,MAX(0,(AG102-AH$4)*(1+NORMINV(RAND(),INPUTS!$B$28,INPUTS!$B$29))))</f>
        <v>18284145.4991719</v>
      </c>
      <c r="AI102" s="89" t="n">
        <f aca="true">IF(AI$5=0,AH102,MAX(0,(AH102-AI$4)*(1+NORMINV(RAND(),INPUTS!$B$28,INPUTS!$B$29))))</f>
        <v>22814819.0396738</v>
      </c>
      <c r="AJ102" s="89" t="n">
        <f aca="true">IF(AJ$5=0,AI102,MAX(0,(AI102-AJ$4)*(1+NORMINV(RAND(),INPUTS!$B$28,INPUTS!$B$29))))</f>
        <v>25287287.153633</v>
      </c>
      <c r="AK102" s="89" t="n">
        <f aca="true">IF(AK$5=0,AJ102,MAX(0,(AJ102-AK$4)*(1+NORMINV(RAND(),INPUTS!$B$28,INPUTS!$B$29))))</f>
        <v>29807093.7628084</v>
      </c>
      <c r="AL102" s="89" t="n">
        <f aca="true">IF(AL$5=0,AK102,MAX(0,(AK102-AL$4)*(1+NORMINV(RAND(),INPUTS!$B$28,INPUTS!$B$29))))</f>
        <v>35050021.9340326</v>
      </c>
      <c r="AM102" s="89" t="n">
        <f aca="true">IF(AM$5=0,AL102,MAX(0,(AL102-AM$4)*(1+NORMINV(RAND(),INPUTS!$B$28,INPUTS!$B$29))))</f>
        <v>35050021.9340326</v>
      </c>
      <c r="AN102" s="89" t="n">
        <f aca="true">IF(AN$5=0,AM102,MAX(0,(AM102-AN$4)*(1+NORMINV(RAND(),INPUTS!$B$28,INPUTS!$B$29))))</f>
        <v>35050021.9340326</v>
      </c>
      <c r="AO102" s="89" t="n">
        <f aca="true">IF(AO$5=0,AN102,MAX(0,(AN102-AO$4)*(1+NORMINV(RAND(),INPUTS!$B$28,INPUTS!$B$29))))</f>
        <v>35050021.9340326</v>
      </c>
      <c r="AP102" s="89" t="n">
        <f aca="true">IF(AP$5=0,AO102,MAX(0,(AO102-AP$4)*(1+NORMINV(RAND(),INPUTS!$B$28,INPUTS!$B$29))))</f>
        <v>35050021.9340326</v>
      </c>
      <c r="AQ102" s="89" t="n">
        <f aca="true">IF(AQ$5=0,AP102,MAX(0,(AP102-AQ$4)*(1+NORMINV(RAND(),INPUTS!$B$28,INPUTS!$B$29))))</f>
        <v>35050021.9340326</v>
      </c>
      <c r="AR102" s="89" t="n">
        <f aca="true">IF(AR$5=0,AQ102,MAX(0,(AQ102-AR$4)*(1+NORMINV(RAND(),INPUTS!$B$28,INPUTS!$B$29))))</f>
        <v>35050021.9340326</v>
      </c>
      <c r="AS102" s="89" t="n">
        <f aca="true">IF(AS$5=0,AR102,MAX(0,(AR102-AS$4)*(1+NORMINV(RAND(),INPUTS!$B$28,INPUTS!$B$29))))</f>
        <v>35050021.9340326</v>
      </c>
      <c r="AT102" s="89" t="n">
        <f aca="true">IF(AT$5=0,AS102,MAX(0,(AS102-AT$4)*(1+NORMINV(RAND(),INPUTS!$B$28,INPUTS!$B$29))))</f>
        <v>35050021.9340326</v>
      </c>
      <c r="AU102" s="89" t="n">
        <f aca="true">IF(AU$5=0,AT102,MAX(0,(AT102-AU$4)*(1+NORMINV(RAND(),INPUTS!$B$28,INPUTS!$B$29))))</f>
        <v>35050021.9340326</v>
      </c>
      <c r="AV102" s="89" t="n">
        <f aca="true">IF(AV$5=0,AU102,MAX(0,(AU102-AV$4)*(1+NORMINV(RAND(),INPUTS!$B$28,INPUTS!$B$29))))</f>
        <v>35050021.9340326</v>
      </c>
      <c r="AW102" s="89" t="n">
        <f aca="true">IF(AW$5=0,AV102,MAX(0,(AV102-AW$4)*(1+NORMINV(RAND(),INPUTS!$B$28,INPUTS!$B$29))))</f>
        <v>35050021.9340326</v>
      </c>
      <c r="AX102" s="89" t="n">
        <f aca="true">IF(AX$5=0,AW102,MAX(0,(AW102-AX$4)*(1+NORMINV(RAND(),INPUTS!$B$28,INPUTS!$B$29))))</f>
        <v>35050021.9340326</v>
      </c>
      <c r="AY102" s="89" t="n">
        <f aca="true">IF(AY$5=0,AX102,MAX(0,(AX102-AY$4)*(1+NORMINV(RAND(),INPUTS!$B$28,INPUTS!$B$29))))</f>
        <v>35050021.9340326</v>
      </c>
      <c r="AZ102" s="89" t="n">
        <f aca="true">IF(AZ$5=0,AY102,MAX(0,(AY102-AZ$4)*(1+NORMINV(RAND(),INPUTS!$B$28,INPUTS!$B$29))))</f>
        <v>35050021.9340326</v>
      </c>
      <c r="BA102" s="89" t="n">
        <f aca="true">IF(BA$5=0,AZ102,MAX(0,(AZ102-BA$4)*(1+NORMINV(RAND(),INPUTS!$B$28,INPUTS!$B$29))))</f>
        <v>35050021.9340326</v>
      </c>
      <c r="BB102" s="89" t="n">
        <f aca="true">IF(BB$5=0,BA102,MAX(0,(BA102-BB$4)*(1+NORMINV(RAND(),INPUTS!$B$28,INPUTS!$B$29))))</f>
        <v>35050021.9340326</v>
      </c>
      <c r="BC102" s="89" t="n">
        <f aca="true">IF(BC$5=0,BB102,MAX(0,(BB102-BC$4)*(1+NORMINV(RAND(),INPUTS!$B$28,INPUTS!$B$29))))</f>
        <v>35050021.9340326</v>
      </c>
      <c r="BD102" s="89" t="n">
        <f aca="true">IF(BD$5=0,BC102,MAX(0,(BC102-BD$4)*(1+NORMINV(RAND(),INPUTS!$B$28,INPUTS!$B$29))))</f>
        <v>35050021.9340326</v>
      </c>
      <c r="BE102" s="89" t="n">
        <f aca="true">IF(BE$5=0,BD102,MAX(0,(BD102-BE$4)*(1+NORMINV(RAND(),INPUTS!$B$28,INPUTS!$B$29))))</f>
        <v>35050021.9340326</v>
      </c>
      <c r="BF102" s="89" t="n">
        <f aca="true">IF(BF$5=0,BE102,MAX(0,(BE102-BF$4)*(1+NORMINV(RAND(),INPUTS!$B$28,INPUTS!$B$29))))</f>
        <v>35050021.9340326</v>
      </c>
      <c r="BG102" s="89" t="n">
        <f aca="true">IF(BG$5=0,BF102,MAX(0,(BF102-BG$4)*(1+NORMINV(RAND(),INPUTS!$B$28,INPUTS!$B$29))))</f>
        <v>35050021.9340326</v>
      </c>
      <c r="BH102" s="89" t="n">
        <f aca="true">IF(BH$5=0,BG102,MAX(0,(BG102-BH$4)*(1+NORMINV(RAND(),INPUTS!$B$28,INPUTS!$B$29))))</f>
        <v>35050021.9340326</v>
      </c>
      <c r="BI102" s="89" t="n">
        <f aca="true">IF(BI$5=0,BH102,MAX(0,(BH102-BI$4)*(1+NORMINV(RAND(),INPUTS!$B$28,INPUTS!$B$29))))</f>
        <v>35050021.9340326</v>
      </c>
      <c r="BJ102" s="89" t="n">
        <f aca="true">IF(BJ$5=0,BI102,MAX(0,(BI102-BJ$4)*(1+NORMINV(RAND(),INPUTS!$B$28,INPUTS!$B$29))))</f>
        <v>35050021.9340326</v>
      </c>
    </row>
    <row r="103" customFormat="false" ht="15" hidden="false" customHeight="true" outlineLevel="0" collapsed="false">
      <c r="A103" s="87" t="n">
        <v>96</v>
      </c>
      <c r="B103" s="88" t="n">
        <f aca="false">LOOKUP(9.99E+307,C103:BJ103)</f>
        <v>1876812.11121644</v>
      </c>
      <c r="C103" s="89" t="n">
        <f aca="true">IF(C$5=0,INPUTS!$B$35,MAX(0,(INPUTS!$B$35-C$4)*(1+NORMINV(RAND(),INPUTS!$B$28,INPUTS!$B$29))))</f>
        <v>1496791.56073436</v>
      </c>
      <c r="D103" s="89" t="n">
        <f aca="true">IF(D$5=0,C103,MAX(0,(C103-D$4)*(1+NORMINV(RAND(),INPUTS!$B$28,INPUTS!$B$29))))</f>
        <v>1413028.0191938</v>
      </c>
      <c r="E103" s="89" t="n">
        <f aca="true">IF(E$5=0,D103,MAX(0,(D103-E$4)*(1+NORMINV(RAND(),INPUTS!$B$28,INPUTS!$B$29))))</f>
        <v>1368593.74644551</v>
      </c>
      <c r="F103" s="89" t="n">
        <f aca="true">IF(F$5=0,E103,MAX(0,(E103-F$4)*(1+NORMINV(RAND(),INPUTS!$B$28,INPUTS!$B$29))))</f>
        <v>1141251.75053729</v>
      </c>
      <c r="G103" s="89" t="n">
        <f aca="true">IF(G$5=0,F103,MAX(0,(F103-G$4)*(1+NORMINV(RAND(),INPUTS!$B$28,INPUTS!$B$29))))</f>
        <v>1050820.61744565</v>
      </c>
      <c r="H103" s="89" t="n">
        <f aca="true">IF(H$5=0,G103,MAX(0,(G103-H$4)*(1+NORMINV(RAND(),INPUTS!$B$28,INPUTS!$B$29))))</f>
        <v>999304.45980029</v>
      </c>
      <c r="I103" s="89" t="n">
        <f aca="true">IF(I$5=0,H103,MAX(0,(H103-I$4)*(1+NORMINV(RAND(),INPUTS!$B$28,INPUTS!$B$29))))</f>
        <v>990638.760761124</v>
      </c>
      <c r="J103" s="89" t="n">
        <f aca="true">IF(J$5=0,I103,MAX(0,(I103-J$4)*(1+NORMINV(RAND(),INPUTS!$B$28,INPUTS!$B$29))))</f>
        <v>1129314.99460618</v>
      </c>
      <c r="K103" s="89" t="n">
        <f aca="true">IF(K$5=0,J103,MAX(0,(J103-K$4)*(1+NORMINV(RAND(),INPUTS!$B$28,INPUTS!$B$29))))</f>
        <v>1042514.65168519</v>
      </c>
      <c r="L103" s="89" t="n">
        <f aca="true">IF(L$5=0,K103,MAX(0,(K103-L$4)*(1+NORMINV(RAND(),INPUTS!$B$28,INPUTS!$B$29))))</f>
        <v>1074306.39887068</v>
      </c>
      <c r="M103" s="89" t="n">
        <f aca="true">IF(M$5=0,L103,MAX(0,(L103-M$4)*(1+NORMINV(RAND(),INPUTS!$B$28,INPUTS!$B$29))))</f>
        <v>1169049.10525272</v>
      </c>
      <c r="N103" s="89" t="n">
        <f aca="true">IF(N$5=0,M103,MAX(0,(M103-N$4)*(1+NORMINV(RAND(),INPUTS!$B$28,INPUTS!$B$29))))</f>
        <v>1153583.97738687</v>
      </c>
      <c r="O103" s="89" t="n">
        <f aca="true">IF(O$5=0,N103,MAX(0,(N103-O$4)*(1+NORMINV(RAND(),INPUTS!$B$28,INPUTS!$B$29))))</f>
        <v>1210678.35738654</v>
      </c>
      <c r="P103" s="89" t="n">
        <f aca="true">IF(P$5=0,O103,MAX(0,(O103-P$4)*(1+NORMINV(RAND(),INPUTS!$B$28,INPUTS!$B$29))))</f>
        <v>1284399.77729444</v>
      </c>
      <c r="Q103" s="89" t="n">
        <f aca="true">IF(Q$5=0,P103,MAX(0,(P103-Q$4)*(1+NORMINV(RAND(),INPUTS!$B$28,INPUTS!$B$29))))</f>
        <v>1475697.23871054</v>
      </c>
      <c r="R103" s="89" t="n">
        <f aca="true">IF(R$5=0,Q103,MAX(0,(Q103-R$4)*(1+NORMINV(RAND(),INPUTS!$B$28,INPUTS!$B$29))))</f>
        <v>1429729.61289217</v>
      </c>
      <c r="S103" s="89" t="n">
        <f aca="true">IF(S$5=0,R103,MAX(0,(R103-S$4)*(1+NORMINV(RAND(),INPUTS!$B$28,INPUTS!$B$29))))</f>
        <v>1571347.08200284</v>
      </c>
      <c r="T103" s="89" t="n">
        <f aca="true">IF(T$5=0,S103,MAX(0,(S103-T$4)*(1+NORMINV(RAND(),INPUTS!$B$28,INPUTS!$B$29))))</f>
        <v>1993322.80654171</v>
      </c>
      <c r="U103" s="89" t="n">
        <f aca="true">IF(U$5=0,T103,MAX(0,(T103-U$4)*(1+NORMINV(RAND(),INPUTS!$B$28,INPUTS!$B$29))))</f>
        <v>2097869.03426495</v>
      </c>
      <c r="V103" s="89" t="n">
        <f aca="true">IF(V$5=0,U103,MAX(0,(U103-V$4)*(1+NORMINV(RAND(),INPUTS!$B$28,INPUTS!$B$29))))</f>
        <v>2196244.62139872</v>
      </c>
      <c r="W103" s="89" t="n">
        <f aca="true">IF(W$5=0,V103,MAX(0,(V103-W$4)*(1+NORMINV(RAND(),INPUTS!$B$28,INPUTS!$B$29))))</f>
        <v>2516721.13291368</v>
      </c>
      <c r="X103" s="89" t="n">
        <f aca="true">IF(X$5=0,W103,MAX(0,(W103-X$4)*(1+NORMINV(RAND(),INPUTS!$B$28,INPUTS!$B$29))))</f>
        <v>2363477.74441144</v>
      </c>
      <c r="Y103" s="89" t="n">
        <f aca="true">IF(Y$5=0,X103,MAX(0,(X103-Y$4)*(1+NORMINV(RAND(),INPUTS!$B$28,INPUTS!$B$29))))</f>
        <v>2190580.09415234</v>
      </c>
      <c r="Z103" s="89" t="n">
        <f aca="true">IF(Z$5=0,Y103,MAX(0,(Y103-Z$4)*(1+NORMINV(RAND(),INPUTS!$B$28,INPUTS!$B$29))))</f>
        <v>2071573.52148486</v>
      </c>
      <c r="AA103" s="89" t="n">
        <f aca="true">IF(AA$5=0,Z103,MAX(0,(Z103-AA$4)*(1+NORMINV(RAND(),INPUTS!$B$28,INPUTS!$B$29))))</f>
        <v>2094295.44379179</v>
      </c>
      <c r="AB103" s="89" t="n">
        <f aca="true">IF(AB$5=0,AA103,MAX(0,(AA103-AB$4)*(1+NORMINV(RAND(),INPUTS!$B$28,INPUTS!$B$29))))</f>
        <v>1942428.61921651</v>
      </c>
      <c r="AC103" s="89" t="n">
        <f aca="true">IF(AC$5=0,AB103,MAX(0,(AB103-AC$4)*(1+NORMINV(RAND(),INPUTS!$B$28,INPUTS!$B$29))))</f>
        <v>1869820.3095907</v>
      </c>
      <c r="AD103" s="89" t="n">
        <f aca="true">IF(AD$5=0,AC103,MAX(0,(AC103-AD$4)*(1+NORMINV(RAND(),INPUTS!$B$28,INPUTS!$B$29))))</f>
        <v>1644016.52478339</v>
      </c>
      <c r="AE103" s="89" t="n">
        <f aca="true">IF(AE$5=0,AD103,MAX(0,(AD103-AE$4)*(1+NORMINV(RAND(),INPUTS!$B$28,INPUTS!$B$29))))</f>
        <v>1678707.39384038</v>
      </c>
      <c r="AF103" s="89" t="n">
        <f aca="true">IF(AF$5=0,AE103,MAX(0,(AE103-AF$4)*(1+NORMINV(RAND(),INPUTS!$B$28,INPUTS!$B$29))))</f>
        <v>1410926.40198156</v>
      </c>
      <c r="AG103" s="89" t="n">
        <f aca="true">IF(AG$5=0,AF103,MAX(0,(AF103-AG$4)*(1+NORMINV(RAND(),INPUTS!$B$28,INPUTS!$B$29))))</f>
        <v>1361338.43219163</v>
      </c>
      <c r="AH103" s="89" t="n">
        <f aca="true">IF(AH$5=0,AG103,MAX(0,(AG103-AH$4)*(1+NORMINV(RAND(),INPUTS!$B$28,INPUTS!$B$29))))</f>
        <v>1402872.04862545</v>
      </c>
      <c r="AI103" s="89" t="n">
        <f aca="true">IF(AI$5=0,AH103,MAX(0,(AH103-AI$4)*(1+NORMINV(RAND(),INPUTS!$B$28,INPUTS!$B$29))))</f>
        <v>1729890.79694223</v>
      </c>
      <c r="AJ103" s="89" t="n">
        <f aca="true">IF(AJ$5=0,AI103,MAX(0,(AI103-AJ$4)*(1+NORMINV(RAND(),INPUTS!$B$28,INPUTS!$B$29))))</f>
        <v>1834959.42940341</v>
      </c>
      <c r="AK103" s="89" t="n">
        <f aca="true">IF(AK$5=0,AJ103,MAX(0,(AJ103-AK$4)*(1+NORMINV(RAND(),INPUTS!$B$28,INPUTS!$B$29))))</f>
        <v>1595458.32237995</v>
      </c>
      <c r="AL103" s="89" t="n">
        <f aca="true">IF(AL$5=0,AK103,MAX(0,(AK103-AL$4)*(1+NORMINV(RAND(),INPUTS!$B$28,INPUTS!$B$29))))</f>
        <v>1876812.11121644</v>
      </c>
      <c r="AM103" s="89" t="n">
        <f aca="true">IF(AM$5=0,AL103,MAX(0,(AL103-AM$4)*(1+NORMINV(RAND(),INPUTS!$B$28,INPUTS!$B$29))))</f>
        <v>1876812.11121644</v>
      </c>
      <c r="AN103" s="89" t="n">
        <f aca="true">IF(AN$5=0,AM103,MAX(0,(AM103-AN$4)*(1+NORMINV(RAND(),INPUTS!$B$28,INPUTS!$B$29))))</f>
        <v>1876812.11121644</v>
      </c>
      <c r="AO103" s="89" t="n">
        <f aca="true">IF(AO$5=0,AN103,MAX(0,(AN103-AO$4)*(1+NORMINV(RAND(),INPUTS!$B$28,INPUTS!$B$29))))</f>
        <v>1876812.11121644</v>
      </c>
      <c r="AP103" s="89" t="n">
        <f aca="true">IF(AP$5=0,AO103,MAX(0,(AO103-AP$4)*(1+NORMINV(RAND(),INPUTS!$B$28,INPUTS!$B$29))))</f>
        <v>1876812.11121644</v>
      </c>
      <c r="AQ103" s="89" t="n">
        <f aca="true">IF(AQ$5=0,AP103,MAX(0,(AP103-AQ$4)*(1+NORMINV(RAND(),INPUTS!$B$28,INPUTS!$B$29))))</f>
        <v>1876812.11121644</v>
      </c>
      <c r="AR103" s="89" t="n">
        <f aca="true">IF(AR$5=0,AQ103,MAX(0,(AQ103-AR$4)*(1+NORMINV(RAND(),INPUTS!$B$28,INPUTS!$B$29))))</f>
        <v>1876812.11121644</v>
      </c>
      <c r="AS103" s="89" t="n">
        <f aca="true">IF(AS$5=0,AR103,MAX(0,(AR103-AS$4)*(1+NORMINV(RAND(),INPUTS!$B$28,INPUTS!$B$29))))</f>
        <v>1876812.11121644</v>
      </c>
      <c r="AT103" s="89" t="n">
        <f aca="true">IF(AT$5=0,AS103,MAX(0,(AS103-AT$4)*(1+NORMINV(RAND(),INPUTS!$B$28,INPUTS!$B$29))))</f>
        <v>1876812.11121644</v>
      </c>
      <c r="AU103" s="89" t="n">
        <f aca="true">IF(AU$5=0,AT103,MAX(0,(AT103-AU$4)*(1+NORMINV(RAND(),INPUTS!$B$28,INPUTS!$B$29))))</f>
        <v>1876812.11121644</v>
      </c>
      <c r="AV103" s="89" t="n">
        <f aca="true">IF(AV$5=0,AU103,MAX(0,(AU103-AV$4)*(1+NORMINV(RAND(),INPUTS!$B$28,INPUTS!$B$29))))</f>
        <v>1876812.11121644</v>
      </c>
      <c r="AW103" s="89" t="n">
        <f aca="true">IF(AW$5=0,AV103,MAX(0,(AV103-AW$4)*(1+NORMINV(RAND(),INPUTS!$B$28,INPUTS!$B$29))))</f>
        <v>1876812.11121644</v>
      </c>
      <c r="AX103" s="89" t="n">
        <f aca="true">IF(AX$5=0,AW103,MAX(0,(AW103-AX$4)*(1+NORMINV(RAND(),INPUTS!$B$28,INPUTS!$B$29))))</f>
        <v>1876812.11121644</v>
      </c>
      <c r="AY103" s="89" t="n">
        <f aca="true">IF(AY$5=0,AX103,MAX(0,(AX103-AY$4)*(1+NORMINV(RAND(),INPUTS!$B$28,INPUTS!$B$29))))</f>
        <v>1876812.11121644</v>
      </c>
      <c r="AZ103" s="89" t="n">
        <f aca="true">IF(AZ$5=0,AY103,MAX(0,(AY103-AZ$4)*(1+NORMINV(RAND(),INPUTS!$B$28,INPUTS!$B$29))))</f>
        <v>1876812.11121644</v>
      </c>
      <c r="BA103" s="89" t="n">
        <f aca="true">IF(BA$5=0,AZ103,MAX(0,(AZ103-BA$4)*(1+NORMINV(RAND(),INPUTS!$B$28,INPUTS!$B$29))))</f>
        <v>1876812.11121644</v>
      </c>
      <c r="BB103" s="89" t="n">
        <f aca="true">IF(BB$5=0,BA103,MAX(0,(BA103-BB$4)*(1+NORMINV(RAND(),INPUTS!$B$28,INPUTS!$B$29))))</f>
        <v>1876812.11121644</v>
      </c>
      <c r="BC103" s="89" t="n">
        <f aca="true">IF(BC$5=0,BB103,MAX(0,(BB103-BC$4)*(1+NORMINV(RAND(),INPUTS!$B$28,INPUTS!$B$29))))</f>
        <v>1876812.11121644</v>
      </c>
      <c r="BD103" s="89" t="n">
        <f aca="true">IF(BD$5=0,BC103,MAX(0,(BC103-BD$4)*(1+NORMINV(RAND(),INPUTS!$B$28,INPUTS!$B$29))))</f>
        <v>1876812.11121644</v>
      </c>
      <c r="BE103" s="89" t="n">
        <f aca="true">IF(BE$5=0,BD103,MAX(0,(BD103-BE$4)*(1+NORMINV(RAND(),INPUTS!$B$28,INPUTS!$B$29))))</f>
        <v>1876812.11121644</v>
      </c>
      <c r="BF103" s="89" t="n">
        <f aca="true">IF(BF$5=0,BE103,MAX(0,(BE103-BF$4)*(1+NORMINV(RAND(),INPUTS!$B$28,INPUTS!$B$29))))</f>
        <v>1876812.11121644</v>
      </c>
      <c r="BG103" s="89" t="n">
        <f aca="true">IF(BG$5=0,BF103,MAX(0,(BF103-BG$4)*(1+NORMINV(RAND(),INPUTS!$B$28,INPUTS!$B$29))))</f>
        <v>1876812.11121644</v>
      </c>
      <c r="BH103" s="89" t="n">
        <f aca="true">IF(BH$5=0,BG103,MAX(0,(BG103-BH$4)*(1+NORMINV(RAND(),INPUTS!$B$28,INPUTS!$B$29))))</f>
        <v>1876812.11121644</v>
      </c>
      <c r="BI103" s="89" t="n">
        <f aca="true">IF(BI$5=0,BH103,MAX(0,(BH103-BI$4)*(1+NORMINV(RAND(),INPUTS!$B$28,INPUTS!$B$29))))</f>
        <v>1876812.11121644</v>
      </c>
      <c r="BJ103" s="89" t="n">
        <f aca="true">IF(BJ$5=0,BI103,MAX(0,(BI103-BJ$4)*(1+NORMINV(RAND(),INPUTS!$B$28,INPUTS!$B$29))))</f>
        <v>1876812.11121644</v>
      </c>
    </row>
    <row r="104" customFormat="false" ht="15" hidden="false" customHeight="true" outlineLevel="0" collapsed="false">
      <c r="A104" s="87" t="n">
        <v>97</v>
      </c>
      <c r="B104" s="88" t="n">
        <f aca="false">LOOKUP(9.99E+307,C104:BJ104)</f>
        <v>5740466.60393047</v>
      </c>
      <c r="C104" s="89" t="n">
        <f aca="true">IF(C$5=0,INPUTS!$B$35,MAX(0,(INPUTS!$B$35-C$4)*(1+NORMINV(RAND(),INPUTS!$B$28,INPUTS!$B$29))))</f>
        <v>1695154.98188552</v>
      </c>
      <c r="D104" s="89" t="n">
        <f aca="true">IF(D$5=0,C104,MAX(0,(C104-D$4)*(1+NORMINV(RAND(),INPUTS!$B$28,INPUTS!$B$29))))</f>
        <v>1707059.68537818</v>
      </c>
      <c r="E104" s="89" t="n">
        <f aca="true">IF(E$5=0,D104,MAX(0,(D104-E$4)*(1+NORMINV(RAND(),INPUTS!$B$28,INPUTS!$B$29))))</f>
        <v>2000880.08300364</v>
      </c>
      <c r="F104" s="89" t="n">
        <f aca="true">IF(F$5=0,E104,MAX(0,(E104-F$4)*(1+NORMINV(RAND(),INPUTS!$B$28,INPUTS!$B$29))))</f>
        <v>1893560.8913437</v>
      </c>
      <c r="G104" s="89" t="n">
        <f aca="true">IF(G$5=0,F104,MAX(0,(F104-G$4)*(1+NORMINV(RAND(),INPUTS!$B$28,INPUTS!$B$29))))</f>
        <v>2031461.07378012</v>
      </c>
      <c r="H104" s="89" t="n">
        <f aca="true">IF(H$5=0,G104,MAX(0,(G104-H$4)*(1+NORMINV(RAND(),INPUTS!$B$28,INPUTS!$B$29))))</f>
        <v>2116632.18572073</v>
      </c>
      <c r="I104" s="89" t="n">
        <f aca="true">IF(I$5=0,H104,MAX(0,(H104-I$4)*(1+NORMINV(RAND(),INPUTS!$B$28,INPUTS!$B$29))))</f>
        <v>1647734.32638116</v>
      </c>
      <c r="J104" s="89" t="n">
        <f aca="true">IF(J$5=0,I104,MAX(0,(I104-J$4)*(1+NORMINV(RAND(),INPUTS!$B$28,INPUTS!$B$29))))</f>
        <v>1651696.57983764</v>
      </c>
      <c r="K104" s="89" t="n">
        <f aca="true">IF(K$5=0,J104,MAX(0,(J104-K$4)*(1+NORMINV(RAND(),INPUTS!$B$28,INPUTS!$B$29))))</f>
        <v>1848797.17993389</v>
      </c>
      <c r="L104" s="89" t="n">
        <f aca="true">IF(L$5=0,K104,MAX(0,(K104-L$4)*(1+NORMINV(RAND(),INPUTS!$B$28,INPUTS!$B$29))))</f>
        <v>1989103.27119576</v>
      </c>
      <c r="M104" s="89" t="n">
        <f aca="true">IF(M$5=0,L104,MAX(0,(L104-M$4)*(1+NORMINV(RAND(),INPUTS!$B$28,INPUTS!$B$29))))</f>
        <v>2505018.82876811</v>
      </c>
      <c r="N104" s="89" t="n">
        <f aca="true">IF(N$5=0,M104,MAX(0,(M104-N$4)*(1+NORMINV(RAND(),INPUTS!$B$28,INPUTS!$B$29))))</f>
        <v>2660713.95155894</v>
      </c>
      <c r="O104" s="89" t="n">
        <f aca="true">IF(O$5=0,N104,MAX(0,(N104-O$4)*(1+NORMINV(RAND(),INPUTS!$B$28,INPUTS!$B$29))))</f>
        <v>2663863.57260666</v>
      </c>
      <c r="P104" s="89" t="n">
        <f aca="true">IF(P$5=0,O104,MAX(0,(O104-P$4)*(1+NORMINV(RAND(),INPUTS!$B$28,INPUTS!$B$29))))</f>
        <v>2933631.22242458</v>
      </c>
      <c r="Q104" s="89" t="n">
        <f aca="true">IF(Q$5=0,P104,MAX(0,(P104-Q$4)*(1+NORMINV(RAND(),INPUTS!$B$28,INPUTS!$B$29))))</f>
        <v>3010398.48666313</v>
      </c>
      <c r="R104" s="89" t="n">
        <f aca="true">IF(R$5=0,Q104,MAX(0,(Q104-R$4)*(1+NORMINV(RAND(),INPUTS!$B$28,INPUTS!$B$29))))</f>
        <v>3285587.49977158</v>
      </c>
      <c r="S104" s="89" t="n">
        <f aca="true">IF(S$5=0,R104,MAX(0,(R104-S$4)*(1+NORMINV(RAND(),INPUTS!$B$28,INPUTS!$B$29))))</f>
        <v>4249580.1628834</v>
      </c>
      <c r="T104" s="89" t="n">
        <f aca="true">IF(T$5=0,S104,MAX(0,(S104-T$4)*(1+NORMINV(RAND(),INPUTS!$B$28,INPUTS!$B$29))))</f>
        <v>4879467.15239996</v>
      </c>
      <c r="U104" s="89" t="n">
        <f aca="true">IF(U$5=0,T104,MAX(0,(T104-U$4)*(1+NORMINV(RAND(),INPUTS!$B$28,INPUTS!$B$29))))</f>
        <v>4490056.57100333</v>
      </c>
      <c r="V104" s="89" t="n">
        <f aca="true">IF(V$5=0,U104,MAX(0,(U104-V$4)*(1+NORMINV(RAND(),INPUTS!$B$28,INPUTS!$B$29))))</f>
        <v>4494297.96867369</v>
      </c>
      <c r="W104" s="89" t="n">
        <f aca="true">IF(W$5=0,V104,MAX(0,(V104-W$4)*(1+NORMINV(RAND(),INPUTS!$B$28,INPUTS!$B$29))))</f>
        <v>4764575.22616462</v>
      </c>
      <c r="X104" s="89" t="n">
        <f aca="true">IF(X$5=0,W104,MAX(0,(W104-X$4)*(1+NORMINV(RAND(),INPUTS!$B$28,INPUTS!$B$29))))</f>
        <v>5242313.60297885</v>
      </c>
      <c r="Y104" s="89" t="n">
        <f aca="true">IF(Y$5=0,X104,MAX(0,(X104-Y$4)*(1+NORMINV(RAND(),INPUTS!$B$28,INPUTS!$B$29))))</f>
        <v>5979659.8413278</v>
      </c>
      <c r="Z104" s="89" t="n">
        <f aca="true">IF(Z$5=0,Y104,MAX(0,(Y104-Z$4)*(1+NORMINV(RAND(),INPUTS!$B$28,INPUTS!$B$29))))</f>
        <v>6143510.44163025</v>
      </c>
      <c r="AA104" s="89" t="n">
        <f aca="true">IF(AA$5=0,Z104,MAX(0,(Z104-AA$4)*(1+NORMINV(RAND(),INPUTS!$B$28,INPUTS!$B$29))))</f>
        <v>5890153.97833147</v>
      </c>
      <c r="AB104" s="89" t="n">
        <f aca="true">IF(AB$5=0,AA104,MAX(0,(AA104-AB$4)*(1+NORMINV(RAND(),INPUTS!$B$28,INPUTS!$B$29))))</f>
        <v>5171494.72591422</v>
      </c>
      <c r="AC104" s="89" t="n">
        <f aca="true">IF(AC$5=0,AB104,MAX(0,(AB104-AC$4)*(1+NORMINV(RAND(),INPUTS!$B$28,INPUTS!$B$29))))</f>
        <v>5447722.49476882</v>
      </c>
      <c r="AD104" s="89" t="n">
        <f aca="true">IF(AD$5=0,AC104,MAX(0,(AC104-AD$4)*(1+NORMINV(RAND(),INPUTS!$B$28,INPUTS!$B$29))))</f>
        <v>4827674.15726983</v>
      </c>
      <c r="AE104" s="89" t="n">
        <f aca="true">IF(AE$5=0,AD104,MAX(0,(AD104-AE$4)*(1+NORMINV(RAND(),INPUTS!$B$28,INPUTS!$B$29))))</f>
        <v>5188121.68449538</v>
      </c>
      <c r="AF104" s="89" t="n">
        <f aca="true">IF(AF$5=0,AE104,MAX(0,(AE104-AF$4)*(1+NORMINV(RAND(),INPUTS!$B$28,INPUTS!$B$29))))</f>
        <v>5982610.07848365</v>
      </c>
      <c r="AG104" s="89" t="n">
        <f aca="true">IF(AG$5=0,AF104,MAX(0,(AF104-AG$4)*(1+NORMINV(RAND(),INPUTS!$B$28,INPUTS!$B$29))))</f>
        <v>5324237.45993123</v>
      </c>
      <c r="AH104" s="89" t="n">
        <f aca="true">IF(AH$5=0,AG104,MAX(0,(AG104-AH$4)*(1+NORMINV(RAND(),INPUTS!$B$28,INPUTS!$B$29))))</f>
        <v>6084818.72765663</v>
      </c>
      <c r="AI104" s="89" t="n">
        <f aca="true">IF(AI$5=0,AH104,MAX(0,(AH104-AI$4)*(1+NORMINV(RAND(),INPUTS!$B$28,INPUTS!$B$29))))</f>
        <v>5878813.59650337</v>
      </c>
      <c r="AJ104" s="89" t="n">
        <f aca="true">IF(AJ$5=0,AI104,MAX(0,(AI104-AJ$4)*(1+NORMINV(RAND(),INPUTS!$B$28,INPUTS!$B$29))))</f>
        <v>5766502.65725496</v>
      </c>
      <c r="AK104" s="89" t="n">
        <f aca="true">IF(AK$5=0,AJ104,MAX(0,(AJ104-AK$4)*(1+NORMINV(RAND(),INPUTS!$B$28,INPUTS!$B$29))))</f>
        <v>6248861.15514046</v>
      </c>
      <c r="AL104" s="89" t="n">
        <f aca="true">IF(AL$5=0,AK104,MAX(0,(AK104-AL$4)*(1+NORMINV(RAND(),INPUTS!$B$28,INPUTS!$B$29))))</f>
        <v>5740466.60393047</v>
      </c>
      <c r="AM104" s="89" t="n">
        <f aca="true">IF(AM$5=0,AL104,MAX(0,(AL104-AM$4)*(1+NORMINV(RAND(),INPUTS!$B$28,INPUTS!$B$29))))</f>
        <v>5740466.60393047</v>
      </c>
      <c r="AN104" s="89" t="n">
        <f aca="true">IF(AN$5=0,AM104,MAX(0,(AM104-AN$4)*(1+NORMINV(RAND(),INPUTS!$B$28,INPUTS!$B$29))))</f>
        <v>5740466.60393047</v>
      </c>
      <c r="AO104" s="89" t="n">
        <f aca="true">IF(AO$5=0,AN104,MAX(0,(AN104-AO$4)*(1+NORMINV(RAND(),INPUTS!$B$28,INPUTS!$B$29))))</f>
        <v>5740466.60393047</v>
      </c>
      <c r="AP104" s="89" t="n">
        <f aca="true">IF(AP$5=0,AO104,MAX(0,(AO104-AP$4)*(1+NORMINV(RAND(),INPUTS!$B$28,INPUTS!$B$29))))</f>
        <v>5740466.60393047</v>
      </c>
      <c r="AQ104" s="89" t="n">
        <f aca="true">IF(AQ$5=0,AP104,MAX(0,(AP104-AQ$4)*(1+NORMINV(RAND(),INPUTS!$B$28,INPUTS!$B$29))))</f>
        <v>5740466.60393047</v>
      </c>
      <c r="AR104" s="89" t="n">
        <f aca="true">IF(AR$5=0,AQ104,MAX(0,(AQ104-AR$4)*(1+NORMINV(RAND(),INPUTS!$B$28,INPUTS!$B$29))))</f>
        <v>5740466.60393047</v>
      </c>
      <c r="AS104" s="89" t="n">
        <f aca="true">IF(AS$5=0,AR104,MAX(0,(AR104-AS$4)*(1+NORMINV(RAND(),INPUTS!$B$28,INPUTS!$B$29))))</f>
        <v>5740466.60393047</v>
      </c>
      <c r="AT104" s="89" t="n">
        <f aca="true">IF(AT$5=0,AS104,MAX(0,(AS104-AT$4)*(1+NORMINV(RAND(),INPUTS!$B$28,INPUTS!$B$29))))</f>
        <v>5740466.60393047</v>
      </c>
      <c r="AU104" s="89" t="n">
        <f aca="true">IF(AU$5=0,AT104,MAX(0,(AT104-AU$4)*(1+NORMINV(RAND(),INPUTS!$B$28,INPUTS!$B$29))))</f>
        <v>5740466.60393047</v>
      </c>
      <c r="AV104" s="89" t="n">
        <f aca="true">IF(AV$5=0,AU104,MAX(0,(AU104-AV$4)*(1+NORMINV(RAND(),INPUTS!$B$28,INPUTS!$B$29))))</f>
        <v>5740466.60393047</v>
      </c>
      <c r="AW104" s="89" t="n">
        <f aca="true">IF(AW$5=0,AV104,MAX(0,(AV104-AW$4)*(1+NORMINV(RAND(),INPUTS!$B$28,INPUTS!$B$29))))</f>
        <v>5740466.60393047</v>
      </c>
      <c r="AX104" s="89" t="n">
        <f aca="true">IF(AX$5=0,AW104,MAX(0,(AW104-AX$4)*(1+NORMINV(RAND(),INPUTS!$B$28,INPUTS!$B$29))))</f>
        <v>5740466.60393047</v>
      </c>
      <c r="AY104" s="89" t="n">
        <f aca="true">IF(AY$5=0,AX104,MAX(0,(AX104-AY$4)*(1+NORMINV(RAND(),INPUTS!$B$28,INPUTS!$B$29))))</f>
        <v>5740466.60393047</v>
      </c>
      <c r="AZ104" s="89" t="n">
        <f aca="true">IF(AZ$5=0,AY104,MAX(0,(AY104-AZ$4)*(1+NORMINV(RAND(),INPUTS!$B$28,INPUTS!$B$29))))</f>
        <v>5740466.60393047</v>
      </c>
      <c r="BA104" s="89" t="n">
        <f aca="true">IF(BA$5=0,AZ104,MAX(0,(AZ104-BA$4)*(1+NORMINV(RAND(),INPUTS!$B$28,INPUTS!$B$29))))</f>
        <v>5740466.60393047</v>
      </c>
      <c r="BB104" s="89" t="n">
        <f aca="true">IF(BB$5=0,BA104,MAX(0,(BA104-BB$4)*(1+NORMINV(RAND(),INPUTS!$B$28,INPUTS!$B$29))))</f>
        <v>5740466.60393047</v>
      </c>
      <c r="BC104" s="89" t="n">
        <f aca="true">IF(BC$5=0,BB104,MAX(0,(BB104-BC$4)*(1+NORMINV(RAND(),INPUTS!$B$28,INPUTS!$B$29))))</f>
        <v>5740466.60393047</v>
      </c>
      <c r="BD104" s="89" t="n">
        <f aca="true">IF(BD$5=0,BC104,MAX(0,(BC104-BD$4)*(1+NORMINV(RAND(),INPUTS!$B$28,INPUTS!$B$29))))</f>
        <v>5740466.60393047</v>
      </c>
      <c r="BE104" s="89" t="n">
        <f aca="true">IF(BE$5=0,BD104,MAX(0,(BD104-BE$4)*(1+NORMINV(RAND(),INPUTS!$B$28,INPUTS!$B$29))))</f>
        <v>5740466.60393047</v>
      </c>
      <c r="BF104" s="89" t="n">
        <f aca="true">IF(BF$5=0,BE104,MAX(0,(BE104-BF$4)*(1+NORMINV(RAND(),INPUTS!$B$28,INPUTS!$B$29))))</f>
        <v>5740466.60393047</v>
      </c>
      <c r="BG104" s="89" t="n">
        <f aca="true">IF(BG$5=0,BF104,MAX(0,(BF104-BG$4)*(1+NORMINV(RAND(),INPUTS!$B$28,INPUTS!$B$29))))</f>
        <v>5740466.60393047</v>
      </c>
      <c r="BH104" s="89" t="n">
        <f aca="true">IF(BH$5=0,BG104,MAX(0,(BG104-BH$4)*(1+NORMINV(RAND(),INPUTS!$B$28,INPUTS!$B$29))))</f>
        <v>5740466.60393047</v>
      </c>
      <c r="BI104" s="89" t="n">
        <f aca="true">IF(BI$5=0,BH104,MAX(0,(BH104-BI$4)*(1+NORMINV(RAND(),INPUTS!$B$28,INPUTS!$B$29))))</f>
        <v>5740466.60393047</v>
      </c>
      <c r="BJ104" s="89" t="n">
        <f aca="true">IF(BJ$5=0,BI104,MAX(0,(BI104-BJ$4)*(1+NORMINV(RAND(),INPUTS!$B$28,INPUTS!$B$29))))</f>
        <v>5740466.60393047</v>
      </c>
    </row>
    <row r="105" customFormat="false" ht="15" hidden="false" customHeight="true" outlineLevel="0" collapsed="false">
      <c r="A105" s="87" t="n">
        <v>98</v>
      </c>
      <c r="B105" s="88" t="n">
        <f aca="false">LOOKUP(9.99E+307,C105:BJ105)</f>
        <v>23002857.874991</v>
      </c>
      <c r="C105" s="89" t="n">
        <f aca="true">IF(C$5=0,INPUTS!$B$35,MAX(0,(INPUTS!$B$35-C$4)*(1+NORMINV(RAND(),INPUTS!$B$28,INPUTS!$B$29))))</f>
        <v>1365777.39425725</v>
      </c>
      <c r="D105" s="89" t="n">
        <f aca="true">IF(D$5=0,C105,MAX(0,(C105-D$4)*(1+NORMINV(RAND(),INPUTS!$B$28,INPUTS!$B$29))))</f>
        <v>1313198.91271346</v>
      </c>
      <c r="E105" s="89" t="n">
        <f aca="true">IF(E$5=0,D105,MAX(0,(D105-E$4)*(1+NORMINV(RAND(),INPUTS!$B$28,INPUTS!$B$29))))</f>
        <v>1670694.65162398</v>
      </c>
      <c r="F105" s="89" t="n">
        <f aca="true">IF(F$5=0,E105,MAX(0,(E105-F$4)*(1+NORMINV(RAND(),INPUTS!$B$28,INPUTS!$B$29))))</f>
        <v>1765737.18155056</v>
      </c>
      <c r="G105" s="89" t="n">
        <f aca="true">IF(G$5=0,F105,MAX(0,(F105-G$4)*(1+NORMINV(RAND(),INPUTS!$B$28,INPUTS!$B$29))))</f>
        <v>1520544.11286537</v>
      </c>
      <c r="H105" s="89" t="n">
        <f aca="true">IF(H$5=0,G105,MAX(0,(G105-H$4)*(1+NORMINV(RAND(),INPUTS!$B$28,INPUTS!$B$29))))</f>
        <v>1696081.9680884</v>
      </c>
      <c r="I105" s="89" t="n">
        <f aca="true">IF(I$5=0,H105,MAX(0,(H105-I$4)*(1+NORMINV(RAND(),INPUTS!$B$28,INPUTS!$B$29))))</f>
        <v>2082007.43468582</v>
      </c>
      <c r="J105" s="89" t="n">
        <f aca="true">IF(J$5=0,I105,MAX(0,(I105-J$4)*(1+NORMINV(RAND(),INPUTS!$B$28,INPUTS!$B$29))))</f>
        <v>2587556.6419545</v>
      </c>
      <c r="K105" s="89" t="n">
        <f aca="true">IF(K$5=0,J105,MAX(0,(J105-K$4)*(1+NORMINV(RAND(),INPUTS!$B$28,INPUTS!$B$29))))</f>
        <v>2412277.41964722</v>
      </c>
      <c r="L105" s="89" t="n">
        <f aca="true">IF(L$5=0,K105,MAX(0,(K105-L$4)*(1+NORMINV(RAND(),INPUTS!$B$28,INPUTS!$B$29))))</f>
        <v>2169381.43754167</v>
      </c>
      <c r="M105" s="89" t="n">
        <f aca="true">IF(M$5=0,L105,MAX(0,(L105-M$4)*(1+NORMINV(RAND(),INPUTS!$B$28,INPUTS!$B$29))))</f>
        <v>2347997.68449844</v>
      </c>
      <c r="N105" s="89" t="n">
        <f aca="true">IF(N$5=0,M105,MAX(0,(M105-N$4)*(1+NORMINV(RAND(),INPUTS!$B$28,INPUTS!$B$29))))</f>
        <v>2664045.1716995</v>
      </c>
      <c r="O105" s="89" t="n">
        <f aca="true">IF(O$5=0,N105,MAX(0,(N105-O$4)*(1+NORMINV(RAND(),INPUTS!$B$28,INPUTS!$B$29))))</f>
        <v>3033897.46983438</v>
      </c>
      <c r="P105" s="89" t="n">
        <f aca="true">IF(P$5=0,O105,MAX(0,(O105-P$4)*(1+NORMINV(RAND(),INPUTS!$B$28,INPUTS!$B$29))))</f>
        <v>3010933.15093975</v>
      </c>
      <c r="Q105" s="89" t="n">
        <f aca="true">IF(Q$5=0,P105,MAX(0,(P105-Q$4)*(1+NORMINV(RAND(),INPUTS!$B$28,INPUTS!$B$29))))</f>
        <v>3383055.57274161</v>
      </c>
      <c r="R105" s="89" t="n">
        <f aca="true">IF(R$5=0,Q105,MAX(0,(Q105-R$4)*(1+NORMINV(RAND(),INPUTS!$B$28,INPUTS!$B$29))))</f>
        <v>3958453.90785584</v>
      </c>
      <c r="S105" s="89" t="n">
        <f aca="true">IF(S$5=0,R105,MAX(0,(R105-S$4)*(1+NORMINV(RAND(),INPUTS!$B$28,INPUTS!$B$29))))</f>
        <v>4517380.43805218</v>
      </c>
      <c r="T105" s="89" t="n">
        <f aca="true">IF(T$5=0,S105,MAX(0,(S105-T$4)*(1+NORMINV(RAND(),INPUTS!$B$28,INPUTS!$B$29))))</f>
        <v>4375163.69674752</v>
      </c>
      <c r="U105" s="89" t="n">
        <f aca="true">IF(U$5=0,T105,MAX(0,(T105-U$4)*(1+NORMINV(RAND(),INPUTS!$B$28,INPUTS!$B$29))))</f>
        <v>5438749.01221659</v>
      </c>
      <c r="V105" s="89" t="n">
        <f aca="true">IF(V$5=0,U105,MAX(0,(U105-V$4)*(1+NORMINV(RAND(),INPUTS!$B$28,INPUTS!$B$29))))</f>
        <v>6729944.6672642</v>
      </c>
      <c r="W105" s="89" t="n">
        <f aca="true">IF(W$5=0,V105,MAX(0,(V105-W$4)*(1+NORMINV(RAND(),INPUTS!$B$28,INPUTS!$B$29))))</f>
        <v>7638191.49590178</v>
      </c>
      <c r="X105" s="89" t="n">
        <f aca="true">IF(X$5=0,W105,MAX(0,(W105-X$4)*(1+NORMINV(RAND(),INPUTS!$B$28,INPUTS!$B$29))))</f>
        <v>9590816.23254915</v>
      </c>
      <c r="Y105" s="89" t="n">
        <f aca="true">IF(Y$5=0,X105,MAX(0,(X105-Y$4)*(1+NORMINV(RAND(),INPUTS!$B$28,INPUTS!$B$29))))</f>
        <v>10888567.9941507</v>
      </c>
      <c r="Z105" s="89" t="n">
        <f aca="true">IF(Z$5=0,Y105,MAX(0,(Y105-Z$4)*(1+NORMINV(RAND(),INPUTS!$B$28,INPUTS!$B$29))))</f>
        <v>10891131.7885309</v>
      </c>
      <c r="AA105" s="89" t="n">
        <f aca="true">IF(AA$5=0,Z105,MAX(0,(Z105-AA$4)*(1+NORMINV(RAND(),INPUTS!$B$28,INPUTS!$B$29))))</f>
        <v>9044002.12245642</v>
      </c>
      <c r="AB105" s="89" t="n">
        <f aca="true">IF(AB$5=0,AA105,MAX(0,(AA105-AB$4)*(1+NORMINV(RAND(),INPUTS!$B$28,INPUTS!$B$29))))</f>
        <v>11065906.7607158</v>
      </c>
      <c r="AC105" s="89" t="n">
        <f aca="true">IF(AC$5=0,AB105,MAX(0,(AB105-AC$4)*(1+NORMINV(RAND(),INPUTS!$B$28,INPUTS!$B$29))))</f>
        <v>13984540.6255433</v>
      </c>
      <c r="AD105" s="89" t="n">
        <f aca="true">IF(AD$5=0,AC105,MAX(0,(AC105-AD$4)*(1+NORMINV(RAND(),INPUTS!$B$28,INPUTS!$B$29))))</f>
        <v>14922340.4539164</v>
      </c>
      <c r="AE105" s="89" t="n">
        <f aca="true">IF(AE$5=0,AD105,MAX(0,(AD105-AE$4)*(1+NORMINV(RAND(),INPUTS!$B$28,INPUTS!$B$29))))</f>
        <v>14568235.5410776</v>
      </c>
      <c r="AF105" s="89" t="n">
        <f aca="true">IF(AF$5=0,AE105,MAX(0,(AE105-AF$4)*(1+NORMINV(RAND(),INPUTS!$B$28,INPUTS!$B$29))))</f>
        <v>18118239.3532198</v>
      </c>
      <c r="AG105" s="89" t="n">
        <f aca="true">IF(AG$5=0,AF105,MAX(0,(AF105-AG$4)*(1+NORMINV(RAND(),INPUTS!$B$28,INPUTS!$B$29))))</f>
        <v>15362784.0427578</v>
      </c>
      <c r="AH105" s="89" t="n">
        <f aca="true">IF(AH$5=0,AG105,MAX(0,(AG105-AH$4)*(1+NORMINV(RAND(),INPUTS!$B$28,INPUTS!$B$29))))</f>
        <v>19874235.2189805</v>
      </c>
      <c r="AI105" s="89" t="n">
        <f aca="true">IF(AI$5=0,AH105,MAX(0,(AH105-AI$4)*(1+NORMINV(RAND(),INPUTS!$B$28,INPUTS!$B$29))))</f>
        <v>21718607.263924</v>
      </c>
      <c r="AJ105" s="89" t="n">
        <f aca="true">IF(AJ$5=0,AI105,MAX(0,(AI105-AJ$4)*(1+NORMINV(RAND(),INPUTS!$B$28,INPUTS!$B$29))))</f>
        <v>19791495.8996934</v>
      </c>
      <c r="AK105" s="89" t="n">
        <f aca="true">IF(AK$5=0,AJ105,MAX(0,(AJ105-AK$4)*(1+NORMINV(RAND(),INPUTS!$B$28,INPUTS!$B$29))))</f>
        <v>21891991.5960313</v>
      </c>
      <c r="AL105" s="89" t="n">
        <f aca="true">IF(AL$5=0,AK105,MAX(0,(AK105-AL$4)*(1+NORMINV(RAND(),INPUTS!$B$28,INPUTS!$B$29))))</f>
        <v>23002857.874991</v>
      </c>
      <c r="AM105" s="89" t="n">
        <f aca="true">IF(AM$5=0,AL105,MAX(0,(AL105-AM$4)*(1+NORMINV(RAND(),INPUTS!$B$28,INPUTS!$B$29))))</f>
        <v>23002857.874991</v>
      </c>
      <c r="AN105" s="89" t="n">
        <f aca="true">IF(AN$5=0,AM105,MAX(0,(AM105-AN$4)*(1+NORMINV(RAND(),INPUTS!$B$28,INPUTS!$B$29))))</f>
        <v>23002857.874991</v>
      </c>
      <c r="AO105" s="89" t="n">
        <f aca="true">IF(AO$5=0,AN105,MAX(0,(AN105-AO$4)*(1+NORMINV(RAND(),INPUTS!$B$28,INPUTS!$B$29))))</f>
        <v>23002857.874991</v>
      </c>
      <c r="AP105" s="89" t="n">
        <f aca="true">IF(AP$5=0,AO105,MAX(0,(AO105-AP$4)*(1+NORMINV(RAND(),INPUTS!$B$28,INPUTS!$B$29))))</f>
        <v>23002857.874991</v>
      </c>
      <c r="AQ105" s="89" t="n">
        <f aca="true">IF(AQ$5=0,AP105,MAX(0,(AP105-AQ$4)*(1+NORMINV(RAND(),INPUTS!$B$28,INPUTS!$B$29))))</f>
        <v>23002857.874991</v>
      </c>
      <c r="AR105" s="89" t="n">
        <f aca="true">IF(AR$5=0,AQ105,MAX(0,(AQ105-AR$4)*(1+NORMINV(RAND(),INPUTS!$B$28,INPUTS!$B$29))))</f>
        <v>23002857.874991</v>
      </c>
      <c r="AS105" s="89" t="n">
        <f aca="true">IF(AS$5=0,AR105,MAX(0,(AR105-AS$4)*(1+NORMINV(RAND(),INPUTS!$B$28,INPUTS!$B$29))))</f>
        <v>23002857.874991</v>
      </c>
      <c r="AT105" s="89" t="n">
        <f aca="true">IF(AT$5=0,AS105,MAX(0,(AS105-AT$4)*(1+NORMINV(RAND(),INPUTS!$B$28,INPUTS!$B$29))))</f>
        <v>23002857.874991</v>
      </c>
      <c r="AU105" s="89" t="n">
        <f aca="true">IF(AU$5=0,AT105,MAX(0,(AT105-AU$4)*(1+NORMINV(RAND(),INPUTS!$B$28,INPUTS!$B$29))))</f>
        <v>23002857.874991</v>
      </c>
      <c r="AV105" s="89" t="n">
        <f aca="true">IF(AV$5=0,AU105,MAX(0,(AU105-AV$4)*(1+NORMINV(RAND(),INPUTS!$B$28,INPUTS!$B$29))))</f>
        <v>23002857.874991</v>
      </c>
      <c r="AW105" s="89" t="n">
        <f aca="true">IF(AW$5=0,AV105,MAX(0,(AV105-AW$4)*(1+NORMINV(RAND(),INPUTS!$B$28,INPUTS!$B$29))))</f>
        <v>23002857.874991</v>
      </c>
      <c r="AX105" s="89" t="n">
        <f aca="true">IF(AX$5=0,AW105,MAX(0,(AW105-AX$4)*(1+NORMINV(RAND(),INPUTS!$B$28,INPUTS!$B$29))))</f>
        <v>23002857.874991</v>
      </c>
      <c r="AY105" s="89" t="n">
        <f aca="true">IF(AY$5=0,AX105,MAX(0,(AX105-AY$4)*(1+NORMINV(RAND(),INPUTS!$B$28,INPUTS!$B$29))))</f>
        <v>23002857.874991</v>
      </c>
      <c r="AZ105" s="89" t="n">
        <f aca="true">IF(AZ$5=0,AY105,MAX(0,(AY105-AZ$4)*(1+NORMINV(RAND(),INPUTS!$B$28,INPUTS!$B$29))))</f>
        <v>23002857.874991</v>
      </c>
      <c r="BA105" s="89" t="n">
        <f aca="true">IF(BA$5=0,AZ105,MAX(0,(AZ105-BA$4)*(1+NORMINV(RAND(),INPUTS!$B$28,INPUTS!$B$29))))</f>
        <v>23002857.874991</v>
      </c>
      <c r="BB105" s="89" t="n">
        <f aca="true">IF(BB$5=0,BA105,MAX(0,(BA105-BB$4)*(1+NORMINV(RAND(),INPUTS!$B$28,INPUTS!$B$29))))</f>
        <v>23002857.874991</v>
      </c>
      <c r="BC105" s="89" t="n">
        <f aca="true">IF(BC$5=0,BB105,MAX(0,(BB105-BC$4)*(1+NORMINV(RAND(),INPUTS!$B$28,INPUTS!$B$29))))</f>
        <v>23002857.874991</v>
      </c>
      <c r="BD105" s="89" t="n">
        <f aca="true">IF(BD$5=0,BC105,MAX(0,(BC105-BD$4)*(1+NORMINV(RAND(),INPUTS!$B$28,INPUTS!$B$29))))</f>
        <v>23002857.874991</v>
      </c>
      <c r="BE105" s="89" t="n">
        <f aca="true">IF(BE$5=0,BD105,MAX(0,(BD105-BE$4)*(1+NORMINV(RAND(),INPUTS!$B$28,INPUTS!$B$29))))</f>
        <v>23002857.874991</v>
      </c>
      <c r="BF105" s="89" t="n">
        <f aca="true">IF(BF$5=0,BE105,MAX(0,(BE105-BF$4)*(1+NORMINV(RAND(),INPUTS!$B$28,INPUTS!$B$29))))</f>
        <v>23002857.874991</v>
      </c>
      <c r="BG105" s="89" t="n">
        <f aca="true">IF(BG$5=0,BF105,MAX(0,(BF105-BG$4)*(1+NORMINV(RAND(),INPUTS!$B$28,INPUTS!$B$29))))</f>
        <v>23002857.874991</v>
      </c>
      <c r="BH105" s="89" t="n">
        <f aca="true">IF(BH$5=0,BG105,MAX(0,(BG105-BH$4)*(1+NORMINV(RAND(),INPUTS!$B$28,INPUTS!$B$29))))</f>
        <v>23002857.874991</v>
      </c>
      <c r="BI105" s="89" t="n">
        <f aca="true">IF(BI$5=0,BH105,MAX(0,(BH105-BI$4)*(1+NORMINV(RAND(),INPUTS!$B$28,INPUTS!$B$29))))</f>
        <v>23002857.874991</v>
      </c>
      <c r="BJ105" s="89" t="n">
        <f aca="true">IF(BJ$5=0,BI105,MAX(0,(BI105-BJ$4)*(1+NORMINV(RAND(),INPUTS!$B$28,INPUTS!$B$29))))</f>
        <v>23002857.874991</v>
      </c>
    </row>
    <row r="106" customFormat="false" ht="15" hidden="false" customHeight="true" outlineLevel="0" collapsed="false">
      <c r="A106" s="87" t="n">
        <v>99</v>
      </c>
      <c r="B106" s="88" t="n">
        <f aca="false">LOOKUP(9.99E+307,C106:BJ106)</f>
        <v>4394088.3121833</v>
      </c>
      <c r="C106" s="89" t="n">
        <f aca="true">IF(C$5=0,INPUTS!$B$35,MAX(0,(INPUTS!$B$35-C$4)*(1+NORMINV(RAND(),INPUTS!$B$28,INPUTS!$B$29))))</f>
        <v>1473766.82439617</v>
      </c>
      <c r="D106" s="89" t="n">
        <f aca="true">IF(D$5=0,C106,MAX(0,(C106-D$4)*(1+NORMINV(RAND(),INPUTS!$B$28,INPUTS!$B$29))))</f>
        <v>1226442.89015313</v>
      </c>
      <c r="E106" s="89" t="n">
        <f aca="true">IF(E$5=0,D106,MAX(0,(D106-E$4)*(1+NORMINV(RAND(),INPUTS!$B$28,INPUTS!$B$29))))</f>
        <v>1356713.24809469</v>
      </c>
      <c r="F106" s="89" t="n">
        <f aca="true">IF(F$5=0,E106,MAX(0,(E106-F$4)*(1+NORMINV(RAND(),INPUTS!$B$28,INPUTS!$B$29))))</f>
        <v>1539243.01338151</v>
      </c>
      <c r="G106" s="89" t="n">
        <f aca="true">IF(G$5=0,F106,MAX(0,(F106-G$4)*(1+NORMINV(RAND(),INPUTS!$B$28,INPUTS!$B$29))))</f>
        <v>1615019.38636979</v>
      </c>
      <c r="H106" s="89" t="n">
        <f aca="true">IF(H$5=0,G106,MAX(0,(G106-H$4)*(1+NORMINV(RAND(),INPUTS!$B$28,INPUTS!$B$29))))</f>
        <v>1886711.32771386</v>
      </c>
      <c r="I106" s="89" t="n">
        <f aca="true">IF(I$5=0,H106,MAX(0,(H106-I$4)*(1+NORMINV(RAND(),INPUTS!$B$28,INPUTS!$B$29))))</f>
        <v>1480964.85805492</v>
      </c>
      <c r="J106" s="89" t="n">
        <f aca="true">IF(J$5=0,I106,MAX(0,(I106-J$4)*(1+NORMINV(RAND(),INPUTS!$B$28,INPUTS!$B$29))))</f>
        <v>1446849.84357269</v>
      </c>
      <c r="K106" s="89" t="n">
        <f aca="true">IF(K$5=0,J106,MAX(0,(J106-K$4)*(1+NORMINV(RAND(),INPUTS!$B$28,INPUTS!$B$29))))</f>
        <v>1528082.08993904</v>
      </c>
      <c r="L106" s="89" t="n">
        <f aca="true">IF(L$5=0,K106,MAX(0,(K106-L$4)*(1+NORMINV(RAND(),INPUTS!$B$28,INPUTS!$B$29))))</f>
        <v>1675019.62875925</v>
      </c>
      <c r="M106" s="89" t="n">
        <f aca="true">IF(M$5=0,L106,MAX(0,(L106-M$4)*(1+NORMINV(RAND(),INPUTS!$B$28,INPUTS!$B$29))))</f>
        <v>1770658.05280702</v>
      </c>
      <c r="N106" s="89" t="n">
        <f aca="true">IF(N$5=0,M106,MAX(0,(M106-N$4)*(1+NORMINV(RAND(),INPUTS!$B$28,INPUTS!$B$29))))</f>
        <v>1774583.42064252</v>
      </c>
      <c r="O106" s="89" t="n">
        <f aca="true">IF(O$5=0,N106,MAX(0,(N106-O$4)*(1+NORMINV(RAND(),INPUTS!$B$28,INPUTS!$B$29))))</f>
        <v>2045189.809498</v>
      </c>
      <c r="P106" s="89" t="n">
        <f aca="true">IF(P$5=0,O106,MAX(0,(O106-P$4)*(1+NORMINV(RAND(),INPUTS!$B$28,INPUTS!$B$29))))</f>
        <v>2138007.96964707</v>
      </c>
      <c r="Q106" s="89" t="n">
        <f aca="true">IF(Q$5=0,P106,MAX(0,(P106-Q$4)*(1+NORMINV(RAND(),INPUTS!$B$28,INPUTS!$B$29))))</f>
        <v>2193725.62908479</v>
      </c>
      <c r="R106" s="89" t="n">
        <f aca="true">IF(R$5=0,Q106,MAX(0,(Q106-R$4)*(1+NORMINV(RAND(),INPUTS!$B$28,INPUTS!$B$29))))</f>
        <v>1960599.56125259</v>
      </c>
      <c r="S106" s="89" t="n">
        <f aca="true">IF(S$5=0,R106,MAX(0,(R106-S$4)*(1+NORMINV(RAND(),INPUTS!$B$28,INPUTS!$B$29))))</f>
        <v>1674751.60475644</v>
      </c>
      <c r="T106" s="89" t="n">
        <f aca="true">IF(T$5=0,S106,MAX(0,(S106-T$4)*(1+NORMINV(RAND(),INPUTS!$B$28,INPUTS!$B$29))))</f>
        <v>1736040.71237912</v>
      </c>
      <c r="U106" s="89" t="n">
        <f aca="true">IF(U$5=0,T106,MAX(0,(T106-U$4)*(1+NORMINV(RAND(),INPUTS!$B$28,INPUTS!$B$29))))</f>
        <v>1838718.44267164</v>
      </c>
      <c r="V106" s="89" t="n">
        <f aca="true">IF(V$5=0,U106,MAX(0,(U106-V$4)*(1+NORMINV(RAND(),INPUTS!$B$28,INPUTS!$B$29))))</f>
        <v>2092257.81530334</v>
      </c>
      <c r="W106" s="89" t="n">
        <f aca="true">IF(W$5=0,V106,MAX(0,(V106-W$4)*(1+NORMINV(RAND(),INPUTS!$B$28,INPUTS!$B$29))))</f>
        <v>1805878.54737927</v>
      </c>
      <c r="X106" s="89" t="n">
        <f aca="true">IF(X$5=0,W106,MAX(0,(W106-X$4)*(1+NORMINV(RAND(),INPUTS!$B$28,INPUTS!$B$29))))</f>
        <v>1867987.56402297</v>
      </c>
      <c r="Y106" s="89" t="n">
        <f aca="true">IF(Y$5=0,X106,MAX(0,(X106-Y$4)*(1+NORMINV(RAND(),INPUTS!$B$28,INPUTS!$B$29))))</f>
        <v>2307500.20115725</v>
      </c>
      <c r="Z106" s="89" t="n">
        <f aca="true">IF(Z$5=0,Y106,MAX(0,(Y106-Z$4)*(1+NORMINV(RAND(),INPUTS!$B$28,INPUTS!$B$29))))</f>
        <v>2501536.87366129</v>
      </c>
      <c r="AA106" s="89" t="n">
        <f aca="true">IF(AA$5=0,Z106,MAX(0,(Z106-AA$4)*(1+NORMINV(RAND(),INPUTS!$B$28,INPUTS!$B$29))))</f>
        <v>2716326.56747861</v>
      </c>
      <c r="AB106" s="89" t="n">
        <f aca="true">IF(AB$5=0,AA106,MAX(0,(AA106-AB$4)*(1+NORMINV(RAND(),INPUTS!$B$28,INPUTS!$B$29))))</f>
        <v>2592426.18469395</v>
      </c>
      <c r="AC106" s="89" t="n">
        <f aca="true">IF(AC$5=0,AB106,MAX(0,(AB106-AC$4)*(1+NORMINV(RAND(),INPUTS!$B$28,INPUTS!$B$29))))</f>
        <v>2516425.66503378</v>
      </c>
      <c r="AD106" s="89" t="n">
        <f aca="true">IF(AD$5=0,AC106,MAX(0,(AC106-AD$4)*(1+NORMINV(RAND(),INPUTS!$B$28,INPUTS!$B$29))))</f>
        <v>2773324.19437183</v>
      </c>
      <c r="AE106" s="89" t="n">
        <f aca="true">IF(AE$5=0,AD106,MAX(0,(AD106-AE$4)*(1+NORMINV(RAND(),INPUTS!$B$28,INPUTS!$B$29))))</f>
        <v>2939896.75983998</v>
      </c>
      <c r="AF106" s="89" t="n">
        <f aca="true">IF(AF$5=0,AE106,MAX(0,(AE106-AF$4)*(1+NORMINV(RAND(),INPUTS!$B$28,INPUTS!$B$29))))</f>
        <v>3084133.30866992</v>
      </c>
      <c r="AG106" s="89" t="n">
        <f aca="true">IF(AG$5=0,AF106,MAX(0,(AF106-AG$4)*(1+NORMINV(RAND(),INPUTS!$B$28,INPUTS!$B$29))))</f>
        <v>2629411.55410051</v>
      </c>
      <c r="AH106" s="89" t="n">
        <f aca="true">IF(AH$5=0,AG106,MAX(0,(AG106-AH$4)*(1+NORMINV(RAND(),INPUTS!$B$28,INPUTS!$B$29))))</f>
        <v>3217459.59372056</v>
      </c>
      <c r="AI106" s="89" t="n">
        <f aca="true">IF(AI$5=0,AH106,MAX(0,(AH106-AI$4)*(1+NORMINV(RAND(),INPUTS!$B$28,INPUTS!$B$29))))</f>
        <v>3818497.55032089</v>
      </c>
      <c r="AJ106" s="89" t="n">
        <f aca="true">IF(AJ$5=0,AI106,MAX(0,(AI106-AJ$4)*(1+NORMINV(RAND(),INPUTS!$B$28,INPUTS!$B$29))))</f>
        <v>3780434.20245113</v>
      </c>
      <c r="AK106" s="89" t="n">
        <f aca="true">IF(AK$5=0,AJ106,MAX(0,(AJ106-AK$4)*(1+NORMINV(RAND(),INPUTS!$B$28,INPUTS!$B$29))))</f>
        <v>3767683.82448103</v>
      </c>
      <c r="AL106" s="89" t="n">
        <f aca="true">IF(AL$5=0,AK106,MAX(0,(AK106-AL$4)*(1+NORMINV(RAND(),INPUTS!$B$28,INPUTS!$B$29))))</f>
        <v>4394088.3121833</v>
      </c>
      <c r="AM106" s="89" t="n">
        <f aca="true">IF(AM$5=0,AL106,MAX(0,(AL106-AM$4)*(1+NORMINV(RAND(),INPUTS!$B$28,INPUTS!$B$29))))</f>
        <v>4394088.3121833</v>
      </c>
      <c r="AN106" s="89" t="n">
        <f aca="true">IF(AN$5=0,AM106,MAX(0,(AM106-AN$4)*(1+NORMINV(RAND(),INPUTS!$B$28,INPUTS!$B$29))))</f>
        <v>4394088.3121833</v>
      </c>
      <c r="AO106" s="89" t="n">
        <f aca="true">IF(AO$5=0,AN106,MAX(0,(AN106-AO$4)*(1+NORMINV(RAND(),INPUTS!$B$28,INPUTS!$B$29))))</f>
        <v>4394088.3121833</v>
      </c>
      <c r="AP106" s="89" t="n">
        <f aca="true">IF(AP$5=0,AO106,MAX(0,(AO106-AP$4)*(1+NORMINV(RAND(),INPUTS!$B$28,INPUTS!$B$29))))</f>
        <v>4394088.3121833</v>
      </c>
      <c r="AQ106" s="89" t="n">
        <f aca="true">IF(AQ$5=0,AP106,MAX(0,(AP106-AQ$4)*(1+NORMINV(RAND(),INPUTS!$B$28,INPUTS!$B$29))))</f>
        <v>4394088.3121833</v>
      </c>
      <c r="AR106" s="89" t="n">
        <f aca="true">IF(AR$5=0,AQ106,MAX(0,(AQ106-AR$4)*(1+NORMINV(RAND(),INPUTS!$B$28,INPUTS!$B$29))))</f>
        <v>4394088.3121833</v>
      </c>
      <c r="AS106" s="89" t="n">
        <f aca="true">IF(AS$5=0,AR106,MAX(0,(AR106-AS$4)*(1+NORMINV(RAND(),INPUTS!$B$28,INPUTS!$B$29))))</f>
        <v>4394088.3121833</v>
      </c>
      <c r="AT106" s="89" t="n">
        <f aca="true">IF(AT$5=0,AS106,MAX(0,(AS106-AT$4)*(1+NORMINV(RAND(),INPUTS!$B$28,INPUTS!$B$29))))</f>
        <v>4394088.3121833</v>
      </c>
      <c r="AU106" s="89" t="n">
        <f aca="true">IF(AU$5=0,AT106,MAX(0,(AT106-AU$4)*(1+NORMINV(RAND(),INPUTS!$B$28,INPUTS!$B$29))))</f>
        <v>4394088.3121833</v>
      </c>
      <c r="AV106" s="89" t="n">
        <f aca="true">IF(AV$5=0,AU106,MAX(0,(AU106-AV$4)*(1+NORMINV(RAND(),INPUTS!$B$28,INPUTS!$B$29))))</f>
        <v>4394088.3121833</v>
      </c>
      <c r="AW106" s="89" t="n">
        <f aca="true">IF(AW$5=0,AV106,MAX(0,(AV106-AW$4)*(1+NORMINV(RAND(),INPUTS!$B$28,INPUTS!$B$29))))</f>
        <v>4394088.3121833</v>
      </c>
      <c r="AX106" s="89" t="n">
        <f aca="true">IF(AX$5=0,AW106,MAX(0,(AW106-AX$4)*(1+NORMINV(RAND(),INPUTS!$B$28,INPUTS!$B$29))))</f>
        <v>4394088.3121833</v>
      </c>
      <c r="AY106" s="89" t="n">
        <f aca="true">IF(AY$5=0,AX106,MAX(0,(AX106-AY$4)*(1+NORMINV(RAND(),INPUTS!$B$28,INPUTS!$B$29))))</f>
        <v>4394088.3121833</v>
      </c>
      <c r="AZ106" s="89" t="n">
        <f aca="true">IF(AZ$5=0,AY106,MAX(0,(AY106-AZ$4)*(1+NORMINV(RAND(),INPUTS!$B$28,INPUTS!$B$29))))</f>
        <v>4394088.3121833</v>
      </c>
      <c r="BA106" s="89" t="n">
        <f aca="true">IF(BA$5=0,AZ106,MAX(0,(AZ106-BA$4)*(1+NORMINV(RAND(),INPUTS!$B$28,INPUTS!$B$29))))</f>
        <v>4394088.3121833</v>
      </c>
      <c r="BB106" s="89" t="n">
        <f aca="true">IF(BB$5=0,BA106,MAX(0,(BA106-BB$4)*(1+NORMINV(RAND(),INPUTS!$B$28,INPUTS!$B$29))))</f>
        <v>4394088.3121833</v>
      </c>
      <c r="BC106" s="89" t="n">
        <f aca="true">IF(BC$5=0,BB106,MAX(0,(BB106-BC$4)*(1+NORMINV(RAND(),INPUTS!$B$28,INPUTS!$B$29))))</f>
        <v>4394088.3121833</v>
      </c>
      <c r="BD106" s="89" t="n">
        <f aca="true">IF(BD$5=0,BC106,MAX(0,(BC106-BD$4)*(1+NORMINV(RAND(),INPUTS!$B$28,INPUTS!$B$29))))</f>
        <v>4394088.3121833</v>
      </c>
      <c r="BE106" s="89" t="n">
        <f aca="true">IF(BE$5=0,BD106,MAX(0,(BD106-BE$4)*(1+NORMINV(RAND(),INPUTS!$B$28,INPUTS!$B$29))))</f>
        <v>4394088.3121833</v>
      </c>
      <c r="BF106" s="89" t="n">
        <f aca="true">IF(BF$5=0,BE106,MAX(0,(BE106-BF$4)*(1+NORMINV(RAND(),INPUTS!$B$28,INPUTS!$B$29))))</f>
        <v>4394088.3121833</v>
      </c>
      <c r="BG106" s="89" t="n">
        <f aca="true">IF(BG$5=0,BF106,MAX(0,(BF106-BG$4)*(1+NORMINV(RAND(),INPUTS!$B$28,INPUTS!$B$29))))</f>
        <v>4394088.3121833</v>
      </c>
      <c r="BH106" s="89" t="n">
        <f aca="true">IF(BH$5=0,BG106,MAX(0,(BG106-BH$4)*(1+NORMINV(RAND(),INPUTS!$B$28,INPUTS!$B$29))))</f>
        <v>4394088.3121833</v>
      </c>
      <c r="BI106" s="89" t="n">
        <f aca="true">IF(BI$5=0,BH106,MAX(0,(BH106-BI$4)*(1+NORMINV(RAND(),INPUTS!$B$28,INPUTS!$B$29))))</f>
        <v>4394088.3121833</v>
      </c>
      <c r="BJ106" s="89" t="n">
        <f aca="true">IF(BJ$5=0,BI106,MAX(0,(BI106-BJ$4)*(1+NORMINV(RAND(),INPUTS!$B$28,INPUTS!$B$29))))</f>
        <v>4394088.3121833</v>
      </c>
    </row>
    <row r="107" customFormat="false" ht="15" hidden="false" customHeight="true" outlineLevel="0" collapsed="false">
      <c r="A107" s="87" t="n">
        <v>100</v>
      </c>
      <c r="B107" s="88" t="n">
        <f aca="false">LOOKUP(9.99E+307,C107:BJ107)</f>
        <v>3615149.51702064</v>
      </c>
      <c r="C107" s="89" t="n">
        <f aca="true">IF(C$5=0,INPUTS!$B$35,MAX(0,(INPUTS!$B$35-C$4)*(1+NORMINV(RAND(),INPUTS!$B$28,INPUTS!$B$29))))</f>
        <v>1438164.92248836</v>
      </c>
      <c r="D107" s="89" t="n">
        <f aca="true">IF(D$5=0,C107,MAX(0,(C107-D$4)*(1+NORMINV(RAND(),INPUTS!$B$28,INPUTS!$B$29))))</f>
        <v>1664226.14698193</v>
      </c>
      <c r="E107" s="89" t="n">
        <f aca="true">IF(E$5=0,D107,MAX(0,(D107-E$4)*(1+NORMINV(RAND(),INPUTS!$B$28,INPUTS!$B$29))))</f>
        <v>1453140.67362352</v>
      </c>
      <c r="F107" s="89" t="n">
        <f aca="true">IF(F$5=0,E107,MAX(0,(E107-F$4)*(1+NORMINV(RAND(),INPUTS!$B$28,INPUTS!$B$29))))</f>
        <v>1681463.24730224</v>
      </c>
      <c r="G107" s="89" t="n">
        <f aca="true">IF(G$5=0,F107,MAX(0,(F107-G$4)*(1+NORMINV(RAND(),INPUTS!$B$28,INPUTS!$B$29))))</f>
        <v>1721541.54279661</v>
      </c>
      <c r="H107" s="89" t="n">
        <f aca="true">IF(H$5=0,G107,MAX(0,(G107-H$4)*(1+NORMINV(RAND(),INPUTS!$B$28,INPUTS!$B$29))))</f>
        <v>1767402.96297931</v>
      </c>
      <c r="I107" s="89" t="n">
        <f aca="true">IF(I$5=0,H107,MAX(0,(H107-I$4)*(1+NORMINV(RAND(),INPUTS!$B$28,INPUTS!$B$29))))</f>
        <v>1744487.23956629</v>
      </c>
      <c r="J107" s="89" t="n">
        <f aca="true">IF(J$5=0,I107,MAX(0,(I107-J$4)*(1+NORMINV(RAND(),INPUTS!$B$28,INPUTS!$B$29))))</f>
        <v>1853841.27806169</v>
      </c>
      <c r="K107" s="89" t="n">
        <f aca="true">IF(K$5=0,J107,MAX(0,(J107-K$4)*(1+NORMINV(RAND(),INPUTS!$B$28,INPUTS!$B$29))))</f>
        <v>1528831.2356376</v>
      </c>
      <c r="L107" s="89" t="n">
        <f aca="true">IF(L$5=0,K107,MAX(0,(K107-L$4)*(1+NORMINV(RAND(),INPUTS!$B$28,INPUTS!$B$29))))</f>
        <v>1322644.88508322</v>
      </c>
      <c r="M107" s="89" t="n">
        <f aca="true">IF(M$5=0,L107,MAX(0,(L107-M$4)*(1+NORMINV(RAND(),INPUTS!$B$28,INPUTS!$B$29))))</f>
        <v>1538933.74415691</v>
      </c>
      <c r="N107" s="89" t="n">
        <f aca="true">IF(N$5=0,M107,MAX(0,(M107-N$4)*(1+NORMINV(RAND(),INPUTS!$B$28,INPUTS!$B$29))))</f>
        <v>1636543.03351987</v>
      </c>
      <c r="O107" s="89" t="n">
        <f aca="true">IF(O$5=0,N107,MAX(0,(N107-O$4)*(1+NORMINV(RAND(),INPUTS!$B$28,INPUTS!$B$29))))</f>
        <v>1714981.32810394</v>
      </c>
      <c r="P107" s="89" t="n">
        <f aca="true">IF(P$5=0,O107,MAX(0,(O107-P$4)*(1+NORMINV(RAND(),INPUTS!$B$28,INPUTS!$B$29))))</f>
        <v>1781830.5536184</v>
      </c>
      <c r="Q107" s="89" t="n">
        <f aca="true">IF(Q$5=0,P107,MAX(0,(P107-Q$4)*(1+NORMINV(RAND(),INPUTS!$B$28,INPUTS!$B$29))))</f>
        <v>2280890.29012991</v>
      </c>
      <c r="R107" s="89" t="n">
        <f aca="true">IF(R$5=0,Q107,MAX(0,(Q107-R$4)*(1+NORMINV(RAND(),INPUTS!$B$28,INPUTS!$B$29))))</f>
        <v>2464691.83047079</v>
      </c>
      <c r="S107" s="89" t="n">
        <f aca="true">IF(S$5=0,R107,MAX(0,(R107-S$4)*(1+NORMINV(RAND(),INPUTS!$B$28,INPUTS!$B$29))))</f>
        <v>2421233.3617242</v>
      </c>
      <c r="T107" s="89" t="n">
        <f aca="true">IF(T$5=0,S107,MAX(0,(S107-T$4)*(1+NORMINV(RAND(),INPUTS!$B$28,INPUTS!$B$29))))</f>
        <v>2230050.57891834</v>
      </c>
      <c r="U107" s="89" t="n">
        <f aca="true">IF(U$5=0,T107,MAX(0,(T107-U$4)*(1+NORMINV(RAND(),INPUTS!$B$28,INPUTS!$B$29))))</f>
        <v>1754160.86973192</v>
      </c>
      <c r="V107" s="89" t="n">
        <f aca="true">IF(V$5=0,U107,MAX(0,(U107-V$4)*(1+NORMINV(RAND(),INPUTS!$B$28,INPUTS!$B$29))))</f>
        <v>2202769.23927539</v>
      </c>
      <c r="W107" s="89" t="n">
        <f aca="true">IF(W$5=0,V107,MAX(0,(V107-W$4)*(1+NORMINV(RAND(),INPUTS!$B$28,INPUTS!$B$29))))</f>
        <v>2350588.12271761</v>
      </c>
      <c r="X107" s="89" t="n">
        <f aca="true">IF(X$5=0,W107,MAX(0,(W107-X$4)*(1+NORMINV(RAND(),INPUTS!$B$28,INPUTS!$B$29))))</f>
        <v>2645587.66877651</v>
      </c>
      <c r="Y107" s="89" t="n">
        <f aca="true">IF(Y$5=0,X107,MAX(0,(X107-Y$4)*(1+NORMINV(RAND(),INPUTS!$B$28,INPUTS!$B$29))))</f>
        <v>2848212.00076718</v>
      </c>
      <c r="Z107" s="89" t="n">
        <f aca="true">IF(Z$5=0,Y107,MAX(0,(Y107-Z$4)*(1+NORMINV(RAND(),INPUTS!$B$28,INPUTS!$B$29))))</f>
        <v>2791012.4860942</v>
      </c>
      <c r="AA107" s="89" t="n">
        <f aca="true">IF(AA$5=0,Z107,MAX(0,(Z107-AA$4)*(1+NORMINV(RAND(),INPUTS!$B$28,INPUTS!$B$29))))</f>
        <v>2970375.41198875</v>
      </c>
      <c r="AB107" s="89" t="n">
        <f aca="true">IF(AB$5=0,AA107,MAX(0,(AA107-AB$4)*(1+NORMINV(RAND(),INPUTS!$B$28,INPUTS!$B$29))))</f>
        <v>2727244.84938124</v>
      </c>
      <c r="AC107" s="89" t="n">
        <f aca="true">IF(AC$5=0,AB107,MAX(0,(AB107-AC$4)*(1+NORMINV(RAND(),INPUTS!$B$28,INPUTS!$B$29))))</f>
        <v>2647139.68517315</v>
      </c>
      <c r="AD107" s="89" t="n">
        <f aca="true">IF(AD$5=0,AC107,MAX(0,(AC107-AD$4)*(1+NORMINV(RAND(),INPUTS!$B$28,INPUTS!$B$29))))</f>
        <v>2638403.92974654</v>
      </c>
      <c r="AE107" s="89" t="n">
        <f aca="true">IF(AE$5=0,AD107,MAX(0,(AD107-AE$4)*(1+NORMINV(RAND(),INPUTS!$B$28,INPUTS!$B$29))))</f>
        <v>2508060.81572553</v>
      </c>
      <c r="AF107" s="89" t="n">
        <f aca="true">IF(AF$5=0,AE107,MAX(0,(AE107-AF$4)*(1+NORMINV(RAND(),INPUTS!$B$28,INPUTS!$B$29))))</f>
        <v>2791445.15602113</v>
      </c>
      <c r="AG107" s="89" t="n">
        <f aca="true">IF(AG$5=0,AF107,MAX(0,(AF107-AG$4)*(1+NORMINV(RAND(),INPUTS!$B$28,INPUTS!$B$29))))</f>
        <v>3070535.98540587</v>
      </c>
      <c r="AH107" s="89" t="n">
        <f aca="true">IF(AH$5=0,AG107,MAX(0,(AG107-AH$4)*(1+NORMINV(RAND(),INPUTS!$B$28,INPUTS!$B$29))))</f>
        <v>3688989.7993129</v>
      </c>
      <c r="AI107" s="89" t="n">
        <f aca="true">IF(AI$5=0,AH107,MAX(0,(AH107-AI$4)*(1+NORMINV(RAND(),INPUTS!$B$28,INPUTS!$B$29))))</f>
        <v>3549690.86837208</v>
      </c>
      <c r="AJ107" s="89" t="n">
        <f aca="true">IF(AJ$5=0,AI107,MAX(0,(AI107-AJ$4)*(1+NORMINV(RAND(),INPUTS!$B$28,INPUTS!$B$29))))</f>
        <v>2968704.80626849</v>
      </c>
      <c r="AK107" s="89" t="n">
        <f aca="true">IF(AK$5=0,AJ107,MAX(0,(AJ107-AK$4)*(1+NORMINV(RAND(),INPUTS!$B$28,INPUTS!$B$29))))</f>
        <v>2805273.6045073</v>
      </c>
      <c r="AL107" s="89" t="n">
        <f aca="true">IF(AL$5=0,AK107,MAX(0,(AK107-AL$4)*(1+NORMINV(RAND(),INPUTS!$B$28,INPUTS!$B$29))))</f>
        <v>3615149.51702064</v>
      </c>
      <c r="AM107" s="89" t="n">
        <f aca="true">IF(AM$5=0,AL107,MAX(0,(AL107-AM$4)*(1+NORMINV(RAND(),INPUTS!$B$28,INPUTS!$B$29))))</f>
        <v>3615149.51702064</v>
      </c>
      <c r="AN107" s="89" t="n">
        <f aca="true">IF(AN$5=0,AM107,MAX(0,(AM107-AN$4)*(1+NORMINV(RAND(),INPUTS!$B$28,INPUTS!$B$29))))</f>
        <v>3615149.51702064</v>
      </c>
      <c r="AO107" s="89" t="n">
        <f aca="true">IF(AO$5=0,AN107,MAX(0,(AN107-AO$4)*(1+NORMINV(RAND(),INPUTS!$B$28,INPUTS!$B$29))))</f>
        <v>3615149.51702064</v>
      </c>
      <c r="AP107" s="89" t="n">
        <f aca="true">IF(AP$5=0,AO107,MAX(0,(AO107-AP$4)*(1+NORMINV(RAND(),INPUTS!$B$28,INPUTS!$B$29))))</f>
        <v>3615149.51702064</v>
      </c>
      <c r="AQ107" s="89" t="n">
        <f aca="true">IF(AQ$5=0,AP107,MAX(0,(AP107-AQ$4)*(1+NORMINV(RAND(),INPUTS!$B$28,INPUTS!$B$29))))</f>
        <v>3615149.51702064</v>
      </c>
      <c r="AR107" s="89" t="n">
        <f aca="true">IF(AR$5=0,AQ107,MAX(0,(AQ107-AR$4)*(1+NORMINV(RAND(),INPUTS!$B$28,INPUTS!$B$29))))</f>
        <v>3615149.51702064</v>
      </c>
      <c r="AS107" s="89" t="n">
        <f aca="true">IF(AS$5=0,AR107,MAX(0,(AR107-AS$4)*(1+NORMINV(RAND(),INPUTS!$B$28,INPUTS!$B$29))))</f>
        <v>3615149.51702064</v>
      </c>
      <c r="AT107" s="89" t="n">
        <f aca="true">IF(AT$5=0,AS107,MAX(0,(AS107-AT$4)*(1+NORMINV(RAND(),INPUTS!$B$28,INPUTS!$B$29))))</f>
        <v>3615149.51702064</v>
      </c>
      <c r="AU107" s="89" t="n">
        <f aca="true">IF(AU$5=0,AT107,MAX(0,(AT107-AU$4)*(1+NORMINV(RAND(),INPUTS!$B$28,INPUTS!$B$29))))</f>
        <v>3615149.51702064</v>
      </c>
      <c r="AV107" s="89" t="n">
        <f aca="true">IF(AV$5=0,AU107,MAX(0,(AU107-AV$4)*(1+NORMINV(RAND(),INPUTS!$B$28,INPUTS!$B$29))))</f>
        <v>3615149.51702064</v>
      </c>
      <c r="AW107" s="89" t="n">
        <f aca="true">IF(AW$5=0,AV107,MAX(0,(AV107-AW$4)*(1+NORMINV(RAND(),INPUTS!$B$28,INPUTS!$B$29))))</f>
        <v>3615149.51702064</v>
      </c>
      <c r="AX107" s="89" t="n">
        <f aca="true">IF(AX$5=0,AW107,MAX(0,(AW107-AX$4)*(1+NORMINV(RAND(),INPUTS!$B$28,INPUTS!$B$29))))</f>
        <v>3615149.51702064</v>
      </c>
      <c r="AY107" s="89" t="n">
        <f aca="true">IF(AY$5=0,AX107,MAX(0,(AX107-AY$4)*(1+NORMINV(RAND(),INPUTS!$B$28,INPUTS!$B$29))))</f>
        <v>3615149.51702064</v>
      </c>
      <c r="AZ107" s="89" t="n">
        <f aca="true">IF(AZ$5=0,AY107,MAX(0,(AY107-AZ$4)*(1+NORMINV(RAND(),INPUTS!$B$28,INPUTS!$B$29))))</f>
        <v>3615149.51702064</v>
      </c>
      <c r="BA107" s="89" t="n">
        <f aca="true">IF(BA$5=0,AZ107,MAX(0,(AZ107-BA$4)*(1+NORMINV(RAND(),INPUTS!$B$28,INPUTS!$B$29))))</f>
        <v>3615149.51702064</v>
      </c>
      <c r="BB107" s="89" t="n">
        <f aca="true">IF(BB$5=0,BA107,MAX(0,(BA107-BB$4)*(1+NORMINV(RAND(),INPUTS!$B$28,INPUTS!$B$29))))</f>
        <v>3615149.51702064</v>
      </c>
      <c r="BC107" s="89" t="n">
        <f aca="true">IF(BC$5=0,BB107,MAX(0,(BB107-BC$4)*(1+NORMINV(RAND(),INPUTS!$B$28,INPUTS!$B$29))))</f>
        <v>3615149.51702064</v>
      </c>
      <c r="BD107" s="89" t="n">
        <f aca="true">IF(BD$5=0,BC107,MAX(0,(BC107-BD$4)*(1+NORMINV(RAND(),INPUTS!$B$28,INPUTS!$B$29))))</f>
        <v>3615149.51702064</v>
      </c>
      <c r="BE107" s="89" t="n">
        <f aca="true">IF(BE$5=0,BD107,MAX(0,(BD107-BE$4)*(1+NORMINV(RAND(),INPUTS!$B$28,INPUTS!$B$29))))</f>
        <v>3615149.51702064</v>
      </c>
      <c r="BF107" s="89" t="n">
        <f aca="true">IF(BF$5=0,BE107,MAX(0,(BE107-BF$4)*(1+NORMINV(RAND(),INPUTS!$B$28,INPUTS!$B$29))))</f>
        <v>3615149.51702064</v>
      </c>
      <c r="BG107" s="89" t="n">
        <f aca="true">IF(BG$5=0,BF107,MAX(0,(BF107-BG$4)*(1+NORMINV(RAND(),INPUTS!$B$28,INPUTS!$B$29))))</f>
        <v>3615149.51702064</v>
      </c>
      <c r="BH107" s="89" t="n">
        <f aca="true">IF(BH$5=0,BG107,MAX(0,(BG107-BH$4)*(1+NORMINV(RAND(),INPUTS!$B$28,INPUTS!$B$29))))</f>
        <v>3615149.51702064</v>
      </c>
      <c r="BI107" s="89" t="n">
        <f aca="true">IF(BI$5=0,BH107,MAX(0,(BH107-BI$4)*(1+NORMINV(RAND(),INPUTS!$B$28,INPUTS!$B$29))))</f>
        <v>3615149.51702064</v>
      </c>
      <c r="BJ107" s="89" t="n">
        <f aca="true">IF(BJ$5=0,BI107,MAX(0,(BI107-BJ$4)*(1+NORMINV(RAND(),INPUTS!$B$28,INPUTS!$B$29))))</f>
        <v>3615149.51702064</v>
      </c>
    </row>
    <row r="108" customFormat="false" ht="15" hidden="false" customHeight="true" outlineLevel="0" collapsed="false">
      <c r="A108" s="87" t="n">
        <v>101</v>
      </c>
      <c r="B108" s="88" t="n">
        <f aca="false">LOOKUP(9.99E+307,C108:BJ108)</f>
        <v>5727901.69608444</v>
      </c>
      <c r="C108" s="89" t="n">
        <f aca="true">IF(C$5=0,INPUTS!$B$35,MAX(0,(INPUTS!$B$35-C$4)*(1+NORMINV(RAND(),INPUTS!$B$28,INPUTS!$B$29))))</f>
        <v>1236556.42117436</v>
      </c>
      <c r="D108" s="89" t="n">
        <f aca="true">IF(D$5=0,C108,MAX(0,(C108-D$4)*(1+NORMINV(RAND(),INPUTS!$B$28,INPUTS!$B$29))))</f>
        <v>1515029.4015151</v>
      </c>
      <c r="E108" s="89" t="n">
        <f aca="true">IF(E$5=0,D108,MAX(0,(D108-E$4)*(1+NORMINV(RAND(),INPUTS!$B$28,INPUTS!$B$29))))</f>
        <v>1530151.46649562</v>
      </c>
      <c r="F108" s="89" t="n">
        <f aca="true">IF(F$5=0,E108,MAX(0,(E108-F$4)*(1+NORMINV(RAND(),INPUTS!$B$28,INPUTS!$B$29))))</f>
        <v>1746688.77485043</v>
      </c>
      <c r="G108" s="89" t="n">
        <f aca="true">IF(G$5=0,F108,MAX(0,(F108-G$4)*(1+NORMINV(RAND(),INPUTS!$B$28,INPUTS!$B$29))))</f>
        <v>1454867.94954081</v>
      </c>
      <c r="H108" s="89" t="n">
        <f aca="true">IF(H$5=0,G108,MAX(0,(G108-H$4)*(1+NORMINV(RAND(),INPUTS!$B$28,INPUTS!$B$29))))</f>
        <v>1650058.60849872</v>
      </c>
      <c r="I108" s="89" t="n">
        <f aca="true">IF(I$5=0,H108,MAX(0,(H108-I$4)*(1+NORMINV(RAND(),INPUTS!$B$28,INPUTS!$B$29))))</f>
        <v>1622850.83898884</v>
      </c>
      <c r="J108" s="89" t="n">
        <f aca="true">IF(J$5=0,I108,MAX(0,(I108-J$4)*(1+NORMINV(RAND(),INPUTS!$B$28,INPUTS!$B$29))))</f>
        <v>1386610.19044306</v>
      </c>
      <c r="K108" s="89" t="n">
        <f aca="true">IF(K$5=0,J108,MAX(0,(J108-K$4)*(1+NORMINV(RAND(),INPUTS!$B$28,INPUTS!$B$29))))</f>
        <v>1607350.04672442</v>
      </c>
      <c r="L108" s="89" t="n">
        <f aca="true">IF(L$5=0,K108,MAX(0,(K108-L$4)*(1+NORMINV(RAND(),INPUTS!$B$28,INPUTS!$B$29))))</f>
        <v>1770489.79681536</v>
      </c>
      <c r="M108" s="89" t="n">
        <f aca="true">IF(M$5=0,L108,MAX(0,(L108-M$4)*(1+NORMINV(RAND(),INPUTS!$B$28,INPUTS!$B$29))))</f>
        <v>1719979.41493747</v>
      </c>
      <c r="N108" s="89" t="n">
        <f aca="true">IF(N$5=0,M108,MAX(0,(M108-N$4)*(1+NORMINV(RAND(),INPUTS!$B$28,INPUTS!$B$29))))</f>
        <v>1943176.43679841</v>
      </c>
      <c r="O108" s="89" t="n">
        <f aca="true">IF(O$5=0,N108,MAX(0,(N108-O$4)*(1+NORMINV(RAND(),INPUTS!$B$28,INPUTS!$B$29))))</f>
        <v>2123638.3976184</v>
      </c>
      <c r="P108" s="89" t="n">
        <f aca="true">IF(P$5=0,O108,MAX(0,(O108-P$4)*(1+NORMINV(RAND(),INPUTS!$B$28,INPUTS!$B$29))))</f>
        <v>2205469.47211432</v>
      </c>
      <c r="Q108" s="89" t="n">
        <f aca="true">IF(Q$5=0,P108,MAX(0,(P108-Q$4)*(1+NORMINV(RAND(),INPUTS!$B$28,INPUTS!$B$29))))</f>
        <v>2662994.45563849</v>
      </c>
      <c r="R108" s="89" t="n">
        <f aca="true">IF(R$5=0,Q108,MAX(0,(Q108-R$4)*(1+NORMINV(RAND(),INPUTS!$B$28,INPUTS!$B$29))))</f>
        <v>2600661.40584478</v>
      </c>
      <c r="S108" s="89" t="n">
        <f aca="true">IF(S$5=0,R108,MAX(0,(R108-S$4)*(1+NORMINV(RAND(),INPUTS!$B$28,INPUTS!$B$29))))</f>
        <v>2461518.39482633</v>
      </c>
      <c r="T108" s="89" t="n">
        <f aca="true">IF(T$5=0,S108,MAX(0,(S108-T$4)*(1+NORMINV(RAND(),INPUTS!$B$28,INPUTS!$B$29))))</f>
        <v>2126195.3328503</v>
      </c>
      <c r="U108" s="89" t="n">
        <f aca="true">IF(U$5=0,T108,MAX(0,(T108-U$4)*(1+NORMINV(RAND(),INPUTS!$B$28,INPUTS!$B$29))))</f>
        <v>2263415.03577301</v>
      </c>
      <c r="V108" s="89" t="n">
        <f aca="true">IF(V$5=0,U108,MAX(0,(U108-V$4)*(1+NORMINV(RAND(),INPUTS!$B$28,INPUTS!$B$29))))</f>
        <v>2491109.91101558</v>
      </c>
      <c r="W108" s="89" t="n">
        <f aca="true">IF(W$5=0,V108,MAX(0,(V108-W$4)*(1+NORMINV(RAND(),INPUTS!$B$28,INPUTS!$B$29))))</f>
        <v>2782978.96186005</v>
      </c>
      <c r="X108" s="89" t="n">
        <f aca="true">IF(X$5=0,W108,MAX(0,(W108-X$4)*(1+NORMINV(RAND(),INPUTS!$B$28,INPUTS!$B$29))))</f>
        <v>2965691.94983226</v>
      </c>
      <c r="Y108" s="89" t="n">
        <f aca="true">IF(Y$5=0,X108,MAX(0,(X108-Y$4)*(1+NORMINV(RAND(),INPUTS!$B$28,INPUTS!$B$29))))</f>
        <v>3230323.06298549</v>
      </c>
      <c r="Z108" s="89" t="n">
        <f aca="true">IF(Z$5=0,Y108,MAX(0,(Y108-Z$4)*(1+NORMINV(RAND(),INPUTS!$B$28,INPUTS!$B$29))))</f>
        <v>3322110.76435248</v>
      </c>
      <c r="AA108" s="89" t="n">
        <f aca="true">IF(AA$5=0,Z108,MAX(0,(Z108-AA$4)*(1+NORMINV(RAND(),INPUTS!$B$28,INPUTS!$B$29))))</f>
        <v>3819355.89054182</v>
      </c>
      <c r="AB108" s="89" t="n">
        <f aca="true">IF(AB$5=0,AA108,MAX(0,(AA108-AB$4)*(1+NORMINV(RAND(),INPUTS!$B$28,INPUTS!$B$29))))</f>
        <v>4620514.14317932</v>
      </c>
      <c r="AC108" s="89" t="n">
        <f aca="true">IF(AC$5=0,AB108,MAX(0,(AB108-AC$4)*(1+NORMINV(RAND(),INPUTS!$B$28,INPUTS!$B$29))))</f>
        <v>5164062.08552764</v>
      </c>
      <c r="AD108" s="89" t="n">
        <f aca="true">IF(AD$5=0,AC108,MAX(0,(AC108-AD$4)*(1+NORMINV(RAND(),INPUTS!$B$28,INPUTS!$B$29))))</f>
        <v>5655405.61082751</v>
      </c>
      <c r="AE108" s="89" t="n">
        <f aca="true">IF(AE$5=0,AD108,MAX(0,(AD108-AE$4)*(1+NORMINV(RAND(),INPUTS!$B$28,INPUTS!$B$29))))</f>
        <v>6163718.82910415</v>
      </c>
      <c r="AF108" s="89" t="n">
        <f aca="true">IF(AF$5=0,AE108,MAX(0,(AE108-AF$4)*(1+NORMINV(RAND(),INPUTS!$B$28,INPUTS!$B$29))))</f>
        <v>6879793.07377123</v>
      </c>
      <c r="AG108" s="89" t="n">
        <f aca="true">IF(AG$5=0,AF108,MAX(0,(AF108-AG$4)*(1+NORMINV(RAND(),INPUTS!$B$28,INPUTS!$B$29))))</f>
        <v>5769368.60499245</v>
      </c>
      <c r="AH108" s="89" t="n">
        <f aca="true">IF(AH$5=0,AG108,MAX(0,(AG108-AH$4)*(1+NORMINV(RAND(),INPUTS!$B$28,INPUTS!$B$29))))</f>
        <v>5355554.71246592</v>
      </c>
      <c r="AI108" s="89" t="n">
        <f aca="true">IF(AI$5=0,AH108,MAX(0,(AH108-AI$4)*(1+NORMINV(RAND(),INPUTS!$B$28,INPUTS!$B$29))))</f>
        <v>6104265.7366809</v>
      </c>
      <c r="AJ108" s="89" t="n">
        <f aca="true">IF(AJ$5=0,AI108,MAX(0,(AI108-AJ$4)*(1+NORMINV(RAND(),INPUTS!$B$28,INPUTS!$B$29))))</f>
        <v>5901219.53160014</v>
      </c>
      <c r="AK108" s="89" t="n">
        <f aca="true">IF(AK$5=0,AJ108,MAX(0,(AJ108-AK$4)*(1+NORMINV(RAND(),INPUTS!$B$28,INPUTS!$B$29))))</f>
        <v>5481445.62546664</v>
      </c>
      <c r="AL108" s="89" t="n">
        <f aca="true">IF(AL$5=0,AK108,MAX(0,(AK108-AL$4)*(1+NORMINV(RAND(),INPUTS!$B$28,INPUTS!$B$29))))</f>
        <v>5727901.69608444</v>
      </c>
      <c r="AM108" s="89" t="n">
        <f aca="true">IF(AM$5=0,AL108,MAX(0,(AL108-AM$4)*(1+NORMINV(RAND(),INPUTS!$B$28,INPUTS!$B$29))))</f>
        <v>5727901.69608444</v>
      </c>
      <c r="AN108" s="89" t="n">
        <f aca="true">IF(AN$5=0,AM108,MAX(0,(AM108-AN$4)*(1+NORMINV(RAND(),INPUTS!$B$28,INPUTS!$B$29))))</f>
        <v>5727901.69608444</v>
      </c>
      <c r="AO108" s="89" t="n">
        <f aca="true">IF(AO$5=0,AN108,MAX(0,(AN108-AO$4)*(1+NORMINV(RAND(),INPUTS!$B$28,INPUTS!$B$29))))</f>
        <v>5727901.69608444</v>
      </c>
      <c r="AP108" s="89" t="n">
        <f aca="true">IF(AP$5=0,AO108,MAX(0,(AO108-AP$4)*(1+NORMINV(RAND(),INPUTS!$B$28,INPUTS!$B$29))))</f>
        <v>5727901.69608444</v>
      </c>
      <c r="AQ108" s="89" t="n">
        <f aca="true">IF(AQ$5=0,AP108,MAX(0,(AP108-AQ$4)*(1+NORMINV(RAND(),INPUTS!$B$28,INPUTS!$B$29))))</f>
        <v>5727901.69608444</v>
      </c>
      <c r="AR108" s="89" t="n">
        <f aca="true">IF(AR$5=0,AQ108,MAX(0,(AQ108-AR$4)*(1+NORMINV(RAND(),INPUTS!$B$28,INPUTS!$B$29))))</f>
        <v>5727901.69608444</v>
      </c>
      <c r="AS108" s="89" t="n">
        <f aca="true">IF(AS$5=0,AR108,MAX(0,(AR108-AS$4)*(1+NORMINV(RAND(),INPUTS!$B$28,INPUTS!$B$29))))</f>
        <v>5727901.69608444</v>
      </c>
      <c r="AT108" s="89" t="n">
        <f aca="true">IF(AT$5=0,AS108,MAX(0,(AS108-AT$4)*(1+NORMINV(RAND(),INPUTS!$B$28,INPUTS!$B$29))))</f>
        <v>5727901.69608444</v>
      </c>
      <c r="AU108" s="89" t="n">
        <f aca="true">IF(AU$5=0,AT108,MAX(0,(AT108-AU$4)*(1+NORMINV(RAND(),INPUTS!$B$28,INPUTS!$B$29))))</f>
        <v>5727901.69608444</v>
      </c>
      <c r="AV108" s="89" t="n">
        <f aca="true">IF(AV$5=0,AU108,MAX(0,(AU108-AV$4)*(1+NORMINV(RAND(),INPUTS!$B$28,INPUTS!$B$29))))</f>
        <v>5727901.69608444</v>
      </c>
      <c r="AW108" s="89" t="n">
        <f aca="true">IF(AW$5=0,AV108,MAX(0,(AV108-AW$4)*(1+NORMINV(RAND(),INPUTS!$B$28,INPUTS!$B$29))))</f>
        <v>5727901.69608444</v>
      </c>
      <c r="AX108" s="89" t="n">
        <f aca="true">IF(AX$5=0,AW108,MAX(0,(AW108-AX$4)*(1+NORMINV(RAND(),INPUTS!$B$28,INPUTS!$B$29))))</f>
        <v>5727901.69608444</v>
      </c>
      <c r="AY108" s="89" t="n">
        <f aca="true">IF(AY$5=0,AX108,MAX(0,(AX108-AY$4)*(1+NORMINV(RAND(),INPUTS!$B$28,INPUTS!$B$29))))</f>
        <v>5727901.69608444</v>
      </c>
      <c r="AZ108" s="89" t="n">
        <f aca="true">IF(AZ$5=0,AY108,MAX(0,(AY108-AZ$4)*(1+NORMINV(RAND(),INPUTS!$B$28,INPUTS!$B$29))))</f>
        <v>5727901.69608444</v>
      </c>
      <c r="BA108" s="89" t="n">
        <f aca="true">IF(BA$5=0,AZ108,MAX(0,(AZ108-BA$4)*(1+NORMINV(RAND(),INPUTS!$B$28,INPUTS!$B$29))))</f>
        <v>5727901.69608444</v>
      </c>
      <c r="BB108" s="89" t="n">
        <f aca="true">IF(BB$5=0,BA108,MAX(0,(BA108-BB$4)*(1+NORMINV(RAND(),INPUTS!$B$28,INPUTS!$B$29))))</f>
        <v>5727901.69608444</v>
      </c>
      <c r="BC108" s="89" t="n">
        <f aca="true">IF(BC$5=0,BB108,MAX(0,(BB108-BC$4)*(1+NORMINV(RAND(),INPUTS!$B$28,INPUTS!$B$29))))</f>
        <v>5727901.69608444</v>
      </c>
      <c r="BD108" s="89" t="n">
        <f aca="true">IF(BD$5=0,BC108,MAX(0,(BC108-BD$4)*(1+NORMINV(RAND(),INPUTS!$B$28,INPUTS!$B$29))))</f>
        <v>5727901.69608444</v>
      </c>
      <c r="BE108" s="89" t="n">
        <f aca="true">IF(BE$5=0,BD108,MAX(0,(BD108-BE$4)*(1+NORMINV(RAND(),INPUTS!$B$28,INPUTS!$B$29))))</f>
        <v>5727901.69608444</v>
      </c>
      <c r="BF108" s="89" t="n">
        <f aca="true">IF(BF$5=0,BE108,MAX(0,(BE108-BF$4)*(1+NORMINV(RAND(),INPUTS!$B$28,INPUTS!$B$29))))</f>
        <v>5727901.69608444</v>
      </c>
      <c r="BG108" s="89" t="n">
        <f aca="true">IF(BG$5=0,BF108,MAX(0,(BF108-BG$4)*(1+NORMINV(RAND(),INPUTS!$B$28,INPUTS!$B$29))))</f>
        <v>5727901.69608444</v>
      </c>
      <c r="BH108" s="89" t="n">
        <f aca="true">IF(BH$5=0,BG108,MAX(0,(BG108-BH$4)*(1+NORMINV(RAND(),INPUTS!$B$28,INPUTS!$B$29))))</f>
        <v>5727901.69608444</v>
      </c>
      <c r="BI108" s="89" t="n">
        <f aca="true">IF(BI$5=0,BH108,MAX(0,(BH108-BI$4)*(1+NORMINV(RAND(),INPUTS!$B$28,INPUTS!$B$29))))</f>
        <v>5727901.69608444</v>
      </c>
      <c r="BJ108" s="89" t="n">
        <f aca="true">IF(BJ$5=0,BI108,MAX(0,(BI108-BJ$4)*(1+NORMINV(RAND(),INPUTS!$B$28,INPUTS!$B$29))))</f>
        <v>5727901.69608444</v>
      </c>
    </row>
    <row r="109" customFormat="false" ht="15" hidden="false" customHeight="true" outlineLevel="0" collapsed="false">
      <c r="A109" s="87" t="n">
        <v>102</v>
      </c>
      <c r="B109" s="88" t="n">
        <f aca="false">LOOKUP(9.99E+307,C109:BJ109)</f>
        <v>17370322.7331812</v>
      </c>
      <c r="C109" s="89" t="n">
        <f aca="true">IF(C$5=0,INPUTS!$B$35,MAX(0,(INPUTS!$B$35-C$4)*(1+NORMINV(RAND(),INPUTS!$B$28,INPUTS!$B$29))))</f>
        <v>1337383.78974445</v>
      </c>
      <c r="D109" s="89" t="n">
        <f aca="true">IF(D$5=0,C109,MAX(0,(C109-D$4)*(1+NORMINV(RAND(),INPUTS!$B$28,INPUTS!$B$29))))</f>
        <v>1465985.80177132</v>
      </c>
      <c r="E109" s="89" t="n">
        <f aca="true">IF(E$5=0,D109,MAX(0,(D109-E$4)*(1+NORMINV(RAND(),INPUTS!$B$28,INPUTS!$B$29))))</f>
        <v>1559095.99310355</v>
      </c>
      <c r="F109" s="89" t="n">
        <f aca="true">IF(F$5=0,E109,MAX(0,(E109-F$4)*(1+NORMINV(RAND(),INPUTS!$B$28,INPUTS!$B$29))))</f>
        <v>1458094.72278352</v>
      </c>
      <c r="G109" s="89" t="n">
        <f aca="true">IF(G$5=0,F109,MAX(0,(F109-G$4)*(1+NORMINV(RAND(),INPUTS!$B$28,INPUTS!$B$29))))</f>
        <v>1683330.24511837</v>
      </c>
      <c r="H109" s="89" t="n">
        <f aca="true">IF(H$5=0,G109,MAX(0,(G109-H$4)*(1+NORMINV(RAND(),INPUTS!$B$28,INPUTS!$B$29))))</f>
        <v>1725512.70277057</v>
      </c>
      <c r="I109" s="89" t="n">
        <f aca="true">IF(I$5=0,H109,MAX(0,(H109-I$4)*(1+NORMINV(RAND(),INPUTS!$B$28,INPUTS!$B$29))))</f>
        <v>1881732.06287529</v>
      </c>
      <c r="J109" s="89" t="n">
        <f aca="true">IF(J$5=0,I109,MAX(0,(I109-J$4)*(1+NORMINV(RAND(),INPUTS!$B$28,INPUTS!$B$29))))</f>
        <v>2324376.50997623</v>
      </c>
      <c r="K109" s="89" t="n">
        <f aca="true">IF(K$5=0,J109,MAX(0,(J109-K$4)*(1+NORMINV(RAND(),INPUTS!$B$28,INPUTS!$B$29))))</f>
        <v>2926536.17590278</v>
      </c>
      <c r="L109" s="89" t="n">
        <f aca="true">IF(L$5=0,K109,MAX(0,(K109-L$4)*(1+NORMINV(RAND(),INPUTS!$B$28,INPUTS!$B$29))))</f>
        <v>3195808.48301311</v>
      </c>
      <c r="M109" s="89" t="n">
        <f aca="true">IF(M$5=0,L109,MAX(0,(L109-M$4)*(1+NORMINV(RAND(),INPUTS!$B$28,INPUTS!$B$29))))</f>
        <v>3309996.08527942</v>
      </c>
      <c r="N109" s="89" t="n">
        <f aca="true">IF(N$5=0,M109,MAX(0,(M109-N$4)*(1+NORMINV(RAND(),INPUTS!$B$28,INPUTS!$B$29))))</f>
        <v>3325734.34588803</v>
      </c>
      <c r="O109" s="89" t="n">
        <f aca="true">IF(O$5=0,N109,MAX(0,(N109-O$4)*(1+NORMINV(RAND(),INPUTS!$B$28,INPUTS!$B$29))))</f>
        <v>3057825.28708291</v>
      </c>
      <c r="P109" s="89" t="n">
        <f aca="true">IF(P$5=0,O109,MAX(0,(O109-P$4)*(1+NORMINV(RAND(),INPUTS!$B$28,INPUTS!$B$29))))</f>
        <v>3771037.79524789</v>
      </c>
      <c r="Q109" s="89" t="n">
        <f aca="true">IF(Q$5=0,P109,MAX(0,(P109-Q$4)*(1+NORMINV(RAND(),INPUTS!$B$28,INPUTS!$B$29))))</f>
        <v>4795045.68632973</v>
      </c>
      <c r="R109" s="89" t="n">
        <f aca="true">IF(R$5=0,Q109,MAX(0,(Q109-R$4)*(1+NORMINV(RAND(),INPUTS!$B$28,INPUTS!$B$29))))</f>
        <v>4857304.043936</v>
      </c>
      <c r="S109" s="89" t="n">
        <f aca="true">IF(S$5=0,R109,MAX(0,(R109-S$4)*(1+NORMINV(RAND(),INPUTS!$B$28,INPUTS!$B$29))))</f>
        <v>3752601.09805379</v>
      </c>
      <c r="T109" s="89" t="n">
        <f aca="true">IF(T$5=0,S109,MAX(0,(S109-T$4)*(1+NORMINV(RAND(),INPUTS!$B$28,INPUTS!$B$29))))</f>
        <v>3832476.0211408</v>
      </c>
      <c r="U109" s="89" t="n">
        <f aca="true">IF(U$5=0,T109,MAX(0,(T109-U$4)*(1+NORMINV(RAND(),INPUTS!$B$28,INPUTS!$B$29))))</f>
        <v>4142767.11708904</v>
      </c>
      <c r="V109" s="89" t="n">
        <f aca="true">IF(V$5=0,U109,MAX(0,(U109-V$4)*(1+NORMINV(RAND(),INPUTS!$B$28,INPUTS!$B$29))))</f>
        <v>5891035.98938809</v>
      </c>
      <c r="W109" s="89" t="n">
        <f aca="true">IF(W$5=0,V109,MAX(0,(V109-W$4)*(1+NORMINV(RAND(),INPUTS!$B$28,INPUTS!$B$29))))</f>
        <v>5311454.69167559</v>
      </c>
      <c r="X109" s="89" t="n">
        <f aca="true">IF(X$5=0,W109,MAX(0,(W109-X$4)*(1+NORMINV(RAND(),INPUTS!$B$28,INPUTS!$B$29))))</f>
        <v>5341623.58704502</v>
      </c>
      <c r="Y109" s="89" t="n">
        <f aca="true">IF(Y$5=0,X109,MAX(0,(X109-Y$4)*(1+NORMINV(RAND(),INPUTS!$B$28,INPUTS!$B$29))))</f>
        <v>5876047.09110125</v>
      </c>
      <c r="Z109" s="89" t="n">
        <f aca="true">IF(Z$5=0,Y109,MAX(0,(Y109-Z$4)*(1+NORMINV(RAND(),INPUTS!$B$28,INPUTS!$B$29))))</f>
        <v>6450172.30079361</v>
      </c>
      <c r="AA109" s="89" t="n">
        <f aca="true">IF(AA$5=0,Z109,MAX(0,(Z109-AA$4)*(1+NORMINV(RAND(),INPUTS!$B$28,INPUTS!$B$29))))</f>
        <v>6255745.95805618</v>
      </c>
      <c r="AB109" s="89" t="n">
        <f aca="true">IF(AB$5=0,AA109,MAX(0,(AA109-AB$4)*(1+NORMINV(RAND(),INPUTS!$B$28,INPUTS!$B$29))))</f>
        <v>7150748.12688062</v>
      </c>
      <c r="AC109" s="89" t="n">
        <f aca="true">IF(AC$5=0,AB109,MAX(0,(AB109-AC$4)*(1+NORMINV(RAND(),INPUTS!$B$28,INPUTS!$B$29))))</f>
        <v>7890079.31969983</v>
      </c>
      <c r="AD109" s="89" t="n">
        <f aca="true">IF(AD$5=0,AC109,MAX(0,(AC109-AD$4)*(1+NORMINV(RAND(),INPUTS!$B$28,INPUTS!$B$29))))</f>
        <v>8228910.72840101</v>
      </c>
      <c r="AE109" s="89" t="n">
        <f aca="true">IF(AE$5=0,AD109,MAX(0,(AD109-AE$4)*(1+NORMINV(RAND(),INPUTS!$B$28,INPUTS!$B$29))))</f>
        <v>11224495.2676912</v>
      </c>
      <c r="AF109" s="89" t="n">
        <f aca="true">IF(AF$5=0,AE109,MAX(0,(AE109-AF$4)*(1+NORMINV(RAND(),INPUTS!$B$28,INPUTS!$B$29))))</f>
        <v>11124588.2610845</v>
      </c>
      <c r="AG109" s="89" t="n">
        <f aca="true">IF(AG$5=0,AF109,MAX(0,(AF109-AG$4)*(1+NORMINV(RAND(),INPUTS!$B$28,INPUTS!$B$29))))</f>
        <v>11336324.5531827</v>
      </c>
      <c r="AH109" s="89" t="n">
        <f aca="true">IF(AH$5=0,AG109,MAX(0,(AG109-AH$4)*(1+NORMINV(RAND(),INPUTS!$B$28,INPUTS!$B$29))))</f>
        <v>11890763.5291433</v>
      </c>
      <c r="AI109" s="89" t="n">
        <f aca="true">IF(AI$5=0,AH109,MAX(0,(AH109-AI$4)*(1+NORMINV(RAND(),INPUTS!$B$28,INPUTS!$B$29))))</f>
        <v>12818060.6534064</v>
      </c>
      <c r="AJ109" s="89" t="n">
        <f aca="true">IF(AJ$5=0,AI109,MAX(0,(AI109-AJ$4)*(1+NORMINV(RAND(),INPUTS!$B$28,INPUTS!$B$29))))</f>
        <v>14814114.8542863</v>
      </c>
      <c r="AK109" s="89" t="n">
        <f aca="true">IF(AK$5=0,AJ109,MAX(0,(AJ109-AK$4)*(1+NORMINV(RAND(),INPUTS!$B$28,INPUTS!$B$29))))</f>
        <v>15726531.3287689</v>
      </c>
      <c r="AL109" s="89" t="n">
        <f aca="true">IF(AL$5=0,AK109,MAX(0,(AK109-AL$4)*(1+NORMINV(RAND(),INPUTS!$B$28,INPUTS!$B$29))))</f>
        <v>17370322.7331812</v>
      </c>
      <c r="AM109" s="89" t="n">
        <f aca="true">IF(AM$5=0,AL109,MAX(0,(AL109-AM$4)*(1+NORMINV(RAND(),INPUTS!$B$28,INPUTS!$B$29))))</f>
        <v>17370322.7331812</v>
      </c>
      <c r="AN109" s="89" t="n">
        <f aca="true">IF(AN$5=0,AM109,MAX(0,(AM109-AN$4)*(1+NORMINV(RAND(),INPUTS!$B$28,INPUTS!$B$29))))</f>
        <v>17370322.7331812</v>
      </c>
      <c r="AO109" s="89" t="n">
        <f aca="true">IF(AO$5=0,AN109,MAX(0,(AN109-AO$4)*(1+NORMINV(RAND(),INPUTS!$B$28,INPUTS!$B$29))))</f>
        <v>17370322.7331812</v>
      </c>
      <c r="AP109" s="89" t="n">
        <f aca="true">IF(AP$5=0,AO109,MAX(0,(AO109-AP$4)*(1+NORMINV(RAND(),INPUTS!$B$28,INPUTS!$B$29))))</f>
        <v>17370322.7331812</v>
      </c>
      <c r="AQ109" s="89" t="n">
        <f aca="true">IF(AQ$5=0,AP109,MAX(0,(AP109-AQ$4)*(1+NORMINV(RAND(),INPUTS!$B$28,INPUTS!$B$29))))</f>
        <v>17370322.7331812</v>
      </c>
      <c r="AR109" s="89" t="n">
        <f aca="true">IF(AR$5=0,AQ109,MAX(0,(AQ109-AR$4)*(1+NORMINV(RAND(),INPUTS!$B$28,INPUTS!$B$29))))</f>
        <v>17370322.7331812</v>
      </c>
      <c r="AS109" s="89" t="n">
        <f aca="true">IF(AS$5=0,AR109,MAX(0,(AR109-AS$4)*(1+NORMINV(RAND(),INPUTS!$B$28,INPUTS!$B$29))))</f>
        <v>17370322.7331812</v>
      </c>
      <c r="AT109" s="89" t="n">
        <f aca="true">IF(AT$5=0,AS109,MAX(0,(AS109-AT$4)*(1+NORMINV(RAND(),INPUTS!$B$28,INPUTS!$B$29))))</f>
        <v>17370322.7331812</v>
      </c>
      <c r="AU109" s="89" t="n">
        <f aca="true">IF(AU$5=0,AT109,MAX(0,(AT109-AU$4)*(1+NORMINV(RAND(),INPUTS!$B$28,INPUTS!$B$29))))</f>
        <v>17370322.7331812</v>
      </c>
      <c r="AV109" s="89" t="n">
        <f aca="true">IF(AV$5=0,AU109,MAX(0,(AU109-AV$4)*(1+NORMINV(RAND(),INPUTS!$B$28,INPUTS!$B$29))))</f>
        <v>17370322.7331812</v>
      </c>
      <c r="AW109" s="89" t="n">
        <f aca="true">IF(AW$5=0,AV109,MAX(0,(AV109-AW$4)*(1+NORMINV(RAND(),INPUTS!$B$28,INPUTS!$B$29))))</f>
        <v>17370322.7331812</v>
      </c>
      <c r="AX109" s="89" t="n">
        <f aca="true">IF(AX$5=0,AW109,MAX(0,(AW109-AX$4)*(1+NORMINV(RAND(),INPUTS!$B$28,INPUTS!$B$29))))</f>
        <v>17370322.7331812</v>
      </c>
      <c r="AY109" s="89" t="n">
        <f aca="true">IF(AY$5=0,AX109,MAX(0,(AX109-AY$4)*(1+NORMINV(RAND(),INPUTS!$B$28,INPUTS!$B$29))))</f>
        <v>17370322.7331812</v>
      </c>
      <c r="AZ109" s="89" t="n">
        <f aca="true">IF(AZ$5=0,AY109,MAX(0,(AY109-AZ$4)*(1+NORMINV(RAND(),INPUTS!$B$28,INPUTS!$B$29))))</f>
        <v>17370322.7331812</v>
      </c>
      <c r="BA109" s="89" t="n">
        <f aca="true">IF(BA$5=0,AZ109,MAX(0,(AZ109-BA$4)*(1+NORMINV(RAND(),INPUTS!$B$28,INPUTS!$B$29))))</f>
        <v>17370322.7331812</v>
      </c>
      <c r="BB109" s="89" t="n">
        <f aca="true">IF(BB$5=0,BA109,MAX(0,(BA109-BB$4)*(1+NORMINV(RAND(),INPUTS!$B$28,INPUTS!$B$29))))</f>
        <v>17370322.7331812</v>
      </c>
      <c r="BC109" s="89" t="n">
        <f aca="true">IF(BC$5=0,BB109,MAX(0,(BB109-BC$4)*(1+NORMINV(RAND(),INPUTS!$B$28,INPUTS!$B$29))))</f>
        <v>17370322.7331812</v>
      </c>
      <c r="BD109" s="89" t="n">
        <f aca="true">IF(BD$5=0,BC109,MAX(0,(BC109-BD$4)*(1+NORMINV(RAND(),INPUTS!$B$28,INPUTS!$B$29))))</f>
        <v>17370322.7331812</v>
      </c>
      <c r="BE109" s="89" t="n">
        <f aca="true">IF(BE$5=0,BD109,MAX(0,(BD109-BE$4)*(1+NORMINV(RAND(),INPUTS!$B$28,INPUTS!$B$29))))</f>
        <v>17370322.7331812</v>
      </c>
      <c r="BF109" s="89" t="n">
        <f aca="true">IF(BF$5=0,BE109,MAX(0,(BE109-BF$4)*(1+NORMINV(RAND(),INPUTS!$B$28,INPUTS!$B$29))))</f>
        <v>17370322.7331812</v>
      </c>
      <c r="BG109" s="89" t="n">
        <f aca="true">IF(BG$5=0,BF109,MAX(0,(BF109-BG$4)*(1+NORMINV(RAND(),INPUTS!$B$28,INPUTS!$B$29))))</f>
        <v>17370322.7331812</v>
      </c>
      <c r="BH109" s="89" t="n">
        <f aca="true">IF(BH$5=0,BG109,MAX(0,(BG109-BH$4)*(1+NORMINV(RAND(),INPUTS!$B$28,INPUTS!$B$29))))</f>
        <v>17370322.7331812</v>
      </c>
      <c r="BI109" s="89" t="n">
        <f aca="true">IF(BI$5=0,BH109,MAX(0,(BH109-BI$4)*(1+NORMINV(RAND(),INPUTS!$B$28,INPUTS!$B$29))))</f>
        <v>17370322.7331812</v>
      </c>
      <c r="BJ109" s="89" t="n">
        <f aca="true">IF(BJ$5=0,BI109,MAX(0,(BI109-BJ$4)*(1+NORMINV(RAND(),INPUTS!$B$28,INPUTS!$B$29))))</f>
        <v>17370322.7331812</v>
      </c>
    </row>
    <row r="110" customFormat="false" ht="15" hidden="false" customHeight="true" outlineLevel="0" collapsed="false">
      <c r="A110" s="87" t="n">
        <v>103</v>
      </c>
      <c r="B110" s="88" t="n">
        <f aca="false">LOOKUP(9.99E+307,C110:BJ110)</f>
        <v>9492258.54081195</v>
      </c>
      <c r="C110" s="89" t="n">
        <f aca="true">IF(C$5=0,INPUTS!$B$35,MAX(0,(INPUTS!$B$35-C$4)*(1+NORMINV(RAND(),INPUTS!$B$28,INPUTS!$B$29))))</f>
        <v>1738380.45307389</v>
      </c>
      <c r="D110" s="89" t="n">
        <f aca="true">IF(D$5=0,C110,MAX(0,(C110-D$4)*(1+NORMINV(RAND(),INPUTS!$B$28,INPUTS!$B$29))))</f>
        <v>1641498.96057862</v>
      </c>
      <c r="E110" s="89" t="n">
        <f aca="true">IF(E$5=0,D110,MAX(0,(D110-E$4)*(1+NORMINV(RAND(),INPUTS!$B$28,INPUTS!$B$29))))</f>
        <v>1798343.4262669</v>
      </c>
      <c r="F110" s="89" t="n">
        <f aca="true">IF(F$5=0,E110,MAX(0,(E110-F$4)*(1+NORMINV(RAND(),INPUTS!$B$28,INPUTS!$B$29))))</f>
        <v>2152223.01808309</v>
      </c>
      <c r="G110" s="89" t="n">
        <f aca="true">IF(G$5=0,F110,MAX(0,(F110-G$4)*(1+NORMINV(RAND(),INPUTS!$B$28,INPUTS!$B$29))))</f>
        <v>2376331.54064791</v>
      </c>
      <c r="H110" s="89" t="n">
        <f aca="true">IF(H$5=0,G110,MAX(0,(G110-H$4)*(1+NORMINV(RAND(),INPUTS!$B$28,INPUTS!$B$29))))</f>
        <v>2376218.52273353</v>
      </c>
      <c r="I110" s="89" t="n">
        <f aca="true">IF(I$5=0,H110,MAX(0,(H110-I$4)*(1+NORMINV(RAND(),INPUTS!$B$28,INPUTS!$B$29))))</f>
        <v>2109680.11204691</v>
      </c>
      <c r="J110" s="89" t="n">
        <f aca="true">IF(J$5=0,I110,MAX(0,(I110-J$4)*(1+NORMINV(RAND(),INPUTS!$B$28,INPUTS!$B$29))))</f>
        <v>1957223.3323591</v>
      </c>
      <c r="K110" s="89" t="n">
        <f aca="true">IF(K$5=0,J110,MAX(0,(J110-K$4)*(1+NORMINV(RAND(),INPUTS!$B$28,INPUTS!$B$29))))</f>
        <v>1755832.76404986</v>
      </c>
      <c r="L110" s="89" t="n">
        <f aca="true">IF(L$5=0,K110,MAX(0,(K110-L$4)*(1+NORMINV(RAND(),INPUTS!$B$28,INPUTS!$B$29))))</f>
        <v>1880931.71348757</v>
      </c>
      <c r="M110" s="89" t="n">
        <f aca="true">IF(M$5=0,L110,MAX(0,(L110-M$4)*(1+NORMINV(RAND(),INPUTS!$B$28,INPUTS!$B$29))))</f>
        <v>2123150.61113116</v>
      </c>
      <c r="N110" s="89" t="n">
        <f aca="true">IF(N$5=0,M110,MAX(0,(M110-N$4)*(1+NORMINV(RAND(),INPUTS!$B$28,INPUTS!$B$29))))</f>
        <v>2160619.89809864</v>
      </c>
      <c r="O110" s="89" t="n">
        <f aca="true">IF(O$5=0,N110,MAX(0,(N110-O$4)*(1+NORMINV(RAND(),INPUTS!$B$28,INPUTS!$B$29))))</f>
        <v>2246376.44960499</v>
      </c>
      <c r="P110" s="89" t="n">
        <f aca="true">IF(P$5=0,O110,MAX(0,(O110-P$4)*(1+NORMINV(RAND(),INPUTS!$B$28,INPUTS!$B$29))))</f>
        <v>2418707.87903011</v>
      </c>
      <c r="Q110" s="89" t="n">
        <f aca="true">IF(Q$5=0,P110,MAX(0,(P110-Q$4)*(1+NORMINV(RAND(),INPUTS!$B$28,INPUTS!$B$29))))</f>
        <v>2377139.78098626</v>
      </c>
      <c r="R110" s="89" t="n">
        <f aca="true">IF(R$5=0,Q110,MAX(0,(Q110-R$4)*(1+NORMINV(RAND(),INPUTS!$B$28,INPUTS!$B$29))))</f>
        <v>2513488.09833144</v>
      </c>
      <c r="S110" s="89" t="n">
        <f aca="true">IF(S$5=0,R110,MAX(0,(R110-S$4)*(1+NORMINV(RAND(),INPUTS!$B$28,INPUTS!$B$29))))</f>
        <v>2379528.35060137</v>
      </c>
      <c r="T110" s="89" t="n">
        <f aca="true">IF(T$5=0,S110,MAX(0,(S110-T$4)*(1+NORMINV(RAND(),INPUTS!$B$28,INPUTS!$B$29))))</f>
        <v>2464883.02586554</v>
      </c>
      <c r="U110" s="89" t="n">
        <f aca="true">IF(U$5=0,T110,MAX(0,(T110-U$4)*(1+NORMINV(RAND(),INPUTS!$B$28,INPUTS!$B$29))))</f>
        <v>2626920.60232026</v>
      </c>
      <c r="V110" s="89" t="n">
        <f aca="true">IF(V$5=0,U110,MAX(0,(U110-V$4)*(1+NORMINV(RAND(),INPUTS!$B$28,INPUTS!$B$29))))</f>
        <v>2592119.87488362</v>
      </c>
      <c r="W110" s="89" t="n">
        <f aca="true">IF(W$5=0,V110,MAX(0,(V110-W$4)*(1+NORMINV(RAND(),INPUTS!$B$28,INPUTS!$B$29))))</f>
        <v>2505870.43180073</v>
      </c>
      <c r="X110" s="89" t="n">
        <f aca="true">IF(X$5=0,W110,MAX(0,(W110-X$4)*(1+NORMINV(RAND(),INPUTS!$B$28,INPUTS!$B$29))))</f>
        <v>2625623.07835738</v>
      </c>
      <c r="Y110" s="89" t="n">
        <f aca="true">IF(Y$5=0,X110,MAX(0,(X110-Y$4)*(1+NORMINV(RAND(),INPUTS!$B$28,INPUTS!$B$29))))</f>
        <v>2791316.36012883</v>
      </c>
      <c r="Z110" s="89" t="n">
        <f aca="true">IF(Z$5=0,Y110,MAX(0,(Y110-Z$4)*(1+NORMINV(RAND(),INPUTS!$B$28,INPUTS!$B$29))))</f>
        <v>3586272.52970912</v>
      </c>
      <c r="AA110" s="89" t="n">
        <f aca="true">IF(AA$5=0,Z110,MAX(0,(Z110-AA$4)*(1+NORMINV(RAND(),INPUTS!$B$28,INPUTS!$B$29))))</f>
        <v>3742874.03340932</v>
      </c>
      <c r="AB110" s="89" t="n">
        <f aca="true">IF(AB$5=0,AA110,MAX(0,(AA110-AB$4)*(1+NORMINV(RAND(),INPUTS!$B$28,INPUTS!$B$29))))</f>
        <v>3442790.92613083</v>
      </c>
      <c r="AC110" s="89" t="n">
        <f aca="true">IF(AC$5=0,AB110,MAX(0,(AB110-AC$4)*(1+NORMINV(RAND(),INPUTS!$B$28,INPUTS!$B$29))))</f>
        <v>3499345.41869901</v>
      </c>
      <c r="AD110" s="89" t="n">
        <f aca="true">IF(AD$5=0,AC110,MAX(0,(AC110-AD$4)*(1+NORMINV(RAND(),INPUTS!$B$28,INPUTS!$B$29))))</f>
        <v>4641960.87768485</v>
      </c>
      <c r="AE110" s="89" t="n">
        <f aca="true">IF(AE$5=0,AD110,MAX(0,(AD110-AE$4)*(1+NORMINV(RAND(),INPUTS!$B$28,INPUTS!$B$29))))</f>
        <v>4735745.5509016</v>
      </c>
      <c r="AF110" s="89" t="n">
        <f aca="true">IF(AF$5=0,AE110,MAX(0,(AE110-AF$4)*(1+NORMINV(RAND(),INPUTS!$B$28,INPUTS!$B$29))))</f>
        <v>5705590.10587646</v>
      </c>
      <c r="AG110" s="89" t="n">
        <f aca="true">IF(AG$5=0,AF110,MAX(0,(AF110-AG$4)*(1+NORMINV(RAND(),INPUTS!$B$28,INPUTS!$B$29))))</f>
        <v>5711269.02520286</v>
      </c>
      <c r="AH110" s="89" t="n">
        <f aca="true">IF(AH$5=0,AG110,MAX(0,(AG110-AH$4)*(1+NORMINV(RAND(),INPUTS!$B$28,INPUTS!$B$29))))</f>
        <v>6503659.20751214</v>
      </c>
      <c r="AI110" s="89" t="n">
        <f aca="true">IF(AI$5=0,AH110,MAX(0,(AH110-AI$4)*(1+NORMINV(RAND(),INPUTS!$B$28,INPUTS!$B$29))))</f>
        <v>7754166.76385934</v>
      </c>
      <c r="AJ110" s="89" t="n">
        <f aca="true">IF(AJ$5=0,AI110,MAX(0,(AI110-AJ$4)*(1+NORMINV(RAND(),INPUTS!$B$28,INPUTS!$B$29))))</f>
        <v>7182788.69545562</v>
      </c>
      <c r="AK110" s="89" t="n">
        <f aca="true">IF(AK$5=0,AJ110,MAX(0,(AJ110-AK$4)*(1+NORMINV(RAND(),INPUTS!$B$28,INPUTS!$B$29))))</f>
        <v>8830538.89636096</v>
      </c>
      <c r="AL110" s="89" t="n">
        <f aca="true">IF(AL$5=0,AK110,MAX(0,(AK110-AL$4)*(1+NORMINV(RAND(),INPUTS!$B$28,INPUTS!$B$29))))</f>
        <v>9492258.54081195</v>
      </c>
      <c r="AM110" s="89" t="n">
        <f aca="true">IF(AM$5=0,AL110,MAX(0,(AL110-AM$4)*(1+NORMINV(RAND(),INPUTS!$B$28,INPUTS!$B$29))))</f>
        <v>9492258.54081195</v>
      </c>
      <c r="AN110" s="89" t="n">
        <f aca="true">IF(AN$5=0,AM110,MAX(0,(AM110-AN$4)*(1+NORMINV(RAND(),INPUTS!$B$28,INPUTS!$B$29))))</f>
        <v>9492258.54081195</v>
      </c>
      <c r="AO110" s="89" t="n">
        <f aca="true">IF(AO$5=0,AN110,MAX(0,(AN110-AO$4)*(1+NORMINV(RAND(),INPUTS!$B$28,INPUTS!$B$29))))</f>
        <v>9492258.54081195</v>
      </c>
      <c r="AP110" s="89" t="n">
        <f aca="true">IF(AP$5=0,AO110,MAX(0,(AO110-AP$4)*(1+NORMINV(RAND(),INPUTS!$B$28,INPUTS!$B$29))))</f>
        <v>9492258.54081195</v>
      </c>
      <c r="AQ110" s="89" t="n">
        <f aca="true">IF(AQ$5=0,AP110,MAX(0,(AP110-AQ$4)*(1+NORMINV(RAND(),INPUTS!$B$28,INPUTS!$B$29))))</f>
        <v>9492258.54081195</v>
      </c>
      <c r="AR110" s="89" t="n">
        <f aca="true">IF(AR$5=0,AQ110,MAX(0,(AQ110-AR$4)*(1+NORMINV(RAND(),INPUTS!$B$28,INPUTS!$B$29))))</f>
        <v>9492258.54081195</v>
      </c>
      <c r="AS110" s="89" t="n">
        <f aca="true">IF(AS$5=0,AR110,MAX(0,(AR110-AS$4)*(1+NORMINV(RAND(),INPUTS!$B$28,INPUTS!$B$29))))</f>
        <v>9492258.54081195</v>
      </c>
      <c r="AT110" s="89" t="n">
        <f aca="true">IF(AT$5=0,AS110,MAX(0,(AS110-AT$4)*(1+NORMINV(RAND(),INPUTS!$B$28,INPUTS!$B$29))))</f>
        <v>9492258.54081195</v>
      </c>
      <c r="AU110" s="89" t="n">
        <f aca="true">IF(AU$5=0,AT110,MAX(0,(AT110-AU$4)*(1+NORMINV(RAND(),INPUTS!$B$28,INPUTS!$B$29))))</f>
        <v>9492258.54081195</v>
      </c>
      <c r="AV110" s="89" t="n">
        <f aca="true">IF(AV$5=0,AU110,MAX(0,(AU110-AV$4)*(1+NORMINV(RAND(),INPUTS!$B$28,INPUTS!$B$29))))</f>
        <v>9492258.54081195</v>
      </c>
      <c r="AW110" s="89" t="n">
        <f aca="true">IF(AW$5=0,AV110,MAX(0,(AV110-AW$4)*(1+NORMINV(RAND(),INPUTS!$B$28,INPUTS!$B$29))))</f>
        <v>9492258.54081195</v>
      </c>
      <c r="AX110" s="89" t="n">
        <f aca="true">IF(AX$5=0,AW110,MAX(0,(AW110-AX$4)*(1+NORMINV(RAND(),INPUTS!$B$28,INPUTS!$B$29))))</f>
        <v>9492258.54081195</v>
      </c>
      <c r="AY110" s="89" t="n">
        <f aca="true">IF(AY$5=0,AX110,MAX(0,(AX110-AY$4)*(1+NORMINV(RAND(),INPUTS!$B$28,INPUTS!$B$29))))</f>
        <v>9492258.54081195</v>
      </c>
      <c r="AZ110" s="89" t="n">
        <f aca="true">IF(AZ$5=0,AY110,MAX(0,(AY110-AZ$4)*(1+NORMINV(RAND(),INPUTS!$B$28,INPUTS!$B$29))))</f>
        <v>9492258.54081195</v>
      </c>
      <c r="BA110" s="89" t="n">
        <f aca="true">IF(BA$5=0,AZ110,MAX(0,(AZ110-BA$4)*(1+NORMINV(RAND(),INPUTS!$B$28,INPUTS!$B$29))))</f>
        <v>9492258.54081195</v>
      </c>
      <c r="BB110" s="89" t="n">
        <f aca="true">IF(BB$5=0,BA110,MAX(0,(BA110-BB$4)*(1+NORMINV(RAND(),INPUTS!$B$28,INPUTS!$B$29))))</f>
        <v>9492258.54081195</v>
      </c>
      <c r="BC110" s="89" t="n">
        <f aca="true">IF(BC$5=0,BB110,MAX(0,(BB110-BC$4)*(1+NORMINV(RAND(),INPUTS!$B$28,INPUTS!$B$29))))</f>
        <v>9492258.54081195</v>
      </c>
      <c r="BD110" s="89" t="n">
        <f aca="true">IF(BD$5=0,BC110,MAX(0,(BC110-BD$4)*(1+NORMINV(RAND(),INPUTS!$B$28,INPUTS!$B$29))))</f>
        <v>9492258.54081195</v>
      </c>
      <c r="BE110" s="89" t="n">
        <f aca="true">IF(BE$5=0,BD110,MAX(0,(BD110-BE$4)*(1+NORMINV(RAND(),INPUTS!$B$28,INPUTS!$B$29))))</f>
        <v>9492258.54081195</v>
      </c>
      <c r="BF110" s="89" t="n">
        <f aca="true">IF(BF$5=0,BE110,MAX(0,(BE110-BF$4)*(1+NORMINV(RAND(),INPUTS!$B$28,INPUTS!$B$29))))</f>
        <v>9492258.54081195</v>
      </c>
      <c r="BG110" s="89" t="n">
        <f aca="true">IF(BG$5=0,BF110,MAX(0,(BF110-BG$4)*(1+NORMINV(RAND(),INPUTS!$B$28,INPUTS!$B$29))))</f>
        <v>9492258.54081195</v>
      </c>
      <c r="BH110" s="89" t="n">
        <f aca="true">IF(BH$5=0,BG110,MAX(0,(BG110-BH$4)*(1+NORMINV(RAND(),INPUTS!$B$28,INPUTS!$B$29))))</f>
        <v>9492258.54081195</v>
      </c>
      <c r="BI110" s="89" t="n">
        <f aca="true">IF(BI$5=0,BH110,MAX(0,(BH110-BI$4)*(1+NORMINV(RAND(),INPUTS!$B$28,INPUTS!$B$29))))</f>
        <v>9492258.54081195</v>
      </c>
      <c r="BJ110" s="89" t="n">
        <f aca="true">IF(BJ$5=0,BI110,MAX(0,(BI110-BJ$4)*(1+NORMINV(RAND(),INPUTS!$B$28,INPUTS!$B$29))))</f>
        <v>9492258.54081195</v>
      </c>
    </row>
    <row r="111" customFormat="false" ht="15" hidden="false" customHeight="true" outlineLevel="0" collapsed="false">
      <c r="A111" s="87" t="n">
        <v>104</v>
      </c>
      <c r="B111" s="88" t="n">
        <f aca="false">LOOKUP(9.99E+307,C111:BJ111)</f>
        <v>3816189.1123291</v>
      </c>
      <c r="C111" s="89" t="n">
        <f aca="true">IF(C$5=0,INPUTS!$B$35,MAX(0,(INPUTS!$B$35-C$4)*(1+NORMINV(RAND(),INPUTS!$B$28,INPUTS!$B$29))))</f>
        <v>1376179.00212845</v>
      </c>
      <c r="D111" s="89" t="n">
        <f aca="true">IF(D$5=0,C111,MAX(0,(C111-D$4)*(1+NORMINV(RAND(),INPUTS!$B$28,INPUTS!$B$29))))</f>
        <v>1590208.21979657</v>
      </c>
      <c r="E111" s="89" t="n">
        <f aca="true">IF(E$5=0,D111,MAX(0,(D111-E$4)*(1+NORMINV(RAND(),INPUTS!$B$28,INPUTS!$B$29))))</f>
        <v>1553893.96595229</v>
      </c>
      <c r="F111" s="89" t="n">
        <f aca="true">IF(F$5=0,E111,MAX(0,(E111-F$4)*(1+NORMINV(RAND(),INPUTS!$B$28,INPUTS!$B$29))))</f>
        <v>1449706.56912356</v>
      </c>
      <c r="G111" s="89" t="n">
        <f aca="true">IF(G$5=0,F111,MAX(0,(F111-G$4)*(1+NORMINV(RAND(),INPUTS!$B$28,INPUTS!$B$29))))</f>
        <v>1501384.5129195</v>
      </c>
      <c r="H111" s="89" t="n">
        <f aca="true">IF(H$5=0,G111,MAX(0,(G111-H$4)*(1+NORMINV(RAND(),INPUTS!$B$28,INPUTS!$B$29))))</f>
        <v>1556180.61274121</v>
      </c>
      <c r="I111" s="89" t="n">
        <f aca="true">IF(I$5=0,H111,MAX(0,(H111-I$4)*(1+NORMINV(RAND(),INPUTS!$B$28,INPUTS!$B$29))))</f>
        <v>1547253.0922685</v>
      </c>
      <c r="J111" s="89" t="n">
        <f aca="true">IF(J$5=0,I111,MAX(0,(I111-J$4)*(1+NORMINV(RAND(),INPUTS!$B$28,INPUTS!$B$29))))</f>
        <v>1524824.92382666</v>
      </c>
      <c r="K111" s="89" t="n">
        <f aca="true">IF(K$5=0,J111,MAX(0,(J111-K$4)*(1+NORMINV(RAND(),INPUTS!$B$28,INPUTS!$B$29))))</f>
        <v>1605230.82062304</v>
      </c>
      <c r="L111" s="89" t="n">
        <f aca="true">IF(L$5=0,K111,MAX(0,(K111-L$4)*(1+NORMINV(RAND(),INPUTS!$B$28,INPUTS!$B$29))))</f>
        <v>1784763.83124723</v>
      </c>
      <c r="M111" s="89" t="n">
        <f aca="true">IF(M$5=0,L111,MAX(0,(L111-M$4)*(1+NORMINV(RAND(),INPUTS!$B$28,INPUTS!$B$29))))</f>
        <v>1758353.55385769</v>
      </c>
      <c r="N111" s="89" t="n">
        <f aca="true">IF(N$5=0,M111,MAX(0,(M111-N$4)*(1+NORMINV(RAND(),INPUTS!$B$28,INPUTS!$B$29))))</f>
        <v>1654612.01255444</v>
      </c>
      <c r="O111" s="89" t="n">
        <f aca="true">IF(O$5=0,N111,MAX(0,(N111-O$4)*(1+NORMINV(RAND(),INPUTS!$B$28,INPUTS!$B$29))))</f>
        <v>1907400.29895744</v>
      </c>
      <c r="P111" s="89" t="n">
        <f aca="true">IF(P$5=0,O111,MAX(0,(O111-P$4)*(1+NORMINV(RAND(),INPUTS!$B$28,INPUTS!$B$29))))</f>
        <v>1909310.17029944</v>
      </c>
      <c r="Q111" s="89" t="n">
        <f aca="true">IF(Q$5=0,P111,MAX(0,(P111-Q$4)*(1+NORMINV(RAND(),INPUTS!$B$28,INPUTS!$B$29))))</f>
        <v>1437739.81081412</v>
      </c>
      <c r="R111" s="89" t="n">
        <f aca="true">IF(R$5=0,Q111,MAX(0,(Q111-R$4)*(1+NORMINV(RAND(),INPUTS!$B$28,INPUTS!$B$29))))</f>
        <v>1901135.00812334</v>
      </c>
      <c r="S111" s="89" t="n">
        <f aca="true">IF(S$5=0,R111,MAX(0,(R111-S$4)*(1+NORMINV(RAND(),INPUTS!$B$28,INPUTS!$B$29))))</f>
        <v>1555564.62019981</v>
      </c>
      <c r="T111" s="89" t="n">
        <f aca="true">IF(T$5=0,S111,MAX(0,(S111-T$4)*(1+NORMINV(RAND(),INPUTS!$B$28,INPUTS!$B$29))))</f>
        <v>1663772.37143192</v>
      </c>
      <c r="U111" s="89" t="n">
        <f aca="true">IF(U$5=0,T111,MAX(0,(T111-U$4)*(1+NORMINV(RAND(),INPUTS!$B$28,INPUTS!$B$29))))</f>
        <v>1570713.33970127</v>
      </c>
      <c r="V111" s="89" t="n">
        <f aca="true">IF(V$5=0,U111,MAX(0,(U111-V$4)*(1+NORMINV(RAND(),INPUTS!$B$28,INPUTS!$B$29))))</f>
        <v>1553880.98279876</v>
      </c>
      <c r="W111" s="89" t="n">
        <f aca="true">IF(W$5=0,V111,MAX(0,(V111-W$4)*(1+NORMINV(RAND(),INPUTS!$B$28,INPUTS!$B$29))))</f>
        <v>2188299.81756255</v>
      </c>
      <c r="X111" s="89" t="n">
        <f aca="true">IF(X$5=0,W111,MAX(0,(W111-X$4)*(1+NORMINV(RAND(),INPUTS!$B$28,INPUTS!$B$29))))</f>
        <v>2340757.08646179</v>
      </c>
      <c r="Y111" s="89" t="n">
        <f aca="true">IF(Y$5=0,X111,MAX(0,(X111-Y$4)*(1+NORMINV(RAND(),INPUTS!$B$28,INPUTS!$B$29))))</f>
        <v>2858732.02989189</v>
      </c>
      <c r="Z111" s="89" t="n">
        <f aca="true">IF(Z$5=0,Y111,MAX(0,(Y111-Z$4)*(1+NORMINV(RAND(),INPUTS!$B$28,INPUTS!$B$29))))</f>
        <v>3022529.28758269</v>
      </c>
      <c r="AA111" s="89" t="n">
        <f aca="true">IF(AA$5=0,Z111,MAX(0,(Z111-AA$4)*(1+NORMINV(RAND(),INPUTS!$B$28,INPUTS!$B$29))))</f>
        <v>2844313.77360345</v>
      </c>
      <c r="AB111" s="89" t="n">
        <f aca="true">IF(AB$5=0,AA111,MAX(0,(AA111-AB$4)*(1+NORMINV(RAND(),INPUTS!$B$28,INPUTS!$B$29))))</f>
        <v>3034190.92374831</v>
      </c>
      <c r="AC111" s="89" t="n">
        <f aca="true">IF(AC$5=0,AB111,MAX(0,(AB111-AC$4)*(1+NORMINV(RAND(),INPUTS!$B$28,INPUTS!$B$29))))</f>
        <v>3105400.89747374</v>
      </c>
      <c r="AD111" s="89" t="n">
        <f aca="true">IF(AD$5=0,AC111,MAX(0,(AC111-AD$4)*(1+NORMINV(RAND(),INPUTS!$B$28,INPUTS!$B$29))))</f>
        <v>2725319.91156804</v>
      </c>
      <c r="AE111" s="89" t="n">
        <f aca="true">IF(AE$5=0,AD111,MAX(0,(AD111-AE$4)*(1+NORMINV(RAND(),INPUTS!$B$28,INPUTS!$B$29))))</f>
        <v>2813321.31494068</v>
      </c>
      <c r="AF111" s="89" t="n">
        <f aca="true">IF(AF$5=0,AE111,MAX(0,(AE111-AF$4)*(1+NORMINV(RAND(),INPUTS!$B$28,INPUTS!$B$29))))</f>
        <v>3216161.29755995</v>
      </c>
      <c r="AG111" s="89" t="n">
        <f aca="true">IF(AG$5=0,AF111,MAX(0,(AF111-AG$4)*(1+NORMINV(RAND(),INPUTS!$B$28,INPUTS!$B$29))))</f>
        <v>3520580.04769213</v>
      </c>
      <c r="AH111" s="89" t="n">
        <f aca="true">IF(AH$5=0,AG111,MAX(0,(AG111-AH$4)*(1+NORMINV(RAND(),INPUTS!$B$28,INPUTS!$B$29))))</f>
        <v>4734884.12931695</v>
      </c>
      <c r="AI111" s="89" t="n">
        <f aca="true">IF(AI$5=0,AH111,MAX(0,(AH111-AI$4)*(1+NORMINV(RAND(),INPUTS!$B$28,INPUTS!$B$29))))</f>
        <v>4153683.4125606</v>
      </c>
      <c r="AJ111" s="89" t="n">
        <f aca="true">IF(AJ$5=0,AI111,MAX(0,(AI111-AJ$4)*(1+NORMINV(RAND(),INPUTS!$B$28,INPUTS!$B$29))))</f>
        <v>3964817.02868663</v>
      </c>
      <c r="AK111" s="89" t="n">
        <f aca="true">IF(AK$5=0,AJ111,MAX(0,(AJ111-AK$4)*(1+NORMINV(RAND(),INPUTS!$B$28,INPUTS!$B$29))))</f>
        <v>4436766.59743492</v>
      </c>
      <c r="AL111" s="89" t="n">
        <f aca="true">IF(AL$5=0,AK111,MAX(0,(AK111-AL$4)*(1+NORMINV(RAND(),INPUTS!$B$28,INPUTS!$B$29))))</f>
        <v>3816189.1123291</v>
      </c>
      <c r="AM111" s="89" t="n">
        <f aca="true">IF(AM$5=0,AL111,MAX(0,(AL111-AM$4)*(1+NORMINV(RAND(),INPUTS!$B$28,INPUTS!$B$29))))</f>
        <v>3816189.1123291</v>
      </c>
      <c r="AN111" s="89" t="n">
        <f aca="true">IF(AN$5=0,AM111,MAX(0,(AM111-AN$4)*(1+NORMINV(RAND(),INPUTS!$B$28,INPUTS!$B$29))))</f>
        <v>3816189.1123291</v>
      </c>
      <c r="AO111" s="89" t="n">
        <f aca="true">IF(AO$5=0,AN111,MAX(0,(AN111-AO$4)*(1+NORMINV(RAND(),INPUTS!$B$28,INPUTS!$B$29))))</f>
        <v>3816189.1123291</v>
      </c>
      <c r="AP111" s="89" t="n">
        <f aca="true">IF(AP$5=0,AO111,MAX(0,(AO111-AP$4)*(1+NORMINV(RAND(),INPUTS!$B$28,INPUTS!$B$29))))</f>
        <v>3816189.1123291</v>
      </c>
      <c r="AQ111" s="89" t="n">
        <f aca="true">IF(AQ$5=0,AP111,MAX(0,(AP111-AQ$4)*(1+NORMINV(RAND(),INPUTS!$B$28,INPUTS!$B$29))))</f>
        <v>3816189.1123291</v>
      </c>
      <c r="AR111" s="89" t="n">
        <f aca="true">IF(AR$5=0,AQ111,MAX(0,(AQ111-AR$4)*(1+NORMINV(RAND(),INPUTS!$B$28,INPUTS!$B$29))))</f>
        <v>3816189.1123291</v>
      </c>
      <c r="AS111" s="89" t="n">
        <f aca="true">IF(AS$5=0,AR111,MAX(0,(AR111-AS$4)*(1+NORMINV(RAND(),INPUTS!$B$28,INPUTS!$B$29))))</f>
        <v>3816189.1123291</v>
      </c>
      <c r="AT111" s="89" t="n">
        <f aca="true">IF(AT$5=0,AS111,MAX(0,(AS111-AT$4)*(1+NORMINV(RAND(),INPUTS!$B$28,INPUTS!$B$29))))</f>
        <v>3816189.1123291</v>
      </c>
      <c r="AU111" s="89" t="n">
        <f aca="true">IF(AU$5=0,AT111,MAX(0,(AT111-AU$4)*(1+NORMINV(RAND(),INPUTS!$B$28,INPUTS!$B$29))))</f>
        <v>3816189.1123291</v>
      </c>
      <c r="AV111" s="89" t="n">
        <f aca="true">IF(AV$5=0,AU111,MAX(0,(AU111-AV$4)*(1+NORMINV(RAND(),INPUTS!$B$28,INPUTS!$B$29))))</f>
        <v>3816189.1123291</v>
      </c>
      <c r="AW111" s="89" t="n">
        <f aca="true">IF(AW$5=0,AV111,MAX(0,(AV111-AW$4)*(1+NORMINV(RAND(),INPUTS!$B$28,INPUTS!$B$29))))</f>
        <v>3816189.1123291</v>
      </c>
      <c r="AX111" s="89" t="n">
        <f aca="true">IF(AX$5=0,AW111,MAX(0,(AW111-AX$4)*(1+NORMINV(RAND(),INPUTS!$B$28,INPUTS!$B$29))))</f>
        <v>3816189.1123291</v>
      </c>
      <c r="AY111" s="89" t="n">
        <f aca="true">IF(AY$5=0,AX111,MAX(0,(AX111-AY$4)*(1+NORMINV(RAND(),INPUTS!$B$28,INPUTS!$B$29))))</f>
        <v>3816189.1123291</v>
      </c>
      <c r="AZ111" s="89" t="n">
        <f aca="true">IF(AZ$5=0,AY111,MAX(0,(AY111-AZ$4)*(1+NORMINV(RAND(),INPUTS!$B$28,INPUTS!$B$29))))</f>
        <v>3816189.1123291</v>
      </c>
      <c r="BA111" s="89" t="n">
        <f aca="true">IF(BA$5=0,AZ111,MAX(0,(AZ111-BA$4)*(1+NORMINV(RAND(),INPUTS!$B$28,INPUTS!$B$29))))</f>
        <v>3816189.1123291</v>
      </c>
      <c r="BB111" s="89" t="n">
        <f aca="true">IF(BB$5=0,BA111,MAX(0,(BA111-BB$4)*(1+NORMINV(RAND(),INPUTS!$B$28,INPUTS!$B$29))))</f>
        <v>3816189.1123291</v>
      </c>
      <c r="BC111" s="89" t="n">
        <f aca="true">IF(BC$5=0,BB111,MAX(0,(BB111-BC$4)*(1+NORMINV(RAND(),INPUTS!$B$28,INPUTS!$B$29))))</f>
        <v>3816189.1123291</v>
      </c>
      <c r="BD111" s="89" t="n">
        <f aca="true">IF(BD$5=0,BC111,MAX(0,(BC111-BD$4)*(1+NORMINV(RAND(),INPUTS!$B$28,INPUTS!$B$29))))</f>
        <v>3816189.1123291</v>
      </c>
      <c r="BE111" s="89" t="n">
        <f aca="true">IF(BE$5=0,BD111,MAX(0,(BD111-BE$4)*(1+NORMINV(RAND(),INPUTS!$B$28,INPUTS!$B$29))))</f>
        <v>3816189.1123291</v>
      </c>
      <c r="BF111" s="89" t="n">
        <f aca="true">IF(BF$5=0,BE111,MAX(0,(BE111-BF$4)*(1+NORMINV(RAND(),INPUTS!$B$28,INPUTS!$B$29))))</f>
        <v>3816189.1123291</v>
      </c>
      <c r="BG111" s="89" t="n">
        <f aca="true">IF(BG$5=0,BF111,MAX(0,(BF111-BG$4)*(1+NORMINV(RAND(),INPUTS!$B$28,INPUTS!$B$29))))</f>
        <v>3816189.1123291</v>
      </c>
      <c r="BH111" s="89" t="n">
        <f aca="true">IF(BH$5=0,BG111,MAX(0,(BG111-BH$4)*(1+NORMINV(RAND(),INPUTS!$B$28,INPUTS!$B$29))))</f>
        <v>3816189.1123291</v>
      </c>
      <c r="BI111" s="89" t="n">
        <f aca="true">IF(BI$5=0,BH111,MAX(0,(BH111-BI$4)*(1+NORMINV(RAND(),INPUTS!$B$28,INPUTS!$B$29))))</f>
        <v>3816189.1123291</v>
      </c>
      <c r="BJ111" s="89" t="n">
        <f aca="true">IF(BJ$5=0,BI111,MAX(0,(BI111-BJ$4)*(1+NORMINV(RAND(),INPUTS!$B$28,INPUTS!$B$29))))</f>
        <v>3816189.1123291</v>
      </c>
    </row>
    <row r="112" customFormat="false" ht="15" hidden="false" customHeight="true" outlineLevel="0" collapsed="false">
      <c r="A112" s="87" t="n">
        <v>105</v>
      </c>
      <c r="B112" s="88" t="n">
        <f aca="false">LOOKUP(9.99E+307,C112:BJ112)</f>
        <v>8829569.19372509</v>
      </c>
      <c r="C112" s="89" t="n">
        <f aca="true">IF(C$5=0,INPUTS!$B$35,MAX(0,(INPUTS!$B$35-C$4)*(1+NORMINV(RAND(),INPUTS!$B$28,INPUTS!$B$29))))</f>
        <v>1713243.25012652</v>
      </c>
      <c r="D112" s="89" t="n">
        <f aca="true">IF(D$5=0,C112,MAX(0,(C112-D$4)*(1+NORMINV(RAND(),INPUTS!$B$28,INPUTS!$B$29))))</f>
        <v>1888302.33858283</v>
      </c>
      <c r="E112" s="89" t="n">
        <f aca="true">IF(E$5=0,D112,MAX(0,(D112-E$4)*(1+NORMINV(RAND(),INPUTS!$B$28,INPUTS!$B$29))))</f>
        <v>1854185.16287699</v>
      </c>
      <c r="F112" s="89" t="n">
        <f aca="true">IF(F$5=0,E112,MAX(0,(E112-F$4)*(1+NORMINV(RAND(),INPUTS!$B$28,INPUTS!$B$29))))</f>
        <v>1945706.91483705</v>
      </c>
      <c r="G112" s="89" t="n">
        <f aca="true">IF(G$5=0,F112,MAX(0,(F112-G$4)*(1+NORMINV(RAND(),INPUTS!$B$28,INPUTS!$B$29))))</f>
        <v>2215107.88864555</v>
      </c>
      <c r="H112" s="89" t="n">
        <f aca="true">IF(H$5=0,G112,MAX(0,(G112-H$4)*(1+NORMINV(RAND(),INPUTS!$B$28,INPUTS!$B$29))))</f>
        <v>2366769.34475628</v>
      </c>
      <c r="I112" s="89" t="n">
        <f aca="true">IF(I$5=0,H112,MAX(0,(H112-I$4)*(1+NORMINV(RAND(),INPUTS!$B$28,INPUTS!$B$29))))</f>
        <v>2605982.74287812</v>
      </c>
      <c r="J112" s="89" t="n">
        <f aca="true">IF(J$5=0,I112,MAX(0,(I112-J$4)*(1+NORMINV(RAND(),INPUTS!$B$28,INPUTS!$B$29))))</f>
        <v>2476949.18322692</v>
      </c>
      <c r="K112" s="89" t="n">
        <f aca="true">IF(K$5=0,J112,MAX(0,(J112-K$4)*(1+NORMINV(RAND(),INPUTS!$B$28,INPUTS!$B$29))))</f>
        <v>2243748.27908039</v>
      </c>
      <c r="L112" s="89" t="n">
        <f aca="true">IF(L$5=0,K112,MAX(0,(K112-L$4)*(1+NORMINV(RAND(),INPUTS!$B$28,INPUTS!$B$29))))</f>
        <v>2309848.29781708</v>
      </c>
      <c r="M112" s="89" t="n">
        <f aca="true">IF(M$5=0,L112,MAX(0,(L112-M$4)*(1+NORMINV(RAND(),INPUTS!$B$28,INPUTS!$B$29))))</f>
        <v>2125789.42185044</v>
      </c>
      <c r="N112" s="89" t="n">
        <f aca="true">IF(N$5=0,M112,MAX(0,(M112-N$4)*(1+NORMINV(RAND(),INPUTS!$B$28,INPUTS!$B$29))))</f>
        <v>2253886.36743584</v>
      </c>
      <c r="O112" s="89" t="n">
        <f aca="true">IF(O$5=0,N112,MAX(0,(N112-O$4)*(1+NORMINV(RAND(),INPUTS!$B$28,INPUTS!$B$29))))</f>
        <v>2411231.65284784</v>
      </c>
      <c r="P112" s="89" t="n">
        <f aca="true">IF(P$5=0,O112,MAX(0,(O112-P$4)*(1+NORMINV(RAND(),INPUTS!$B$28,INPUTS!$B$29))))</f>
        <v>2430322.47868773</v>
      </c>
      <c r="Q112" s="89" t="n">
        <f aca="true">IF(Q$5=0,P112,MAX(0,(P112-Q$4)*(1+NORMINV(RAND(),INPUTS!$B$28,INPUTS!$B$29))))</f>
        <v>3065467.86885714</v>
      </c>
      <c r="R112" s="89" t="n">
        <f aca="true">IF(R$5=0,Q112,MAX(0,(Q112-R$4)*(1+NORMINV(RAND(),INPUTS!$B$28,INPUTS!$B$29))))</f>
        <v>3770591.70102256</v>
      </c>
      <c r="S112" s="89" t="n">
        <f aca="true">IF(S$5=0,R112,MAX(0,(R112-S$4)*(1+NORMINV(RAND(),INPUTS!$B$28,INPUTS!$B$29))))</f>
        <v>3366128.60964381</v>
      </c>
      <c r="T112" s="89" t="n">
        <f aca="true">IF(T$5=0,S112,MAX(0,(S112-T$4)*(1+NORMINV(RAND(),INPUTS!$B$28,INPUTS!$B$29))))</f>
        <v>3650238.21089225</v>
      </c>
      <c r="U112" s="89" t="n">
        <f aca="true">IF(U$5=0,T112,MAX(0,(T112-U$4)*(1+NORMINV(RAND(),INPUTS!$B$28,INPUTS!$B$29))))</f>
        <v>3619192.17931958</v>
      </c>
      <c r="V112" s="89" t="n">
        <f aca="true">IF(V$5=0,U112,MAX(0,(U112-V$4)*(1+NORMINV(RAND(),INPUTS!$B$28,INPUTS!$B$29))))</f>
        <v>3299948.23738216</v>
      </c>
      <c r="W112" s="89" t="n">
        <f aca="true">IF(W$5=0,V112,MAX(0,(V112-W$4)*(1+NORMINV(RAND(),INPUTS!$B$28,INPUTS!$B$29))))</f>
        <v>3493028.10160479</v>
      </c>
      <c r="X112" s="89" t="n">
        <f aca="true">IF(X$5=0,W112,MAX(0,(W112-X$4)*(1+NORMINV(RAND(),INPUTS!$B$28,INPUTS!$B$29))))</f>
        <v>3393045.39088572</v>
      </c>
      <c r="Y112" s="89" t="n">
        <f aca="true">IF(Y$5=0,X112,MAX(0,(X112-Y$4)*(1+NORMINV(RAND(),INPUTS!$B$28,INPUTS!$B$29))))</f>
        <v>3262922.63045672</v>
      </c>
      <c r="Z112" s="89" t="n">
        <f aca="true">IF(Z$5=0,Y112,MAX(0,(Y112-Z$4)*(1+NORMINV(RAND(),INPUTS!$B$28,INPUTS!$B$29))))</f>
        <v>4120469.99630481</v>
      </c>
      <c r="AA112" s="89" t="n">
        <f aca="true">IF(AA$5=0,Z112,MAX(0,(Z112-AA$4)*(1+NORMINV(RAND(),INPUTS!$B$28,INPUTS!$B$29))))</f>
        <v>4352333.41021144</v>
      </c>
      <c r="AB112" s="89" t="n">
        <f aca="true">IF(AB$5=0,AA112,MAX(0,(AA112-AB$4)*(1+NORMINV(RAND(),INPUTS!$B$28,INPUTS!$B$29))))</f>
        <v>4676049.38681686</v>
      </c>
      <c r="AC112" s="89" t="n">
        <f aca="true">IF(AC$5=0,AB112,MAX(0,(AB112-AC$4)*(1+NORMINV(RAND(),INPUTS!$B$28,INPUTS!$B$29))))</f>
        <v>4866385.19607063</v>
      </c>
      <c r="AD112" s="89" t="n">
        <f aca="true">IF(AD$5=0,AC112,MAX(0,(AC112-AD$4)*(1+NORMINV(RAND(),INPUTS!$B$28,INPUTS!$B$29))))</f>
        <v>5014623.37345794</v>
      </c>
      <c r="AE112" s="89" t="n">
        <f aca="true">IF(AE$5=0,AD112,MAX(0,(AD112-AE$4)*(1+NORMINV(RAND(),INPUTS!$B$28,INPUTS!$B$29))))</f>
        <v>4738129.83773219</v>
      </c>
      <c r="AF112" s="89" t="n">
        <f aca="true">IF(AF$5=0,AE112,MAX(0,(AE112-AF$4)*(1+NORMINV(RAND(),INPUTS!$B$28,INPUTS!$B$29))))</f>
        <v>5059135.94440678</v>
      </c>
      <c r="AG112" s="89" t="n">
        <f aca="true">IF(AG$5=0,AF112,MAX(0,(AF112-AG$4)*(1+NORMINV(RAND(),INPUTS!$B$28,INPUTS!$B$29))))</f>
        <v>5636965.25980409</v>
      </c>
      <c r="AH112" s="89" t="n">
        <f aca="true">IF(AH$5=0,AG112,MAX(0,(AG112-AH$4)*(1+NORMINV(RAND(),INPUTS!$B$28,INPUTS!$B$29))))</f>
        <v>7118663.76450069</v>
      </c>
      <c r="AI112" s="89" t="n">
        <f aca="true">IF(AI$5=0,AH112,MAX(0,(AH112-AI$4)*(1+NORMINV(RAND(),INPUTS!$B$28,INPUTS!$B$29))))</f>
        <v>8263484.19573897</v>
      </c>
      <c r="AJ112" s="89" t="n">
        <f aca="true">IF(AJ$5=0,AI112,MAX(0,(AI112-AJ$4)*(1+NORMINV(RAND(),INPUTS!$B$28,INPUTS!$B$29))))</f>
        <v>8421806.63716075</v>
      </c>
      <c r="AK112" s="89" t="n">
        <f aca="true">IF(AK$5=0,AJ112,MAX(0,(AJ112-AK$4)*(1+NORMINV(RAND(),INPUTS!$B$28,INPUTS!$B$29))))</f>
        <v>8365927.04167916</v>
      </c>
      <c r="AL112" s="89" t="n">
        <f aca="true">IF(AL$5=0,AK112,MAX(0,(AK112-AL$4)*(1+NORMINV(RAND(),INPUTS!$B$28,INPUTS!$B$29))))</f>
        <v>8829569.19372509</v>
      </c>
      <c r="AM112" s="89" t="n">
        <f aca="true">IF(AM$5=0,AL112,MAX(0,(AL112-AM$4)*(1+NORMINV(RAND(),INPUTS!$B$28,INPUTS!$B$29))))</f>
        <v>8829569.19372509</v>
      </c>
      <c r="AN112" s="89" t="n">
        <f aca="true">IF(AN$5=0,AM112,MAX(0,(AM112-AN$4)*(1+NORMINV(RAND(),INPUTS!$B$28,INPUTS!$B$29))))</f>
        <v>8829569.19372509</v>
      </c>
      <c r="AO112" s="89" t="n">
        <f aca="true">IF(AO$5=0,AN112,MAX(0,(AN112-AO$4)*(1+NORMINV(RAND(),INPUTS!$B$28,INPUTS!$B$29))))</f>
        <v>8829569.19372509</v>
      </c>
      <c r="AP112" s="89" t="n">
        <f aca="true">IF(AP$5=0,AO112,MAX(0,(AO112-AP$4)*(1+NORMINV(RAND(),INPUTS!$B$28,INPUTS!$B$29))))</f>
        <v>8829569.19372509</v>
      </c>
      <c r="AQ112" s="89" t="n">
        <f aca="true">IF(AQ$5=0,AP112,MAX(0,(AP112-AQ$4)*(1+NORMINV(RAND(),INPUTS!$B$28,INPUTS!$B$29))))</f>
        <v>8829569.19372509</v>
      </c>
      <c r="AR112" s="89" t="n">
        <f aca="true">IF(AR$5=0,AQ112,MAX(0,(AQ112-AR$4)*(1+NORMINV(RAND(),INPUTS!$B$28,INPUTS!$B$29))))</f>
        <v>8829569.19372509</v>
      </c>
      <c r="AS112" s="89" t="n">
        <f aca="true">IF(AS$5=0,AR112,MAX(0,(AR112-AS$4)*(1+NORMINV(RAND(),INPUTS!$B$28,INPUTS!$B$29))))</f>
        <v>8829569.19372509</v>
      </c>
      <c r="AT112" s="89" t="n">
        <f aca="true">IF(AT$5=0,AS112,MAX(0,(AS112-AT$4)*(1+NORMINV(RAND(),INPUTS!$B$28,INPUTS!$B$29))))</f>
        <v>8829569.19372509</v>
      </c>
      <c r="AU112" s="89" t="n">
        <f aca="true">IF(AU$5=0,AT112,MAX(0,(AT112-AU$4)*(1+NORMINV(RAND(),INPUTS!$B$28,INPUTS!$B$29))))</f>
        <v>8829569.19372509</v>
      </c>
      <c r="AV112" s="89" t="n">
        <f aca="true">IF(AV$5=0,AU112,MAX(0,(AU112-AV$4)*(1+NORMINV(RAND(),INPUTS!$B$28,INPUTS!$B$29))))</f>
        <v>8829569.19372509</v>
      </c>
      <c r="AW112" s="89" t="n">
        <f aca="true">IF(AW$5=0,AV112,MAX(0,(AV112-AW$4)*(1+NORMINV(RAND(),INPUTS!$B$28,INPUTS!$B$29))))</f>
        <v>8829569.19372509</v>
      </c>
      <c r="AX112" s="89" t="n">
        <f aca="true">IF(AX$5=0,AW112,MAX(0,(AW112-AX$4)*(1+NORMINV(RAND(),INPUTS!$B$28,INPUTS!$B$29))))</f>
        <v>8829569.19372509</v>
      </c>
      <c r="AY112" s="89" t="n">
        <f aca="true">IF(AY$5=0,AX112,MAX(0,(AX112-AY$4)*(1+NORMINV(RAND(),INPUTS!$B$28,INPUTS!$B$29))))</f>
        <v>8829569.19372509</v>
      </c>
      <c r="AZ112" s="89" t="n">
        <f aca="true">IF(AZ$5=0,AY112,MAX(0,(AY112-AZ$4)*(1+NORMINV(RAND(),INPUTS!$B$28,INPUTS!$B$29))))</f>
        <v>8829569.19372509</v>
      </c>
      <c r="BA112" s="89" t="n">
        <f aca="true">IF(BA$5=0,AZ112,MAX(0,(AZ112-BA$4)*(1+NORMINV(RAND(),INPUTS!$B$28,INPUTS!$B$29))))</f>
        <v>8829569.19372509</v>
      </c>
      <c r="BB112" s="89" t="n">
        <f aca="true">IF(BB$5=0,BA112,MAX(0,(BA112-BB$4)*(1+NORMINV(RAND(),INPUTS!$B$28,INPUTS!$B$29))))</f>
        <v>8829569.19372509</v>
      </c>
      <c r="BC112" s="89" t="n">
        <f aca="true">IF(BC$5=0,BB112,MAX(0,(BB112-BC$4)*(1+NORMINV(RAND(),INPUTS!$B$28,INPUTS!$B$29))))</f>
        <v>8829569.19372509</v>
      </c>
      <c r="BD112" s="89" t="n">
        <f aca="true">IF(BD$5=0,BC112,MAX(0,(BC112-BD$4)*(1+NORMINV(RAND(),INPUTS!$B$28,INPUTS!$B$29))))</f>
        <v>8829569.19372509</v>
      </c>
      <c r="BE112" s="89" t="n">
        <f aca="true">IF(BE$5=0,BD112,MAX(0,(BD112-BE$4)*(1+NORMINV(RAND(),INPUTS!$B$28,INPUTS!$B$29))))</f>
        <v>8829569.19372509</v>
      </c>
      <c r="BF112" s="89" t="n">
        <f aca="true">IF(BF$5=0,BE112,MAX(0,(BE112-BF$4)*(1+NORMINV(RAND(),INPUTS!$B$28,INPUTS!$B$29))))</f>
        <v>8829569.19372509</v>
      </c>
      <c r="BG112" s="89" t="n">
        <f aca="true">IF(BG$5=0,BF112,MAX(0,(BF112-BG$4)*(1+NORMINV(RAND(),INPUTS!$B$28,INPUTS!$B$29))))</f>
        <v>8829569.19372509</v>
      </c>
      <c r="BH112" s="89" t="n">
        <f aca="true">IF(BH$5=0,BG112,MAX(0,(BG112-BH$4)*(1+NORMINV(RAND(),INPUTS!$B$28,INPUTS!$B$29))))</f>
        <v>8829569.19372509</v>
      </c>
      <c r="BI112" s="89" t="n">
        <f aca="true">IF(BI$5=0,BH112,MAX(0,(BH112-BI$4)*(1+NORMINV(RAND(),INPUTS!$B$28,INPUTS!$B$29))))</f>
        <v>8829569.19372509</v>
      </c>
      <c r="BJ112" s="89" t="n">
        <f aca="true">IF(BJ$5=0,BI112,MAX(0,(BI112-BJ$4)*(1+NORMINV(RAND(),INPUTS!$B$28,INPUTS!$B$29))))</f>
        <v>8829569.19372509</v>
      </c>
    </row>
    <row r="113" customFormat="false" ht="15" hidden="false" customHeight="true" outlineLevel="0" collapsed="false">
      <c r="A113" s="87" t="n">
        <v>106</v>
      </c>
      <c r="B113" s="88" t="n">
        <f aca="false">LOOKUP(9.99E+307,C113:BJ113)</f>
        <v>1419367.25168127</v>
      </c>
      <c r="C113" s="89" t="n">
        <f aca="true">IF(C$5=0,INPUTS!$B$35,MAX(0,(INPUTS!$B$35-C$4)*(1+NORMINV(RAND(),INPUTS!$B$28,INPUTS!$B$29))))</f>
        <v>1689967.15791495</v>
      </c>
      <c r="D113" s="89" t="n">
        <f aca="true">IF(D$5=0,C113,MAX(0,(C113-D$4)*(1+NORMINV(RAND(),INPUTS!$B$28,INPUTS!$B$29))))</f>
        <v>1490074.07821458</v>
      </c>
      <c r="E113" s="89" t="n">
        <f aca="true">IF(E$5=0,D113,MAX(0,(D113-E$4)*(1+NORMINV(RAND(),INPUTS!$B$28,INPUTS!$B$29))))</f>
        <v>1587822.49962986</v>
      </c>
      <c r="F113" s="89" t="n">
        <f aca="true">IF(F$5=0,E113,MAX(0,(E113-F$4)*(1+NORMINV(RAND(),INPUTS!$B$28,INPUTS!$B$29))))</f>
        <v>1490587.75060257</v>
      </c>
      <c r="G113" s="89" t="n">
        <f aca="true">IF(G$5=0,F113,MAX(0,(F113-G$4)*(1+NORMINV(RAND(),INPUTS!$B$28,INPUTS!$B$29))))</f>
        <v>1666708.15307508</v>
      </c>
      <c r="H113" s="89" t="n">
        <f aca="true">IF(H$5=0,G113,MAX(0,(G113-H$4)*(1+NORMINV(RAND(),INPUTS!$B$28,INPUTS!$B$29))))</f>
        <v>1913374.33647556</v>
      </c>
      <c r="I113" s="89" t="n">
        <f aca="true">IF(I$5=0,H113,MAX(0,(H113-I$4)*(1+NORMINV(RAND(),INPUTS!$B$28,INPUTS!$B$29))))</f>
        <v>2440313.52936089</v>
      </c>
      <c r="J113" s="89" t="n">
        <f aca="true">IF(J$5=0,I113,MAX(0,(I113-J$4)*(1+NORMINV(RAND(),INPUTS!$B$28,INPUTS!$B$29))))</f>
        <v>1887960.19595224</v>
      </c>
      <c r="K113" s="89" t="n">
        <f aca="true">IF(K$5=0,J113,MAX(0,(J113-K$4)*(1+NORMINV(RAND(),INPUTS!$B$28,INPUTS!$B$29))))</f>
        <v>1873860.37086546</v>
      </c>
      <c r="L113" s="89" t="n">
        <f aca="true">IF(L$5=0,K113,MAX(0,(K113-L$4)*(1+NORMINV(RAND(),INPUTS!$B$28,INPUTS!$B$29))))</f>
        <v>2334482.95959899</v>
      </c>
      <c r="M113" s="89" t="n">
        <f aca="true">IF(M$5=0,L113,MAX(0,(L113-M$4)*(1+NORMINV(RAND(),INPUTS!$B$28,INPUTS!$B$29))))</f>
        <v>2019206.16095598</v>
      </c>
      <c r="N113" s="89" t="n">
        <f aca="true">IF(N$5=0,M113,MAX(0,(M113-N$4)*(1+NORMINV(RAND(),INPUTS!$B$28,INPUTS!$B$29))))</f>
        <v>1797096.82247045</v>
      </c>
      <c r="O113" s="89" t="n">
        <f aca="true">IF(O$5=0,N113,MAX(0,(N113-O$4)*(1+NORMINV(RAND(),INPUTS!$B$28,INPUTS!$B$29))))</f>
        <v>2343159.12557067</v>
      </c>
      <c r="P113" s="89" t="n">
        <f aca="true">IF(P$5=0,O113,MAX(0,(O113-P$4)*(1+NORMINV(RAND(),INPUTS!$B$28,INPUTS!$B$29))))</f>
        <v>2817036.58038564</v>
      </c>
      <c r="Q113" s="89" t="n">
        <f aca="true">IF(Q$5=0,P113,MAX(0,(P113-Q$4)*(1+NORMINV(RAND(),INPUTS!$B$28,INPUTS!$B$29))))</f>
        <v>2739462.37853256</v>
      </c>
      <c r="R113" s="89" t="n">
        <f aca="true">IF(R$5=0,Q113,MAX(0,(Q113-R$4)*(1+NORMINV(RAND(),INPUTS!$B$28,INPUTS!$B$29))))</f>
        <v>2467847.42200715</v>
      </c>
      <c r="S113" s="89" t="n">
        <f aca="true">IF(S$5=0,R113,MAX(0,(R113-S$4)*(1+NORMINV(RAND(),INPUTS!$B$28,INPUTS!$B$29))))</f>
        <v>2057239.17131301</v>
      </c>
      <c r="T113" s="89" t="n">
        <f aca="true">IF(T$5=0,S113,MAX(0,(S113-T$4)*(1+NORMINV(RAND(),INPUTS!$B$28,INPUTS!$B$29))))</f>
        <v>2118829.29696953</v>
      </c>
      <c r="U113" s="89" t="n">
        <f aca="true">IF(U$5=0,T113,MAX(0,(T113-U$4)*(1+NORMINV(RAND(),INPUTS!$B$28,INPUTS!$B$29))))</f>
        <v>1919036.2155086</v>
      </c>
      <c r="V113" s="89" t="n">
        <f aca="true">IF(V$5=0,U113,MAX(0,(U113-V$4)*(1+NORMINV(RAND(),INPUTS!$B$28,INPUTS!$B$29))))</f>
        <v>1660692.40347407</v>
      </c>
      <c r="W113" s="89" t="n">
        <f aca="true">IF(W$5=0,V113,MAX(0,(V113-W$4)*(1+NORMINV(RAND(),INPUTS!$B$28,INPUTS!$B$29))))</f>
        <v>1867166.41839682</v>
      </c>
      <c r="X113" s="89" t="n">
        <f aca="true">IF(X$5=0,W113,MAX(0,(W113-X$4)*(1+NORMINV(RAND(),INPUTS!$B$28,INPUTS!$B$29))))</f>
        <v>2196886.22133221</v>
      </c>
      <c r="Y113" s="89" t="n">
        <f aca="true">IF(Y$5=0,X113,MAX(0,(X113-Y$4)*(1+NORMINV(RAND(),INPUTS!$B$28,INPUTS!$B$29))))</f>
        <v>2173432.94686769</v>
      </c>
      <c r="Z113" s="89" t="n">
        <f aca="true">IF(Z$5=0,Y113,MAX(0,(Y113-Z$4)*(1+NORMINV(RAND(),INPUTS!$B$28,INPUTS!$B$29))))</f>
        <v>1952095.90521455</v>
      </c>
      <c r="AA113" s="89" t="n">
        <f aca="true">IF(AA$5=0,Z113,MAX(0,(Z113-AA$4)*(1+NORMINV(RAND(),INPUTS!$B$28,INPUTS!$B$29))))</f>
        <v>1786446.88343885</v>
      </c>
      <c r="AB113" s="89" t="n">
        <f aca="true">IF(AB$5=0,AA113,MAX(0,(AA113-AB$4)*(1+NORMINV(RAND(),INPUTS!$B$28,INPUTS!$B$29))))</f>
        <v>2077001.18877634</v>
      </c>
      <c r="AC113" s="89" t="n">
        <f aca="true">IF(AC$5=0,AB113,MAX(0,(AB113-AC$4)*(1+NORMINV(RAND(),INPUTS!$B$28,INPUTS!$B$29))))</f>
        <v>2044807.86118448</v>
      </c>
      <c r="AD113" s="89" t="n">
        <f aca="true">IF(AD$5=0,AC113,MAX(0,(AC113-AD$4)*(1+NORMINV(RAND(),INPUTS!$B$28,INPUTS!$B$29))))</f>
        <v>2281133.23192119</v>
      </c>
      <c r="AE113" s="89" t="n">
        <f aca="true">IF(AE$5=0,AD113,MAX(0,(AD113-AE$4)*(1+NORMINV(RAND(),INPUTS!$B$28,INPUTS!$B$29))))</f>
        <v>2086143.22470001</v>
      </c>
      <c r="AF113" s="89" t="n">
        <f aca="true">IF(AF$5=0,AE113,MAX(0,(AE113-AF$4)*(1+NORMINV(RAND(),INPUTS!$B$28,INPUTS!$B$29))))</f>
        <v>2100620.42405702</v>
      </c>
      <c r="AG113" s="89" t="n">
        <f aca="true">IF(AG$5=0,AF113,MAX(0,(AF113-AG$4)*(1+NORMINV(RAND(),INPUTS!$B$28,INPUTS!$B$29))))</f>
        <v>1976200.85052541</v>
      </c>
      <c r="AH113" s="89" t="n">
        <f aca="true">IF(AH$5=0,AG113,MAX(0,(AG113-AH$4)*(1+NORMINV(RAND(),INPUTS!$B$28,INPUTS!$B$29))))</f>
        <v>1810594.11555453</v>
      </c>
      <c r="AI113" s="89" t="n">
        <f aca="true">IF(AI$5=0,AH113,MAX(0,(AH113-AI$4)*(1+NORMINV(RAND(),INPUTS!$B$28,INPUTS!$B$29))))</f>
        <v>2210927.34241375</v>
      </c>
      <c r="AJ113" s="89" t="n">
        <f aca="true">IF(AJ$5=0,AI113,MAX(0,(AI113-AJ$4)*(1+NORMINV(RAND(),INPUTS!$B$28,INPUTS!$B$29))))</f>
        <v>1972617.79716098</v>
      </c>
      <c r="AK113" s="89" t="n">
        <f aca="true">IF(AK$5=0,AJ113,MAX(0,(AJ113-AK$4)*(1+NORMINV(RAND(),INPUTS!$B$28,INPUTS!$B$29))))</f>
        <v>1521003.41635707</v>
      </c>
      <c r="AL113" s="89" t="n">
        <f aca="true">IF(AL$5=0,AK113,MAX(0,(AK113-AL$4)*(1+NORMINV(RAND(),INPUTS!$B$28,INPUTS!$B$29))))</f>
        <v>1419367.25168127</v>
      </c>
      <c r="AM113" s="89" t="n">
        <f aca="true">IF(AM$5=0,AL113,MAX(0,(AL113-AM$4)*(1+NORMINV(RAND(),INPUTS!$B$28,INPUTS!$B$29))))</f>
        <v>1419367.25168127</v>
      </c>
      <c r="AN113" s="89" t="n">
        <f aca="true">IF(AN$5=0,AM113,MAX(0,(AM113-AN$4)*(1+NORMINV(RAND(),INPUTS!$B$28,INPUTS!$B$29))))</f>
        <v>1419367.25168127</v>
      </c>
      <c r="AO113" s="89" t="n">
        <f aca="true">IF(AO$5=0,AN113,MAX(0,(AN113-AO$4)*(1+NORMINV(RAND(),INPUTS!$B$28,INPUTS!$B$29))))</f>
        <v>1419367.25168127</v>
      </c>
      <c r="AP113" s="89" t="n">
        <f aca="true">IF(AP$5=0,AO113,MAX(0,(AO113-AP$4)*(1+NORMINV(RAND(),INPUTS!$B$28,INPUTS!$B$29))))</f>
        <v>1419367.25168127</v>
      </c>
      <c r="AQ113" s="89" t="n">
        <f aca="true">IF(AQ$5=0,AP113,MAX(0,(AP113-AQ$4)*(1+NORMINV(RAND(),INPUTS!$B$28,INPUTS!$B$29))))</f>
        <v>1419367.25168127</v>
      </c>
      <c r="AR113" s="89" t="n">
        <f aca="true">IF(AR$5=0,AQ113,MAX(0,(AQ113-AR$4)*(1+NORMINV(RAND(),INPUTS!$B$28,INPUTS!$B$29))))</f>
        <v>1419367.25168127</v>
      </c>
      <c r="AS113" s="89" t="n">
        <f aca="true">IF(AS$5=0,AR113,MAX(0,(AR113-AS$4)*(1+NORMINV(RAND(),INPUTS!$B$28,INPUTS!$B$29))))</f>
        <v>1419367.25168127</v>
      </c>
      <c r="AT113" s="89" t="n">
        <f aca="true">IF(AT$5=0,AS113,MAX(0,(AS113-AT$4)*(1+NORMINV(RAND(),INPUTS!$B$28,INPUTS!$B$29))))</f>
        <v>1419367.25168127</v>
      </c>
      <c r="AU113" s="89" t="n">
        <f aca="true">IF(AU$5=0,AT113,MAX(0,(AT113-AU$4)*(1+NORMINV(RAND(),INPUTS!$B$28,INPUTS!$B$29))))</f>
        <v>1419367.25168127</v>
      </c>
      <c r="AV113" s="89" t="n">
        <f aca="true">IF(AV$5=0,AU113,MAX(0,(AU113-AV$4)*(1+NORMINV(RAND(),INPUTS!$B$28,INPUTS!$B$29))))</f>
        <v>1419367.25168127</v>
      </c>
      <c r="AW113" s="89" t="n">
        <f aca="true">IF(AW$5=0,AV113,MAX(0,(AV113-AW$4)*(1+NORMINV(RAND(),INPUTS!$B$28,INPUTS!$B$29))))</f>
        <v>1419367.25168127</v>
      </c>
      <c r="AX113" s="89" t="n">
        <f aca="true">IF(AX$5=0,AW113,MAX(0,(AW113-AX$4)*(1+NORMINV(RAND(),INPUTS!$B$28,INPUTS!$B$29))))</f>
        <v>1419367.25168127</v>
      </c>
      <c r="AY113" s="89" t="n">
        <f aca="true">IF(AY$5=0,AX113,MAX(0,(AX113-AY$4)*(1+NORMINV(RAND(),INPUTS!$B$28,INPUTS!$B$29))))</f>
        <v>1419367.25168127</v>
      </c>
      <c r="AZ113" s="89" t="n">
        <f aca="true">IF(AZ$5=0,AY113,MAX(0,(AY113-AZ$4)*(1+NORMINV(RAND(),INPUTS!$B$28,INPUTS!$B$29))))</f>
        <v>1419367.25168127</v>
      </c>
      <c r="BA113" s="89" t="n">
        <f aca="true">IF(BA$5=0,AZ113,MAX(0,(AZ113-BA$4)*(1+NORMINV(RAND(),INPUTS!$B$28,INPUTS!$B$29))))</f>
        <v>1419367.25168127</v>
      </c>
      <c r="BB113" s="89" t="n">
        <f aca="true">IF(BB$5=0,BA113,MAX(0,(BA113-BB$4)*(1+NORMINV(RAND(),INPUTS!$B$28,INPUTS!$B$29))))</f>
        <v>1419367.25168127</v>
      </c>
      <c r="BC113" s="89" t="n">
        <f aca="true">IF(BC$5=0,BB113,MAX(0,(BB113-BC$4)*(1+NORMINV(RAND(),INPUTS!$B$28,INPUTS!$B$29))))</f>
        <v>1419367.25168127</v>
      </c>
      <c r="BD113" s="89" t="n">
        <f aca="true">IF(BD$5=0,BC113,MAX(0,(BC113-BD$4)*(1+NORMINV(RAND(),INPUTS!$B$28,INPUTS!$B$29))))</f>
        <v>1419367.25168127</v>
      </c>
      <c r="BE113" s="89" t="n">
        <f aca="true">IF(BE$5=0,BD113,MAX(0,(BD113-BE$4)*(1+NORMINV(RAND(),INPUTS!$B$28,INPUTS!$B$29))))</f>
        <v>1419367.25168127</v>
      </c>
      <c r="BF113" s="89" t="n">
        <f aca="true">IF(BF$5=0,BE113,MAX(0,(BE113-BF$4)*(1+NORMINV(RAND(),INPUTS!$B$28,INPUTS!$B$29))))</f>
        <v>1419367.25168127</v>
      </c>
      <c r="BG113" s="89" t="n">
        <f aca="true">IF(BG$5=0,BF113,MAX(0,(BF113-BG$4)*(1+NORMINV(RAND(),INPUTS!$B$28,INPUTS!$B$29))))</f>
        <v>1419367.25168127</v>
      </c>
      <c r="BH113" s="89" t="n">
        <f aca="true">IF(BH$5=0,BG113,MAX(0,(BG113-BH$4)*(1+NORMINV(RAND(),INPUTS!$B$28,INPUTS!$B$29))))</f>
        <v>1419367.25168127</v>
      </c>
      <c r="BI113" s="89" t="n">
        <f aca="true">IF(BI$5=0,BH113,MAX(0,(BH113-BI$4)*(1+NORMINV(RAND(),INPUTS!$B$28,INPUTS!$B$29))))</f>
        <v>1419367.25168127</v>
      </c>
      <c r="BJ113" s="89" t="n">
        <f aca="true">IF(BJ$5=0,BI113,MAX(0,(BI113-BJ$4)*(1+NORMINV(RAND(),INPUTS!$B$28,INPUTS!$B$29))))</f>
        <v>1419367.25168127</v>
      </c>
    </row>
    <row r="114" customFormat="false" ht="15" hidden="false" customHeight="true" outlineLevel="0" collapsed="false">
      <c r="A114" s="87" t="n">
        <v>107</v>
      </c>
      <c r="B114" s="88" t="n">
        <f aca="false">LOOKUP(9.99E+307,C114:BJ114)</f>
        <v>2140303.92350993</v>
      </c>
      <c r="C114" s="89" t="n">
        <f aca="true">IF(C$5=0,INPUTS!$B$35,MAX(0,(INPUTS!$B$35-C$4)*(1+NORMINV(RAND(),INPUTS!$B$28,INPUTS!$B$29))))</f>
        <v>1702857.7150858</v>
      </c>
      <c r="D114" s="89" t="n">
        <f aca="true">IF(D$5=0,C114,MAX(0,(C114-D$4)*(1+NORMINV(RAND(),INPUTS!$B$28,INPUTS!$B$29))))</f>
        <v>1723910.86755161</v>
      </c>
      <c r="E114" s="89" t="n">
        <f aca="true">IF(E$5=0,D114,MAX(0,(D114-E$4)*(1+NORMINV(RAND(),INPUTS!$B$28,INPUTS!$B$29))))</f>
        <v>1793544.18675779</v>
      </c>
      <c r="F114" s="89" t="n">
        <f aca="true">IF(F$5=0,E114,MAX(0,(E114-F$4)*(1+NORMINV(RAND(),INPUTS!$B$28,INPUTS!$B$29))))</f>
        <v>2221927.89487505</v>
      </c>
      <c r="G114" s="89" t="n">
        <f aca="true">IF(G$5=0,F114,MAX(0,(F114-G$4)*(1+NORMINV(RAND(),INPUTS!$B$28,INPUTS!$B$29))))</f>
        <v>1825070.20691984</v>
      </c>
      <c r="H114" s="89" t="n">
        <f aca="true">IF(H$5=0,G114,MAX(0,(G114-H$4)*(1+NORMINV(RAND(),INPUTS!$B$28,INPUTS!$B$29))))</f>
        <v>1947592.95376431</v>
      </c>
      <c r="I114" s="89" t="n">
        <f aca="true">IF(I$5=0,H114,MAX(0,(H114-I$4)*(1+NORMINV(RAND(),INPUTS!$B$28,INPUTS!$B$29))))</f>
        <v>2071504.63283463</v>
      </c>
      <c r="J114" s="89" t="n">
        <f aca="true">IF(J$5=0,I114,MAX(0,(I114-J$4)*(1+NORMINV(RAND(),INPUTS!$B$28,INPUTS!$B$29))))</f>
        <v>2102926.39003754</v>
      </c>
      <c r="K114" s="89" t="n">
        <f aca="true">IF(K$5=0,J114,MAX(0,(J114-K$4)*(1+NORMINV(RAND(),INPUTS!$B$28,INPUTS!$B$29))))</f>
        <v>2155648.46551207</v>
      </c>
      <c r="L114" s="89" t="n">
        <f aca="true">IF(L$5=0,K114,MAX(0,(K114-L$4)*(1+NORMINV(RAND(),INPUTS!$B$28,INPUTS!$B$29))))</f>
        <v>2192576.48603669</v>
      </c>
      <c r="M114" s="89" t="n">
        <f aca="true">IF(M$5=0,L114,MAX(0,(L114-M$4)*(1+NORMINV(RAND(),INPUTS!$B$28,INPUTS!$B$29))))</f>
        <v>2040130.40415576</v>
      </c>
      <c r="N114" s="89" t="n">
        <f aca="true">IF(N$5=0,M114,MAX(0,(M114-N$4)*(1+NORMINV(RAND(),INPUTS!$B$28,INPUTS!$B$29))))</f>
        <v>1480187.93394066</v>
      </c>
      <c r="O114" s="89" t="n">
        <f aca="true">IF(O$5=0,N114,MAX(0,(N114-O$4)*(1+NORMINV(RAND(),INPUTS!$B$28,INPUTS!$B$29))))</f>
        <v>1171143.64496192</v>
      </c>
      <c r="P114" s="89" t="n">
        <f aca="true">IF(P$5=0,O114,MAX(0,(O114-P$4)*(1+NORMINV(RAND(),INPUTS!$B$28,INPUTS!$B$29))))</f>
        <v>1314131.49112498</v>
      </c>
      <c r="Q114" s="89" t="n">
        <f aca="true">IF(Q$5=0,P114,MAX(0,(P114-Q$4)*(1+NORMINV(RAND(),INPUTS!$B$28,INPUTS!$B$29))))</f>
        <v>1448408.95832191</v>
      </c>
      <c r="R114" s="89" t="n">
        <f aca="true">IF(R$5=0,Q114,MAX(0,(Q114-R$4)*(1+NORMINV(RAND(),INPUTS!$B$28,INPUTS!$B$29))))</f>
        <v>1823752.31013956</v>
      </c>
      <c r="S114" s="89" t="n">
        <f aca="true">IF(S$5=0,R114,MAX(0,(R114-S$4)*(1+NORMINV(RAND(),INPUTS!$B$28,INPUTS!$B$29))))</f>
        <v>1970662.24944613</v>
      </c>
      <c r="T114" s="89" t="n">
        <f aca="true">IF(T$5=0,S114,MAX(0,(S114-T$4)*(1+NORMINV(RAND(),INPUTS!$B$28,INPUTS!$B$29))))</f>
        <v>2094568.82964357</v>
      </c>
      <c r="U114" s="89" t="n">
        <f aca="true">IF(U$5=0,T114,MAX(0,(T114-U$4)*(1+NORMINV(RAND(),INPUTS!$B$28,INPUTS!$B$29))))</f>
        <v>2710344.95593144</v>
      </c>
      <c r="V114" s="89" t="n">
        <f aca="true">IF(V$5=0,U114,MAX(0,(U114-V$4)*(1+NORMINV(RAND(),INPUTS!$B$28,INPUTS!$B$29))))</f>
        <v>2167722.322199</v>
      </c>
      <c r="W114" s="89" t="n">
        <f aca="true">IF(W$5=0,V114,MAX(0,(V114-W$4)*(1+NORMINV(RAND(),INPUTS!$B$28,INPUTS!$B$29))))</f>
        <v>1986437.0080116</v>
      </c>
      <c r="X114" s="89" t="n">
        <f aca="true">IF(X$5=0,W114,MAX(0,(W114-X$4)*(1+NORMINV(RAND(),INPUTS!$B$28,INPUTS!$B$29))))</f>
        <v>1854989.12695792</v>
      </c>
      <c r="Y114" s="89" t="n">
        <f aca="true">IF(Y$5=0,X114,MAX(0,(X114-Y$4)*(1+NORMINV(RAND(),INPUTS!$B$28,INPUTS!$B$29))))</f>
        <v>1979665.99988163</v>
      </c>
      <c r="Z114" s="89" t="n">
        <f aca="true">IF(Z$5=0,Y114,MAX(0,(Y114-Z$4)*(1+NORMINV(RAND(),INPUTS!$B$28,INPUTS!$B$29))))</f>
        <v>2019522.91493261</v>
      </c>
      <c r="AA114" s="89" t="n">
        <f aca="true">IF(AA$5=0,Z114,MAX(0,(Z114-AA$4)*(1+NORMINV(RAND(),INPUTS!$B$28,INPUTS!$B$29))))</f>
        <v>2218057.69608236</v>
      </c>
      <c r="AB114" s="89" t="n">
        <f aca="true">IF(AB$5=0,AA114,MAX(0,(AA114-AB$4)*(1+NORMINV(RAND(),INPUTS!$B$28,INPUTS!$B$29))))</f>
        <v>2169345.01691436</v>
      </c>
      <c r="AC114" s="89" t="n">
        <f aca="true">IF(AC$5=0,AB114,MAX(0,(AB114-AC$4)*(1+NORMINV(RAND(),INPUTS!$B$28,INPUTS!$B$29))))</f>
        <v>2355979.45026701</v>
      </c>
      <c r="AD114" s="89" t="n">
        <f aca="true">IF(AD$5=0,AC114,MAX(0,(AC114-AD$4)*(1+NORMINV(RAND(),INPUTS!$B$28,INPUTS!$B$29))))</f>
        <v>2216253.93175983</v>
      </c>
      <c r="AE114" s="89" t="n">
        <f aca="true">IF(AE$5=0,AD114,MAX(0,(AD114-AE$4)*(1+NORMINV(RAND(),INPUTS!$B$28,INPUTS!$B$29))))</f>
        <v>2166912.31361547</v>
      </c>
      <c r="AF114" s="89" t="n">
        <f aca="true">IF(AF$5=0,AE114,MAX(0,(AE114-AF$4)*(1+NORMINV(RAND(),INPUTS!$B$28,INPUTS!$B$29))))</f>
        <v>2211760.13942742</v>
      </c>
      <c r="AG114" s="89" t="n">
        <f aca="true">IF(AG$5=0,AF114,MAX(0,(AF114-AG$4)*(1+NORMINV(RAND(),INPUTS!$B$28,INPUTS!$B$29))))</f>
        <v>1941807.13623062</v>
      </c>
      <c r="AH114" s="89" t="n">
        <f aca="true">IF(AH$5=0,AG114,MAX(0,(AG114-AH$4)*(1+NORMINV(RAND(),INPUTS!$B$28,INPUTS!$B$29))))</f>
        <v>1888199.13029856</v>
      </c>
      <c r="AI114" s="89" t="n">
        <f aca="true">IF(AI$5=0,AH114,MAX(0,(AH114-AI$4)*(1+NORMINV(RAND(),INPUTS!$B$28,INPUTS!$B$29))))</f>
        <v>1966813.09941305</v>
      </c>
      <c r="AJ114" s="89" t="n">
        <f aca="true">IF(AJ$5=0,AI114,MAX(0,(AI114-AJ$4)*(1+NORMINV(RAND(),INPUTS!$B$28,INPUTS!$B$29))))</f>
        <v>2217081.70752592</v>
      </c>
      <c r="AK114" s="89" t="n">
        <f aca="true">IF(AK$5=0,AJ114,MAX(0,(AJ114-AK$4)*(1+NORMINV(RAND(),INPUTS!$B$28,INPUTS!$B$29))))</f>
        <v>2510619.65335551</v>
      </c>
      <c r="AL114" s="89" t="n">
        <f aca="true">IF(AL$5=0,AK114,MAX(0,(AK114-AL$4)*(1+NORMINV(RAND(),INPUTS!$B$28,INPUTS!$B$29))))</f>
        <v>2140303.92350993</v>
      </c>
      <c r="AM114" s="89" t="n">
        <f aca="true">IF(AM$5=0,AL114,MAX(0,(AL114-AM$4)*(1+NORMINV(RAND(),INPUTS!$B$28,INPUTS!$B$29))))</f>
        <v>2140303.92350993</v>
      </c>
      <c r="AN114" s="89" t="n">
        <f aca="true">IF(AN$5=0,AM114,MAX(0,(AM114-AN$4)*(1+NORMINV(RAND(),INPUTS!$B$28,INPUTS!$B$29))))</f>
        <v>2140303.92350993</v>
      </c>
      <c r="AO114" s="89" t="n">
        <f aca="true">IF(AO$5=0,AN114,MAX(0,(AN114-AO$4)*(1+NORMINV(RAND(),INPUTS!$B$28,INPUTS!$B$29))))</f>
        <v>2140303.92350993</v>
      </c>
      <c r="AP114" s="89" t="n">
        <f aca="true">IF(AP$5=0,AO114,MAX(0,(AO114-AP$4)*(1+NORMINV(RAND(),INPUTS!$B$28,INPUTS!$B$29))))</f>
        <v>2140303.92350993</v>
      </c>
      <c r="AQ114" s="89" t="n">
        <f aca="true">IF(AQ$5=0,AP114,MAX(0,(AP114-AQ$4)*(1+NORMINV(RAND(),INPUTS!$B$28,INPUTS!$B$29))))</f>
        <v>2140303.92350993</v>
      </c>
      <c r="AR114" s="89" t="n">
        <f aca="true">IF(AR$5=0,AQ114,MAX(0,(AQ114-AR$4)*(1+NORMINV(RAND(),INPUTS!$B$28,INPUTS!$B$29))))</f>
        <v>2140303.92350993</v>
      </c>
      <c r="AS114" s="89" t="n">
        <f aca="true">IF(AS$5=0,AR114,MAX(0,(AR114-AS$4)*(1+NORMINV(RAND(),INPUTS!$B$28,INPUTS!$B$29))))</f>
        <v>2140303.92350993</v>
      </c>
      <c r="AT114" s="89" t="n">
        <f aca="true">IF(AT$5=0,AS114,MAX(0,(AS114-AT$4)*(1+NORMINV(RAND(),INPUTS!$B$28,INPUTS!$B$29))))</f>
        <v>2140303.92350993</v>
      </c>
      <c r="AU114" s="89" t="n">
        <f aca="true">IF(AU$5=0,AT114,MAX(0,(AT114-AU$4)*(1+NORMINV(RAND(),INPUTS!$B$28,INPUTS!$B$29))))</f>
        <v>2140303.92350993</v>
      </c>
      <c r="AV114" s="89" t="n">
        <f aca="true">IF(AV$5=0,AU114,MAX(0,(AU114-AV$4)*(1+NORMINV(RAND(),INPUTS!$B$28,INPUTS!$B$29))))</f>
        <v>2140303.92350993</v>
      </c>
      <c r="AW114" s="89" t="n">
        <f aca="true">IF(AW$5=0,AV114,MAX(0,(AV114-AW$4)*(1+NORMINV(RAND(),INPUTS!$B$28,INPUTS!$B$29))))</f>
        <v>2140303.92350993</v>
      </c>
      <c r="AX114" s="89" t="n">
        <f aca="true">IF(AX$5=0,AW114,MAX(0,(AW114-AX$4)*(1+NORMINV(RAND(),INPUTS!$B$28,INPUTS!$B$29))))</f>
        <v>2140303.92350993</v>
      </c>
      <c r="AY114" s="89" t="n">
        <f aca="true">IF(AY$5=0,AX114,MAX(0,(AX114-AY$4)*(1+NORMINV(RAND(),INPUTS!$B$28,INPUTS!$B$29))))</f>
        <v>2140303.92350993</v>
      </c>
      <c r="AZ114" s="89" t="n">
        <f aca="true">IF(AZ$5=0,AY114,MAX(0,(AY114-AZ$4)*(1+NORMINV(RAND(),INPUTS!$B$28,INPUTS!$B$29))))</f>
        <v>2140303.92350993</v>
      </c>
      <c r="BA114" s="89" t="n">
        <f aca="true">IF(BA$5=0,AZ114,MAX(0,(AZ114-BA$4)*(1+NORMINV(RAND(),INPUTS!$B$28,INPUTS!$B$29))))</f>
        <v>2140303.92350993</v>
      </c>
      <c r="BB114" s="89" t="n">
        <f aca="true">IF(BB$5=0,BA114,MAX(0,(BA114-BB$4)*(1+NORMINV(RAND(),INPUTS!$B$28,INPUTS!$B$29))))</f>
        <v>2140303.92350993</v>
      </c>
      <c r="BC114" s="89" t="n">
        <f aca="true">IF(BC$5=0,BB114,MAX(0,(BB114-BC$4)*(1+NORMINV(RAND(),INPUTS!$B$28,INPUTS!$B$29))))</f>
        <v>2140303.92350993</v>
      </c>
      <c r="BD114" s="89" t="n">
        <f aca="true">IF(BD$5=0,BC114,MAX(0,(BC114-BD$4)*(1+NORMINV(RAND(),INPUTS!$B$28,INPUTS!$B$29))))</f>
        <v>2140303.92350993</v>
      </c>
      <c r="BE114" s="89" t="n">
        <f aca="true">IF(BE$5=0,BD114,MAX(0,(BD114-BE$4)*(1+NORMINV(RAND(),INPUTS!$B$28,INPUTS!$B$29))))</f>
        <v>2140303.92350993</v>
      </c>
      <c r="BF114" s="89" t="n">
        <f aca="true">IF(BF$5=0,BE114,MAX(0,(BE114-BF$4)*(1+NORMINV(RAND(),INPUTS!$B$28,INPUTS!$B$29))))</f>
        <v>2140303.92350993</v>
      </c>
      <c r="BG114" s="89" t="n">
        <f aca="true">IF(BG$5=0,BF114,MAX(0,(BF114-BG$4)*(1+NORMINV(RAND(),INPUTS!$B$28,INPUTS!$B$29))))</f>
        <v>2140303.92350993</v>
      </c>
      <c r="BH114" s="89" t="n">
        <f aca="true">IF(BH$5=0,BG114,MAX(0,(BG114-BH$4)*(1+NORMINV(RAND(),INPUTS!$B$28,INPUTS!$B$29))))</f>
        <v>2140303.92350993</v>
      </c>
      <c r="BI114" s="89" t="n">
        <f aca="true">IF(BI$5=0,BH114,MAX(0,(BH114-BI$4)*(1+NORMINV(RAND(),INPUTS!$B$28,INPUTS!$B$29))))</f>
        <v>2140303.92350993</v>
      </c>
      <c r="BJ114" s="89" t="n">
        <f aca="true">IF(BJ$5=0,BI114,MAX(0,(BI114-BJ$4)*(1+NORMINV(RAND(),INPUTS!$B$28,INPUTS!$B$29))))</f>
        <v>2140303.92350993</v>
      </c>
    </row>
    <row r="115" customFormat="false" ht="15" hidden="false" customHeight="true" outlineLevel="0" collapsed="false">
      <c r="A115" s="87" t="n">
        <v>108</v>
      </c>
      <c r="B115" s="88" t="n">
        <f aca="false">LOOKUP(9.99E+307,C115:BJ115)</f>
        <v>1117585.97853312</v>
      </c>
      <c r="C115" s="89" t="n">
        <f aca="true">IF(C$5=0,INPUTS!$B$35,MAX(0,(INPUTS!$B$35-C$4)*(1+NORMINV(RAND(),INPUTS!$B$28,INPUTS!$B$29))))</f>
        <v>1732355.52611253</v>
      </c>
      <c r="D115" s="89" t="n">
        <f aca="true">IF(D$5=0,C115,MAX(0,(C115-D$4)*(1+NORMINV(RAND(),INPUTS!$B$28,INPUTS!$B$29))))</f>
        <v>1580731.62605943</v>
      </c>
      <c r="E115" s="89" t="n">
        <f aca="true">IF(E$5=0,D115,MAX(0,(D115-E$4)*(1+NORMINV(RAND(),INPUTS!$B$28,INPUTS!$B$29))))</f>
        <v>1765996.73474467</v>
      </c>
      <c r="F115" s="89" t="n">
        <f aca="true">IF(F$5=0,E115,MAX(0,(E115-F$4)*(1+NORMINV(RAND(),INPUTS!$B$28,INPUTS!$B$29))))</f>
        <v>1842220.54201556</v>
      </c>
      <c r="G115" s="89" t="n">
        <f aca="true">IF(G$5=0,F115,MAX(0,(F115-G$4)*(1+NORMINV(RAND(),INPUTS!$B$28,INPUTS!$B$29))))</f>
        <v>1898105.31152883</v>
      </c>
      <c r="H115" s="89" t="n">
        <f aca="true">IF(H$5=0,G115,MAX(0,(G115-H$4)*(1+NORMINV(RAND(),INPUTS!$B$28,INPUTS!$B$29))))</f>
        <v>1875700.81979641</v>
      </c>
      <c r="I115" s="89" t="n">
        <f aca="true">IF(I$5=0,H115,MAX(0,(H115-I$4)*(1+NORMINV(RAND(),INPUTS!$B$28,INPUTS!$B$29))))</f>
        <v>2019952.94621134</v>
      </c>
      <c r="J115" s="89" t="n">
        <f aca="true">IF(J$5=0,I115,MAX(0,(I115-J$4)*(1+NORMINV(RAND(),INPUTS!$B$28,INPUTS!$B$29))))</f>
        <v>1773385.26726443</v>
      </c>
      <c r="K115" s="89" t="n">
        <f aca="true">IF(K$5=0,J115,MAX(0,(J115-K$4)*(1+NORMINV(RAND(),INPUTS!$B$28,INPUTS!$B$29))))</f>
        <v>1774722.23477222</v>
      </c>
      <c r="L115" s="89" t="n">
        <f aca="true">IF(L$5=0,K115,MAX(0,(K115-L$4)*(1+NORMINV(RAND(),INPUTS!$B$28,INPUTS!$B$29))))</f>
        <v>1943786.49052641</v>
      </c>
      <c r="M115" s="89" t="n">
        <f aca="true">IF(M$5=0,L115,MAX(0,(L115-M$4)*(1+NORMINV(RAND(),INPUTS!$B$28,INPUTS!$B$29))))</f>
        <v>2085370.8227382</v>
      </c>
      <c r="N115" s="89" t="n">
        <f aca="true">IF(N$5=0,M115,MAX(0,(M115-N$4)*(1+NORMINV(RAND(),INPUTS!$B$28,INPUTS!$B$29))))</f>
        <v>2178053.88861143</v>
      </c>
      <c r="O115" s="89" t="n">
        <f aca="true">IF(O$5=0,N115,MAX(0,(N115-O$4)*(1+NORMINV(RAND(),INPUTS!$B$28,INPUTS!$B$29))))</f>
        <v>2063722.49278599</v>
      </c>
      <c r="P115" s="89" t="n">
        <f aca="true">IF(P$5=0,O115,MAX(0,(O115-P$4)*(1+NORMINV(RAND(),INPUTS!$B$28,INPUTS!$B$29))))</f>
        <v>2530036.82056798</v>
      </c>
      <c r="Q115" s="89" t="n">
        <f aca="true">IF(Q$5=0,P115,MAX(0,(P115-Q$4)*(1+NORMINV(RAND(),INPUTS!$B$28,INPUTS!$B$29))))</f>
        <v>2721902.77189541</v>
      </c>
      <c r="R115" s="89" t="n">
        <f aca="true">IF(R$5=0,Q115,MAX(0,(Q115-R$4)*(1+NORMINV(RAND(),INPUTS!$B$28,INPUTS!$B$29))))</f>
        <v>3189003.10778334</v>
      </c>
      <c r="S115" s="89" t="n">
        <f aca="true">IF(S$5=0,R115,MAX(0,(R115-S$4)*(1+NORMINV(RAND(),INPUTS!$B$28,INPUTS!$B$29))))</f>
        <v>2904435.32719788</v>
      </c>
      <c r="T115" s="89" t="n">
        <f aca="true">IF(T$5=0,S115,MAX(0,(S115-T$4)*(1+NORMINV(RAND(),INPUTS!$B$28,INPUTS!$B$29))))</f>
        <v>2711058.84191153</v>
      </c>
      <c r="U115" s="89" t="n">
        <f aca="true">IF(U$5=0,T115,MAX(0,(T115-U$4)*(1+NORMINV(RAND(),INPUTS!$B$28,INPUTS!$B$29))))</f>
        <v>2995345.31219724</v>
      </c>
      <c r="V115" s="89" t="n">
        <f aca="true">IF(V$5=0,U115,MAX(0,(U115-V$4)*(1+NORMINV(RAND(),INPUTS!$B$28,INPUTS!$B$29))))</f>
        <v>2988849.69518658</v>
      </c>
      <c r="W115" s="89" t="n">
        <f aca="true">IF(W$5=0,V115,MAX(0,(V115-W$4)*(1+NORMINV(RAND(),INPUTS!$B$28,INPUTS!$B$29))))</f>
        <v>3193580.97654188</v>
      </c>
      <c r="X115" s="89" t="n">
        <f aca="true">IF(X$5=0,W115,MAX(0,(W115-X$4)*(1+NORMINV(RAND(),INPUTS!$B$28,INPUTS!$B$29))))</f>
        <v>2498120.94437536</v>
      </c>
      <c r="Y115" s="89" t="n">
        <f aca="true">IF(Y$5=0,X115,MAX(0,(X115-Y$4)*(1+NORMINV(RAND(),INPUTS!$B$28,INPUTS!$B$29))))</f>
        <v>2425139.01422562</v>
      </c>
      <c r="Z115" s="89" t="n">
        <f aca="true">IF(Z$5=0,Y115,MAX(0,(Y115-Z$4)*(1+NORMINV(RAND(),INPUTS!$B$28,INPUTS!$B$29))))</f>
        <v>2561508.39834695</v>
      </c>
      <c r="AA115" s="89" t="n">
        <f aca="true">IF(AA$5=0,Z115,MAX(0,(Z115-AA$4)*(1+NORMINV(RAND(),INPUTS!$B$28,INPUTS!$B$29))))</f>
        <v>2596183.87188985</v>
      </c>
      <c r="AB115" s="89" t="n">
        <f aca="true">IF(AB$5=0,AA115,MAX(0,(AA115-AB$4)*(1+NORMINV(RAND(),INPUTS!$B$28,INPUTS!$B$29))))</f>
        <v>2456962.19400229</v>
      </c>
      <c r="AC115" s="89" t="n">
        <f aca="true">IF(AC$5=0,AB115,MAX(0,(AB115-AC$4)*(1+NORMINV(RAND(),INPUTS!$B$28,INPUTS!$B$29))))</f>
        <v>2705128.97411629</v>
      </c>
      <c r="AD115" s="89" t="n">
        <f aca="true">IF(AD$5=0,AC115,MAX(0,(AC115-AD$4)*(1+NORMINV(RAND(),INPUTS!$B$28,INPUTS!$B$29))))</f>
        <v>2960508.15542046</v>
      </c>
      <c r="AE115" s="89" t="n">
        <f aca="true">IF(AE$5=0,AD115,MAX(0,(AD115-AE$4)*(1+NORMINV(RAND(),INPUTS!$B$28,INPUTS!$B$29))))</f>
        <v>2666855.74411679</v>
      </c>
      <c r="AF115" s="89" t="n">
        <f aca="true">IF(AF$5=0,AE115,MAX(0,(AE115-AF$4)*(1+NORMINV(RAND(),INPUTS!$B$28,INPUTS!$B$29))))</f>
        <v>2450287.39197004</v>
      </c>
      <c r="AG115" s="89" t="n">
        <f aca="true">IF(AG$5=0,AF115,MAX(0,(AF115-AG$4)*(1+NORMINV(RAND(),INPUTS!$B$28,INPUTS!$B$29))))</f>
        <v>2590039.59098857</v>
      </c>
      <c r="AH115" s="89" t="n">
        <f aca="true">IF(AH$5=0,AG115,MAX(0,(AG115-AH$4)*(1+NORMINV(RAND(),INPUTS!$B$28,INPUTS!$B$29))))</f>
        <v>2060433.23291023</v>
      </c>
      <c r="AI115" s="89" t="n">
        <f aca="true">IF(AI$5=0,AH115,MAX(0,(AH115-AI$4)*(1+NORMINV(RAND(),INPUTS!$B$28,INPUTS!$B$29))))</f>
        <v>2069383.89792411</v>
      </c>
      <c r="AJ115" s="89" t="n">
        <f aca="true">IF(AJ$5=0,AI115,MAX(0,(AI115-AJ$4)*(1+NORMINV(RAND(),INPUTS!$B$28,INPUTS!$B$29))))</f>
        <v>1394654.23782995</v>
      </c>
      <c r="AK115" s="89" t="n">
        <f aca="true">IF(AK$5=0,AJ115,MAX(0,(AJ115-AK$4)*(1+NORMINV(RAND(),INPUTS!$B$28,INPUTS!$B$29))))</f>
        <v>1271644.77899205</v>
      </c>
      <c r="AL115" s="89" t="n">
        <f aca="true">IF(AL$5=0,AK115,MAX(0,(AK115-AL$4)*(1+NORMINV(RAND(),INPUTS!$B$28,INPUTS!$B$29))))</f>
        <v>1117585.97853312</v>
      </c>
      <c r="AM115" s="89" t="n">
        <f aca="true">IF(AM$5=0,AL115,MAX(0,(AL115-AM$4)*(1+NORMINV(RAND(),INPUTS!$B$28,INPUTS!$B$29))))</f>
        <v>1117585.97853312</v>
      </c>
      <c r="AN115" s="89" t="n">
        <f aca="true">IF(AN$5=0,AM115,MAX(0,(AM115-AN$4)*(1+NORMINV(RAND(),INPUTS!$B$28,INPUTS!$B$29))))</f>
        <v>1117585.97853312</v>
      </c>
      <c r="AO115" s="89" t="n">
        <f aca="true">IF(AO$5=0,AN115,MAX(0,(AN115-AO$4)*(1+NORMINV(RAND(),INPUTS!$B$28,INPUTS!$B$29))))</f>
        <v>1117585.97853312</v>
      </c>
      <c r="AP115" s="89" t="n">
        <f aca="true">IF(AP$5=0,AO115,MAX(0,(AO115-AP$4)*(1+NORMINV(RAND(),INPUTS!$B$28,INPUTS!$B$29))))</f>
        <v>1117585.97853312</v>
      </c>
      <c r="AQ115" s="89" t="n">
        <f aca="true">IF(AQ$5=0,AP115,MAX(0,(AP115-AQ$4)*(1+NORMINV(RAND(),INPUTS!$B$28,INPUTS!$B$29))))</f>
        <v>1117585.97853312</v>
      </c>
      <c r="AR115" s="89" t="n">
        <f aca="true">IF(AR$5=0,AQ115,MAX(0,(AQ115-AR$4)*(1+NORMINV(RAND(),INPUTS!$B$28,INPUTS!$B$29))))</f>
        <v>1117585.97853312</v>
      </c>
      <c r="AS115" s="89" t="n">
        <f aca="true">IF(AS$5=0,AR115,MAX(0,(AR115-AS$4)*(1+NORMINV(RAND(),INPUTS!$B$28,INPUTS!$B$29))))</f>
        <v>1117585.97853312</v>
      </c>
      <c r="AT115" s="89" t="n">
        <f aca="true">IF(AT$5=0,AS115,MAX(0,(AS115-AT$4)*(1+NORMINV(RAND(),INPUTS!$B$28,INPUTS!$B$29))))</f>
        <v>1117585.97853312</v>
      </c>
      <c r="AU115" s="89" t="n">
        <f aca="true">IF(AU$5=0,AT115,MAX(0,(AT115-AU$4)*(1+NORMINV(RAND(),INPUTS!$B$28,INPUTS!$B$29))))</f>
        <v>1117585.97853312</v>
      </c>
      <c r="AV115" s="89" t="n">
        <f aca="true">IF(AV$5=0,AU115,MAX(0,(AU115-AV$4)*(1+NORMINV(RAND(),INPUTS!$B$28,INPUTS!$B$29))))</f>
        <v>1117585.97853312</v>
      </c>
      <c r="AW115" s="89" t="n">
        <f aca="true">IF(AW$5=0,AV115,MAX(0,(AV115-AW$4)*(1+NORMINV(RAND(),INPUTS!$B$28,INPUTS!$B$29))))</f>
        <v>1117585.97853312</v>
      </c>
      <c r="AX115" s="89" t="n">
        <f aca="true">IF(AX$5=0,AW115,MAX(0,(AW115-AX$4)*(1+NORMINV(RAND(),INPUTS!$B$28,INPUTS!$B$29))))</f>
        <v>1117585.97853312</v>
      </c>
      <c r="AY115" s="89" t="n">
        <f aca="true">IF(AY$5=0,AX115,MAX(0,(AX115-AY$4)*(1+NORMINV(RAND(),INPUTS!$B$28,INPUTS!$B$29))))</f>
        <v>1117585.97853312</v>
      </c>
      <c r="AZ115" s="89" t="n">
        <f aca="true">IF(AZ$5=0,AY115,MAX(0,(AY115-AZ$4)*(1+NORMINV(RAND(),INPUTS!$B$28,INPUTS!$B$29))))</f>
        <v>1117585.97853312</v>
      </c>
      <c r="BA115" s="89" t="n">
        <f aca="true">IF(BA$5=0,AZ115,MAX(0,(AZ115-BA$4)*(1+NORMINV(RAND(),INPUTS!$B$28,INPUTS!$B$29))))</f>
        <v>1117585.97853312</v>
      </c>
      <c r="BB115" s="89" t="n">
        <f aca="true">IF(BB$5=0,BA115,MAX(0,(BA115-BB$4)*(1+NORMINV(RAND(),INPUTS!$B$28,INPUTS!$B$29))))</f>
        <v>1117585.97853312</v>
      </c>
      <c r="BC115" s="89" t="n">
        <f aca="true">IF(BC$5=0,BB115,MAX(0,(BB115-BC$4)*(1+NORMINV(RAND(),INPUTS!$B$28,INPUTS!$B$29))))</f>
        <v>1117585.97853312</v>
      </c>
      <c r="BD115" s="89" t="n">
        <f aca="true">IF(BD$5=0,BC115,MAX(0,(BC115-BD$4)*(1+NORMINV(RAND(),INPUTS!$B$28,INPUTS!$B$29))))</f>
        <v>1117585.97853312</v>
      </c>
      <c r="BE115" s="89" t="n">
        <f aca="true">IF(BE$5=0,BD115,MAX(0,(BD115-BE$4)*(1+NORMINV(RAND(),INPUTS!$B$28,INPUTS!$B$29))))</f>
        <v>1117585.97853312</v>
      </c>
      <c r="BF115" s="89" t="n">
        <f aca="true">IF(BF$5=0,BE115,MAX(0,(BE115-BF$4)*(1+NORMINV(RAND(),INPUTS!$B$28,INPUTS!$B$29))))</f>
        <v>1117585.97853312</v>
      </c>
      <c r="BG115" s="89" t="n">
        <f aca="true">IF(BG$5=0,BF115,MAX(0,(BF115-BG$4)*(1+NORMINV(RAND(),INPUTS!$B$28,INPUTS!$B$29))))</f>
        <v>1117585.97853312</v>
      </c>
      <c r="BH115" s="89" t="n">
        <f aca="true">IF(BH$5=0,BG115,MAX(0,(BG115-BH$4)*(1+NORMINV(RAND(),INPUTS!$B$28,INPUTS!$B$29))))</f>
        <v>1117585.97853312</v>
      </c>
      <c r="BI115" s="89" t="n">
        <f aca="true">IF(BI$5=0,BH115,MAX(0,(BH115-BI$4)*(1+NORMINV(RAND(),INPUTS!$B$28,INPUTS!$B$29))))</f>
        <v>1117585.97853312</v>
      </c>
      <c r="BJ115" s="89" t="n">
        <f aca="true">IF(BJ$5=0,BI115,MAX(0,(BI115-BJ$4)*(1+NORMINV(RAND(),INPUTS!$B$28,INPUTS!$B$29))))</f>
        <v>1117585.97853312</v>
      </c>
    </row>
    <row r="116" customFormat="false" ht="15" hidden="false" customHeight="true" outlineLevel="0" collapsed="false">
      <c r="A116" s="87" t="n">
        <v>109</v>
      </c>
      <c r="B116" s="88" t="n">
        <f aca="false">LOOKUP(9.99E+307,C116:BJ116)</f>
        <v>2133700.76546385</v>
      </c>
      <c r="C116" s="89" t="n">
        <f aca="true">IF(C$5=0,INPUTS!$B$35,MAX(0,(INPUTS!$B$35-C$4)*(1+NORMINV(RAND(),INPUTS!$B$28,INPUTS!$B$29))))</f>
        <v>1686045.22354764</v>
      </c>
      <c r="D116" s="89" t="n">
        <f aca="true">IF(D$5=0,C116,MAX(0,(C116-D$4)*(1+NORMINV(RAND(),INPUTS!$B$28,INPUTS!$B$29))))</f>
        <v>1647993.11854939</v>
      </c>
      <c r="E116" s="89" t="n">
        <f aca="true">IF(E$5=0,D116,MAX(0,(D116-E$4)*(1+NORMINV(RAND(),INPUTS!$B$28,INPUTS!$B$29))))</f>
        <v>1606858.45417563</v>
      </c>
      <c r="F116" s="89" t="n">
        <f aca="true">IF(F$5=0,E116,MAX(0,(E116-F$4)*(1+NORMINV(RAND(),INPUTS!$B$28,INPUTS!$B$29))))</f>
        <v>1478033.59808861</v>
      </c>
      <c r="G116" s="89" t="n">
        <f aca="true">IF(G$5=0,F116,MAX(0,(F116-G$4)*(1+NORMINV(RAND(),INPUTS!$B$28,INPUTS!$B$29))))</f>
        <v>1461965.75098024</v>
      </c>
      <c r="H116" s="89" t="n">
        <f aca="true">IF(H$5=0,G116,MAX(0,(G116-H$4)*(1+NORMINV(RAND(),INPUTS!$B$28,INPUTS!$B$29))))</f>
        <v>1613803.43790328</v>
      </c>
      <c r="I116" s="89" t="n">
        <f aca="true">IF(I$5=0,H116,MAX(0,(H116-I$4)*(1+NORMINV(RAND(),INPUTS!$B$28,INPUTS!$B$29))))</f>
        <v>1514318.83572884</v>
      </c>
      <c r="J116" s="89" t="n">
        <f aca="true">IF(J$5=0,I116,MAX(0,(I116-J$4)*(1+NORMINV(RAND(),INPUTS!$B$28,INPUTS!$B$29))))</f>
        <v>1531302.30877831</v>
      </c>
      <c r="K116" s="89" t="n">
        <f aca="true">IF(K$5=0,J116,MAX(0,(J116-K$4)*(1+NORMINV(RAND(),INPUTS!$B$28,INPUTS!$B$29))))</f>
        <v>1578568.60686792</v>
      </c>
      <c r="L116" s="89" t="n">
        <f aca="true">IF(L$5=0,K116,MAX(0,(K116-L$4)*(1+NORMINV(RAND(),INPUTS!$B$28,INPUTS!$B$29))))</f>
        <v>1589858.12925901</v>
      </c>
      <c r="M116" s="89" t="n">
        <f aca="true">IF(M$5=0,L116,MAX(0,(L116-M$4)*(1+NORMINV(RAND(),INPUTS!$B$28,INPUTS!$B$29))))</f>
        <v>1525773.45987137</v>
      </c>
      <c r="N116" s="89" t="n">
        <f aca="true">IF(N$5=0,M116,MAX(0,(M116-N$4)*(1+NORMINV(RAND(),INPUTS!$B$28,INPUTS!$B$29))))</f>
        <v>1335820.22688854</v>
      </c>
      <c r="O116" s="89" t="n">
        <f aca="true">IF(O$5=0,N116,MAX(0,(N116-O$4)*(1+NORMINV(RAND(),INPUTS!$B$28,INPUTS!$B$29))))</f>
        <v>1409529.68513191</v>
      </c>
      <c r="P116" s="89" t="n">
        <f aca="true">IF(P$5=0,O116,MAX(0,(O116-P$4)*(1+NORMINV(RAND(),INPUTS!$B$28,INPUTS!$B$29))))</f>
        <v>1605881.90643227</v>
      </c>
      <c r="Q116" s="89" t="n">
        <f aca="true">IF(Q$5=0,P116,MAX(0,(P116-Q$4)*(1+NORMINV(RAND(),INPUTS!$B$28,INPUTS!$B$29))))</f>
        <v>1748047.78753231</v>
      </c>
      <c r="R116" s="89" t="n">
        <f aca="true">IF(R$5=0,Q116,MAX(0,(Q116-R$4)*(1+NORMINV(RAND(),INPUTS!$B$28,INPUTS!$B$29))))</f>
        <v>1909144.95857118</v>
      </c>
      <c r="S116" s="89" t="n">
        <f aca="true">IF(S$5=0,R116,MAX(0,(R116-S$4)*(1+NORMINV(RAND(),INPUTS!$B$28,INPUTS!$B$29))))</f>
        <v>1896094.65150104</v>
      </c>
      <c r="T116" s="89" t="n">
        <f aca="true">IF(T$5=0,S116,MAX(0,(S116-T$4)*(1+NORMINV(RAND(),INPUTS!$B$28,INPUTS!$B$29))))</f>
        <v>1821166.37398868</v>
      </c>
      <c r="U116" s="89" t="n">
        <f aca="true">IF(U$5=0,T116,MAX(0,(T116-U$4)*(1+NORMINV(RAND(),INPUTS!$B$28,INPUTS!$B$29))))</f>
        <v>1763524.29388597</v>
      </c>
      <c r="V116" s="89" t="n">
        <f aca="true">IF(V$5=0,U116,MAX(0,(U116-V$4)*(1+NORMINV(RAND(),INPUTS!$B$28,INPUTS!$B$29))))</f>
        <v>1985520.70595529</v>
      </c>
      <c r="W116" s="89" t="n">
        <f aca="true">IF(W$5=0,V116,MAX(0,(V116-W$4)*(1+NORMINV(RAND(),INPUTS!$B$28,INPUTS!$B$29))))</f>
        <v>1856979.25141217</v>
      </c>
      <c r="X116" s="89" t="n">
        <f aca="true">IF(X$5=0,W116,MAX(0,(W116-X$4)*(1+NORMINV(RAND(),INPUTS!$B$28,INPUTS!$B$29))))</f>
        <v>1774615.55600062</v>
      </c>
      <c r="Y116" s="89" t="n">
        <f aca="true">IF(Y$5=0,X116,MAX(0,(X116-Y$4)*(1+NORMINV(RAND(),INPUTS!$B$28,INPUTS!$B$29))))</f>
        <v>2211412.14385295</v>
      </c>
      <c r="Z116" s="89" t="n">
        <f aca="true">IF(Z$5=0,Y116,MAX(0,(Y116-Z$4)*(1+NORMINV(RAND(),INPUTS!$B$28,INPUTS!$B$29))))</f>
        <v>1852632.57267216</v>
      </c>
      <c r="AA116" s="89" t="n">
        <f aca="true">IF(AA$5=0,Z116,MAX(0,(Z116-AA$4)*(1+NORMINV(RAND(),INPUTS!$B$28,INPUTS!$B$29))))</f>
        <v>1817803.19991388</v>
      </c>
      <c r="AB116" s="89" t="n">
        <f aca="true">IF(AB$5=0,AA116,MAX(0,(AA116-AB$4)*(1+NORMINV(RAND(),INPUTS!$B$28,INPUTS!$B$29))))</f>
        <v>1735938.073213</v>
      </c>
      <c r="AC116" s="89" t="n">
        <f aca="true">IF(AC$5=0,AB116,MAX(0,(AB116-AC$4)*(1+NORMINV(RAND(),INPUTS!$B$28,INPUTS!$B$29))))</f>
        <v>1509744.60121109</v>
      </c>
      <c r="AD116" s="89" t="n">
        <f aca="true">IF(AD$5=0,AC116,MAX(0,(AC116-AD$4)*(1+NORMINV(RAND(),INPUTS!$B$28,INPUTS!$B$29))))</f>
        <v>1553072.59333529</v>
      </c>
      <c r="AE116" s="89" t="n">
        <f aca="true">IF(AE$5=0,AD116,MAX(0,(AD116-AE$4)*(1+NORMINV(RAND(),INPUTS!$B$28,INPUTS!$B$29))))</f>
        <v>1736413.87652894</v>
      </c>
      <c r="AF116" s="89" t="n">
        <f aca="true">IF(AF$5=0,AE116,MAX(0,(AE116-AF$4)*(1+NORMINV(RAND(),INPUTS!$B$28,INPUTS!$B$29))))</f>
        <v>1924873.14860593</v>
      </c>
      <c r="AG116" s="89" t="n">
        <f aca="true">IF(AG$5=0,AF116,MAX(0,(AF116-AG$4)*(1+NORMINV(RAND(),INPUTS!$B$28,INPUTS!$B$29))))</f>
        <v>2257466.04161261</v>
      </c>
      <c r="AH116" s="89" t="n">
        <f aca="true">IF(AH$5=0,AG116,MAX(0,(AG116-AH$4)*(1+NORMINV(RAND(),INPUTS!$B$28,INPUTS!$B$29))))</f>
        <v>2122874.06349614</v>
      </c>
      <c r="AI116" s="89" t="n">
        <f aca="true">IF(AI$5=0,AH116,MAX(0,(AH116-AI$4)*(1+NORMINV(RAND(),INPUTS!$B$28,INPUTS!$B$29))))</f>
        <v>2309977.49620097</v>
      </c>
      <c r="AJ116" s="89" t="n">
        <f aca="true">IF(AJ$5=0,AI116,MAX(0,(AI116-AJ$4)*(1+NORMINV(RAND(),INPUTS!$B$28,INPUTS!$B$29))))</f>
        <v>2079324.65062162</v>
      </c>
      <c r="AK116" s="89" t="n">
        <f aca="true">IF(AK$5=0,AJ116,MAX(0,(AJ116-AK$4)*(1+NORMINV(RAND(),INPUTS!$B$28,INPUTS!$B$29))))</f>
        <v>1965915.74040014</v>
      </c>
      <c r="AL116" s="89" t="n">
        <f aca="true">IF(AL$5=0,AK116,MAX(0,(AK116-AL$4)*(1+NORMINV(RAND(),INPUTS!$B$28,INPUTS!$B$29))))</f>
        <v>2133700.76546385</v>
      </c>
      <c r="AM116" s="89" t="n">
        <f aca="true">IF(AM$5=0,AL116,MAX(0,(AL116-AM$4)*(1+NORMINV(RAND(),INPUTS!$B$28,INPUTS!$B$29))))</f>
        <v>2133700.76546385</v>
      </c>
      <c r="AN116" s="89" t="n">
        <f aca="true">IF(AN$5=0,AM116,MAX(0,(AM116-AN$4)*(1+NORMINV(RAND(),INPUTS!$B$28,INPUTS!$B$29))))</f>
        <v>2133700.76546385</v>
      </c>
      <c r="AO116" s="89" t="n">
        <f aca="true">IF(AO$5=0,AN116,MAX(0,(AN116-AO$4)*(1+NORMINV(RAND(),INPUTS!$B$28,INPUTS!$B$29))))</f>
        <v>2133700.76546385</v>
      </c>
      <c r="AP116" s="89" t="n">
        <f aca="true">IF(AP$5=0,AO116,MAX(0,(AO116-AP$4)*(1+NORMINV(RAND(),INPUTS!$B$28,INPUTS!$B$29))))</f>
        <v>2133700.76546385</v>
      </c>
      <c r="AQ116" s="89" t="n">
        <f aca="true">IF(AQ$5=0,AP116,MAX(0,(AP116-AQ$4)*(1+NORMINV(RAND(),INPUTS!$B$28,INPUTS!$B$29))))</f>
        <v>2133700.76546385</v>
      </c>
      <c r="AR116" s="89" t="n">
        <f aca="true">IF(AR$5=0,AQ116,MAX(0,(AQ116-AR$4)*(1+NORMINV(RAND(),INPUTS!$B$28,INPUTS!$B$29))))</f>
        <v>2133700.76546385</v>
      </c>
      <c r="AS116" s="89" t="n">
        <f aca="true">IF(AS$5=0,AR116,MAX(0,(AR116-AS$4)*(1+NORMINV(RAND(),INPUTS!$B$28,INPUTS!$B$29))))</f>
        <v>2133700.76546385</v>
      </c>
      <c r="AT116" s="89" t="n">
        <f aca="true">IF(AT$5=0,AS116,MAX(0,(AS116-AT$4)*(1+NORMINV(RAND(),INPUTS!$B$28,INPUTS!$B$29))))</f>
        <v>2133700.76546385</v>
      </c>
      <c r="AU116" s="89" t="n">
        <f aca="true">IF(AU$5=0,AT116,MAX(0,(AT116-AU$4)*(1+NORMINV(RAND(),INPUTS!$B$28,INPUTS!$B$29))))</f>
        <v>2133700.76546385</v>
      </c>
      <c r="AV116" s="89" t="n">
        <f aca="true">IF(AV$5=0,AU116,MAX(0,(AU116-AV$4)*(1+NORMINV(RAND(),INPUTS!$B$28,INPUTS!$B$29))))</f>
        <v>2133700.76546385</v>
      </c>
      <c r="AW116" s="89" t="n">
        <f aca="true">IF(AW$5=0,AV116,MAX(0,(AV116-AW$4)*(1+NORMINV(RAND(),INPUTS!$B$28,INPUTS!$B$29))))</f>
        <v>2133700.76546385</v>
      </c>
      <c r="AX116" s="89" t="n">
        <f aca="true">IF(AX$5=0,AW116,MAX(0,(AW116-AX$4)*(1+NORMINV(RAND(),INPUTS!$B$28,INPUTS!$B$29))))</f>
        <v>2133700.76546385</v>
      </c>
      <c r="AY116" s="89" t="n">
        <f aca="true">IF(AY$5=0,AX116,MAX(0,(AX116-AY$4)*(1+NORMINV(RAND(),INPUTS!$B$28,INPUTS!$B$29))))</f>
        <v>2133700.76546385</v>
      </c>
      <c r="AZ116" s="89" t="n">
        <f aca="true">IF(AZ$5=0,AY116,MAX(0,(AY116-AZ$4)*(1+NORMINV(RAND(),INPUTS!$B$28,INPUTS!$B$29))))</f>
        <v>2133700.76546385</v>
      </c>
      <c r="BA116" s="89" t="n">
        <f aca="true">IF(BA$5=0,AZ116,MAX(0,(AZ116-BA$4)*(1+NORMINV(RAND(),INPUTS!$B$28,INPUTS!$B$29))))</f>
        <v>2133700.76546385</v>
      </c>
      <c r="BB116" s="89" t="n">
        <f aca="true">IF(BB$5=0,BA116,MAX(0,(BA116-BB$4)*(1+NORMINV(RAND(),INPUTS!$B$28,INPUTS!$B$29))))</f>
        <v>2133700.76546385</v>
      </c>
      <c r="BC116" s="89" t="n">
        <f aca="true">IF(BC$5=0,BB116,MAX(0,(BB116-BC$4)*(1+NORMINV(RAND(),INPUTS!$B$28,INPUTS!$B$29))))</f>
        <v>2133700.76546385</v>
      </c>
      <c r="BD116" s="89" t="n">
        <f aca="true">IF(BD$5=0,BC116,MAX(0,(BC116-BD$4)*(1+NORMINV(RAND(),INPUTS!$B$28,INPUTS!$B$29))))</f>
        <v>2133700.76546385</v>
      </c>
      <c r="BE116" s="89" t="n">
        <f aca="true">IF(BE$5=0,BD116,MAX(0,(BD116-BE$4)*(1+NORMINV(RAND(),INPUTS!$B$28,INPUTS!$B$29))))</f>
        <v>2133700.76546385</v>
      </c>
      <c r="BF116" s="89" t="n">
        <f aca="true">IF(BF$5=0,BE116,MAX(0,(BE116-BF$4)*(1+NORMINV(RAND(),INPUTS!$B$28,INPUTS!$B$29))))</f>
        <v>2133700.76546385</v>
      </c>
      <c r="BG116" s="89" t="n">
        <f aca="true">IF(BG$5=0,BF116,MAX(0,(BF116-BG$4)*(1+NORMINV(RAND(),INPUTS!$B$28,INPUTS!$B$29))))</f>
        <v>2133700.76546385</v>
      </c>
      <c r="BH116" s="89" t="n">
        <f aca="true">IF(BH$5=0,BG116,MAX(0,(BG116-BH$4)*(1+NORMINV(RAND(),INPUTS!$B$28,INPUTS!$B$29))))</f>
        <v>2133700.76546385</v>
      </c>
      <c r="BI116" s="89" t="n">
        <f aca="true">IF(BI$5=0,BH116,MAX(0,(BH116-BI$4)*(1+NORMINV(RAND(),INPUTS!$B$28,INPUTS!$B$29))))</f>
        <v>2133700.76546385</v>
      </c>
      <c r="BJ116" s="89" t="n">
        <f aca="true">IF(BJ$5=0,BI116,MAX(0,(BI116-BJ$4)*(1+NORMINV(RAND(),INPUTS!$B$28,INPUTS!$B$29))))</f>
        <v>2133700.76546385</v>
      </c>
    </row>
    <row r="117" customFormat="false" ht="15" hidden="false" customHeight="true" outlineLevel="0" collapsed="false">
      <c r="A117" s="87" t="n">
        <v>110</v>
      </c>
      <c r="B117" s="88" t="n">
        <f aca="false">LOOKUP(9.99E+307,C117:BJ117)</f>
        <v>4701945.25727028</v>
      </c>
      <c r="C117" s="89" t="n">
        <f aca="true">IF(C$5=0,INPUTS!$B$35,MAX(0,(INPUTS!$B$35-C$4)*(1+NORMINV(RAND(),INPUTS!$B$28,INPUTS!$B$29))))</f>
        <v>1646862.72444029</v>
      </c>
      <c r="D117" s="89" t="n">
        <f aca="true">IF(D$5=0,C117,MAX(0,(C117-D$4)*(1+NORMINV(RAND(),INPUTS!$B$28,INPUTS!$B$29))))</f>
        <v>1372136.23381837</v>
      </c>
      <c r="E117" s="89" t="n">
        <f aca="true">IF(E$5=0,D117,MAX(0,(D117-E$4)*(1+NORMINV(RAND(),INPUTS!$B$28,INPUTS!$B$29))))</f>
        <v>1320723.94827937</v>
      </c>
      <c r="F117" s="89" t="n">
        <f aca="true">IF(F$5=0,E117,MAX(0,(E117-F$4)*(1+NORMINV(RAND(),INPUTS!$B$28,INPUTS!$B$29))))</f>
        <v>1284813.1185635</v>
      </c>
      <c r="G117" s="89" t="n">
        <f aca="true">IF(G$5=0,F117,MAX(0,(F117-G$4)*(1+NORMINV(RAND(),INPUTS!$B$28,INPUTS!$B$29))))</f>
        <v>1180491.39273154</v>
      </c>
      <c r="H117" s="89" t="n">
        <f aca="true">IF(H$5=0,G117,MAX(0,(G117-H$4)*(1+NORMINV(RAND(),INPUTS!$B$28,INPUTS!$B$29))))</f>
        <v>1351455.42646443</v>
      </c>
      <c r="I117" s="89" t="n">
        <f aca="true">IF(I$5=0,H117,MAX(0,(H117-I$4)*(1+NORMINV(RAND(),INPUTS!$B$28,INPUTS!$B$29))))</f>
        <v>1374389.99459135</v>
      </c>
      <c r="J117" s="89" t="n">
        <f aca="true">IF(J$5=0,I117,MAX(0,(I117-J$4)*(1+NORMINV(RAND(),INPUTS!$B$28,INPUTS!$B$29))))</f>
        <v>1549560.03513878</v>
      </c>
      <c r="K117" s="89" t="n">
        <f aca="true">IF(K$5=0,J117,MAX(0,(J117-K$4)*(1+NORMINV(RAND(),INPUTS!$B$28,INPUTS!$B$29))))</f>
        <v>1826943.11600803</v>
      </c>
      <c r="L117" s="89" t="n">
        <f aca="true">IF(L$5=0,K117,MAX(0,(K117-L$4)*(1+NORMINV(RAND(),INPUTS!$B$28,INPUTS!$B$29))))</f>
        <v>1554189.32623782</v>
      </c>
      <c r="M117" s="89" t="n">
        <f aca="true">IF(M$5=0,L117,MAX(0,(L117-M$4)*(1+NORMINV(RAND(),INPUTS!$B$28,INPUTS!$B$29))))</f>
        <v>1626851.62512563</v>
      </c>
      <c r="N117" s="89" t="n">
        <f aca="true">IF(N$5=0,M117,MAX(0,(M117-N$4)*(1+NORMINV(RAND(),INPUTS!$B$28,INPUTS!$B$29))))</f>
        <v>1393347.19170377</v>
      </c>
      <c r="O117" s="89" t="n">
        <f aca="true">IF(O$5=0,N117,MAX(0,(N117-O$4)*(1+NORMINV(RAND(),INPUTS!$B$28,INPUTS!$B$29))))</f>
        <v>1474846.37570761</v>
      </c>
      <c r="P117" s="89" t="n">
        <f aca="true">IF(P$5=0,O117,MAX(0,(O117-P$4)*(1+NORMINV(RAND(),INPUTS!$B$28,INPUTS!$B$29))))</f>
        <v>1669380.29078465</v>
      </c>
      <c r="Q117" s="89" t="n">
        <f aca="true">IF(Q$5=0,P117,MAX(0,(P117-Q$4)*(1+NORMINV(RAND(),INPUTS!$B$28,INPUTS!$B$29))))</f>
        <v>1574695.20126799</v>
      </c>
      <c r="R117" s="89" t="n">
        <f aca="true">IF(R$5=0,Q117,MAX(0,(Q117-R$4)*(1+NORMINV(RAND(),INPUTS!$B$28,INPUTS!$B$29))))</f>
        <v>1711821.81593322</v>
      </c>
      <c r="S117" s="89" t="n">
        <f aca="true">IF(S$5=0,R117,MAX(0,(R117-S$4)*(1+NORMINV(RAND(),INPUTS!$B$28,INPUTS!$B$29))))</f>
        <v>1692798.72672567</v>
      </c>
      <c r="T117" s="89" t="n">
        <f aca="true">IF(T$5=0,S117,MAX(0,(S117-T$4)*(1+NORMINV(RAND(),INPUTS!$B$28,INPUTS!$B$29))))</f>
        <v>1735253.85470942</v>
      </c>
      <c r="U117" s="89" t="n">
        <f aca="true">IF(U$5=0,T117,MAX(0,(T117-U$4)*(1+NORMINV(RAND(),INPUTS!$B$28,INPUTS!$B$29))))</f>
        <v>1844390.54877548</v>
      </c>
      <c r="V117" s="89" t="n">
        <f aca="true">IF(V$5=0,U117,MAX(0,(U117-V$4)*(1+NORMINV(RAND(),INPUTS!$B$28,INPUTS!$B$29))))</f>
        <v>2154647.17785127</v>
      </c>
      <c r="W117" s="89" t="n">
        <f aca="true">IF(W$5=0,V117,MAX(0,(V117-W$4)*(1+NORMINV(RAND(),INPUTS!$B$28,INPUTS!$B$29))))</f>
        <v>2248331.11502848</v>
      </c>
      <c r="X117" s="89" t="n">
        <f aca="true">IF(X$5=0,W117,MAX(0,(W117-X$4)*(1+NORMINV(RAND(),INPUTS!$B$28,INPUTS!$B$29))))</f>
        <v>2968212.50963512</v>
      </c>
      <c r="Y117" s="89" t="n">
        <f aca="true">IF(Y$5=0,X117,MAX(0,(X117-Y$4)*(1+NORMINV(RAND(),INPUTS!$B$28,INPUTS!$B$29))))</f>
        <v>3213745.27282401</v>
      </c>
      <c r="Z117" s="89" t="n">
        <f aca="true">IF(Z$5=0,Y117,MAX(0,(Y117-Z$4)*(1+NORMINV(RAND(),INPUTS!$B$28,INPUTS!$B$29))))</f>
        <v>3586794.89518849</v>
      </c>
      <c r="AA117" s="89" t="n">
        <f aca="true">IF(AA$5=0,Z117,MAX(0,(Z117-AA$4)*(1+NORMINV(RAND(),INPUTS!$B$28,INPUTS!$B$29))))</f>
        <v>2929524.37902277</v>
      </c>
      <c r="AB117" s="89" t="n">
        <f aca="true">IF(AB$5=0,AA117,MAX(0,(AA117-AB$4)*(1+NORMINV(RAND(),INPUTS!$B$28,INPUTS!$B$29))))</f>
        <v>3352827.80180437</v>
      </c>
      <c r="AC117" s="89" t="n">
        <f aca="true">IF(AC$5=0,AB117,MAX(0,(AB117-AC$4)*(1+NORMINV(RAND(),INPUTS!$B$28,INPUTS!$B$29))))</f>
        <v>3584766.32641801</v>
      </c>
      <c r="AD117" s="89" t="n">
        <f aca="true">IF(AD$5=0,AC117,MAX(0,(AC117-AD$4)*(1+NORMINV(RAND(),INPUTS!$B$28,INPUTS!$B$29))))</f>
        <v>3552853.14940283</v>
      </c>
      <c r="AE117" s="89" t="n">
        <f aca="true">IF(AE$5=0,AD117,MAX(0,(AD117-AE$4)*(1+NORMINV(RAND(),INPUTS!$B$28,INPUTS!$B$29))))</f>
        <v>3818095.52529849</v>
      </c>
      <c r="AF117" s="89" t="n">
        <f aca="true">IF(AF$5=0,AE117,MAX(0,(AE117-AF$4)*(1+NORMINV(RAND(),INPUTS!$B$28,INPUTS!$B$29))))</f>
        <v>4453759.0095225</v>
      </c>
      <c r="AG117" s="89" t="n">
        <f aca="true">IF(AG$5=0,AF117,MAX(0,(AF117-AG$4)*(1+NORMINV(RAND(),INPUTS!$B$28,INPUTS!$B$29))))</f>
        <v>5103025.14172828</v>
      </c>
      <c r="AH117" s="89" t="n">
        <f aca="true">IF(AH$5=0,AG117,MAX(0,(AG117-AH$4)*(1+NORMINV(RAND(),INPUTS!$B$28,INPUTS!$B$29))))</f>
        <v>4496966.69535705</v>
      </c>
      <c r="AI117" s="89" t="n">
        <f aca="true">IF(AI$5=0,AH117,MAX(0,(AH117-AI$4)*(1+NORMINV(RAND(),INPUTS!$B$28,INPUTS!$B$29))))</f>
        <v>4604146.84892636</v>
      </c>
      <c r="AJ117" s="89" t="n">
        <f aca="true">IF(AJ$5=0,AI117,MAX(0,(AI117-AJ$4)*(1+NORMINV(RAND(),INPUTS!$B$28,INPUTS!$B$29))))</f>
        <v>5544340.97162276</v>
      </c>
      <c r="AK117" s="89" t="n">
        <f aca="true">IF(AK$5=0,AJ117,MAX(0,(AJ117-AK$4)*(1+NORMINV(RAND(),INPUTS!$B$28,INPUTS!$B$29))))</f>
        <v>4782717.57969261</v>
      </c>
      <c r="AL117" s="89" t="n">
        <f aca="true">IF(AL$5=0,AK117,MAX(0,(AK117-AL$4)*(1+NORMINV(RAND(),INPUTS!$B$28,INPUTS!$B$29))))</f>
        <v>4701945.25727028</v>
      </c>
      <c r="AM117" s="89" t="n">
        <f aca="true">IF(AM$5=0,AL117,MAX(0,(AL117-AM$4)*(1+NORMINV(RAND(),INPUTS!$B$28,INPUTS!$B$29))))</f>
        <v>4701945.25727028</v>
      </c>
      <c r="AN117" s="89" t="n">
        <f aca="true">IF(AN$5=0,AM117,MAX(0,(AM117-AN$4)*(1+NORMINV(RAND(),INPUTS!$B$28,INPUTS!$B$29))))</f>
        <v>4701945.25727028</v>
      </c>
      <c r="AO117" s="89" t="n">
        <f aca="true">IF(AO$5=0,AN117,MAX(0,(AN117-AO$4)*(1+NORMINV(RAND(),INPUTS!$B$28,INPUTS!$B$29))))</f>
        <v>4701945.25727028</v>
      </c>
      <c r="AP117" s="89" t="n">
        <f aca="true">IF(AP$5=0,AO117,MAX(0,(AO117-AP$4)*(1+NORMINV(RAND(),INPUTS!$B$28,INPUTS!$B$29))))</f>
        <v>4701945.25727028</v>
      </c>
      <c r="AQ117" s="89" t="n">
        <f aca="true">IF(AQ$5=0,AP117,MAX(0,(AP117-AQ$4)*(1+NORMINV(RAND(),INPUTS!$B$28,INPUTS!$B$29))))</f>
        <v>4701945.25727028</v>
      </c>
      <c r="AR117" s="89" t="n">
        <f aca="true">IF(AR$5=0,AQ117,MAX(0,(AQ117-AR$4)*(1+NORMINV(RAND(),INPUTS!$B$28,INPUTS!$B$29))))</f>
        <v>4701945.25727028</v>
      </c>
      <c r="AS117" s="89" t="n">
        <f aca="true">IF(AS$5=0,AR117,MAX(0,(AR117-AS$4)*(1+NORMINV(RAND(),INPUTS!$B$28,INPUTS!$B$29))))</f>
        <v>4701945.25727028</v>
      </c>
      <c r="AT117" s="89" t="n">
        <f aca="true">IF(AT$5=0,AS117,MAX(0,(AS117-AT$4)*(1+NORMINV(RAND(),INPUTS!$B$28,INPUTS!$B$29))))</f>
        <v>4701945.25727028</v>
      </c>
      <c r="AU117" s="89" t="n">
        <f aca="true">IF(AU$5=0,AT117,MAX(0,(AT117-AU$4)*(1+NORMINV(RAND(),INPUTS!$B$28,INPUTS!$B$29))))</f>
        <v>4701945.25727028</v>
      </c>
      <c r="AV117" s="89" t="n">
        <f aca="true">IF(AV$5=0,AU117,MAX(0,(AU117-AV$4)*(1+NORMINV(RAND(),INPUTS!$B$28,INPUTS!$B$29))))</f>
        <v>4701945.25727028</v>
      </c>
      <c r="AW117" s="89" t="n">
        <f aca="true">IF(AW$5=0,AV117,MAX(0,(AV117-AW$4)*(1+NORMINV(RAND(),INPUTS!$B$28,INPUTS!$B$29))))</f>
        <v>4701945.25727028</v>
      </c>
      <c r="AX117" s="89" t="n">
        <f aca="true">IF(AX$5=0,AW117,MAX(0,(AW117-AX$4)*(1+NORMINV(RAND(),INPUTS!$B$28,INPUTS!$B$29))))</f>
        <v>4701945.25727028</v>
      </c>
      <c r="AY117" s="89" t="n">
        <f aca="true">IF(AY$5=0,AX117,MAX(0,(AX117-AY$4)*(1+NORMINV(RAND(),INPUTS!$B$28,INPUTS!$B$29))))</f>
        <v>4701945.25727028</v>
      </c>
      <c r="AZ117" s="89" t="n">
        <f aca="true">IF(AZ$5=0,AY117,MAX(0,(AY117-AZ$4)*(1+NORMINV(RAND(),INPUTS!$B$28,INPUTS!$B$29))))</f>
        <v>4701945.25727028</v>
      </c>
      <c r="BA117" s="89" t="n">
        <f aca="true">IF(BA$5=0,AZ117,MAX(0,(AZ117-BA$4)*(1+NORMINV(RAND(),INPUTS!$B$28,INPUTS!$B$29))))</f>
        <v>4701945.25727028</v>
      </c>
      <c r="BB117" s="89" t="n">
        <f aca="true">IF(BB$5=0,BA117,MAX(0,(BA117-BB$4)*(1+NORMINV(RAND(),INPUTS!$B$28,INPUTS!$B$29))))</f>
        <v>4701945.25727028</v>
      </c>
      <c r="BC117" s="89" t="n">
        <f aca="true">IF(BC$5=0,BB117,MAX(0,(BB117-BC$4)*(1+NORMINV(RAND(),INPUTS!$B$28,INPUTS!$B$29))))</f>
        <v>4701945.25727028</v>
      </c>
      <c r="BD117" s="89" t="n">
        <f aca="true">IF(BD$5=0,BC117,MAX(0,(BC117-BD$4)*(1+NORMINV(RAND(),INPUTS!$B$28,INPUTS!$B$29))))</f>
        <v>4701945.25727028</v>
      </c>
      <c r="BE117" s="89" t="n">
        <f aca="true">IF(BE$5=0,BD117,MAX(0,(BD117-BE$4)*(1+NORMINV(RAND(),INPUTS!$B$28,INPUTS!$B$29))))</f>
        <v>4701945.25727028</v>
      </c>
      <c r="BF117" s="89" t="n">
        <f aca="true">IF(BF$5=0,BE117,MAX(0,(BE117-BF$4)*(1+NORMINV(RAND(),INPUTS!$B$28,INPUTS!$B$29))))</f>
        <v>4701945.25727028</v>
      </c>
      <c r="BG117" s="89" t="n">
        <f aca="true">IF(BG$5=0,BF117,MAX(0,(BF117-BG$4)*(1+NORMINV(RAND(),INPUTS!$B$28,INPUTS!$B$29))))</f>
        <v>4701945.25727028</v>
      </c>
      <c r="BH117" s="89" t="n">
        <f aca="true">IF(BH$5=0,BG117,MAX(0,(BG117-BH$4)*(1+NORMINV(RAND(),INPUTS!$B$28,INPUTS!$B$29))))</f>
        <v>4701945.25727028</v>
      </c>
      <c r="BI117" s="89" t="n">
        <f aca="true">IF(BI$5=0,BH117,MAX(0,(BH117-BI$4)*(1+NORMINV(RAND(),INPUTS!$B$28,INPUTS!$B$29))))</f>
        <v>4701945.25727028</v>
      </c>
      <c r="BJ117" s="89" t="n">
        <f aca="true">IF(BJ$5=0,BI117,MAX(0,(BI117-BJ$4)*(1+NORMINV(RAND(),INPUTS!$B$28,INPUTS!$B$29))))</f>
        <v>4701945.25727028</v>
      </c>
    </row>
    <row r="118" customFormat="false" ht="15" hidden="false" customHeight="true" outlineLevel="0" collapsed="false">
      <c r="A118" s="87" t="n">
        <v>111</v>
      </c>
      <c r="B118" s="88" t="n">
        <f aca="false">LOOKUP(9.99E+307,C118:BJ118)</f>
        <v>0</v>
      </c>
      <c r="C118" s="89" t="n">
        <f aca="true">IF(C$5=0,INPUTS!$B$35,MAX(0,(INPUTS!$B$35-C$4)*(1+NORMINV(RAND(),INPUTS!$B$28,INPUTS!$B$29))))</f>
        <v>1433055.00031342</v>
      </c>
      <c r="D118" s="89" t="n">
        <f aca="true">IF(D$5=0,C118,MAX(0,(C118-D$4)*(1+NORMINV(RAND(),INPUTS!$B$28,INPUTS!$B$29))))</f>
        <v>1324806.03610776</v>
      </c>
      <c r="E118" s="89" t="n">
        <f aca="true">IF(E$5=0,D118,MAX(0,(D118-E$4)*(1+NORMINV(RAND(),INPUTS!$B$28,INPUTS!$B$29))))</f>
        <v>1253416.63197534</v>
      </c>
      <c r="F118" s="89" t="n">
        <f aca="true">IF(F$5=0,E118,MAX(0,(E118-F$4)*(1+NORMINV(RAND(),INPUTS!$B$28,INPUTS!$B$29))))</f>
        <v>1537344.28778348</v>
      </c>
      <c r="G118" s="89" t="n">
        <f aca="true">IF(G$5=0,F118,MAX(0,(F118-G$4)*(1+NORMINV(RAND(),INPUTS!$B$28,INPUTS!$B$29))))</f>
        <v>1235156.65632715</v>
      </c>
      <c r="H118" s="89" t="n">
        <f aca="true">IF(H$5=0,G118,MAX(0,(G118-H$4)*(1+NORMINV(RAND(),INPUTS!$B$28,INPUTS!$B$29))))</f>
        <v>1044676.32002228</v>
      </c>
      <c r="I118" s="89" t="n">
        <f aca="true">IF(I$5=0,H118,MAX(0,(H118-I$4)*(1+NORMINV(RAND(),INPUTS!$B$28,INPUTS!$B$29))))</f>
        <v>990533.31164329</v>
      </c>
      <c r="J118" s="89" t="n">
        <f aca="true">IF(J$5=0,I118,MAX(0,(I118-J$4)*(1+NORMINV(RAND(),INPUTS!$B$28,INPUTS!$B$29))))</f>
        <v>893523.814304949</v>
      </c>
      <c r="K118" s="89" t="n">
        <f aca="true">IF(K$5=0,J118,MAX(0,(J118-K$4)*(1+NORMINV(RAND(),INPUTS!$B$28,INPUTS!$B$29))))</f>
        <v>729008.071780205</v>
      </c>
      <c r="L118" s="89" t="n">
        <f aca="true">IF(L$5=0,K118,MAX(0,(K118-L$4)*(1+NORMINV(RAND(),INPUTS!$B$28,INPUTS!$B$29))))</f>
        <v>753284.846655788</v>
      </c>
      <c r="M118" s="89" t="n">
        <f aca="true">IF(M$5=0,L118,MAX(0,(L118-M$4)*(1+NORMINV(RAND(),INPUTS!$B$28,INPUTS!$B$29))))</f>
        <v>642555.807588852</v>
      </c>
      <c r="N118" s="89" t="n">
        <f aca="true">IF(N$5=0,M118,MAX(0,(M118-N$4)*(1+NORMINV(RAND(),INPUTS!$B$28,INPUTS!$B$29))))</f>
        <v>634525.15019284</v>
      </c>
      <c r="O118" s="89" t="n">
        <f aca="true">IF(O$5=0,N118,MAX(0,(N118-O$4)*(1+NORMINV(RAND(),INPUTS!$B$28,INPUTS!$B$29))))</f>
        <v>678871.116844021</v>
      </c>
      <c r="P118" s="89" t="n">
        <f aca="true">IF(P$5=0,O118,MAX(0,(O118-P$4)*(1+NORMINV(RAND(),INPUTS!$B$28,INPUTS!$B$29))))</f>
        <v>573415.290600625</v>
      </c>
      <c r="Q118" s="89" t="n">
        <f aca="true">IF(Q$5=0,P118,MAX(0,(P118-Q$4)*(1+NORMINV(RAND(),INPUTS!$B$28,INPUTS!$B$29))))</f>
        <v>617945.383621285</v>
      </c>
      <c r="R118" s="89" t="n">
        <f aca="true">IF(R$5=0,Q118,MAX(0,(Q118-R$4)*(1+NORMINV(RAND(),INPUTS!$B$28,INPUTS!$B$29))))</f>
        <v>579140.4813477</v>
      </c>
      <c r="S118" s="89" t="n">
        <f aca="true">IF(S$5=0,R118,MAX(0,(R118-S$4)*(1+NORMINV(RAND(),INPUTS!$B$28,INPUTS!$B$29))))</f>
        <v>486090.388281583</v>
      </c>
      <c r="T118" s="89" t="n">
        <f aca="true">IF(T$5=0,S118,MAX(0,(S118-T$4)*(1+NORMINV(RAND(),INPUTS!$B$28,INPUTS!$B$29))))</f>
        <v>434248.480450039</v>
      </c>
      <c r="U118" s="89" t="n">
        <f aca="true">IF(U$5=0,T118,MAX(0,(T118-U$4)*(1+NORMINV(RAND(),INPUTS!$B$28,INPUTS!$B$29))))</f>
        <v>402263.130067679</v>
      </c>
      <c r="V118" s="89" t="n">
        <f aca="true">IF(V$5=0,U118,MAX(0,(U118-V$4)*(1+NORMINV(RAND(),INPUTS!$B$28,INPUTS!$B$29))))</f>
        <v>343707.930369078</v>
      </c>
      <c r="W118" s="89" t="n">
        <f aca="true">IF(W$5=0,V118,MAX(0,(V118-W$4)*(1+NORMINV(RAND(),INPUTS!$B$28,INPUTS!$B$29))))</f>
        <v>326957.124894727</v>
      </c>
      <c r="X118" s="89" t="n">
        <f aca="true">IF(X$5=0,W118,MAX(0,(W118-X$4)*(1+NORMINV(RAND(),INPUTS!$B$28,INPUTS!$B$29))))</f>
        <v>311266.283100796</v>
      </c>
      <c r="Y118" s="89" t="n">
        <f aca="true">IF(Y$5=0,X118,MAX(0,(X118-Y$4)*(1+NORMINV(RAND(),INPUTS!$B$28,INPUTS!$B$29))))</f>
        <v>299282.663336803</v>
      </c>
      <c r="Z118" s="89" t="n">
        <f aca="true">IF(Z$5=0,Y118,MAX(0,(Y118-Z$4)*(1+NORMINV(RAND(),INPUTS!$B$28,INPUTS!$B$29))))</f>
        <v>247713.341695999</v>
      </c>
      <c r="AA118" s="89" t="n">
        <f aca="true">IF(AA$5=0,Z118,MAX(0,(Z118-AA$4)*(1+NORMINV(RAND(),INPUTS!$B$28,INPUTS!$B$29))))</f>
        <v>201614.699355542</v>
      </c>
      <c r="AB118" s="89" t="n">
        <f aca="true">IF(AB$5=0,AA118,MAX(0,(AA118-AB$4)*(1+NORMINV(RAND(),INPUTS!$B$28,INPUTS!$B$29))))</f>
        <v>163498.040311158</v>
      </c>
      <c r="AC118" s="89" t="n">
        <f aca="true">IF(AC$5=0,AB118,MAX(0,(AB118-AC$4)*(1+NORMINV(RAND(),INPUTS!$B$28,INPUTS!$B$29))))</f>
        <v>124668.388647069</v>
      </c>
      <c r="AD118" s="89" t="n">
        <f aca="true">IF(AD$5=0,AC118,MAX(0,(AC118-AD$4)*(1+NORMINV(RAND(),INPUTS!$B$28,INPUTS!$B$29))))</f>
        <v>59102.9229699794</v>
      </c>
      <c r="AE118" s="89" t="n">
        <f aca="true">IF(AE$5=0,AD118,MAX(0,(AD118-AE$4)*(1+NORMINV(RAND(),INPUTS!$B$28,INPUTS!$B$29))))</f>
        <v>0</v>
      </c>
      <c r="AF118" s="89" t="n">
        <f aca="true">IF(AF$5=0,AE118,MAX(0,(AE118-AF$4)*(1+NORMINV(RAND(),INPUTS!$B$28,INPUTS!$B$29))))</f>
        <v>0</v>
      </c>
      <c r="AG118" s="89" t="n">
        <f aca="true">IF(AG$5=0,AF118,MAX(0,(AF118-AG$4)*(1+NORMINV(RAND(),INPUTS!$B$28,INPUTS!$B$29))))</f>
        <v>0</v>
      </c>
      <c r="AH118" s="89" t="n">
        <f aca="true">IF(AH$5=0,AG118,MAX(0,(AG118-AH$4)*(1+NORMINV(RAND(),INPUTS!$B$28,INPUTS!$B$29))))</f>
        <v>0</v>
      </c>
      <c r="AI118" s="89" t="n">
        <f aca="true">IF(AI$5=0,AH118,MAX(0,(AH118-AI$4)*(1+NORMINV(RAND(),INPUTS!$B$28,INPUTS!$B$29))))</f>
        <v>0</v>
      </c>
      <c r="AJ118" s="89" t="n">
        <f aca="true">IF(AJ$5=0,AI118,MAX(0,(AI118-AJ$4)*(1+NORMINV(RAND(),INPUTS!$B$28,INPUTS!$B$29))))</f>
        <v>0</v>
      </c>
      <c r="AK118" s="89" t="n">
        <f aca="true">IF(AK$5=0,AJ118,MAX(0,(AJ118-AK$4)*(1+NORMINV(RAND(),INPUTS!$B$28,INPUTS!$B$29))))</f>
        <v>0</v>
      </c>
      <c r="AL118" s="89" t="n">
        <f aca="true">IF(AL$5=0,AK118,MAX(0,(AK118-AL$4)*(1+NORMINV(RAND(),INPUTS!$B$28,INPUTS!$B$29))))</f>
        <v>0</v>
      </c>
      <c r="AM118" s="89" t="n">
        <f aca="true">IF(AM$5=0,AL118,MAX(0,(AL118-AM$4)*(1+NORMINV(RAND(),INPUTS!$B$28,INPUTS!$B$29))))</f>
        <v>0</v>
      </c>
      <c r="AN118" s="89" t="n">
        <f aca="true">IF(AN$5=0,AM118,MAX(0,(AM118-AN$4)*(1+NORMINV(RAND(),INPUTS!$B$28,INPUTS!$B$29))))</f>
        <v>0</v>
      </c>
      <c r="AO118" s="89" t="n">
        <f aca="true">IF(AO$5=0,AN118,MAX(0,(AN118-AO$4)*(1+NORMINV(RAND(),INPUTS!$B$28,INPUTS!$B$29))))</f>
        <v>0</v>
      </c>
      <c r="AP118" s="89" t="n">
        <f aca="true">IF(AP$5=0,AO118,MAX(0,(AO118-AP$4)*(1+NORMINV(RAND(),INPUTS!$B$28,INPUTS!$B$29))))</f>
        <v>0</v>
      </c>
      <c r="AQ118" s="89" t="n">
        <f aca="true">IF(AQ$5=0,AP118,MAX(0,(AP118-AQ$4)*(1+NORMINV(RAND(),INPUTS!$B$28,INPUTS!$B$29))))</f>
        <v>0</v>
      </c>
      <c r="AR118" s="89" t="n">
        <f aca="true">IF(AR$5=0,AQ118,MAX(0,(AQ118-AR$4)*(1+NORMINV(RAND(),INPUTS!$B$28,INPUTS!$B$29))))</f>
        <v>0</v>
      </c>
      <c r="AS118" s="89" t="n">
        <f aca="true">IF(AS$5=0,AR118,MAX(0,(AR118-AS$4)*(1+NORMINV(RAND(),INPUTS!$B$28,INPUTS!$B$29))))</f>
        <v>0</v>
      </c>
      <c r="AT118" s="89" t="n">
        <f aca="true">IF(AT$5=0,AS118,MAX(0,(AS118-AT$4)*(1+NORMINV(RAND(),INPUTS!$B$28,INPUTS!$B$29))))</f>
        <v>0</v>
      </c>
      <c r="AU118" s="89" t="n">
        <f aca="true">IF(AU$5=0,AT118,MAX(0,(AT118-AU$4)*(1+NORMINV(RAND(),INPUTS!$B$28,INPUTS!$B$29))))</f>
        <v>0</v>
      </c>
      <c r="AV118" s="89" t="n">
        <f aca="true">IF(AV$5=0,AU118,MAX(0,(AU118-AV$4)*(1+NORMINV(RAND(),INPUTS!$B$28,INPUTS!$B$29))))</f>
        <v>0</v>
      </c>
      <c r="AW118" s="89" t="n">
        <f aca="true">IF(AW$5=0,AV118,MAX(0,(AV118-AW$4)*(1+NORMINV(RAND(),INPUTS!$B$28,INPUTS!$B$29))))</f>
        <v>0</v>
      </c>
      <c r="AX118" s="89" t="n">
        <f aca="true">IF(AX$5=0,AW118,MAX(0,(AW118-AX$4)*(1+NORMINV(RAND(),INPUTS!$B$28,INPUTS!$B$29))))</f>
        <v>0</v>
      </c>
      <c r="AY118" s="89" t="n">
        <f aca="true">IF(AY$5=0,AX118,MAX(0,(AX118-AY$4)*(1+NORMINV(RAND(),INPUTS!$B$28,INPUTS!$B$29))))</f>
        <v>0</v>
      </c>
      <c r="AZ118" s="89" t="n">
        <f aca="true">IF(AZ$5=0,AY118,MAX(0,(AY118-AZ$4)*(1+NORMINV(RAND(),INPUTS!$B$28,INPUTS!$B$29))))</f>
        <v>0</v>
      </c>
      <c r="BA118" s="89" t="n">
        <f aca="true">IF(BA$5=0,AZ118,MAX(0,(AZ118-BA$4)*(1+NORMINV(RAND(),INPUTS!$B$28,INPUTS!$B$29))))</f>
        <v>0</v>
      </c>
      <c r="BB118" s="89" t="n">
        <f aca="true">IF(BB$5=0,BA118,MAX(0,(BA118-BB$4)*(1+NORMINV(RAND(),INPUTS!$B$28,INPUTS!$B$29))))</f>
        <v>0</v>
      </c>
      <c r="BC118" s="89" t="n">
        <f aca="true">IF(BC$5=0,BB118,MAX(0,(BB118-BC$4)*(1+NORMINV(RAND(),INPUTS!$B$28,INPUTS!$B$29))))</f>
        <v>0</v>
      </c>
      <c r="BD118" s="89" t="n">
        <f aca="true">IF(BD$5=0,BC118,MAX(0,(BC118-BD$4)*(1+NORMINV(RAND(),INPUTS!$B$28,INPUTS!$B$29))))</f>
        <v>0</v>
      </c>
      <c r="BE118" s="89" t="n">
        <f aca="true">IF(BE$5=0,BD118,MAX(0,(BD118-BE$4)*(1+NORMINV(RAND(),INPUTS!$B$28,INPUTS!$B$29))))</f>
        <v>0</v>
      </c>
      <c r="BF118" s="89" t="n">
        <f aca="true">IF(BF$5=0,BE118,MAX(0,(BE118-BF$4)*(1+NORMINV(RAND(),INPUTS!$B$28,INPUTS!$B$29))))</f>
        <v>0</v>
      </c>
      <c r="BG118" s="89" t="n">
        <f aca="true">IF(BG$5=0,BF118,MAX(0,(BF118-BG$4)*(1+NORMINV(RAND(),INPUTS!$B$28,INPUTS!$B$29))))</f>
        <v>0</v>
      </c>
      <c r="BH118" s="89" t="n">
        <f aca="true">IF(BH$5=0,BG118,MAX(0,(BG118-BH$4)*(1+NORMINV(RAND(),INPUTS!$B$28,INPUTS!$B$29))))</f>
        <v>0</v>
      </c>
      <c r="BI118" s="89" t="n">
        <f aca="true">IF(BI$5=0,BH118,MAX(0,(BH118-BI$4)*(1+NORMINV(RAND(),INPUTS!$B$28,INPUTS!$B$29))))</f>
        <v>0</v>
      </c>
      <c r="BJ118" s="89" t="n">
        <f aca="true">IF(BJ$5=0,BI118,MAX(0,(BI118-BJ$4)*(1+NORMINV(RAND(),INPUTS!$B$28,INPUTS!$B$29))))</f>
        <v>0</v>
      </c>
    </row>
    <row r="119" customFormat="false" ht="15" hidden="false" customHeight="true" outlineLevel="0" collapsed="false">
      <c r="A119" s="87" t="n">
        <v>112</v>
      </c>
      <c r="B119" s="88" t="n">
        <f aca="false">LOOKUP(9.99E+307,C119:BJ119)</f>
        <v>0</v>
      </c>
      <c r="C119" s="89" t="n">
        <f aca="true">IF(C$5=0,INPUTS!$B$35,MAX(0,(INPUTS!$B$35-C$4)*(1+NORMINV(RAND(),INPUTS!$B$28,INPUTS!$B$29))))</f>
        <v>1353189.57830596</v>
      </c>
      <c r="D119" s="89" t="n">
        <f aca="true">IF(D$5=0,C119,MAX(0,(C119-D$4)*(1+NORMINV(RAND(),INPUTS!$B$28,INPUTS!$B$29))))</f>
        <v>1359096.90818833</v>
      </c>
      <c r="E119" s="89" t="n">
        <f aca="true">IF(E$5=0,D119,MAX(0,(D119-E$4)*(1+NORMINV(RAND(),INPUTS!$B$28,INPUTS!$B$29))))</f>
        <v>1206048.8195949</v>
      </c>
      <c r="F119" s="89" t="n">
        <f aca="true">IF(F$5=0,E119,MAX(0,(E119-F$4)*(1+NORMINV(RAND(),INPUTS!$B$28,INPUTS!$B$29))))</f>
        <v>1270811.38171967</v>
      </c>
      <c r="G119" s="89" t="n">
        <f aca="true">IF(G$5=0,F119,MAX(0,(F119-G$4)*(1+NORMINV(RAND(),INPUTS!$B$28,INPUTS!$B$29))))</f>
        <v>1169981.21711448</v>
      </c>
      <c r="H119" s="89" t="n">
        <f aca="true">IF(H$5=0,G119,MAX(0,(G119-H$4)*(1+NORMINV(RAND(),INPUTS!$B$28,INPUTS!$B$29))))</f>
        <v>1213583.89843356</v>
      </c>
      <c r="I119" s="89" t="n">
        <f aca="true">IF(I$5=0,H119,MAX(0,(H119-I$4)*(1+NORMINV(RAND(),INPUTS!$B$28,INPUTS!$B$29))))</f>
        <v>1066425.39269835</v>
      </c>
      <c r="J119" s="89" t="n">
        <f aca="true">IF(J$5=0,I119,MAX(0,(I119-J$4)*(1+NORMINV(RAND(),INPUTS!$B$28,INPUTS!$B$29))))</f>
        <v>1119157.54249206</v>
      </c>
      <c r="K119" s="89" t="n">
        <f aca="true">IF(K$5=0,J119,MAX(0,(J119-K$4)*(1+NORMINV(RAND(),INPUTS!$B$28,INPUTS!$B$29))))</f>
        <v>1060260.18878754</v>
      </c>
      <c r="L119" s="89" t="n">
        <f aca="true">IF(L$5=0,K119,MAX(0,(K119-L$4)*(1+NORMINV(RAND(),INPUTS!$B$28,INPUTS!$B$29))))</f>
        <v>1015131.35776791</v>
      </c>
      <c r="M119" s="89" t="n">
        <f aca="true">IF(M$5=0,L119,MAX(0,(L119-M$4)*(1+NORMINV(RAND(),INPUTS!$B$28,INPUTS!$B$29))))</f>
        <v>1056197.79835635</v>
      </c>
      <c r="N119" s="89" t="n">
        <f aca="true">IF(N$5=0,M119,MAX(0,(M119-N$4)*(1+NORMINV(RAND(),INPUTS!$B$28,INPUTS!$B$29))))</f>
        <v>1031465.92905095</v>
      </c>
      <c r="O119" s="89" t="n">
        <f aca="true">IF(O$5=0,N119,MAX(0,(N119-O$4)*(1+NORMINV(RAND(),INPUTS!$B$28,INPUTS!$B$29))))</f>
        <v>1074570.81903845</v>
      </c>
      <c r="P119" s="89" t="n">
        <f aca="true">IF(P$5=0,O119,MAX(0,(O119-P$4)*(1+NORMINV(RAND(),INPUTS!$B$28,INPUTS!$B$29))))</f>
        <v>1144195.59697501</v>
      </c>
      <c r="Q119" s="89" t="n">
        <f aca="true">IF(Q$5=0,P119,MAX(0,(P119-Q$4)*(1+NORMINV(RAND(),INPUTS!$B$28,INPUTS!$B$29))))</f>
        <v>1368198.308516</v>
      </c>
      <c r="R119" s="89" t="n">
        <f aca="true">IF(R$5=0,Q119,MAX(0,(Q119-R$4)*(1+NORMINV(RAND(),INPUTS!$B$28,INPUTS!$B$29))))</f>
        <v>1298504.87633231</v>
      </c>
      <c r="S119" s="89" t="n">
        <f aca="true">IF(S$5=0,R119,MAX(0,(R119-S$4)*(1+NORMINV(RAND(),INPUTS!$B$28,INPUTS!$B$29))))</f>
        <v>1166206.8637902</v>
      </c>
      <c r="T119" s="89" t="n">
        <f aca="true">IF(T$5=0,S119,MAX(0,(S119-T$4)*(1+NORMINV(RAND(),INPUTS!$B$28,INPUTS!$B$29))))</f>
        <v>1155526.66676751</v>
      </c>
      <c r="U119" s="89" t="n">
        <f aca="true">IF(U$5=0,T119,MAX(0,(T119-U$4)*(1+NORMINV(RAND(),INPUTS!$B$28,INPUTS!$B$29))))</f>
        <v>953926.606824512</v>
      </c>
      <c r="V119" s="89" t="n">
        <f aca="true">IF(V$5=0,U119,MAX(0,(U119-V$4)*(1+NORMINV(RAND(),INPUTS!$B$28,INPUTS!$B$29))))</f>
        <v>1095009.62284493</v>
      </c>
      <c r="W119" s="89" t="n">
        <f aca="true">IF(W$5=0,V119,MAX(0,(V119-W$4)*(1+NORMINV(RAND(),INPUTS!$B$28,INPUTS!$B$29))))</f>
        <v>1095130.474452</v>
      </c>
      <c r="X119" s="89" t="n">
        <f aca="true">IF(X$5=0,W119,MAX(0,(W119-X$4)*(1+NORMINV(RAND(),INPUTS!$B$28,INPUTS!$B$29))))</f>
        <v>1035020.67256754</v>
      </c>
      <c r="Y119" s="89" t="n">
        <f aca="true">IF(Y$5=0,X119,MAX(0,(X119-Y$4)*(1+NORMINV(RAND(),INPUTS!$B$28,INPUTS!$B$29))))</f>
        <v>1031867.11110132</v>
      </c>
      <c r="Z119" s="89" t="n">
        <f aca="true">IF(Z$5=0,Y119,MAX(0,(Y119-Z$4)*(1+NORMINV(RAND(),INPUTS!$B$28,INPUTS!$B$29))))</f>
        <v>923967.723465339</v>
      </c>
      <c r="AA119" s="89" t="n">
        <f aca="true">IF(AA$5=0,Z119,MAX(0,(Z119-AA$4)*(1+NORMINV(RAND(),INPUTS!$B$28,INPUTS!$B$29))))</f>
        <v>699008.843064059</v>
      </c>
      <c r="AB119" s="89" t="n">
        <f aca="true">IF(AB$5=0,AA119,MAX(0,(AA119-AB$4)*(1+NORMINV(RAND(),INPUTS!$B$28,INPUTS!$B$29))))</f>
        <v>709334.433731683</v>
      </c>
      <c r="AC119" s="89" t="n">
        <f aca="true">IF(AC$5=0,AB119,MAX(0,(AB119-AC$4)*(1+NORMINV(RAND(),INPUTS!$B$28,INPUTS!$B$29))))</f>
        <v>726925.279728081</v>
      </c>
      <c r="AD119" s="89" t="n">
        <f aca="true">IF(AD$5=0,AC119,MAX(0,(AC119-AD$4)*(1+NORMINV(RAND(),INPUTS!$B$28,INPUTS!$B$29))))</f>
        <v>635948.501496691</v>
      </c>
      <c r="AE119" s="89" t="n">
        <f aca="true">IF(AE$5=0,AD119,MAX(0,(AD119-AE$4)*(1+NORMINV(RAND(),INPUTS!$B$28,INPUTS!$B$29))))</f>
        <v>544156.085223633</v>
      </c>
      <c r="AF119" s="89" t="n">
        <f aca="true">IF(AF$5=0,AE119,MAX(0,(AE119-AF$4)*(1+NORMINV(RAND(),INPUTS!$B$28,INPUTS!$B$29))))</f>
        <v>490237.451456668</v>
      </c>
      <c r="AG119" s="89" t="n">
        <f aca="true">IF(AG$5=0,AF119,MAX(0,(AF119-AG$4)*(1+NORMINV(RAND(),INPUTS!$B$28,INPUTS!$B$29))))</f>
        <v>388026.077219128</v>
      </c>
      <c r="AH119" s="89" t="n">
        <f aca="true">IF(AH$5=0,AG119,MAX(0,(AG119-AH$4)*(1+NORMINV(RAND(),INPUTS!$B$28,INPUTS!$B$29))))</f>
        <v>238181.145643367</v>
      </c>
      <c r="AI119" s="89" t="n">
        <f aca="true">IF(AI$5=0,AH119,MAX(0,(AH119-AI$4)*(1+NORMINV(RAND(),INPUTS!$B$28,INPUTS!$B$29))))</f>
        <v>176525.082641274</v>
      </c>
      <c r="AJ119" s="89" t="n">
        <f aca="true">IF(AJ$5=0,AI119,MAX(0,(AI119-AJ$4)*(1+NORMINV(RAND(),INPUTS!$B$28,INPUTS!$B$29))))</f>
        <v>106573.304343248</v>
      </c>
      <c r="AK119" s="89" t="n">
        <f aca="true">IF(AK$5=0,AJ119,MAX(0,(AJ119-AK$4)*(1+NORMINV(RAND(),INPUTS!$B$28,INPUTS!$B$29))))</f>
        <v>33189.8099259355</v>
      </c>
      <c r="AL119" s="89" t="n">
        <f aca="true">IF(AL$5=0,AK119,MAX(0,(AK119-AL$4)*(1+NORMINV(RAND(),INPUTS!$B$28,INPUTS!$B$29))))</f>
        <v>0</v>
      </c>
      <c r="AM119" s="89" t="n">
        <f aca="true">IF(AM$5=0,AL119,MAX(0,(AL119-AM$4)*(1+NORMINV(RAND(),INPUTS!$B$28,INPUTS!$B$29))))</f>
        <v>0</v>
      </c>
      <c r="AN119" s="89" t="n">
        <f aca="true">IF(AN$5=0,AM119,MAX(0,(AM119-AN$4)*(1+NORMINV(RAND(),INPUTS!$B$28,INPUTS!$B$29))))</f>
        <v>0</v>
      </c>
      <c r="AO119" s="89" t="n">
        <f aca="true">IF(AO$5=0,AN119,MAX(0,(AN119-AO$4)*(1+NORMINV(RAND(),INPUTS!$B$28,INPUTS!$B$29))))</f>
        <v>0</v>
      </c>
      <c r="AP119" s="89" t="n">
        <f aca="true">IF(AP$5=0,AO119,MAX(0,(AO119-AP$4)*(1+NORMINV(RAND(),INPUTS!$B$28,INPUTS!$B$29))))</f>
        <v>0</v>
      </c>
      <c r="AQ119" s="89" t="n">
        <f aca="true">IF(AQ$5=0,AP119,MAX(0,(AP119-AQ$4)*(1+NORMINV(RAND(),INPUTS!$B$28,INPUTS!$B$29))))</f>
        <v>0</v>
      </c>
      <c r="AR119" s="89" t="n">
        <f aca="true">IF(AR$5=0,AQ119,MAX(0,(AQ119-AR$4)*(1+NORMINV(RAND(),INPUTS!$B$28,INPUTS!$B$29))))</f>
        <v>0</v>
      </c>
      <c r="AS119" s="89" t="n">
        <f aca="true">IF(AS$5=0,AR119,MAX(0,(AR119-AS$4)*(1+NORMINV(RAND(),INPUTS!$B$28,INPUTS!$B$29))))</f>
        <v>0</v>
      </c>
      <c r="AT119" s="89" t="n">
        <f aca="true">IF(AT$5=0,AS119,MAX(0,(AS119-AT$4)*(1+NORMINV(RAND(),INPUTS!$B$28,INPUTS!$B$29))))</f>
        <v>0</v>
      </c>
      <c r="AU119" s="89" t="n">
        <f aca="true">IF(AU$5=0,AT119,MAX(0,(AT119-AU$4)*(1+NORMINV(RAND(),INPUTS!$B$28,INPUTS!$B$29))))</f>
        <v>0</v>
      </c>
      <c r="AV119" s="89" t="n">
        <f aca="true">IF(AV$5=0,AU119,MAX(0,(AU119-AV$4)*(1+NORMINV(RAND(),INPUTS!$B$28,INPUTS!$B$29))))</f>
        <v>0</v>
      </c>
      <c r="AW119" s="89" t="n">
        <f aca="true">IF(AW$5=0,AV119,MAX(0,(AV119-AW$4)*(1+NORMINV(RAND(),INPUTS!$B$28,INPUTS!$B$29))))</f>
        <v>0</v>
      </c>
      <c r="AX119" s="89" t="n">
        <f aca="true">IF(AX$5=0,AW119,MAX(0,(AW119-AX$4)*(1+NORMINV(RAND(),INPUTS!$B$28,INPUTS!$B$29))))</f>
        <v>0</v>
      </c>
      <c r="AY119" s="89" t="n">
        <f aca="true">IF(AY$5=0,AX119,MAX(0,(AX119-AY$4)*(1+NORMINV(RAND(),INPUTS!$B$28,INPUTS!$B$29))))</f>
        <v>0</v>
      </c>
      <c r="AZ119" s="89" t="n">
        <f aca="true">IF(AZ$5=0,AY119,MAX(0,(AY119-AZ$4)*(1+NORMINV(RAND(),INPUTS!$B$28,INPUTS!$B$29))))</f>
        <v>0</v>
      </c>
      <c r="BA119" s="89" t="n">
        <f aca="true">IF(BA$5=0,AZ119,MAX(0,(AZ119-BA$4)*(1+NORMINV(RAND(),INPUTS!$B$28,INPUTS!$B$29))))</f>
        <v>0</v>
      </c>
      <c r="BB119" s="89" t="n">
        <f aca="true">IF(BB$5=0,BA119,MAX(0,(BA119-BB$4)*(1+NORMINV(RAND(),INPUTS!$B$28,INPUTS!$B$29))))</f>
        <v>0</v>
      </c>
      <c r="BC119" s="89" t="n">
        <f aca="true">IF(BC$5=0,BB119,MAX(0,(BB119-BC$4)*(1+NORMINV(RAND(),INPUTS!$B$28,INPUTS!$B$29))))</f>
        <v>0</v>
      </c>
      <c r="BD119" s="89" t="n">
        <f aca="true">IF(BD$5=0,BC119,MAX(0,(BC119-BD$4)*(1+NORMINV(RAND(),INPUTS!$B$28,INPUTS!$B$29))))</f>
        <v>0</v>
      </c>
      <c r="BE119" s="89" t="n">
        <f aca="true">IF(BE$5=0,BD119,MAX(0,(BD119-BE$4)*(1+NORMINV(RAND(),INPUTS!$B$28,INPUTS!$B$29))))</f>
        <v>0</v>
      </c>
      <c r="BF119" s="89" t="n">
        <f aca="true">IF(BF$5=0,BE119,MAX(0,(BE119-BF$4)*(1+NORMINV(RAND(),INPUTS!$B$28,INPUTS!$B$29))))</f>
        <v>0</v>
      </c>
      <c r="BG119" s="89" t="n">
        <f aca="true">IF(BG$5=0,BF119,MAX(0,(BF119-BG$4)*(1+NORMINV(RAND(),INPUTS!$B$28,INPUTS!$B$29))))</f>
        <v>0</v>
      </c>
      <c r="BH119" s="89" t="n">
        <f aca="true">IF(BH$5=0,BG119,MAX(0,(BG119-BH$4)*(1+NORMINV(RAND(),INPUTS!$B$28,INPUTS!$B$29))))</f>
        <v>0</v>
      </c>
      <c r="BI119" s="89" t="n">
        <f aca="true">IF(BI$5=0,BH119,MAX(0,(BH119-BI$4)*(1+NORMINV(RAND(),INPUTS!$B$28,INPUTS!$B$29))))</f>
        <v>0</v>
      </c>
      <c r="BJ119" s="89" t="n">
        <f aca="true">IF(BJ$5=0,BI119,MAX(0,(BI119-BJ$4)*(1+NORMINV(RAND(),INPUTS!$B$28,INPUTS!$B$29))))</f>
        <v>0</v>
      </c>
    </row>
    <row r="120" customFormat="false" ht="15" hidden="false" customHeight="true" outlineLevel="0" collapsed="false">
      <c r="A120" s="87" t="n">
        <v>113</v>
      </c>
      <c r="B120" s="88" t="n">
        <f aca="false">LOOKUP(9.99E+307,C120:BJ120)</f>
        <v>3110729.97135711</v>
      </c>
      <c r="C120" s="89" t="n">
        <f aca="true">IF(C$5=0,INPUTS!$B$35,MAX(0,(INPUTS!$B$35-C$4)*(1+NORMINV(RAND(),INPUTS!$B$28,INPUTS!$B$29))))</f>
        <v>1369537.20842047</v>
      </c>
      <c r="D120" s="89" t="n">
        <f aca="true">IF(D$5=0,C120,MAX(0,(C120-D$4)*(1+NORMINV(RAND(),INPUTS!$B$28,INPUTS!$B$29))))</f>
        <v>1218857.82929889</v>
      </c>
      <c r="E120" s="89" t="n">
        <f aca="true">IF(E$5=0,D120,MAX(0,(D120-E$4)*(1+NORMINV(RAND(),INPUTS!$B$28,INPUTS!$B$29))))</f>
        <v>1267780.83529301</v>
      </c>
      <c r="F120" s="89" t="n">
        <f aca="true">IF(F$5=0,E120,MAX(0,(E120-F$4)*(1+NORMINV(RAND(),INPUTS!$B$28,INPUTS!$B$29))))</f>
        <v>1371935.02026312</v>
      </c>
      <c r="G120" s="89" t="n">
        <f aca="true">IF(G$5=0,F120,MAX(0,(F120-G$4)*(1+NORMINV(RAND(),INPUTS!$B$28,INPUTS!$B$29))))</f>
        <v>1666609.40152053</v>
      </c>
      <c r="H120" s="89" t="n">
        <f aca="true">IF(H$5=0,G120,MAX(0,(G120-H$4)*(1+NORMINV(RAND(),INPUTS!$B$28,INPUTS!$B$29))))</f>
        <v>1526114.02213746</v>
      </c>
      <c r="I120" s="89" t="n">
        <f aca="true">IF(I$5=0,H120,MAX(0,(H120-I$4)*(1+NORMINV(RAND(),INPUTS!$B$28,INPUTS!$B$29))))</f>
        <v>1859486.30426133</v>
      </c>
      <c r="J120" s="89" t="n">
        <f aca="true">IF(J$5=0,I120,MAX(0,(I120-J$4)*(1+NORMINV(RAND(),INPUTS!$B$28,INPUTS!$B$29))))</f>
        <v>1799761.24075811</v>
      </c>
      <c r="K120" s="89" t="n">
        <f aca="true">IF(K$5=0,J120,MAX(0,(J120-K$4)*(1+NORMINV(RAND(),INPUTS!$B$28,INPUTS!$B$29))))</f>
        <v>1731168.46360483</v>
      </c>
      <c r="L120" s="89" t="n">
        <f aca="true">IF(L$5=0,K120,MAX(0,(K120-L$4)*(1+NORMINV(RAND(),INPUTS!$B$28,INPUTS!$B$29))))</f>
        <v>1775744.64369415</v>
      </c>
      <c r="M120" s="89" t="n">
        <f aca="true">IF(M$5=0,L120,MAX(0,(L120-M$4)*(1+NORMINV(RAND(),INPUTS!$B$28,INPUTS!$B$29))))</f>
        <v>1888019.96866364</v>
      </c>
      <c r="N120" s="89" t="n">
        <f aca="true">IF(N$5=0,M120,MAX(0,(M120-N$4)*(1+NORMINV(RAND(),INPUTS!$B$28,INPUTS!$B$29))))</f>
        <v>1931555.34990741</v>
      </c>
      <c r="O120" s="89" t="n">
        <f aca="true">IF(O$5=0,N120,MAX(0,(N120-O$4)*(1+NORMINV(RAND(),INPUTS!$B$28,INPUTS!$B$29))))</f>
        <v>1946197.60165138</v>
      </c>
      <c r="P120" s="89" t="n">
        <f aca="true">IF(P$5=0,O120,MAX(0,(O120-P$4)*(1+NORMINV(RAND(),INPUTS!$B$28,INPUTS!$B$29))))</f>
        <v>2260327.4479094</v>
      </c>
      <c r="Q120" s="89" t="n">
        <f aca="true">IF(Q$5=0,P120,MAX(0,(P120-Q$4)*(1+NORMINV(RAND(),INPUTS!$B$28,INPUTS!$B$29))))</f>
        <v>2045000.04368711</v>
      </c>
      <c r="R120" s="89" t="n">
        <f aca="true">IF(R$5=0,Q120,MAX(0,(Q120-R$4)*(1+NORMINV(RAND(),INPUTS!$B$28,INPUTS!$B$29))))</f>
        <v>1871759.31203314</v>
      </c>
      <c r="S120" s="89" t="n">
        <f aca="true">IF(S$5=0,R120,MAX(0,(R120-S$4)*(1+NORMINV(RAND(),INPUTS!$B$28,INPUTS!$B$29))))</f>
        <v>1974432.16188941</v>
      </c>
      <c r="T120" s="89" t="n">
        <f aca="true">IF(T$5=0,S120,MAX(0,(S120-T$4)*(1+NORMINV(RAND(),INPUTS!$B$28,INPUTS!$B$29))))</f>
        <v>2247685.47716647</v>
      </c>
      <c r="U120" s="89" t="n">
        <f aca="true">IF(U$5=0,T120,MAX(0,(T120-U$4)*(1+NORMINV(RAND(),INPUTS!$B$28,INPUTS!$B$29))))</f>
        <v>2323028.08963006</v>
      </c>
      <c r="V120" s="89" t="n">
        <f aca="true">IF(V$5=0,U120,MAX(0,(U120-V$4)*(1+NORMINV(RAND(),INPUTS!$B$28,INPUTS!$B$29))))</f>
        <v>2523162.87940701</v>
      </c>
      <c r="W120" s="89" t="n">
        <f aca="true">IF(W$5=0,V120,MAX(0,(V120-W$4)*(1+NORMINV(RAND(),INPUTS!$B$28,INPUTS!$B$29))))</f>
        <v>2661270.8968954</v>
      </c>
      <c r="X120" s="89" t="n">
        <f aca="true">IF(X$5=0,W120,MAX(0,(W120-X$4)*(1+NORMINV(RAND(),INPUTS!$B$28,INPUTS!$B$29))))</f>
        <v>2709990.61834176</v>
      </c>
      <c r="Y120" s="89" t="n">
        <f aca="true">IF(Y$5=0,X120,MAX(0,(X120-Y$4)*(1+NORMINV(RAND(),INPUTS!$B$28,INPUTS!$B$29))))</f>
        <v>2527737.8310397</v>
      </c>
      <c r="Z120" s="89" t="n">
        <f aca="true">IF(Z$5=0,Y120,MAX(0,(Y120-Z$4)*(1+NORMINV(RAND(),INPUTS!$B$28,INPUTS!$B$29))))</f>
        <v>2695509.75539193</v>
      </c>
      <c r="AA120" s="89" t="n">
        <f aca="true">IF(AA$5=0,Z120,MAX(0,(Z120-AA$4)*(1+NORMINV(RAND(),INPUTS!$B$28,INPUTS!$B$29))))</f>
        <v>2709850.08984158</v>
      </c>
      <c r="AB120" s="89" t="n">
        <f aca="true">IF(AB$5=0,AA120,MAX(0,(AA120-AB$4)*(1+NORMINV(RAND(),INPUTS!$B$28,INPUTS!$B$29))))</f>
        <v>2483392.98287961</v>
      </c>
      <c r="AC120" s="89" t="n">
        <f aca="true">IF(AC$5=0,AB120,MAX(0,(AB120-AC$4)*(1+NORMINV(RAND(),INPUTS!$B$28,INPUTS!$B$29))))</f>
        <v>2375100.99693416</v>
      </c>
      <c r="AD120" s="89" t="n">
        <f aca="true">IF(AD$5=0,AC120,MAX(0,(AC120-AD$4)*(1+NORMINV(RAND(),INPUTS!$B$28,INPUTS!$B$29))))</f>
        <v>2338607.12500091</v>
      </c>
      <c r="AE120" s="89" t="n">
        <f aca="true">IF(AE$5=0,AD120,MAX(0,(AD120-AE$4)*(1+NORMINV(RAND(),INPUTS!$B$28,INPUTS!$B$29))))</f>
        <v>2145229.66771158</v>
      </c>
      <c r="AF120" s="89" t="n">
        <f aca="true">IF(AF$5=0,AE120,MAX(0,(AE120-AF$4)*(1+NORMINV(RAND(),INPUTS!$B$28,INPUTS!$B$29))))</f>
        <v>2591036.08102823</v>
      </c>
      <c r="AG120" s="89" t="n">
        <f aca="true">IF(AG$5=0,AF120,MAX(0,(AF120-AG$4)*(1+NORMINV(RAND(),INPUTS!$B$28,INPUTS!$B$29))))</f>
        <v>2581877.03536517</v>
      </c>
      <c r="AH120" s="89" t="n">
        <f aca="true">IF(AH$5=0,AG120,MAX(0,(AG120-AH$4)*(1+NORMINV(RAND(),INPUTS!$B$28,INPUTS!$B$29))))</f>
        <v>2848945.41956069</v>
      </c>
      <c r="AI120" s="89" t="n">
        <f aca="true">IF(AI$5=0,AH120,MAX(0,(AH120-AI$4)*(1+NORMINV(RAND(),INPUTS!$B$28,INPUTS!$B$29))))</f>
        <v>3141746.86374803</v>
      </c>
      <c r="AJ120" s="89" t="n">
        <f aca="true">IF(AJ$5=0,AI120,MAX(0,(AI120-AJ$4)*(1+NORMINV(RAND(),INPUTS!$B$28,INPUTS!$B$29))))</f>
        <v>3135988.34026682</v>
      </c>
      <c r="AK120" s="89" t="n">
        <f aca="true">IF(AK$5=0,AJ120,MAX(0,(AJ120-AK$4)*(1+NORMINV(RAND(),INPUTS!$B$28,INPUTS!$B$29))))</f>
        <v>2934314.68212167</v>
      </c>
      <c r="AL120" s="89" t="n">
        <f aca="true">IF(AL$5=0,AK120,MAX(0,(AK120-AL$4)*(1+NORMINV(RAND(),INPUTS!$B$28,INPUTS!$B$29))))</f>
        <v>3110729.97135711</v>
      </c>
      <c r="AM120" s="89" t="n">
        <f aca="true">IF(AM$5=0,AL120,MAX(0,(AL120-AM$4)*(1+NORMINV(RAND(),INPUTS!$B$28,INPUTS!$B$29))))</f>
        <v>3110729.97135711</v>
      </c>
      <c r="AN120" s="89" t="n">
        <f aca="true">IF(AN$5=0,AM120,MAX(0,(AM120-AN$4)*(1+NORMINV(RAND(),INPUTS!$B$28,INPUTS!$B$29))))</f>
        <v>3110729.97135711</v>
      </c>
      <c r="AO120" s="89" t="n">
        <f aca="true">IF(AO$5=0,AN120,MAX(0,(AN120-AO$4)*(1+NORMINV(RAND(),INPUTS!$B$28,INPUTS!$B$29))))</f>
        <v>3110729.97135711</v>
      </c>
      <c r="AP120" s="89" t="n">
        <f aca="true">IF(AP$5=0,AO120,MAX(0,(AO120-AP$4)*(1+NORMINV(RAND(),INPUTS!$B$28,INPUTS!$B$29))))</f>
        <v>3110729.97135711</v>
      </c>
      <c r="AQ120" s="89" t="n">
        <f aca="true">IF(AQ$5=0,AP120,MAX(0,(AP120-AQ$4)*(1+NORMINV(RAND(),INPUTS!$B$28,INPUTS!$B$29))))</f>
        <v>3110729.97135711</v>
      </c>
      <c r="AR120" s="89" t="n">
        <f aca="true">IF(AR$5=0,AQ120,MAX(0,(AQ120-AR$4)*(1+NORMINV(RAND(),INPUTS!$B$28,INPUTS!$B$29))))</f>
        <v>3110729.97135711</v>
      </c>
      <c r="AS120" s="89" t="n">
        <f aca="true">IF(AS$5=0,AR120,MAX(0,(AR120-AS$4)*(1+NORMINV(RAND(),INPUTS!$B$28,INPUTS!$B$29))))</f>
        <v>3110729.97135711</v>
      </c>
      <c r="AT120" s="89" t="n">
        <f aca="true">IF(AT$5=0,AS120,MAX(0,(AS120-AT$4)*(1+NORMINV(RAND(),INPUTS!$B$28,INPUTS!$B$29))))</f>
        <v>3110729.97135711</v>
      </c>
      <c r="AU120" s="89" t="n">
        <f aca="true">IF(AU$5=0,AT120,MAX(0,(AT120-AU$4)*(1+NORMINV(RAND(),INPUTS!$B$28,INPUTS!$B$29))))</f>
        <v>3110729.97135711</v>
      </c>
      <c r="AV120" s="89" t="n">
        <f aca="true">IF(AV$5=0,AU120,MAX(0,(AU120-AV$4)*(1+NORMINV(RAND(),INPUTS!$B$28,INPUTS!$B$29))))</f>
        <v>3110729.97135711</v>
      </c>
      <c r="AW120" s="89" t="n">
        <f aca="true">IF(AW$5=0,AV120,MAX(0,(AV120-AW$4)*(1+NORMINV(RAND(),INPUTS!$B$28,INPUTS!$B$29))))</f>
        <v>3110729.97135711</v>
      </c>
      <c r="AX120" s="89" t="n">
        <f aca="true">IF(AX$5=0,AW120,MAX(0,(AW120-AX$4)*(1+NORMINV(RAND(),INPUTS!$B$28,INPUTS!$B$29))))</f>
        <v>3110729.97135711</v>
      </c>
      <c r="AY120" s="89" t="n">
        <f aca="true">IF(AY$5=0,AX120,MAX(0,(AX120-AY$4)*(1+NORMINV(RAND(),INPUTS!$B$28,INPUTS!$B$29))))</f>
        <v>3110729.97135711</v>
      </c>
      <c r="AZ120" s="89" t="n">
        <f aca="true">IF(AZ$5=0,AY120,MAX(0,(AY120-AZ$4)*(1+NORMINV(RAND(),INPUTS!$B$28,INPUTS!$B$29))))</f>
        <v>3110729.97135711</v>
      </c>
      <c r="BA120" s="89" t="n">
        <f aca="true">IF(BA$5=0,AZ120,MAX(0,(AZ120-BA$4)*(1+NORMINV(RAND(),INPUTS!$B$28,INPUTS!$B$29))))</f>
        <v>3110729.97135711</v>
      </c>
      <c r="BB120" s="89" t="n">
        <f aca="true">IF(BB$5=0,BA120,MAX(0,(BA120-BB$4)*(1+NORMINV(RAND(),INPUTS!$B$28,INPUTS!$B$29))))</f>
        <v>3110729.97135711</v>
      </c>
      <c r="BC120" s="89" t="n">
        <f aca="true">IF(BC$5=0,BB120,MAX(0,(BB120-BC$4)*(1+NORMINV(RAND(),INPUTS!$B$28,INPUTS!$B$29))))</f>
        <v>3110729.97135711</v>
      </c>
      <c r="BD120" s="89" t="n">
        <f aca="true">IF(BD$5=0,BC120,MAX(0,(BC120-BD$4)*(1+NORMINV(RAND(),INPUTS!$B$28,INPUTS!$B$29))))</f>
        <v>3110729.97135711</v>
      </c>
      <c r="BE120" s="89" t="n">
        <f aca="true">IF(BE$5=0,BD120,MAX(0,(BD120-BE$4)*(1+NORMINV(RAND(),INPUTS!$B$28,INPUTS!$B$29))))</f>
        <v>3110729.97135711</v>
      </c>
      <c r="BF120" s="89" t="n">
        <f aca="true">IF(BF$5=0,BE120,MAX(0,(BE120-BF$4)*(1+NORMINV(RAND(),INPUTS!$B$28,INPUTS!$B$29))))</f>
        <v>3110729.97135711</v>
      </c>
      <c r="BG120" s="89" t="n">
        <f aca="true">IF(BG$5=0,BF120,MAX(0,(BF120-BG$4)*(1+NORMINV(RAND(),INPUTS!$B$28,INPUTS!$B$29))))</f>
        <v>3110729.97135711</v>
      </c>
      <c r="BH120" s="89" t="n">
        <f aca="true">IF(BH$5=0,BG120,MAX(0,(BG120-BH$4)*(1+NORMINV(RAND(),INPUTS!$B$28,INPUTS!$B$29))))</f>
        <v>3110729.97135711</v>
      </c>
      <c r="BI120" s="89" t="n">
        <f aca="true">IF(BI$5=0,BH120,MAX(0,(BH120-BI$4)*(1+NORMINV(RAND(),INPUTS!$B$28,INPUTS!$B$29))))</f>
        <v>3110729.97135711</v>
      </c>
      <c r="BJ120" s="89" t="n">
        <f aca="true">IF(BJ$5=0,BI120,MAX(0,(BI120-BJ$4)*(1+NORMINV(RAND(),INPUTS!$B$28,INPUTS!$B$29))))</f>
        <v>3110729.97135711</v>
      </c>
    </row>
    <row r="121" customFormat="false" ht="15" hidden="false" customHeight="true" outlineLevel="0" collapsed="false">
      <c r="A121" s="87" t="n">
        <v>114</v>
      </c>
      <c r="B121" s="88" t="n">
        <f aca="false">LOOKUP(9.99E+307,C121:BJ121)</f>
        <v>2470369.02574231</v>
      </c>
      <c r="C121" s="89" t="n">
        <f aca="true">IF(C$5=0,INPUTS!$B$35,MAX(0,(INPUTS!$B$35-C$4)*(1+NORMINV(RAND(),INPUTS!$B$28,INPUTS!$B$29))))</f>
        <v>1539002.42591643</v>
      </c>
      <c r="D121" s="89" t="n">
        <f aca="true">IF(D$5=0,C121,MAX(0,(C121-D$4)*(1+NORMINV(RAND(),INPUTS!$B$28,INPUTS!$B$29))))</f>
        <v>1449993.10420908</v>
      </c>
      <c r="E121" s="89" t="n">
        <f aca="true">IF(E$5=0,D121,MAX(0,(D121-E$4)*(1+NORMINV(RAND(),INPUTS!$B$28,INPUTS!$B$29))))</f>
        <v>1465694.45283124</v>
      </c>
      <c r="F121" s="89" t="n">
        <f aca="true">IF(F$5=0,E121,MAX(0,(E121-F$4)*(1+NORMINV(RAND(),INPUTS!$B$28,INPUTS!$B$29))))</f>
        <v>1277299.70258299</v>
      </c>
      <c r="G121" s="89" t="n">
        <f aca="true">IF(G$5=0,F121,MAX(0,(F121-G$4)*(1+NORMINV(RAND(),INPUTS!$B$28,INPUTS!$B$29))))</f>
        <v>1139347.83369179</v>
      </c>
      <c r="H121" s="89" t="n">
        <f aca="true">IF(H$5=0,G121,MAX(0,(G121-H$4)*(1+NORMINV(RAND(),INPUTS!$B$28,INPUTS!$B$29))))</f>
        <v>1022425.47821869</v>
      </c>
      <c r="I121" s="89" t="n">
        <f aca="true">IF(I$5=0,H121,MAX(0,(H121-I$4)*(1+NORMINV(RAND(),INPUTS!$B$28,INPUTS!$B$29))))</f>
        <v>1092859.45650744</v>
      </c>
      <c r="J121" s="89" t="n">
        <f aca="true">IF(J$5=0,I121,MAX(0,(I121-J$4)*(1+NORMINV(RAND(),INPUTS!$B$28,INPUTS!$B$29))))</f>
        <v>1074783.41607671</v>
      </c>
      <c r="K121" s="89" t="n">
        <f aca="true">IF(K$5=0,J121,MAX(0,(J121-K$4)*(1+NORMINV(RAND(),INPUTS!$B$28,INPUTS!$B$29))))</f>
        <v>1318917.24675743</v>
      </c>
      <c r="L121" s="89" t="n">
        <f aca="true">IF(L$5=0,K121,MAX(0,(K121-L$4)*(1+NORMINV(RAND(),INPUTS!$B$28,INPUTS!$B$29))))</f>
        <v>1473423.00249713</v>
      </c>
      <c r="M121" s="89" t="n">
        <f aca="true">IF(M$5=0,L121,MAX(0,(L121-M$4)*(1+NORMINV(RAND(),INPUTS!$B$28,INPUTS!$B$29))))</f>
        <v>1414578.32042251</v>
      </c>
      <c r="N121" s="89" t="n">
        <f aca="true">IF(N$5=0,M121,MAX(0,(M121-N$4)*(1+NORMINV(RAND(),INPUTS!$B$28,INPUTS!$B$29))))</f>
        <v>1461063.33189381</v>
      </c>
      <c r="O121" s="89" t="n">
        <f aca="true">IF(O$5=0,N121,MAX(0,(N121-O$4)*(1+NORMINV(RAND(),INPUTS!$B$28,INPUTS!$B$29))))</f>
        <v>1560383.48301343</v>
      </c>
      <c r="P121" s="89" t="n">
        <f aca="true">IF(P$5=0,O121,MAX(0,(O121-P$4)*(1+NORMINV(RAND(),INPUTS!$B$28,INPUTS!$B$29))))</f>
        <v>1710024.05518091</v>
      </c>
      <c r="Q121" s="89" t="n">
        <f aca="true">IF(Q$5=0,P121,MAX(0,(P121-Q$4)*(1+NORMINV(RAND(),INPUTS!$B$28,INPUTS!$B$29))))</f>
        <v>1857117.77801588</v>
      </c>
      <c r="R121" s="89" t="n">
        <f aca="true">IF(R$5=0,Q121,MAX(0,(Q121-R$4)*(1+NORMINV(RAND(),INPUTS!$B$28,INPUTS!$B$29))))</f>
        <v>1663332.33877688</v>
      </c>
      <c r="S121" s="89" t="n">
        <f aca="true">IF(S$5=0,R121,MAX(0,(R121-S$4)*(1+NORMINV(RAND(),INPUTS!$B$28,INPUTS!$B$29))))</f>
        <v>1710373.43886501</v>
      </c>
      <c r="T121" s="89" t="n">
        <f aca="true">IF(T$5=0,S121,MAX(0,(S121-T$4)*(1+NORMINV(RAND(),INPUTS!$B$28,INPUTS!$B$29))))</f>
        <v>1591608.62958656</v>
      </c>
      <c r="U121" s="89" t="n">
        <f aca="true">IF(U$5=0,T121,MAX(0,(T121-U$4)*(1+NORMINV(RAND(),INPUTS!$B$28,INPUTS!$B$29))))</f>
        <v>1542807.14942842</v>
      </c>
      <c r="V121" s="89" t="n">
        <f aca="true">IF(V$5=0,U121,MAX(0,(U121-V$4)*(1+NORMINV(RAND(),INPUTS!$B$28,INPUTS!$B$29))))</f>
        <v>1795197.16490617</v>
      </c>
      <c r="W121" s="89" t="n">
        <f aca="true">IF(W$5=0,V121,MAX(0,(V121-W$4)*(1+NORMINV(RAND(),INPUTS!$B$28,INPUTS!$B$29))))</f>
        <v>1635218.38450347</v>
      </c>
      <c r="X121" s="89" t="n">
        <f aca="true">IF(X$5=0,W121,MAX(0,(W121-X$4)*(1+NORMINV(RAND(),INPUTS!$B$28,INPUTS!$B$29))))</f>
        <v>1927896.87891265</v>
      </c>
      <c r="Y121" s="89" t="n">
        <f aca="true">IF(Y$5=0,X121,MAX(0,(X121-Y$4)*(1+NORMINV(RAND(),INPUTS!$B$28,INPUTS!$B$29))))</f>
        <v>1986794.53498147</v>
      </c>
      <c r="Z121" s="89" t="n">
        <f aca="true">IF(Z$5=0,Y121,MAX(0,(Y121-Z$4)*(1+NORMINV(RAND(),INPUTS!$B$28,INPUTS!$B$29))))</f>
        <v>2165110.25668183</v>
      </c>
      <c r="AA121" s="89" t="n">
        <f aca="true">IF(AA$5=0,Z121,MAX(0,(Z121-AA$4)*(1+NORMINV(RAND(),INPUTS!$B$28,INPUTS!$B$29))))</f>
        <v>2414329.95620823</v>
      </c>
      <c r="AB121" s="89" t="n">
        <f aca="true">IF(AB$5=0,AA121,MAX(0,(AA121-AB$4)*(1+NORMINV(RAND(),INPUTS!$B$28,INPUTS!$B$29))))</f>
        <v>1868221.32523715</v>
      </c>
      <c r="AC121" s="89" t="n">
        <f aca="true">IF(AC$5=0,AB121,MAX(0,(AB121-AC$4)*(1+NORMINV(RAND(),INPUTS!$B$28,INPUTS!$B$29))))</f>
        <v>1896465.76707797</v>
      </c>
      <c r="AD121" s="89" t="n">
        <f aca="true">IF(AD$5=0,AC121,MAX(0,(AC121-AD$4)*(1+NORMINV(RAND(),INPUTS!$B$28,INPUTS!$B$29))))</f>
        <v>1793550.86424932</v>
      </c>
      <c r="AE121" s="89" t="n">
        <f aca="true">IF(AE$5=0,AD121,MAX(0,(AD121-AE$4)*(1+NORMINV(RAND(),INPUTS!$B$28,INPUTS!$B$29))))</f>
        <v>1727992.14535589</v>
      </c>
      <c r="AF121" s="89" t="n">
        <f aca="true">IF(AF$5=0,AE121,MAX(0,(AE121-AF$4)*(1+NORMINV(RAND(),INPUTS!$B$28,INPUTS!$B$29))))</f>
        <v>1679219.73178988</v>
      </c>
      <c r="AG121" s="89" t="n">
        <f aca="true">IF(AG$5=0,AF121,MAX(0,(AF121-AG$4)*(1+NORMINV(RAND(),INPUTS!$B$28,INPUTS!$B$29))))</f>
        <v>1827712.01943708</v>
      </c>
      <c r="AH121" s="89" t="n">
        <f aca="true">IF(AH$5=0,AG121,MAX(0,(AG121-AH$4)*(1+NORMINV(RAND(),INPUTS!$B$28,INPUTS!$B$29))))</f>
        <v>2022989.19912828</v>
      </c>
      <c r="AI121" s="89" t="n">
        <f aca="true">IF(AI$5=0,AH121,MAX(0,(AH121-AI$4)*(1+NORMINV(RAND(),INPUTS!$B$28,INPUTS!$B$29))))</f>
        <v>2395984.47288589</v>
      </c>
      <c r="AJ121" s="89" t="n">
        <f aca="true">IF(AJ$5=0,AI121,MAX(0,(AI121-AJ$4)*(1+NORMINV(RAND(),INPUTS!$B$28,INPUTS!$B$29))))</f>
        <v>2218508.29843204</v>
      </c>
      <c r="AK121" s="89" t="n">
        <f aca="true">IF(AK$5=0,AJ121,MAX(0,(AJ121-AK$4)*(1+NORMINV(RAND(),INPUTS!$B$28,INPUTS!$B$29))))</f>
        <v>2554539.79493861</v>
      </c>
      <c r="AL121" s="89" t="n">
        <f aca="true">IF(AL$5=0,AK121,MAX(0,(AK121-AL$4)*(1+NORMINV(RAND(),INPUTS!$B$28,INPUTS!$B$29))))</f>
        <v>2470369.02574231</v>
      </c>
      <c r="AM121" s="89" t="n">
        <f aca="true">IF(AM$5=0,AL121,MAX(0,(AL121-AM$4)*(1+NORMINV(RAND(),INPUTS!$B$28,INPUTS!$B$29))))</f>
        <v>2470369.02574231</v>
      </c>
      <c r="AN121" s="89" t="n">
        <f aca="true">IF(AN$5=0,AM121,MAX(0,(AM121-AN$4)*(1+NORMINV(RAND(),INPUTS!$B$28,INPUTS!$B$29))))</f>
        <v>2470369.02574231</v>
      </c>
      <c r="AO121" s="89" t="n">
        <f aca="true">IF(AO$5=0,AN121,MAX(0,(AN121-AO$4)*(1+NORMINV(RAND(),INPUTS!$B$28,INPUTS!$B$29))))</f>
        <v>2470369.02574231</v>
      </c>
      <c r="AP121" s="89" t="n">
        <f aca="true">IF(AP$5=0,AO121,MAX(0,(AO121-AP$4)*(1+NORMINV(RAND(),INPUTS!$B$28,INPUTS!$B$29))))</f>
        <v>2470369.02574231</v>
      </c>
      <c r="AQ121" s="89" t="n">
        <f aca="true">IF(AQ$5=0,AP121,MAX(0,(AP121-AQ$4)*(1+NORMINV(RAND(),INPUTS!$B$28,INPUTS!$B$29))))</f>
        <v>2470369.02574231</v>
      </c>
      <c r="AR121" s="89" t="n">
        <f aca="true">IF(AR$5=0,AQ121,MAX(0,(AQ121-AR$4)*(1+NORMINV(RAND(),INPUTS!$B$28,INPUTS!$B$29))))</f>
        <v>2470369.02574231</v>
      </c>
      <c r="AS121" s="89" t="n">
        <f aca="true">IF(AS$5=0,AR121,MAX(0,(AR121-AS$4)*(1+NORMINV(RAND(),INPUTS!$B$28,INPUTS!$B$29))))</f>
        <v>2470369.02574231</v>
      </c>
      <c r="AT121" s="89" t="n">
        <f aca="true">IF(AT$5=0,AS121,MAX(0,(AS121-AT$4)*(1+NORMINV(RAND(),INPUTS!$B$28,INPUTS!$B$29))))</f>
        <v>2470369.02574231</v>
      </c>
      <c r="AU121" s="89" t="n">
        <f aca="true">IF(AU$5=0,AT121,MAX(0,(AT121-AU$4)*(1+NORMINV(RAND(),INPUTS!$B$28,INPUTS!$B$29))))</f>
        <v>2470369.02574231</v>
      </c>
      <c r="AV121" s="89" t="n">
        <f aca="true">IF(AV$5=0,AU121,MAX(0,(AU121-AV$4)*(1+NORMINV(RAND(),INPUTS!$B$28,INPUTS!$B$29))))</f>
        <v>2470369.02574231</v>
      </c>
      <c r="AW121" s="89" t="n">
        <f aca="true">IF(AW$5=0,AV121,MAX(0,(AV121-AW$4)*(1+NORMINV(RAND(),INPUTS!$B$28,INPUTS!$B$29))))</f>
        <v>2470369.02574231</v>
      </c>
      <c r="AX121" s="89" t="n">
        <f aca="true">IF(AX$5=0,AW121,MAX(0,(AW121-AX$4)*(1+NORMINV(RAND(),INPUTS!$B$28,INPUTS!$B$29))))</f>
        <v>2470369.02574231</v>
      </c>
      <c r="AY121" s="89" t="n">
        <f aca="true">IF(AY$5=0,AX121,MAX(0,(AX121-AY$4)*(1+NORMINV(RAND(),INPUTS!$B$28,INPUTS!$B$29))))</f>
        <v>2470369.02574231</v>
      </c>
      <c r="AZ121" s="89" t="n">
        <f aca="true">IF(AZ$5=0,AY121,MAX(0,(AY121-AZ$4)*(1+NORMINV(RAND(),INPUTS!$B$28,INPUTS!$B$29))))</f>
        <v>2470369.02574231</v>
      </c>
      <c r="BA121" s="89" t="n">
        <f aca="true">IF(BA$5=0,AZ121,MAX(0,(AZ121-BA$4)*(1+NORMINV(RAND(),INPUTS!$B$28,INPUTS!$B$29))))</f>
        <v>2470369.02574231</v>
      </c>
      <c r="BB121" s="89" t="n">
        <f aca="true">IF(BB$5=0,BA121,MAX(0,(BA121-BB$4)*(1+NORMINV(RAND(),INPUTS!$B$28,INPUTS!$B$29))))</f>
        <v>2470369.02574231</v>
      </c>
      <c r="BC121" s="89" t="n">
        <f aca="true">IF(BC$5=0,BB121,MAX(0,(BB121-BC$4)*(1+NORMINV(RAND(),INPUTS!$B$28,INPUTS!$B$29))))</f>
        <v>2470369.02574231</v>
      </c>
      <c r="BD121" s="89" t="n">
        <f aca="true">IF(BD$5=0,BC121,MAX(0,(BC121-BD$4)*(1+NORMINV(RAND(),INPUTS!$B$28,INPUTS!$B$29))))</f>
        <v>2470369.02574231</v>
      </c>
      <c r="BE121" s="89" t="n">
        <f aca="true">IF(BE$5=0,BD121,MAX(0,(BD121-BE$4)*(1+NORMINV(RAND(),INPUTS!$B$28,INPUTS!$B$29))))</f>
        <v>2470369.02574231</v>
      </c>
      <c r="BF121" s="89" t="n">
        <f aca="true">IF(BF$5=0,BE121,MAX(0,(BE121-BF$4)*(1+NORMINV(RAND(),INPUTS!$B$28,INPUTS!$B$29))))</f>
        <v>2470369.02574231</v>
      </c>
      <c r="BG121" s="89" t="n">
        <f aca="true">IF(BG$5=0,BF121,MAX(0,(BF121-BG$4)*(1+NORMINV(RAND(),INPUTS!$B$28,INPUTS!$B$29))))</f>
        <v>2470369.02574231</v>
      </c>
      <c r="BH121" s="89" t="n">
        <f aca="true">IF(BH$5=0,BG121,MAX(0,(BG121-BH$4)*(1+NORMINV(RAND(),INPUTS!$B$28,INPUTS!$B$29))))</f>
        <v>2470369.02574231</v>
      </c>
      <c r="BI121" s="89" t="n">
        <f aca="true">IF(BI$5=0,BH121,MAX(0,(BH121-BI$4)*(1+NORMINV(RAND(),INPUTS!$B$28,INPUTS!$B$29))))</f>
        <v>2470369.02574231</v>
      </c>
      <c r="BJ121" s="89" t="n">
        <f aca="true">IF(BJ$5=0,BI121,MAX(0,(BI121-BJ$4)*(1+NORMINV(RAND(),INPUTS!$B$28,INPUTS!$B$29))))</f>
        <v>2470369.02574231</v>
      </c>
    </row>
    <row r="122" customFormat="false" ht="15" hidden="false" customHeight="true" outlineLevel="0" collapsed="false">
      <c r="A122" s="87" t="n">
        <v>115</v>
      </c>
      <c r="B122" s="88" t="n">
        <f aca="false">LOOKUP(9.99E+307,C122:BJ122)</f>
        <v>11777527.4212795</v>
      </c>
      <c r="C122" s="89" t="n">
        <f aca="true">IF(C$5=0,INPUTS!$B$35,MAX(0,(INPUTS!$B$35-C$4)*(1+NORMINV(RAND(),INPUTS!$B$28,INPUTS!$B$29))))</f>
        <v>1583329.89517722</v>
      </c>
      <c r="D122" s="89" t="n">
        <f aca="true">IF(D$5=0,C122,MAX(0,(C122-D$4)*(1+NORMINV(RAND(),INPUTS!$B$28,INPUTS!$B$29))))</f>
        <v>1880458.74065303</v>
      </c>
      <c r="E122" s="89" t="n">
        <f aca="true">IF(E$5=0,D122,MAX(0,(D122-E$4)*(1+NORMINV(RAND(),INPUTS!$B$28,INPUTS!$B$29))))</f>
        <v>1973847.59279399</v>
      </c>
      <c r="F122" s="89" t="n">
        <f aca="true">IF(F$5=0,E122,MAX(0,(E122-F$4)*(1+NORMINV(RAND(),INPUTS!$B$28,INPUTS!$B$29))))</f>
        <v>2424864.7610976</v>
      </c>
      <c r="G122" s="89" t="n">
        <f aca="true">IF(G$5=0,F122,MAX(0,(F122-G$4)*(1+NORMINV(RAND(),INPUTS!$B$28,INPUTS!$B$29))))</f>
        <v>2400498.45436517</v>
      </c>
      <c r="H122" s="89" t="n">
        <f aca="true">IF(H$5=0,G122,MAX(0,(G122-H$4)*(1+NORMINV(RAND(),INPUTS!$B$28,INPUTS!$B$29))))</f>
        <v>2558748.07493309</v>
      </c>
      <c r="I122" s="89" t="n">
        <f aca="true">IF(I$5=0,H122,MAX(0,(H122-I$4)*(1+NORMINV(RAND(),INPUTS!$B$28,INPUTS!$B$29))))</f>
        <v>2503930.83586013</v>
      </c>
      <c r="J122" s="89" t="n">
        <f aca="true">IF(J$5=0,I122,MAX(0,(I122-J$4)*(1+NORMINV(RAND(),INPUTS!$B$28,INPUTS!$B$29))))</f>
        <v>2277199.15083046</v>
      </c>
      <c r="K122" s="89" t="n">
        <f aca="true">IF(K$5=0,J122,MAX(0,(J122-K$4)*(1+NORMINV(RAND(),INPUTS!$B$28,INPUTS!$B$29))))</f>
        <v>2566183.67049272</v>
      </c>
      <c r="L122" s="89" t="n">
        <f aca="true">IF(L$5=0,K122,MAX(0,(K122-L$4)*(1+NORMINV(RAND(),INPUTS!$B$28,INPUTS!$B$29))))</f>
        <v>2598899.64002678</v>
      </c>
      <c r="M122" s="89" t="n">
        <f aca="true">IF(M$5=0,L122,MAX(0,(L122-M$4)*(1+NORMINV(RAND(),INPUTS!$B$28,INPUTS!$B$29))))</f>
        <v>2786052.12852528</v>
      </c>
      <c r="N122" s="89" t="n">
        <f aca="true">IF(N$5=0,M122,MAX(0,(M122-N$4)*(1+NORMINV(RAND(),INPUTS!$B$28,INPUTS!$B$29))))</f>
        <v>3300354.00555852</v>
      </c>
      <c r="O122" s="89" t="n">
        <f aca="true">IF(O$5=0,N122,MAX(0,(N122-O$4)*(1+NORMINV(RAND(),INPUTS!$B$28,INPUTS!$B$29))))</f>
        <v>3136116.95945732</v>
      </c>
      <c r="P122" s="89" t="n">
        <f aca="true">IF(P$5=0,O122,MAX(0,(O122-P$4)*(1+NORMINV(RAND(),INPUTS!$B$28,INPUTS!$B$29))))</f>
        <v>3627477.3799073</v>
      </c>
      <c r="Q122" s="89" t="n">
        <f aca="true">IF(Q$5=0,P122,MAX(0,(P122-Q$4)*(1+NORMINV(RAND(),INPUTS!$B$28,INPUTS!$B$29))))</f>
        <v>3557919.51535806</v>
      </c>
      <c r="R122" s="89" t="n">
        <f aca="true">IF(R$5=0,Q122,MAX(0,(Q122-R$4)*(1+NORMINV(RAND(),INPUTS!$B$28,INPUTS!$B$29))))</f>
        <v>3822415.41071004</v>
      </c>
      <c r="S122" s="89" t="n">
        <f aca="true">IF(S$5=0,R122,MAX(0,(R122-S$4)*(1+NORMINV(RAND(),INPUTS!$B$28,INPUTS!$B$29))))</f>
        <v>3495393.28518609</v>
      </c>
      <c r="T122" s="89" t="n">
        <f aca="true">IF(T$5=0,S122,MAX(0,(S122-T$4)*(1+NORMINV(RAND(),INPUTS!$B$28,INPUTS!$B$29))))</f>
        <v>3124640.43798652</v>
      </c>
      <c r="U122" s="89" t="n">
        <f aca="true">IF(U$5=0,T122,MAX(0,(T122-U$4)*(1+NORMINV(RAND(),INPUTS!$B$28,INPUTS!$B$29))))</f>
        <v>3672628.49399966</v>
      </c>
      <c r="V122" s="89" t="n">
        <f aca="true">IF(V$5=0,U122,MAX(0,(U122-V$4)*(1+NORMINV(RAND(),INPUTS!$B$28,INPUTS!$B$29))))</f>
        <v>4008033.65570715</v>
      </c>
      <c r="W122" s="89" t="n">
        <f aca="true">IF(W$5=0,V122,MAX(0,(V122-W$4)*(1+NORMINV(RAND(),INPUTS!$B$28,INPUTS!$B$29))))</f>
        <v>4227295.83252476</v>
      </c>
      <c r="X122" s="89" t="n">
        <f aca="true">IF(X$5=0,W122,MAX(0,(W122-X$4)*(1+NORMINV(RAND(),INPUTS!$B$28,INPUTS!$B$29))))</f>
        <v>3910384.41807957</v>
      </c>
      <c r="Y122" s="89" t="n">
        <f aca="true">IF(Y$5=0,X122,MAX(0,(X122-Y$4)*(1+NORMINV(RAND(),INPUTS!$B$28,INPUTS!$B$29))))</f>
        <v>5075424.98445173</v>
      </c>
      <c r="Z122" s="89" t="n">
        <f aca="true">IF(Z$5=0,Y122,MAX(0,(Y122-Z$4)*(1+NORMINV(RAND(),INPUTS!$B$28,INPUTS!$B$29))))</f>
        <v>4369312.73812496</v>
      </c>
      <c r="AA122" s="89" t="n">
        <f aca="true">IF(AA$5=0,Z122,MAX(0,(Z122-AA$4)*(1+NORMINV(RAND(),INPUTS!$B$28,INPUTS!$B$29))))</f>
        <v>5004076.69254781</v>
      </c>
      <c r="AB122" s="89" t="n">
        <f aca="true">IF(AB$5=0,AA122,MAX(0,(AA122-AB$4)*(1+NORMINV(RAND(),INPUTS!$B$28,INPUTS!$B$29))))</f>
        <v>6376527.98304801</v>
      </c>
      <c r="AC122" s="89" t="n">
        <f aca="true">IF(AC$5=0,AB122,MAX(0,(AB122-AC$4)*(1+NORMINV(RAND(),INPUTS!$B$28,INPUTS!$B$29))))</f>
        <v>7908095.22561989</v>
      </c>
      <c r="AD122" s="89" t="n">
        <f aca="true">IF(AD$5=0,AC122,MAX(0,(AC122-AD$4)*(1+NORMINV(RAND(),INPUTS!$B$28,INPUTS!$B$29))))</f>
        <v>9020690.25978771</v>
      </c>
      <c r="AE122" s="89" t="n">
        <f aca="true">IF(AE$5=0,AD122,MAX(0,(AD122-AE$4)*(1+NORMINV(RAND(),INPUTS!$B$28,INPUTS!$B$29))))</f>
        <v>10070510.4810838</v>
      </c>
      <c r="AF122" s="89" t="n">
        <f aca="true">IF(AF$5=0,AE122,MAX(0,(AE122-AF$4)*(1+NORMINV(RAND(),INPUTS!$B$28,INPUTS!$B$29))))</f>
        <v>10040037.5886695</v>
      </c>
      <c r="AG122" s="89" t="n">
        <f aca="true">IF(AG$5=0,AF122,MAX(0,(AF122-AG$4)*(1+NORMINV(RAND(),INPUTS!$B$28,INPUTS!$B$29))))</f>
        <v>9431652.24106648</v>
      </c>
      <c r="AH122" s="89" t="n">
        <f aca="true">IF(AH$5=0,AG122,MAX(0,(AG122-AH$4)*(1+NORMINV(RAND(),INPUTS!$B$28,INPUTS!$B$29))))</f>
        <v>7142817.83845412</v>
      </c>
      <c r="AI122" s="89" t="n">
        <f aca="true">IF(AI$5=0,AH122,MAX(0,(AH122-AI$4)*(1+NORMINV(RAND(),INPUTS!$B$28,INPUTS!$B$29))))</f>
        <v>9157113.59110044</v>
      </c>
      <c r="AJ122" s="89" t="n">
        <f aca="true">IF(AJ$5=0,AI122,MAX(0,(AI122-AJ$4)*(1+NORMINV(RAND(),INPUTS!$B$28,INPUTS!$B$29))))</f>
        <v>10568650.756014</v>
      </c>
      <c r="AK122" s="89" t="n">
        <f aca="true">IF(AK$5=0,AJ122,MAX(0,(AJ122-AK$4)*(1+NORMINV(RAND(),INPUTS!$B$28,INPUTS!$B$29))))</f>
        <v>9993874.91628165</v>
      </c>
      <c r="AL122" s="89" t="n">
        <f aca="true">IF(AL$5=0,AK122,MAX(0,(AK122-AL$4)*(1+NORMINV(RAND(),INPUTS!$B$28,INPUTS!$B$29))))</f>
        <v>11777527.4212795</v>
      </c>
      <c r="AM122" s="89" t="n">
        <f aca="true">IF(AM$5=0,AL122,MAX(0,(AL122-AM$4)*(1+NORMINV(RAND(),INPUTS!$B$28,INPUTS!$B$29))))</f>
        <v>11777527.4212795</v>
      </c>
      <c r="AN122" s="89" t="n">
        <f aca="true">IF(AN$5=0,AM122,MAX(0,(AM122-AN$4)*(1+NORMINV(RAND(),INPUTS!$B$28,INPUTS!$B$29))))</f>
        <v>11777527.4212795</v>
      </c>
      <c r="AO122" s="89" t="n">
        <f aca="true">IF(AO$5=0,AN122,MAX(0,(AN122-AO$4)*(1+NORMINV(RAND(),INPUTS!$B$28,INPUTS!$B$29))))</f>
        <v>11777527.4212795</v>
      </c>
      <c r="AP122" s="89" t="n">
        <f aca="true">IF(AP$5=0,AO122,MAX(0,(AO122-AP$4)*(1+NORMINV(RAND(),INPUTS!$B$28,INPUTS!$B$29))))</f>
        <v>11777527.4212795</v>
      </c>
      <c r="AQ122" s="89" t="n">
        <f aca="true">IF(AQ$5=0,AP122,MAX(0,(AP122-AQ$4)*(1+NORMINV(RAND(),INPUTS!$B$28,INPUTS!$B$29))))</f>
        <v>11777527.4212795</v>
      </c>
      <c r="AR122" s="89" t="n">
        <f aca="true">IF(AR$5=0,AQ122,MAX(0,(AQ122-AR$4)*(1+NORMINV(RAND(),INPUTS!$B$28,INPUTS!$B$29))))</f>
        <v>11777527.4212795</v>
      </c>
      <c r="AS122" s="89" t="n">
        <f aca="true">IF(AS$5=0,AR122,MAX(0,(AR122-AS$4)*(1+NORMINV(RAND(),INPUTS!$B$28,INPUTS!$B$29))))</f>
        <v>11777527.4212795</v>
      </c>
      <c r="AT122" s="89" t="n">
        <f aca="true">IF(AT$5=0,AS122,MAX(0,(AS122-AT$4)*(1+NORMINV(RAND(),INPUTS!$B$28,INPUTS!$B$29))))</f>
        <v>11777527.4212795</v>
      </c>
      <c r="AU122" s="89" t="n">
        <f aca="true">IF(AU$5=0,AT122,MAX(0,(AT122-AU$4)*(1+NORMINV(RAND(),INPUTS!$B$28,INPUTS!$B$29))))</f>
        <v>11777527.4212795</v>
      </c>
      <c r="AV122" s="89" t="n">
        <f aca="true">IF(AV$5=0,AU122,MAX(0,(AU122-AV$4)*(1+NORMINV(RAND(),INPUTS!$B$28,INPUTS!$B$29))))</f>
        <v>11777527.4212795</v>
      </c>
      <c r="AW122" s="89" t="n">
        <f aca="true">IF(AW$5=0,AV122,MAX(0,(AV122-AW$4)*(1+NORMINV(RAND(),INPUTS!$B$28,INPUTS!$B$29))))</f>
        <v>11777527.4212795</v>
      </c>
      <c r="AX122" s="89" t="n">
        <f aca="true">IF(AX$5=0,AW122,MAX(0,(AW122-AX$4)*(1+NORMINV(RAND(),INPUTS!$B$28,INPUTS!$B$29))))</f>
        <v>11777527.4212795</v>
      </c>
      <c r="AY122" s="89" t="n">
        <f aca="true">IF(AY$5=0,AX122,MAX(0,(AX122-AY$4)*(1+NORMINV(RAND(),INPUTS!$B$28,INPUTS!$B$29))))</f>
        <v>11777527.4212795</v>
      </c>
      <c r="AZ122" s="89" t="n">
        <f aca="true">IF(AZ$5=0,AY122,MAX(0,(AY122-AZ$4)*(1+NORMINV(RAND(),INPUTS!$B$28,INPUTS!$B$29))))</f>
        <v>11777527.4212795</v>
      </c>
      <c r="BA122" s="89" t="n">
        <f aca="true">IF(BA$5=0,AZ122,MAX(0,(AZ122-BA$4)*(1+NORMINV(RAND(),INPUTS!$B$28,INPUTS!$B$29))))</f>
        <v>11777527.4212795</v>
      </c>
      <c r="BB122" s="89" t="n">
        <f aca="true">IF(BB$5=0,BA122,MAX(0,(BA122-BB$4)*(1+NORMINV(RAND(),INPUTS!$B$28,INPUTS!$B$29))))</f>
        <v>11777527.4212795</v>
      </c>
      <c r="BC122" s="89" t="n">
        <f aca="true">IF(BC$5=0,BB122,MAX(0,(BB122-BC$4)*(1+NORMINV(RAND(),INPUTS!$B$28,INPUTS!$B$29))))</f>
        <v>11777527.4212795</v>
      </c>
      <c r="BD122" s="89" t="n">
        <f aca="true">IF(BD$5=0,BC122,MAX(0,(BC122-BD$4)*(1+NORMINV(RAND(),INPUTS!$B$28,INPUTS!$B$29))))</f>
        <v>11777527.4212795</v>
      </c>
      <c r="BE122" s="89" t="n">
        <f aca="true">IF(BE$5=0,BD122,MAX(0,(BD122-BE$4)*(1+NORMINV(RAND(),INPUTS!$B$28,INPUTS!$B$29))))</f>
        <v>11777527.4212795</v>
      </c>
      <c r="BF122" s="89" t="n">
        <f aca="true">IF(BF$5=0,BE122,MAX(0,(BE122-BF$4)*(1+NORMINV(RAND(),INPUTS!$B$28,INPUTS!$B$29))))</f>
        <v>11777527.4212795</v>
      </c>
      <c r="BG122" s="89" t="n">
        <f aca="true">IF(BG$5=0,BF122,MAX(0,(BF122-BG$4)*(1+NORMINV(RAND(),INPUTS!$B$28,INPUTS!$B$29))))</f>
        <v>11777527.4212795</v>
      </c>
      <c r="BH122" s="89" t="n">
        <f aca="true">IF(BH$5=0,BG122,MAX(0,(BG122-BH$4)*(1+NORMINV(RAND(),INPUTS!$B$28,INPUTS!$B$29))))</f>
        <v>11777527.4212795</v>
      </c>
      <c r="BI122" s="89" t="n">
        <f aca="true">IF(BI$5=0,BH122,MAX(0,(BH122-BI$4)*(1+NORMINV(RAND(),INPUTS!$B$28,INPUTS!$B$29))))</f>
        <v>11777527.4212795</v>
      </c>
      <c r="BJ122" s="89" t="n">
        <f aca="true">IF(BJ$5=0,BI122,MAX(0,(BI122-BJ$4)*(1+NORMINV(RAND(),INPUTS!$B$28,INPUTS!$B$29))))</f>
        <v>11777527.4212795</v>
      </c>
    </row>
    <row r="123" customFormat="false" ht="15" hidden="false" customHeight="true" outlineLevel="0" collapsed="false">
      <c r="A123" s="87" t="n">
        <v>116</v>
      </c>
      <c r="B123" s="88" t="n">
        <f aca="false">LOOKUP(9.99E+307,C123:BJ123)</f>
        <v>4578432.02156902</v>
      </c>
      <c r="C123" s="89" t="n">
        <f aca="true">IF(C$5=0,INPUTS!$B$35,MAX(0,(INPUTS!$B$35-C$4)*(1+NORMINV(RAND(),INPUTS!$B$28,INPUTS!$B$29))))</f>
        <v>1489734.90961044</v>
      </c>
      <c r="D123" s="89" t="n">
        <f aca="true">IF(D$5=0,C123,MAX(0,(C123-D$4)*(1+NORMINV(RAND(),INPUTS!$B$28,INPUTS!$B$29))))</f>
        <v>1527099.8350517</v>
      </c>
      <c r="E123" s="89" t="n">
        <f aca="true">IF(E$5=0,D123,MAX(0,(D123-E$4)*(1+NORMINV(RAND(),INPUTS!$B$28,INPUTS!$B$29))))</f>
        <v>1764764.44630449</v>
      </c>
      <c r="F123" s="89" t="n">
        <f aca="true">IF(F$5=0,E123,MAX(0,(E123-F$4)*(1+NORMINV(RAND(),INPUTS!$B$28,INPUTS!$B$29))))</f>
        <v>1944418.55498754</v>
      </c>
      <c r="G123" s="89" t="n">
        <f aca="true">IF(G$5=0,F123,MAX(0,(F123-G$4)*(1+NORMINV(RAND(),INPUTS!$B$28,INPUTS!$B$29))))</f>
        <v>2061724.06750399</v>
      </c>
      <c r="H123" s="89" t="n">
        <f aca="true">IF(H$5=0,G123,MAX(0,(G123-H$4)*(1+NORMINV(RAND(),INPUTS!$B$28,INPUTS!$B$29))))</f>
        <v>1885105.07657393</v>
      </c>
      <c r="I123" s="89" t="n">
        <f aca="true">IF(I$5=0,H123,MAX(0,(H123-I$4)*(1+NORMINV(RAND(),INPUTS!$B$28,INPUTS!$B$29))))</f>
        <v>1998495.72466853</v>
      </c>
      <c r="J123" s="89" t="n">
        <f aca="true">IF(J$5=0,I123,MAX(0,(I123-J$4)*(1+NORMINV(RAND(),INPUTS!$B$28,INPUTS!$B$29))))</f>
        <v>2414280.61236148</v>
      </c>
      <c r="K123" s="89" t="n">
        <f aca="true">IF(K$5=0,J123,MAX(0,(J123-K$4)*(1+NORMINV(RAND(),INPUTS!$B$28,INPUTS!$B$29))))</f>
        <v>2620643.47243217</v>
      </c>
      <c r="L123" s="89" t="n">
        <f aca="true">IF(L$5=0,K123,MAX(0,(K123-L$4)*(1+NORMINV(RAND(),INPUTS!$B$28,INPUTS!$B$29))))</f>
        <v>2711539.95779172</v>
      </c>
      <c r="M123" s="89" t="n">
        <f aca="true">IF(M$5=0,L123,MAX(0,(L123-M$4)*(1+NORMINV(RAND(),INPUTS!$B$28,INPUTS!$B$29))))</f>
        <v>2809328.031654</v>
      </c>
      <c r="N123" s="89" t="n">
        <f aca="true">IF(N$5=0,M123,MAX(0,(M123-N$4)*(1+NORMINV(RAND(),INPUTS!$B$28,INPUTS!$B$29))))</f>
        <v>2880474.41548184</v>
      </c>
      <c r="O123" s="89" t="n">
        <f aca="true">IF(O$5=0,N123,MAX(0,(N123-O$4)*(1+NORMINV(RAND(),INPUTS!$B$28,INPUTS!$B$29))))</f>
        <v>3093671.60289567</v>
      </c>
      <c r="P123" s="89" t="n">
        <f aca="true">IF(P$5=0,O123,MAX(0,(O123-P$4)*(1+NORMINV(RAND(),INPUTS!$B$28,INPUTS!$B$29))))</f>
        <v>2991361.74324999</v>
      </c>
      <c r="Q123" s="89" t="n">
        <f aca="true">IF(Q$5=0,P123,MAX(0,(P123-Q$4)*(1+NORMINV(RAND(),INPUTS!$B$28,INPUTS!$B$29))))</f>
        <v>3159483.71333122</v>
      </c>
      <c r="R123" s="89" t="n">
        <f aca="true">IF(R$5=0,Q123,MAX(0,(Q123-R$4)*(1+NORMINV(RAND(),INPUTS!$B$28,INPUTS!$B$29))))</f>
        <v>2871844.20035035</v>
      </c>
      <c r="S123" s="89" t="n">
        <f aca="true">IF(S$5=0,R123,MAX(0,(R123-S$4)*(1+NORMINV(RAND(),INPUTS!$B$28,INPUTS!$B$29))))</f>
        <v>2317401.84158678</v>
      </c>
      <c r="T123" s="89" t="n">
        <f aca="true">IF(T$5=0,S123,MAX(0,(S123-T$4)*(1+NORMINV(RAND(),INPUTS!$B$28,INPUTS!$B$29))))</f>
        <v>2922589.57056783</v>
      </c>
      <c r="U123" s="89" t="n">
        <f aca="true">IF(U$5=0,T123,MAX(0,(T123-U$4)*(1+NORMINV(RAND(),INPUTS!$B$28,INPUTS!$B$29))))</f>
        <v>2838421.81020605</v>
      </c>
      <c r="V123" s="89" t="n">
        <f aca="true">IF(V$5=0,U123,MAX(0,(U123-V$4)*(1+NORMINV(RAND(),INPUTS!$B$28,INPUTS!$B$29))))</f>
        <v>3413027.66303421</v>
      </c>
      <c r="W123" s="89" t="n">
        <f aca="true">IF(W$5=0,V123,MAX(0,(V123-W$4)*(1+NORMINV(RAND(),INPUTS!$B$28,INPUTS!$B$29))))</f>
        <v>3477522.75094594</v>
      </c>
      <c r="X123" s="89" t="n">
        <f aca="true">IF(X$5=0,W123,MAX(0,(W123-X$4)*(1+NORMINV(RAND(),INPUTS!$B$28,INPUTS!$B$29))))</f>
        <v>3144088.67645155</v>
      </c>
      <c r="Y123" s="89" t="n">
        <f aca="true">IF(Y$5=0,X123,MAX(0,(X123-Y$4)*(1+NORMINV(RAND(),INPUTS!$B$28,INPUTS!$B$29))))</f>
        <v>4310452.37401906</v>
      </c>
      <c r="Z123" s="89" t="n">
        <f aca="true">IF(Z$5=0,Y123,MAX(0,(Y123-Z$4)*(1+NORMINV(RAND(),INPUTS!$B$28,INPUTS!$B$29))))</f>
        <v>3541708.56519417</v>
      </c>
      <c r="AA123" s="89" t="n">
        <f aca="true">IF(AA$5=0,Z123,MAX(0,(Z123-AA$4)*(1+NORMINV(RAND(),INPUTS!$B$28,INPUTS!$B$29))))</f>
        <v>4158954.39804963</v>
      </c>
      <c r="AB123" s="89" t="n">
        <f aca="true">IF(AB$5=0,AA123,MAX(0,(AA123-AB$4)*(1+NORMINV(RAND(),INPUTS!$B$28,INPUTS!$B$29))))</f>
        <v>3967094.82193395</v>
      </c>
      <c r="AC123" s="89" t="n">
        <f aca="true">IF(AC$5=0,AB123,MAX(0,(AB123-AC$4)*(1+NORMINV(RAND(),INPUTS!$B$28,INPUTS!$B$29))))</f>
        <v>4575457.99481877</v>
      </c>
      <c r="AD123" s="89" t="n">
        <f aca="true">IF(AD$5=0,AC123,MAX(0,(AC123-AD$4)*(1+NORMINV(RAND(),INPUTS!$B$28,INPUTS!$B$29))))</f>
        <v>4389960.60386036</v>
      </c>
      <c r="AE123" s="89" t="n">
        <f aca="true">IF(AE$5=0,AD123,MAX(0,(AD123-AE$4)*(1+NORMINV(RAND(),INPUTS!$B$28,INPUTS!$B$29))))</f>
        <v>3782080.73722027</v>
      </c>
      <c r="AF123" s="89" t="n">
        <f aca="true">IF(AF$5=0,AE123,MAX(0,(AE123-AF$4)*(1+NORMINV(RAND(),INPUTS!$B$28,INPUTS!$B$29))))</f>
        <v>3617710.00950322</v>
      </c>
      <c r="AG123" s="89" t="n">
        <f aca="true">IF(AG$5=0,AF123,MAX(0,(AF123-AG$4)*(1+NORMINV(RAND(),INPUTS!$B$28,INPUTS!$B$29))))</f>
        <v>3915447.44729967</v>
      </c>
      <c r="AH123" s="89" t="n">
        <f aca="true">IF(AH$5=0,AG123,MAX(0,(AG123-AH$4)*(1+NORMINV(RAND(),INPUTS!$B$28,INPUTS!$B$29))))</f>
        <v>4332779.61846991</v>
      </c>
      <c r="AI123" s="89" t="n">
        <f aca="true">IF(AI$5=0,AH123,MAX(0,(AH123-AI$4)*(1+NORMINV(RAND(),INPUTS!$B$28,INPUTS!$B$29))))</f>
        <v>4286510.18170713</v>
      </c>
      <c r="AJ123" s="89" t="n">
        <f aca="true">IF(AJ$5=0,AI123,MAX(0,(AI123-AJ$4)*(1+NORMINV(RAND(),INPUTS!$B$28,INPUTS!$B$29))))</f>
        <v>3538652.52922689</v>
      </c>
      <c r="AK123" s="89" t="n">
        <f aca="true">IF(AK$5=0,AJ123,MAX(0,(AJ123-AK$4)*(1+NORMINV(RAND(),INPUTS!$B$28,INPUTS!$B$29))))</f>
        <v>3927450.12916875</v>
      </c>
      <c r="AL123" s="89" t="n">
        <f aca="true">IF(AL$5=0,AK123,MAX(0,(AK123-AL$4)*(1+NORMINV(RAND(),INPUTS!$B$28,INPUTS!$B$29))))</f>
        <v>4578432.02156902</v>
      </c>
      <c r="AM123" s="89" t="n">
        <f aca="true">IF(AM$5=0,AL123,MAX(0,(AL123-AM$4)*(1+NORMINV(RAND(),INPUTS!$B$28,INPUTS!$B$29))))</f>
        <v>4578432.02156902</v>
      </c>
      <c r="AN123" s="89" t="n">
        <f aca="true">IF(AN$5=0,AM123,MAX(0,(AM123-AN$4)*(1+NORMINV(RAND(),INPUTS!$B$28,INPUTS!$B$29))))</f>
        <v>4578432.02156902</v>
      </c>
      <c r="AO123" s="89" t="n">
        <f aca="true">IF(AO$5=0,AN123,MAX(0,(AN123-AO$4)*(1+NORMINV(RAND(),INPUTS!$B$28,INPUTS!$B$29))))</f>
        <v>4578432.02156902</v>
      </c>
      <c r="AP123" s="89" t="n">
        <f aca="true">IF(AP$5=0,AO123,MAX(0,(AO123-AP$4)*(1+NORMINV(RAND(),INPUTS!$B$28,INPUTS!$B$29))))</f>
        <v>4578432.02156902</v>
      </c>
      <c r="AQ123" s="89" t="n">
        <f aca="true">IF(AQ$5=0,AP123,MAX(0,(AP123-AQ$4)*(1+NORMINV(RAND(),INPUTS!$B$28,INPUTS!$B$29))))</f>
        <v>4578432.02156902</v>
      </c>
      <c r="AR123" s="89" t="n">
        <f aca="true">IF(AR$5=0,AQ123,MAX(0,(AQ123-AR$4)*(1+NORMINV(RAND(),INPUTS!$B$28,INPUTS!$B$29))))</f>
        <v>4578432.02156902</v>
      </c>
      <c r="AS123" s="89" t="n">
        <f aca="true">IF(AS$5=0,AR123,MAX(0,(AR123-AS$4)*(1+NORMINV(RAND(),INPUTS!$B$28,INPUTS!$B$29))))</f>
        <v>4578432.02156902</v>
      </c>
      <c r="AT123" s="89" t="n">
        <f aca="true">IF(AT$5=0,AS123,MAX(0,(AS123-AT$4)*(1+NORMINV(RAND(),INPUTS!$B$28,INPUTS!$B$29))))</f>
        <v>4578432.02156902</v>
      </c>
      <c r="AU123" s="89" t="n">
        <f aca="true">IF(AU$5=0,AT123,MAX(0,(AT123-AU$4)*(1+NORMINV(RAND(),INPUTS!$B$28,INPUTS!$B$29))))</f>
        <v>4578432.02156902</v>
      </c>
      <c r="AV123" s="89" t="n">
        <f aca="true">IF(AV$5=0,AU123,MAX(0,(AU123-AV$4)*(1+NORMINV(RAND(),INPUTS!$B$28,INPUTS!$B$29))))</f>
        <v>4578432.02156902</v>
      </c>
      <c r="AW123" s="89" t="n">
        <f aca="true">IF(AW$5=0,AV123,MAX(0,(AV123-AW$4)*(1+NORMINV(RAND(),INPUTS!$B$28,INPUTS!$B$29))))</f>
        <v>4578432.02156902</v>
      </c>
      <c r="AX123" s="89" t="n">
        <f aca="true">IF(AX$5=0,AW123,MAX(0,(AW123-AX$4)*(1+NORMINV(RAND(),INPUTS!$B$28,INPUTS!$B$29))))</f>
        <v>4578432.02156902</v>
      </c>
      <c r="AY123" s="89" t="n">
        <f aca="true">IF(AY$5=0,AX123,MAX(0,(AX123-AY$4)*(1+NORMINV(RAND(),INPUTS!$B$28,INPUTS!$B$29))))</f>
        <v>4578432.02156902</v>
      </c>
      <c r="AZ123" s="89" t="n">
        <f aca="true">IF(AZ$5=0,AY123,MAX(0,(AY123-AZ$4)*(1+NORMINV(RAND(),INPUTS!$B$28,INPUTS!$B$29))))</f>
        <v>4578432.02156902</v>
      </c>
      <c r="BA123" s="89" t="n">
        <f aca="true">IF(BA$5=0,AZ123,MAX(0,(AZ123-BA$4)*(1+NORMINV(RAND(),INPUTS!$B$28,INPUTS!$B$29))))</f>
        <v>4578432.02156902</v>
      </c>
      <c r="BB123" s="89" t="n">
        <f aca="true">IF(BB$5=0,BA123,MAX(0,(BA123-BB$4)*(1+NORMINV(RAND(),INPUTS!$B$28,INPUTS!$B$29))))</f>
        <v>4578432.02156902</v>
      </c>
      <c r="BC123" s="89" t="n">
        <f aca="true">IF(BC$5=0,BB123,MAX(0,(BB123-BC$4)*(1+NORMINV(RAND(),INPUTS!$B$28,INPUTS!$B$29))))</f>
        <v>4578432.02156902</v>
      </c>
      <c r="BD123" s="89" t="n">
        <f aca="true">IF(BD$5=0,BC123,MAX(0,(BC123-BD$4)*(1+NORMINV(RAND(),INPUTS!$B$28,INPUTS!$B$29))))</f>
        <v>4578432.02156902</v>
      </c>
      <c r="BE123" s="89" t="n">
        <f aca="true">IF(BE$5=0,BD123,MAX(0,(BD123-BE$4)*(1+NORMINV(RAND(),INPUTS!$B$28,INPUTS!$B$29))))</f>
        <v>4578432.02156902</v>
      </c>
      <c r="BF123" s="89" t="n">
        <f aca="true">IF(BF$5=0,BE123,MAX(0,(BE123-BF$4)*(1+NORMINV(RAND(),INPUTS!$B$28,INPUTS!$B$29))))</f>
        <v>4578432.02156902</v>
      </c>
      <c r="BG123" s="89" t="n">
        <f aca="true">IF(BG$5=0,BF123,MAX(0,(BF123-BG$4)*(1+NORMINV(RAND(),INPUTS!$B$28,INPUTS!$B$29))))</f>
        <v>4578432.02156902</v>
      </c>
      <c r="BH123" s="89" t="n">
        <f aca="true">IF(BH$5=0,BG123,MAX(0,(BG123-BH$4)*(1+NORMINV(RAND(),INPUTS!$B$28,INPUTS!$B$29))))</f>
        <v>4578432.02156902</v>
      </c>
      <c r="BI123" s="89" t="n">
        <f aca="true">IF(BI$5=0,BH123,MAX(0,(BH123-BI$4)*(1+NORMINV(RAND(),INPUTS!$B$28,INPUTS!$B$29))))</f>
        <v>4578432.02156902</v>
      </c>
      <c r="BJ123" s="89" t="n">
        <f aca="true">IF(BJ$5=0,BI123,MAX(0,(BI123-BJ$4)*(1+NORMINV(RAND(),INPUTS!$B$28,INPUTS!$B$29))))</f>
        <v>4578432.02156902</v>
      </c>
    </row>
    <row r="124" customFormat="false" ht="15" hidden="false" customHeight="true" outlineLevel="0" collapsed="false">
      <c r="A124" s="87" t="n">
        <v>117</v>
      </c>
      <c r="B124" s="88" t="n">
        <f aca="false">LOOKUP(9.99E+307,C124:BJ124)</f>
        <v>308240.115446668</v>
      </c>
      <c r="C124" s="89" t="n">
        <f aca="true">IF(C$5=0,INPUTS!$B$35,MAX(0,(INPUTS!$B$35-C$4)*(1+NORMINV(RAND(),INPUTS!$B$28,INPUTS!$B$29))))</f>
        <v>1725181.0197732</v>
      </c>
      <c r="D124" s="89" t="n">
        <f aca="true">IF(D$5=0,C124,MAX(0,(C124-D$4)*(1+NORMINV(RAND(),INPUTS!$B$28,INPUTS!$B$29))))</f>
        <v>1799229.65915298</v>
      </c>
      <c r="E124" s="89" t="n">
        <f aca="true">IF(E$5=0,D124,MAX(0,(D124-E$4)*(1+NORMINV(RAND(),INPUTS!$B$28,INPUTS!$B$29))))</f>
        <v>1441100.65445396</v>
      </c>
      <c r="F124" s="89" t="n">
        <f aca="true">IF(F$5=0,E124,MAX(0,(E124-F$4)*(1+NORMINV(RAND(),INPUTS!$B$28,INPUTS!$B$29))))</f>
        <v>1450700.3411112</v>
      </c>
      <c r="G124" s="89" t="n">
        <f aca="true">IF(G$5=0,F124,MAX(0,(F124-G$4)*(1+NORMINV(RAND(),INPUTS!$B$28,INPUTS!$B$29))))</f>
        <v>1433339.44557775</v>
      </c>
      <c r="H124" s="89" t="n">
        <f aca="true">IF(H$5=0,G124,MAX(0,(G124-H$4)*(1+NORMINV(RAND(),INPUTS!$B$28,INPUTS!$B$29))))</f>
        <v>1570384.00879752</v>
      </c>
      <c r="I124" s="89" t="n">
        <f aca="true">IF(I$5=0,H124,MAX(0,(H124-I$4)*(1+NORMINV(RAND(),INPUTS!$B$28,INPUTS!$B$29))))</f>
        <v>1692841.8187763</v>
      </c>
      <c r="J124" s="89" t="n">
        <f aca="true">IF(J$5=0,I124,MAX(0,(I124-J$4)*(1+NORMINV(RAND(),INPUTS!$B$28,INPUTS!$B$29))))</f>
        <v>1707818.01830933</v>
      </c>
      <c r="K124" s="89" t="n">
        <f aca="true">IF(K$5=0,J124,MAX(0,(J124-K$4)*(1+NORMINV(RAND(),INPUTS!$B$28,INPUTS!$B$29))))</f>
        <v>1784521.37334011</v>
      </c>
      <c r="L124" s="89" t="n">
        <f aca="true">IF(L$5=0,K124,MAX(0,(K124-L$4)*(1+NORMINV(RAND(),INPUTS!$B$28,INPUTS!$B$29))))</f>
        <v>1816243.1677947</v>
      </c>
      <c r="M124" s="89" t="n">
        <f aca="true">IF(M$5=0,L124,MAX(0,(L124-M$4)*(1+NORMINV(RAND(),INPUTS!$B$28,INPUTS!$B$29))))</f>
        <v>1813433.74726063</v>
      </c>
      <c r="N124" s="89" t="n">
        <f aca="true">IF(N$5=0,M124,MAX(0,(M124-N$4)*(1+NORMINV(RAND(),INPUTS!$B$28,INPUTS!$B$29))))</f>
        <v>1767419.88775787</v>
      </c>
      <c r="O124" s="89" t="n">
        <f aca="true">IF(O$5=0,N124,MAX(0,(N124-O$4)*(1+NORMINV(RAND(),INPUTS!$B$28,INPUTS!$B$29))))</f>
        <v>1898233.54163485</v>
      </c>
      <c r="P124" s="89" t="n">
        <f aca="true">IF(P$5=0,O124,MAX(0,(O124-P$4)*(1+NORMINV(RAND(),INPUTS!$B$28,INPUTS!$B$29))))</f>
        <v>1676613.58307145</v>
      </c>
      <c r="Q124" s="89" t="n">
        <f aca="true">IF(Q$5=0,P124,MAX(0,(P124-Q$4)*(1+NORMINV(RAND(),INPUTS!$B$28,INPUTS!$B$29))))</f>
        <v>1499531.33571567</v>
      </c>
      <c r="R124" s="89" t="n">
        <f aca="true">IF(R$5=0,Q124,MAX(0,(Q124-R$4)*(1+NORMINV(RAND(),INPUTS!$B$28,INPUTS!$B$29))))</f>
        <v>1685942.10192131</v>
      </c>
      <c r="S124" s="89" t="n">
        <f aca="true">IF(S$5=0,R124,MAX(0,(R124-S$4)*(1+NORMINV(RAND(),INPUTS!$B$28,INPUTS!$B$29))))</f>
        <v>1763451.24523786</v>
      </c>
      <c r="T124" s="89" t="n">
        <f aca="true">IF(T$5=0,S124,MAX(0,(S124-T$4)*(1+NORMINV(RAND(),INPUTS!$B$28,INPUTS!$B$29))))</f>
        <v>1568967.77489263</v>
      </c>
      <c r="U124" s="89" t="n">
        <f aca="true">IF(U$5=0,T124,MAX(0,(T124-U$4)*(1+NORMINV(RAND(),INPUTS!$B$28,INPUTS!$B$29))))</f>
        <v>1504378.1023935</v>
      </c>
      <c r="V124" s="89" t="n">
        <f aca="true">IF(V$5=0,U124,MAX(0,(U124-V$4)*(1+NORMINV(RAND(),INPUTS!$B$28,INPUTS!$B$29))))</f>
        <v>1629044.73843809</v>
      </c>
      <c r="W124" s="89" t="n">
        <f aca="true">IF(W$5=0,V124,MAX(0,(V124-W$4)*(1+NORMINV(RAND(),INPUTS!$B$28,INPUTS!$B$29))))</f>
        <v>1583193.0685618</v>
      </c>
      <c r="X124" s="89" t="n">
        <f aca="true">IF(X$5=0,W124,MAX(0,(W124-X$4)*(1+NORMINV(RAND(),INPUTS!$B$28,INPUTS!$B$29))))</f>
        <v>1432102.73455038</v>
      </c>
      <c r="Y124" s="89" t="n">
        <f aca="true">IF(Y$5=0,X124,MAX(0,(X124-Y$4)*(1+NORMINV(RAND(),INPUTS!$B$28,INPUTS!$B$29))))</f>
        <v>1274359.31182904</v>
      </c>
      <c r="Z124" s="89" t="n">
        <f aca="true">IF(Z$5=0,Y124,MAX(0,(Y124-Z$4)*(1+NORMINV(RAND(),INPUTS!$B$28,INPUTS!$B$29))))</f>
        <v>1499394.09382334</v>
      </c>
      <c r="AA124" s="89" t="n">
        <f aca="true">IF(AA$5=0,Z124,MAX(0,(Z124-AA$4)*(1+NORMINV(RAND(),INPUTS!$B$28,INPUTS!$B$29))))</f>
        <v>1369276.5786919</v>
      </c>
      <c r="AB124" s="89" t="n">
        <f aca="true">IF(AB$5=0,AA124,MAX(0,(AA124-AB$4)*(1+NORMINV(RAND(),INPUTS!$B$28,INPUTS!$B$29))))</f>
        <v>1130687.3523927</v>
      </c>
      <c r="AC124" s="89" t="n">
        <f aca="true">IF(AC$5=0,AB124,MAX(0,(AB124-AC$4)*(1+NORMINV(RAND(),INPUTS!$B$28,INPUTS!$B$29))))</f>
        <v>1100124.68553664</v>
      </c>
      <c r="AD124" s="89" t="n">
        <f aca="true">IF(AD$5=0,AC124,MAX(0,(AC124-AD$4)*(1+NORMINV(RAND(),INPUTS!$B$28,INPUTS!$B$29))))</f>
        <v>788659.559014498</v>
      </c>
      <c r="AE124" s="89" t="n">
        <f aca="true">IF(AE$5=0,AD124,MAX(0,(AD124-AE$4)*(1+NORMINV(RAND(),INPUTS!$B$28,INPUTS!$B$29))))</f>
        <v>749965.070064172</v>
      </c>
      <c r="AF124" s="89" t="n">
        <f aca="true">IF(AF$5=0,AE124,MAX(0,(AE124-AF$4)*(1+NORMINV(RAND(),INPUTS!$B$28,INPUTS!$B$29))))</f>
        <v>701346.586179982</v>
      </c>
      <c r="AG124" s="89" t="n">
        <f aca="true">IF(AG$5=0,AF124,MAX(0,(AF124-AG$4)*(1+NORMINV(RAND(),INPUTS!$B$28,INPUTS!$B$29))))</f>
        <v>590403.308920102</v>
      </c>
      <c r="AH124" s="89" t="n">
        <f aca="true">IF(AH$5=0,AG124,MAX(0,(AG124-AH$4)*(1+NORMINV(RAND(),INPUTS!$B$28,INPUTS!$B$29))))</f>
        <v>580478.997066269</v>
      </c>
      <c r="AI124" s="89" t="n">
        <f aca="true">IF(AI$5=0,AH124,MAX(0,(AH124-AI$4)*(1+NORMINV(RAND(),INPUTS!$B$28,INPUTS!$B$29))))</f>
        <v>540053.466750526</v>
      </c>
      <c r="AJ124" s="89" t="n">
        <f aca="true">IF(AJ$5=0,AI124,MAX(0,(AI124-AJ$4)*(1+NORMINV(RAND(),INPUTS!$B$28,INPUTS!$B$29))))</f>
        <v>497423.22656232</v>
      </c>
      <c r="AK124" s="89" t="n">
        <f aca="true">IF(AK$5=0,AJ124,MAX(0,(AJ124-AK$4)*(1+NORMINV(RAND(),INPUTS!$B$28,INPUTS!$B$29))))</f>
        <v>378309.29582229</v>
      </c>
      <c r="AL124" s="89" t="n">
        <f aca="true">IF(AL$5=0,AK124,MAX(0,(AK124-AL$4)*(1+NORMINV(RAND(),INPUTS!$B$28,INPUTS!$B$29))))</f>
        <v>308240.115446668</v>
      </c>
      <c r="AM124" s="89" t="n">
        <f aca="true">IF(AM$5=0,AL124,MAX(0,(AL124-AM$4)*(1+NORMINV(RAND(),INPUTS!$B$28,INPUTS!$B$29))))</f>
        <v>308240.115446668</v>
      </c>
      <c r="AN124" s="89" t="n">
        <f aca="true">IF(AN$5=0,AM124,MAX(0,(AM124-AN$4)*(1+NORMINV(RAND(),INPUTS!$B$28,INPUTS!$B$29))))</f>
        <v>308240.115446668</v>
      </c>
      <c r="AO124" s="89" t="n">
        <f aca="true">IF(AO$5=0,AN124,MAX(0,(AN124-AO$4)*(1+NORMINV(RAND(),INPUTS!$B$28,INPUTS!$B$29))))</f>
        <v>308240.115446668</v>
      </c>
      <c r="AP124" s="89" t="n">
        <f aca="true">IF(AP$5=0,AO124,MAX(0,(AO124-AP$4)*(1+NORMINV(RAND(),INPUTS!$B$28,INPUTS!$B$29))))</f>
        <v>308240.115446668</v>
      </c>
      <c r="AQ124" s="89" t="n">
        <f aca="true">IF(AQ$5=0,AP124,MAX(0,(AP124-AQ$4)*(1+NORMINV(RAND(),INPUTS!$B$28,INPUTS!$B$29))))</f>
        <v>308240.115446668</v>
      </c>
      <c r="AR124" s="89" t="n">
        <f aca="true">IF(AR$5=0,AQ124,MAX(0,(AQ124-AR$4)*(1+NORMINV(RAND(),INPUTS!$B$28,INPUTS!$B$29))))</f>
        <v>308240.115446668</v>
      </c>
      <c r="AS124" s="89" t="n">
        <f aca="true">IF(AS$5=0,AR124,MAX(0,(AR124-AS$4)*(1+NORMINV(RAND(),INPUTS!$B$28,INPUTS!$B$29))))</f>
        <v>308240.115446668</v>
      </c>
      <c r="AT124" s="89" t="n">
        <f aca="true">IF(AT$5=0,AS124,MAX(0,(AS124-AT$4)*(1+NORMINV(RAND(),INPUTS!$B$28,INPUTS!$B$29))))</f>
        <v>308240.115446668</v>
      </c>
      <c r="AU124" s="89" t="n">
        <f aca="true">IF(AU$5=0,AT124,MAX(0,(AT124-AU$4)*(1+NORMINV(RAND(),INPUTS!$B$28,INPUTS!$B$29))))</f>
        <v>308240.115446668</v>
      </c>
      <c r="AV124" s="89" t="n">
        <f aca="true">IF(AV$5=0,AU124,MAX(0,(AU124-AV$4)*(1+NORMINV(RAND(),INPUTS!$B$28,INPUTS!$B$29))))</f>
        <v>308240.115446668</v>
      </c>
      <c r="AW124" s="89" t="n">
        <f aca="true">IF(AW$5=0,AV124,MAX(0,(AV124-AW$4)*(1+NORMINV(RAND(),INPUTS!$B$28,INPUTS!$B$29))))</f>
        <v>308240.115446668</v>
      </c>
      <c r="AX124" s="89" t="n">
        <f aca="true">IF(AX$5=0,AW124,MAX(0,(AW124-AX$4)*(1+NORMINV(RAND(),INPUTS!$B$28,INPUTS!$B$29))))</f>
        <v>308240.115446668</v>
      </c>
      <c r="AY124" s="89" t="n">
        <f aca="true">IF(AY$5=0,AX124,MAX(0,(AX124-AY$4)*(1+NORMINV(RAND(),INPUTS!$B$28,INPUTS!$B$29))))</f>
        <v>308240.115446668</v>
      </c>
      <c r="AZ124" s="89" t="n">
        <f aca="true">IF(AZ$5=0,AY124,MAX(0,(AY124-AZ$4)*(1+NORMINV(RAND(),INPUTS!$B$28,INPUTS!$B$29))))</f>
        <v>308240.115446668</v>
      </c>
      <c r="BA124" s="89" t="n">
        <f aca="true">IF(BA$5=0,AZ124,MAX(0,(AZ124-BA$4)*(1+NORMINV(RAND(),INPUTS!$B$28,INPUTS!$B$29))))</f>
        <v>308240.115446668</v>
      </c>
      <c r="BB124" s="89" t="n">
        <f aca="true">IF(BB$5=0,BA124,MAX(0,(BA124-BB$4)*(1+NORMINV(RAND(),INPUTS!$B$28,INPUTS!$B$29))))</f>
        <v>308240.115446668</v>
      </c>
      <c r="BC124" s="89" t="n">
        <f aca="true">IF(BC$5=0,BB124,MAX(0,(BB124-BC$4)*(1+NORMINV(RAND(),INPUTS!$B$28,INPUTS!$B$29))))</f>
        <v>308240.115446668</v>
      </c>
      <c r="BD124" s="89" t="n">
        <f aca="true">IF(BD$5=0,BC124,MAX(0,(BC124-BD$4)*(1+NORMINV(RAND(),INPUTS!$B$28,INPUTS!$B$29))))</f>
        <v>308240.115446668</v>
      </c>
      <c r="BE124" s="89" t="n">
        <f aca="true">IF(BE$5=0,BD124,MAX(0,(BD124-BE$4)*(1+NORMINV(RAND(),INPUTS!$B$28,INPUTS!$B$29))))</f>
        <v>308240.115446668</v>
      </c>
      <c r="BF124" s="89" t="n">
        <f aca="true">IF(BF$5=0,BE124,MAX(0,(BE124-BF$4)*(1+NORMINV(RAND(),INPUTS!$B$28,INPUTS!$B$29))))</f>
        <v>308240.115446668</v>
      </c>
      <c r="BG124" s="89" t="n">
        <f aca="true">IF(BG$5=0,BF124,MAX(0,(BF124-BG$4)*(1+NORMINV(RAND(),INPUTS!$B$28,INPUTS!$B$29))))</f>
        <v>308240.115446668</v>
      </c>
      <c r="BH124" s="89" t="n">
        <f aca="true">IF(BH$5=0,BG124,MAX(0,(BG124-BH$4)*(1+NORMINV(RAND(),INPUTS!$B$28,INPUTS!$B$29))))</f>
        <v>308240.115446668</v>
      </c>
      <c r="BI124" s="89" t="n">
        <f aca="true">IF(BI$5=0,BH124,MAX(0,(BH124-BI$4)*(1+NORMINV(RAND(),INPUTS!$B$28,INPUTS!$B$29))))</f>
        <v>308240.115446668</v>
      </c>
      <c r="BJ124" s="89" t="n">
        <f aca="true">IF(BJ$5=0,BI124,MAX(0,(BI124-BJ$4)*(1+NORMINV(RAND(),INPUTS!$B$28,INPUTS!$B$29))))</f>
        <v>308240.115446668</v>
      </c>
    </row>
    <row r="125" customFormat="false" ht="15" hidden="false" customHeight="true" outlineLevel="0" collapsed="false">
      <c r="A125" s="87" t="n">
        <v>118</v>
      </c>
      <c r="B125" s="88" t="n">
        <f aca="false">LOOKUP(9.99E+307,C125:BJ125)</f>
        <v>22487237.5982208</v>
      </c>
      <c r="C125" s="89" t="n">
        <f aca="true">IF(C$5=0,INPUTS!$B$35,MAX(0,(INPUTS!$B$35-C$4)*(1+NORMINV(RAND(),INPUTS!$B$28,INPUTS!$B$29))))</f>
        <v>1659358.80179379</v>
      </c>
      <c r="D125" s="89" t="n">
        <f aca="true">IF(D$5=0,C125,MAX(0,(C125-D$4)*(1+NORMINV(RAND(),INPUTS!$B$28,INPUTS!$B$29))))</f>
        <v>2004921.8688543</v>
      </c>
      <c r="E125" s="89" t="n">
        <f aca="true">IF(E$5=0,D125,MAX(0,(D125-E$4)*(1+NORMINV(RAND(),INPUTS!$B$28,INPUTS!$B$29))))</f>
        <v>2250275.21575714</v>
      </c>
      <c r="F125" s="89" t="n">
        <f aca="true">IF(F$5=0,E125,MAX(0,(E125-F$4)*(1+NORMINV(RAND(),INPUTS!$B$28,INPUTS!$B$29))))</f>
        <v>2667685.81474563</v>
      </c>
      <c r="G125" s="89" t="n">
        <f aca="true">IF(G$5=0,F125,MAX(0,(F125-G$4)*(1+NORMINV(RAND(),INPUTS!$B$28,INPUTS!$B$29))))</f>
        <v>2400382.14500011</v>
      </c>
      <c r="H125" s="89" t="n">
        <f aca="true">IF(H$5=0,G125,MAX(0,(G125-H$4)*(1+NORMINV(RAND(),INPUTS!$B$28,INPUTS!$B$29))))</f>
        <v>2221497.31980337</v>
      </c>
      <c r="I125" s="89" t="n">
        <f aca="true">IF(I$5=0,H125,MAX(0,(H125-I$4)*(1+NORMINV(RAND(),INPUTS!$B$28,INPUTS!$B$29))))</f>
        <v>2332867.92727856</v>
      </c>
      <c r="J125" s="89" t="n">
        <f aca="true">IF(J$5=0,I125,MAX(0,(I125-J$4)*(1+NORMINV(RAND(),INPUTS!$B$28,INPUTS!$B$29))))</f>
        <v>2316146.71453134</v>
      </c>
      <c r="K125" s="89" t="n">
        <f aca="true">IF(K$5=0,J125,MAX(0,(J125-K$4)*(1+NORMINV(RAND(),INPUTS!$B$28,INPUTS!$B$29))))</f>
        <v>2330573.43761304</v>
      </c>
      <c r="L125" s="89" t="n">
        <f aca="true">IF(L$5=0,K125,MAX(0,(K125-L$4)*(1+NORMINV(RAND(),INPUTS!$B$28,INPUTS!$B$29))))</f>
        <v>2090376.74824282</v>
      </c>
      <c r="M125" s="89" t="n">
        <f aca="true">IF(M$5=0,L125,MAX(0,(L125-M$4)*(1+NORMINV(RAND(),INPUTS!$B$28,INPUTS!$B$29))))</f>
        <v>2454539.57094604</v>
      </c>
      <c r="N125" s="89" t="n">
        <f aca="true">IF(N$5=0,M125,MAX(0,(M125-N$4)*(1+NORMINV(RAND(),INPUTS!$B$28,INPUTS!$B$29))))</f>
        <v>2217097.87488056</v>
      </c>
      <c r="O125" s="89" t="n">
        <f aca="true">IF(O$5=0,N125,MAX(0,(N125-O$4)*(1+NORMINV(RAND(),INPUTS!$B$28,INPUTS!$B$29))))</f>
        <v>2351116.79401785</v>
      </c>
      <c r="P125" s="89" t="n">
        <f aca="true">IF(P$5=0,O125,MAX(0,(O125-P$4)*(1+NORMINV(RAND(),INPUTS!$B$28,INPUTS!$B$29))))</f>
        <v>2737558.33116902</v>
      </c>
      <c r="Q125" s="89" t="n">
        <f aca="true">IF(Q$5=0,P125,MAX(0,(P125-Q$4)*(1+NORMINV(RAND(),INPUTS!$B$28,INPUTS!$B$29))))</f>
        <v>3182773.8395257</v>
      </c>
      <c r="R125" s="89" t="n">
        <f aca="true">IF(R$5=0,Q125,MAX(0,(Q125-R$4)*(1+NORMINV(RAND(),INPUTS!$B$28,INPUTS!$B$29))))</f>
        <v>3496093.00601659</v>
      </c>
      <c r="S125" s="89" t="n">
        <f aca="true">IF(S$5=0,R125,MAX(0,(R125-S$4)*(1+NORMINV(RAND(),INPUTS!$B$28,INPUTS!$B$29))))</f>
        <v>4748834.5934943</v>
      </c>
      <c r="T125" s="89" t="n">
        <f aca="true">IF(T$5=0,S125,MAX(0,(S125-T$4)*(1+NORMINV(RAND(),INPUTS!$B$28,INPUTS!$B$29))))</f>
        <v>5098021.09828838</v>
      </c>
      <c r="U125" s="89" t="n">
        <f aca="true">IF(U$5=0,T125,MAX(0,(T125-U$4)*(1+NORMINV(RAND(),INPUTS!$B$28,INPUTS!$B$29))))</f>
        <v>5820249.92343503</v>
      </c>
      <c r="V125" s="89" t="n">
        <f aca="true">IF(V$5=0,U125,MAX(0,(U125-V$4)*(1+NORMINV(RAND(),INPUTS!$B$28,INPUTS!$B$29))))</f>
        <v>6040492.21613032</v>
      </c>
      <c r="W125" s="89" t="n">
        <f aca="true">IF(W$5=0,V125,MAX(0,(V125-W$4)*(1+NORMINV(RAND(),INPUTS!$B$28,INPUTS!$B$29))))</f>
        <v>6693955.90788271</v>
      </c>
      <c r="X125" s="89" t="n">
        <f aca="true">IF(X$5=0,W125,MAX(0,(W125-X$4)*(1+NORMINV(RAND(),INPUTS!$B$28,INPUTS!$B$29))))</f>
        <v>7995732.58956807</v>
      </c>
      <c r="Y125" s="89" t="n">
        <f aca="true">IF(Y$5=0,X125,MAX(0,(X125-Y$4)*(1+NORMINV(RAND(),INPUTS!$B$28,INPUTS!$B$29))))</f>
        <v>10834732.0188131</v>
      </c>
      <c r="Z125" s="89" t="n">
        <f aca="true">IF(Z$5=0,Y125,MAX(0,(Y125-Z$4)*(1+NORMINV(RAND(),INPUTS!$B$28,INPUTS!$B$29))))</f>
        <v>11542609.6061514</v>
      </c>
      <c r="AA125" s="89" t="n">
        <f aca="true">IF(AA$5=0,Z125,MAX(0,(Z125-AA$4)*(1+NORMINV(RAND(),INPUTS!$B$28,INPUTS!$B$29))))</f>
        <v>13260483.9168343</v>
      </c>
      <c r="AB125" s="89" t="n">
        <f aca="true">IF(AB$5=0,AA125,MAX(0,(AA125-AB$4)*(1+NORMINV(RAND(),INPUTS!$B$28,INPUTS!$B$29))))</f>
        <v>16252564.2233843</v>
      </c>
      <c r="AC125" s="89" t="n">
        <f aca="true">IF(AC$5=0,AB125,MAX(0,(AB125-AC$4)*(1+NORMINV(RAND(),INPUTS!$B$28,INPUTS!$B$29))))</f>
        <v>16244855.3662031</v>
      </c>
      <c r="AD125" s="89" t="n">
        <f aca="true">IF(AD$5=0,AC125,MAX(0,(AC125-AD$4)*(1+NORMINV(RAND(),INPUTS!$B$28,INPUTS!$B$29))))</f>
        <v>14363212.0052302</v>
      </c>
      <c r="AE125" s="89" t="n">
        <f aca="true">IF(AE$5=0,AD125,MAX(0,(AD125-AE$4)*(1+NORMINV(RAND(),INPUTS!$B$28,INPUTS!$B$29))))</f>
        <v>14978595.1617391</v>
      </c>
      <c r="AF125" s="89" t="n">
        <f aca="true">IF(AF$5=0,AE125,MAX(0,(AE125-AF$4)*(1+NORMINV(RAND(),INPUTS!$B$28,INPUTS!$B$29))))</f>
        <v>16240613.544994</v>
      </c>
      <c r="AG125" s="89" t="n">
        <f aca="true">IF(AG$5=0,AF125,MAX(0,(AF125-AG$4)*(1+NORMINV(RAND(),INPUTS!$B$28,INPUTS!$B$29))))</f>
        <v>16280666.6517813</v>
      </c>
      <c r="AH125" s="89" t="n">
        <f aca="true">IF(AH$5=0,AG125,MAX(0,(AG125-AH$4)*(1+NORMINV(RAND(),INPUTS!$B$28,INPUTS!$B$29))))</f>
        <v>17249939.9964978</v>
      </c>
      <c r="AI125" s="89" t="n">
        <f aca="true">IF(AI$5=0,AH125,MAX(0,(AH125-AI$4)*(1+NORMINV(RAND(),INPUTS!$B$28,INPUTS!$B$29))))</f>
        <v>16128783.7851567</v>
      </c>
      <c r="AJ125" s="89" t="n">
        <f aca="true">IF(AJ$5=0,AI125,MAX(0,(AI125-AJ$4)*(1+NORMINV(RAND(),INPUTS!$B$28,INPUTS!$B$29))))</f>
        <v>15665633.4316192</v>
      </c>
      <c r="AK125" s="89" t="n">
        <f aca="true">IF(AK$5=0,AJ125,MAX(0,(AJ125-AK$4)*(1+NORMINV(RAND(),INPUTS!$B$28,INPUTS!$B$29))))</f>
        <v>17938176.3446271</v>
      </c>
      <c r="AL125" s="89" t="n">
        <f aca="true">IF(AL$5=0,AK125,MAX(0,(AK125-AL$4)*(1+NORMINV(RAND(),INPUTS!$B$28,INPUTS!$B$29))))</f>
        <v>22487237.5982208</v>
      </c>
      <c r="AM125" s="89" t="n">
        <f aca="true">IF(AM$5=0,AL125,MAX(0,(AL125-AM$4)*(1+NORMINV(RAND(),INPUTS!$B$28,INPUTS!$B$29))))</f>
        <v>22487237.5982208</v>
      </c>
      <c r="AN125" s="89" t="n">
        <f aca="true">IF(AN$5=0,AM125,MAX(0,(AM125-AN$4)*(1+NORMINV(RAND(),INPUTS!$B$28,INPUTS!$B$29))))</f>
        <v>22487237.5982208</v>
      </c>
      <c r="AO125" s="89" t="n">
        <f aca="true">IF(AO$5=0,AN125,MAX(0,(AN125-AO$4)*(1+NORMINV(RAND(),INPUTS!$B$28,INPUTS!$B$29))))</f>
        <v>22487237.5982208</v>
      </c>
      <c r="AP125" s="89" t="n">
        <f aca="true">IF(AP$5=0,AO125,MAX(0,(AO125-AP$4)*(1+NORMINV(RAND(),INPUTS!$B$28,INPUTS!$B$29))))</f>
        <v>22487237.5982208</v>
      </c>
      <c r="AQ125" s="89" t="n">
        <f aca="true">IF(AQ$5=0,AP125,MAX(0,(AP125-AQ$4)*(1+NORMINV(RAND(),INPUTS!$B$28,INPUTS!$B$29))))</f>
        <v>22487237.5982208</v>
      </c>
      <c r="AR125" s="89" t="n">
        <f aca="true">IF(AR$5=0,AQ125,MAX(0,(AQ125-AR$4)*(1+NORMINV(RAND(),INPUTS!$B$28,INPUTS!$B$29))))</f>
        <v>22487237.5982208</v>
      </c>
      <c r="AS125" s="89" t="n">
        <f aca="true">IF(AS$5=0,AR125,MAX(0,(AR125-AS$4)*(1+NORMINV(RAND(),INPUTS!$B$28,INPUTS!$B$29))))</f>
        <v>22487237.5982208</v>
      </c>
      <c r="AT125" s="89" t="n">
        <f aca="true">IF(AT$5=0,AS125,MAX(0,(AS125-AT$4)*(1+NORMINV(RAND(),INPUTS!$B$28,INPUTS!$B$29))))</f>
        <v>22487237.5982208</v>
      </c>
      <c r="AU125" s="89" t="n">
        <f aca="true">IF(AU$5=0,AT125,MAX(0,(AT125-AU$4)*(1+NORMINV(RAND(),INPUTS!$B$28,INPUTS!$B$29))))</f>
        <v>22487237.5982208</v>
      </c>
      <c r="AV125" s="89" t="n">
        <f aca="true">IF(AV$5=0,AU125,MAX(0,(AU125-AV$4)*(1+NORMINV(RAND(),INPUTS!$B$28,INPUTS!$B$29))))</f>
        <v>22487237.5982208</v>
      </c>
      <c r="AW125" s="89" t="n">
        <f aca="true">IF(AW$5=0,AV125,MAX(0,(AV125-AW$4)*(1+NORMINV(RAND(),INPUTS!$B$28,INPUTS!$B$29))))</f>
        <v>22487237.5982208</v>
      </c>
      <c r="AX125" s="89" t="n">
        <f aca="true">IF(AX$5=0,AW125,MAX(0,(AW125-AX$4)*(1+NORMINV(RAND(),INPUTS!$B$28,INPUTS!$B$29))))</f>
        <v>22487237.5982208</v>
      </c>
      <c r="AY125" s="89" t="n">
        <f aca="true">IF(AY$5=0,AX125,MAX(0,(AX125-AY$4)*(1+NORMINV(RAND(),INPUTS!$B$28,INPUTS!$B$29))))</f>
        <v>22487237.5982208</v>
      </c>
      <c r="AZ125" s="89" t="n">
        <f aca="true">IF(AZ$5=0,AY125,MAX(0,(AY125-AZ$4)*(1+NORMINV(RAND(),INPUTS!$B$28,INPUTS!$B$29))))</f>
        <v>22487237.5982208</v>
      </c>
      <c r="BA125" s="89" t="n">
        <f aca="true">IF(BA$5=0,AZ125,MAX(0,(AZ125-BA$4)*(1+NORMINV(RAND(),INPUTS!$B$28,INPUTS!$B$29))))</f>
        <v>22487237.5982208</v>
      </c>
      <c r="BB125" s="89" t="n">
        <f aca="true">IF(BB$5=0,BA125,MAX(0,(BA125-BB$4)*(1+NORMINV(RAND(),INPUTS!$B$28,INPUTS!$B$29))))</f>
        <v>22487237.5982208</v>
      </c>
      <c r="BC125" s="89" t="n">
        <f aca="true">IF(BC$5=0,BB125,MAX(0,(BB125-BC$4)*(1+NORMINV(RAND(),INPUTS!$B$28,INPUTS!$B$29))))</f>
        <v>22487237.5982208</v>
      </c>
      <c r="BD125" s="89" t="n">
        <f aca="true">IF(BD$5=0,BC125,MAX(0,(BC125-BD$4)*(1+NORMINV(RAND(),INPUTS!$B$28,INPUTS!$B$29))))</f>
        <v>22487237.5982208</v>
      </c>
      <c r="BE125" s="89" t="n">
        <f aca="true">IF(BE$5=0,BD125,MAX(0,(BD125-BE$4)*(1+NORMINV(RAND(),INPUTS!$B$28,INPUTS!$B$29))))</f>
        <v>22487237.5982208</v>
      </c>
      <c r="BF125" s="89" t="n">
        <f aca="true">IF(BF$5=0,BE125,MAX(0,(BE125-BF$4)*(1+NORMINV(RAND(),INPUTS!$B$28,INPUTS!$B$29))))</f>
        <v>22487237.5982208</v>
      </c>
      <c r="BG125" s="89" t="n">
        <f aca="true">IF(BG$5=0,BF125,MAX(0,(BF125-BG$4)*(1+NORMINV(RAND(),INPUTS!$B$28,INPUTS!$B$29))))</f>
        <v>22487237.5982208</v>
      </c>
      <c r="BH125" s="89" t="n">
        <f aca="true">IF(BH$5=0,BG125,MAX(0,(BG125-BH$4)*(1+NORMINV(RAND(),INPUTS!$B$28,INPUTS!$B$29))))</f>
        <v>22487237.5982208</v>
      </c>
      <c r="BI125" s="89" t="n">
        <f aca="true">IF(BI$5=0,BH125,MAX(0,(BH125-BI$4)*(1+NORMINV(RAND(),INPUTS!$B$28,INPUTS!$B$29))))</f>
        <v>22487237.5982208</v>
      </c>
      <c r="BJ125" s="89" t="n">
        <f aca="true">IF(BJ$5=0,BI125,MAX(0,(BI125-BJ$4)*(1+NORMINV(RAND(),INPUTS!$B$28,INPUTS!$B$29))))</f>
        <v>22487237.5982208</v>
      </c>
    </row>
    <row r="126" customFormat="false" ht="15" hidden="false" customHeight="true" outlineLevel="0" collapsed="false">
      <c r="A126" s="87" t="n">
        <v>119</v>
      </c>
      <c r="B126" s="88" t="n">
        <f aca="false">LOOKUP(9.99E+307,C126:BJ126)</f>
        <v>319736.643110369</v>
      </c>
      <c r="C126" s="89" t="n">
        <f aca="true">IF(C$5=0,INPUTS!$B$35,MAX(0,(INPUTS!$B$35-C$4)*(1+NORMINV(RAND(),INPUTS!$B$28,INPUTS!$B$29))))</f>
        <v>1195163.55878867</v>
      </c>
      <c r="D126" s="89" t="n">
        <f aca="true">IF(D$5=0,C126,MAX(0,(C126-D$4)*(1+NORMINV(RAND(),INPUTS!$B$28,INPUTS!$B$29))))</f>
        <v>1282143.21480236</v>
      </c>
      <c r="E126" s="89" t="n">
        <f aca="true">IF(E$5=0,D126,MAX(0,(D126-E$4)*(1+NORMINV(RAND(),INPUTS!$B$28,INPUTS!$B$29))))</f>
        <v>1174803.87403806</v>
      </c>
      <c r="F126" s="89" t="n">
        <f aca="true">IF(F$5=0,E126,MAX(0,(E126-F$4)*(1+NORMINV(RAND(),INPUTS!$B$28,INPUTS!$B$29))))</f>
        <v>1155554.59550001</v>
      </c>
      <c r="G126" s="89" t="n">
        <f aca="true">IF(G$5=0,F126,MAX(0,(F126-G$4)*(1+NORMINV(RAND(),INPUTS!$B$28,INPUTS!$B$29))))</f>
        <v>1277563.81995976</v>
      </c>
      <c r="H126" s="89" t="n">
        <f aca="true">IF(H$5=0,G126,MAX(0,(G126-H$4)*(1+NORMINV(RAND(),INPUTS!$B$28,INPUTS!$B$29))))</f>
        <v>1230747.37145202</v>
      </c>
      <c r="I126" s="89" t="n">
        <f aca="true">IF(I$5=0,H126,MAX(0,(H126-I$4)*(1+NORMINV(RAND(),INPUTS!$B$28,INPUTS!$B$29))))</f>
        <v>1198576.21952422</v>
      </c>
      <c r="J126" s="89" t="n">
        <f aca="true">IF(J$5=0,I126,MAX(0,(I126-J$4)*(1+NORMINV(RAND(),INPUTS!$B$28,INPUTS!$B$29))))</f>
        <v>1092956.44615879</v>
      </c>
      <c r="K126" s="89" t="n">
        <f aca="true">IF(K$5=0,J126,MAX(0,(J126-K$4)*(1+NORMINV(RAND(),INPUTS!$B$28,INPUTS!$B$29))))</f>
        <v>1037772.43926137</v>
      </c>
      <c r="L126" s="89" t="n">
        <f aca="true">IF(L$5=0,K126,MAX(0,(K126-L$4)*(1+NORMINV(RAND(),INPUTS!$B$28,INPUTS!$B$29))))</f>
        <v>937262.467381035</v>
      </c>
      <c r="M126" s="89" t="n">
        <f aca="true">IF(M$5=0,L126,MAX(0,(L126-M$4)*(1+NORMINV(RAND(),INPUTS!$B$28,INPUTS!$B$29))))</f>
        <v>865311.208978489</v>
      </c>
      <c r="N126" s="89" t="n">
        <f aca="true">IF(N$5=0,M126,MAX(0,(M126-N$4)*(1+NORMINV(RAND(),INPUTS!$B$28,INPUTS!$B$29))))</f>
        <v>968845.728837405</v>
      </c>
      <c r="O126" s="89" t="n">
        <f aca="true">IF(O$5=0,N126,MAX(0,(N126-O$4)*(1+NORMINV(RAND(),INPUTS!$B$28,INPUTS!$B$29))))</f>
        <v>982960.335398422</v>
      </c>
      <c r="P126" s="89" t="n">
        <f aca="true">IF(P$5=0,O126,MAX(0,(O126-P$4)*(1+NORMINV(RAND(),INPUTS!$B$28,INPUTS!$B$29))))</f>
        <v>911203.179625619</v>
      </c>
      <c r="Q126" s="89" t="n">
        <f aca="true">IF(Q$5=0,P126,MAX(0,(P126-Q$4)*(1+NORMINV(RAND(),INPUTS!$B$28,INPUTS!$B$29))))</f>
        <v>940202.909570728</v>
      </c>
      <c r="R126" s="89" t="n">
        <f aca="true">IF(R$5=0,Q126,MAX(0,(Q126-R$4)*(1+NORMINV(RAND(),INPUTS!$B$28,INPUTS!$B$29))))</f>
        <v>1184167.91904933</v>
      </c>
      <c r="S126" s="89" t="n">
        <f aca="true">IF(S$5=0,R126,MAX(0,(R126-S$4)*(1+NORMINV(RAND(),INPUTS!$B$28,INPUTS!$B$29))))</f>
        <v>1007260.44446057</v>
      </c>
      <c r="T126" s="89" t="n">
        <f aca="true">IF(T$5=0,S126,MAX(0,(S126-T$4)*(1+NORMINV(RAND(),INPUTS!$B$28,INPUTS!$B$29))))</f>
        <v>1136646.92288628</v>
      </c>
      <c r="U126" s="89" t="n">
        <f aca="true">IF(U$5=0,T126,MAX(0,(T126-U$4)*(1+NORMINV(RAND(),INPUTS!$B$28,INPUTS!$B$29))))</f>
        <v>1083671.20226504</v>
      </c>
      <c r="V126" s="89" t="n">
        <f aca="true">IF(V$5=0,U126,MAX(0,(U126-V$4)*(1+NORMINV(RAND(),INPUTS!$B$28,INPUTS!$B$29))))</f>
        <v>1010252.35899848</v>
      </c>
      <c r="W126" s="89" t="n">
        <f aca="true">IF(W$5=0,V126,MAX(0,(V126-W$4)*(1+NORMINV(RAND(),INPUTS!$B$28,INPUTS!$B$29))))</f>
        <v>1078729.52756476</v>
      </c>
      <c r="X126" s="89" t="n">
        <f aca="true">IF(X$5=0,W126,MAX(0,(W126-X$4)*(1+NORMINV(RAND(),INPUTS!$B$28,INPUTS!$B$29))))</f>
        <v>1169697.63433725</v>
      </c>
      <c r="Y126" s="89" t="n">
        <f aca="true">IF(Y$5=0,X126,MAX(0,(X126-Y$4)*(1+NORMINV(RAND(),INPUTS!$B$28,INPUTS!$B$29))))</f>
        <v>957186.209486048</v>
      </c>
      <c r="Z126" s="89" t="n">
        <f aca="true">IF(Z$5=0,Y126,MAX(0,(Y126-Z$4)*(1+NORMINV(RAND(),INPUTS!$B$28,INPUTS!$B$29))))</f>
        <v>730446.191324643</v>
      </c>
      <c r="AA126" s="89" t="n">
        <f aca="true">IF(AA$5=0,Z126,MAX(0,(Z126-AA$4)*(1+NORMINV(RAND(),INPUTS!$B$28,INPUTS!$B$29))))</f>
        <v>810591.01358613</v>
      </c>
      <c r="AB126" s="89" t="n">
        <f aca="true">IF(AB$5=0,AA126,MAX(0,(AA126-AB$4)*(1+NORMINV(RAND(),INPUTS!$B$28,INPUTS!$B$29))))</f>
        <v>888832.595291711</v>
      </c>
      <c r="AC126" s="89" t="n">
        <f aca="true">IF(AC$5=0,AB126,MAX(0,(AB126-AC$4)*(1+NORMINV(RAND(),INPUTS!$B$28,INPUTS!$B$29))))</f>
        <v>770467.508380521</v>
      </c>
      <c r="AD126" s="89" t="n">
        <f aca="true">IF(AD$5=0,AC126,MAX(0,(AC126-AD$4)*(1+NORMINV(RAND(),INPUTS!$B$28,INPUTS!$B$29))))</f>
        <v>718599.769646118</v>
      </c>
      <c r="AE126" s="89" t="n">
        <f aca="true">IF(AE$5=0,AD126,MAX(0,(AD126-AE$4)*(1+NORMINV(RAND(),INPUTS!$B$28,INPUTS!$B$29))))</f>
        <v>637363.913365443</v>
      </c>
      <c r="AF126" s="89" t="n">
        <f aca="true">IF(AF$5=0,AE126,MAX(0,(AE126-AF$4)*(1+NORMINV(RAND(),INPUTS!$B$28,INPUTS!$B$29))))</f>
        <v>693669.606517868</v>
      </c>
      <c r="AG126" s="89" t="n">
        <f aca="true">IF(AG$5=0,AF126,MAX(0,(AF126-AG$4)*(1+NORMINV(RAND(),INPUTS!$B$28,INPUTS!$B$29))))</f>
        <v>617787.456215568</v>
      </c>
      <c r="AH126" s="89" t="n">
        <f aca="true">IF(AH$5=0,AG126,MAX(0,(AG126-AH$4)*(1+NORMINV(RAND(),INPUTS!$B$28,INPUTS!$B$29))))</f>
        <v>600903.660461111</v>
      </c>
      <c r="AI126" s="89" t="n">
        <f aca="true">IF(AI$5=0,AH126,MAX(0,(AH126-AI$4)*(1+NORMINV(RAND(),INPUTS!$B$28,INPUTS!$B$29))))</f>
        <v>558033.925914936</v>
      </c>
      <c r="AJ126" s="89" t="n">
        <f aca="true">IF(AJ$5=0,AI126,MAX(0,(AI126-AJ$4)*(1+NORMINV(RAND(),INPUTS!$B$28,INPUTS!$B$29))))</f>
        <v>479408.310138846</v>
      </c>
      <c r="AK126" s="89" t="n">
        <f aca="true">IF(AK$5=0,AJ126,MAX(0,(AJ126-AK$4)*(1+NORMINV(RAND(),INPUTS!$B$28,INPUTS!$B$29))))</f>
        <v>385509.546504388</v>
      </c>
      <c r="AL126" s="89" t="n">
        <f aca="true">IF(AL$5=0,AK126,MAX(0,(AK126-AL$4)*(1+NORMINV(RAND(),INPUTS!$B$28,INPUTS!$B$29))))</f>
        <v>319736.643110369</v>
      </c>
      <c r="AM126" s="89" t="n">
        <f aca="true">IF(AM$5=0,AL126,MAX(0,(AL126-AM$4)*(1+NORMINV(RAND(),INPUTS!$B$28,INPUTS!$B$29))))</f>
        <v>319736.643110369</v>
      </c>
      <c r="AN126" s="89" t="n">
        <f aca="true">IF(AN$5=0,AM126,MAX(0,(AM126-AN$4)*(1+NORMINV(RAND(),INPUTS!$B$28,INPUTS!$B$29))))</f>
        <v>319736.643110369</v>
      </c>
      <c r="AO126" s="89" t="n">
        <f aca="true">IF(AO$5=0,AN126,MAX(0,(AN126-AO$4)*(1+NORMINV(RAND(),INPUTS!$B$28,INPUTS!$B$29))))</f>
        <v>319736.643110369</v>
      </c>
      <c r="AP126" s="89" t="n">
        <f aca="true">IF(AP$5=0,AO126,MAX(0,(AO126-AP$4)*(1+NORMINV(RAND(),INPUTS!$B$28,INPUTS!$B$29))))</f>
        <v>319736.643110369</v>
      </c>
      <c r="AQ126" s="89" t="n">
        <f aca="true">IF(AQ$5=0,AP126,MAX(0,(AP126-AQ$4)*(1+NORMINV(RAND(),INPUTS!$B$28,INPUTS!$B$29))))</f>
        <v>319736.643110369</v>
      </c>
      <c r="AR126" s="89" t="n">
        <f aca="true">IF(AR$5=0,AQ126,MAX(0,(AQ126-AR$4)*(1+NORMINV(RAND(),INPUTS!$B$28,INPUTS!$B$29))))</f>
        <v>319736.643110369</v>
      </c>
      <c r="AS126" s="89" t="n">
        <f aca="true">IF(AS$5=0,AR126,MAX(0,(AR126-AS$4)*(1+NORMINV(RAND(),INPUTS!$B$28,INPUTS!$B$29))))</f>
        <v>319736.643110369</v>
      </c>
      <c r="AT126" s="89" t="n">
        <f aca="true">IF(AT$5=0,AS126,MAX(0,(AS126-AT$4)*(1+NORMINV(RAND(),INPUTS!$B$28,INPUTS!$B$29))))</f>
        <v>319736.643110369</v>
      </c>
      <c r="AU126" s="89" t="n">
        <f aca="true">IF(AU$5=0,AT126,MAX(0,(AT126-AU$4)*(1+NORMINV(RAND(),INPUTS!$B$28,INPUTS!$B$29))))</f>
        <v>319736.643110369</v>
      </c>
      <c r="AV126" s="89" t="n">
        <f aca="true">IF(AV$5=0,AU126,MAX(0,(AU126-AV$4)*(1+NORMINV(RAND(),INPUTS!$B$28,INPUTS!$B$29))))</f>
        <v>319736.643110369</v>
      </c>
      <c r="AW126" s="89" t="n">
        <f aca="true">IF(AW$5=0,AV126,MAX(0,(AV126-AW$4)*(1+NORMINV(RAND(),INPUTS!$B$28,INPUTS!$B$29))))</f>
        <v>319736.643110369</v>
      </c>
      <c r="AX126" s="89" t="n">
        <f aca="true">IF(AX$5=0,AW126,MAX(0,(AW126-AX$4)*(1+NORMINV(RAND(),INPUTS!$B$28,INPUTS!$B$29))))</f>
        <v>319736.643110369</v>
      </c>
      <c r="AY126" s="89" t="n">
        <f aca="true">IF(AY$5=0,AX126,MAX(0,(AX126-AY$4)*(1+NORMINV(RAND(),INPUTS!$B$28,INPUTS!$B$29))))</f>
        <v>319736.643110369</v>
      </c>
      <c r="AZ126" s="89" t="n">
        <f aca="true">IF(AZ$5=0,AY126,MAX(0,(AY126-AZ$4)*(1+NORMINV(RAND(),INPUTS!$B$28,INPUTS!$B$29))))</f>
        <v>319736.643110369</v>
      </c>
      <c r="BA126" s="89" t="n">
        <f aca="true">IF(BA$5=0,AZ126,MAX(0,(AZ126-BA$4)*(1+NORMINV(RAND(),INPUTS!$B$28,INPUTS!$B$29))))</f>
        <v>319736.643110369</v>
      </c>
      <c r="BB126" s="89" t="n">
        <f aca="true">IF(BB$5=0,BA126,MAX(0,(BA126-BB$4)*(1+NORMINV(RAND(),INPUTS!$B$28,INPUTS!$B$29))))</f>
        <v>319736.643110369</v>
      </c>
      <c r="BC126" s="89" t="n">
        <f aca="true">IF(BC$5=0,BB126,MAX(0,(BB126-BC$4)*(1+NORMINV(RAND(),INPUTS!$B$28,INPUTS!$B$29))))</f>
        <v>319736.643110369</v>
      </c>
      <c r="BD126" s="89" t="n">
        <f aca="true">IF(BD$5=0,BC126,MAX(0,(BC126-BD$4)*(1+NORMINV(RAND(),INPUTS!$B$28,INPUTS!$B$29))))</f>
        <v>319736.643110369</v>
      </c>
      <c r="BE126" s="89" t="n">
        <f aca="true">IF(BE$5=0,BD126,MAX(0,(BD126-BE$4)*(1+NORMINV(RAND(),INPUTS!$B$28,INPUTS!$B$29))))</f>
        <v>319736.643110369</v>
      </c>
      <c r="BF126" s="89" t="n">
        <f aca="true">IF(BF$5=0,BE126,MAX(0,(BE126-BF$4)*(1+NORMINV(RAND(),INPUTS!$B$28,INPUTS!$B$29))))</f>
        <v>319736.643110369</v>
      </c>
      <c r="BG126" s="89" t="n">
        <f aca="true">IF(BG$5=0,BF126,MAX(0,(BF126-BG$4)*(1+NORMINV(RAND(),INPUTS!$B$28,INPUTS!$B$29))))</f>
        <v>319736.643110369</v>
      </c>
      <c r="BH126" s="89" t="n">
        <f aca="true">IF(BH$5=0,BG126,MAX(0,(BG126-BH$4)*(1+NORMINV(RAND(),INPUTS!$B$28,INPUTS!$B$29))))</f>
        <v>319736.643110369</v>
      </c>
      <c r="BI126" s="89" t="n">
        <f aca="true">IF(BI$5=0,BH126,MAX(0,(BH126-BI$4)*(1+NORMINV(RAND(),INPUTS!$B$28,INPUTS!$B$29))))</f>
        <v>319736.643110369</v>
      </c>
      <c r="BJ126" s="89" t="n">
        <f aca="true">IF(BJ$5=0,BI126,MAX(0,(BI126-BJ$4)*(1+NORMINV(RAND(),INPUTS!$B$28,INPUTS!$B$29))))</f>
        <v>319736.643110369</v>
      </c>
    </row>
    <row r="127" customFormat="false" ht="15" hidden="false" customHeight="true" outlineLevel="0" collapsed="false">
      <c r="A127" s="87" t="n">
        <v>120</v>
      </c>
      <c r="B127" s="88" t="n">
        <f aca="false">LOOKUP(9.99E+307,C127:BJ127)</f>
        <v>1822472.12232394</v>
      </c>
      <c r="C127" s="89" t="n">
        <f aca="true">IF(C$5=0,INPUTS!$B$35,MAX(0,(INPUTS!$B$35-C$4)*(1+NORMINV(RAND(),INPUTS!$B$28,INPUTS!$B$29))))</f>
        <v>1601500.17214041</v>
      </c>
      <c r="D127" s="89" t="n">
        <f aca="true">IF(D$5=0,C127,MAX(0,(C127-D$4)*(1+NORMINV(RAND(),INPUTS!$B$28,INPUTS!$B$29))))</f>
        <v>1550617.19598758</v>
      </c>
      <c r="E127" s="89" t="n">
        <f aca="true">IF(E$5=0,D127,MAX(0,(D127-E$4)*(1+NORMINV(RAND(),INPUTS!$B$28,INPUTS!$B$29))))</f>
        <v>1475728.34827566</v>
      </c>
      <c r="F127" s="89" t="n">
        <f aca="true">IF(F$5=0,E127,MAX(0,(E127-F$4)*(1+NORMINV(RAND(),INPUTS!$B$28,INPUTS!$B$29))))</f>
        <v>1314079.2434941</v>
      </c>
      <c r="G127" s="89" t="n">
        <f aca="true">IF(G$5=0,F127,MAX(0,(F127-G$4)*(1+NORMINV(RAND(),INPUTS!$B$28,INPUTS!$B$29))))</f>
        <v>1123507.88678204</v>
      </c>
      <c r="H127" s="89" t="n">
        <f aca="true">IF(H$5=0,G127,MAX(0,(G127-H$4)*(1+NORMINV(RAND(),INPUTS!$B$28,INPUTS!$B$29))))</f>
        <v>1202304.8936864</v>
      </c>
      <c r="I127" s="89" t="n">
        <f aca="true">IF(I$5=0,H127,MAX(0,(H127-I$4)*(1+NORMINV(RAND(),INPUTS!$B$28,INPUTS!$B$29))))</f>
        <v>1246224.07476094</v>
      </c>
      <c r="J127" s="89" t="n">
        <f aca="true">IF(J$5=0,I127,MAX(0,(I127-J$4)*(1+NORMINV(RAND(),INPUTS!$B$28,INPUTS!$B$29))))</f>
        <v>1462638.25895134</v>
      </c>
      <c r="K127" s="89" t="n">
        <f aca="true">IF(K$5=0,J127,MAX(0,(J127-K$4)*(1+NORMINV(RAND(),INPUTS!$B$28,INPUTS!$B$29))))</f>
        <v>1527660.81704628</v>
      </c>
      <c r="L127" s="89" t="n">
        <f aca="true">IF(L$5=0,K127,MAX(0,(K127-L$4)*(1+NORMINV(RAND(),INPUTS!$B$28,INPUTS!$B$29))))</f>
        <v>1567668.7637468</v>
      </c>
      <c r="M127" s="89" t="n">
        <f aca="true">IF(M$5=0,L127,MAX(0,(L127-M$4)*(1+NORMINV(RAND(),INPUTS!$B$28,INPUTS!$B$29))))</f>
        <v>1800881.7691338</v>
      </c>
      <c r="N127" s="89" t="n">
        <f aca="true">IF(N$5=0,M127,MAX(0,(M127-N$4)*(1+NORMINV(RAND(),INPUTS!$B$28,INPUTS!$B$29))))</f>
        <v>2202097.49272119</v>
      </c>
      <c r="O127" s="89" t="n">
        <f aca="true">IF(O$5=0,N127,MAX(0,(N127-O$4)*(1+NORMINV(RAND(),INPUTS!$B$28,INPUTS!$B$29))))</f>
        <v>1960971.3857069</v>
      </c>
      <c r="P127" s="89" t="n">
        <f aca="true">IF(P$5=0,O127,MAX(0,(O127-P$4)*(1+NORMINV(RAND(),INPUTS!$B$28,INPUTS!$B$29))))</f>
        <v>1596432.2273332</v>
      </c>
      <c r="Q127" s="89" t="n">
        <f aca="true">IF(Q$5=0,P127,MAX(0,(P127-Q$4)*(1+NORMINV(RAND(),INPUTS!$B$28,INPUTS!$B$29))))</f>
        <v>1490840.57556836</v>
      </c>
      <c r="R127" s="89" t="n">
        <f aca="true">IF(R$5=0,Q127,MAX(0,(Q127-R$4)*(1+NORMINV(RAND(),INPUTS!$B$28,INPUTS!$B$29))))</f>
        <v>1512686.48827565</v>
      </c>
      <c r="S127" s="89" t="n">
        <f aca="true">IF(S$5=0,R127,MAX(0,(R127-S$4)*(1+NORMINV(RAND(),INPUTS!$B$28,INPUTS!$B$29))))</f>
        <v>1544705.71274464</v>
      </c>
      <c r="T127" s="89" t="n">
        <f aca="true">IF(T$5=0,S127,MAX(0,(S127-T$4)*(1+NORMINV(RAND(),INPUTS!$B$28,INPUTS!$B$29))))</f>
        <v>1545527.11845792</v>
      </c>
      <c r="U127" s="89" t="n">
        <f aca="true">IF(U$5=0,T127,MAX(0,(T127-U$4)*(1+NORMINV(RAND(),INPUTS!$B$28,INPUTS!$B$29))))</f>
        <v>1618910.41199758</v>
      </c>
      <c r="V127" s="89" t="n">
        <f aca="true">IF(V$5=0,U127,MAX(0,(U127-V$4)*(1+NORMINV(RAND(),INPUTS!$B$28,INPUTS!$B$29))))</f>
        <v>1431510.80965916</v>
      </c>
      <c r="W127" s="89" t="n">
        <f aca="true">IF(W$5=0,V127,MAX(0,(V127-W$4)*(1+NORMINV(RAND(),INPUTS!$B$28,INPUTS!$B$29))))</f>
        <v>1529361.00385338</v>
      </c>
      <c r="X127" s="89" t="n">
        <f aca="true">IF(X$5=0,W127,MAX(0,(W127-X$4)*(1+NORMINV(RAND(),INPUTS!$B$28,INPUTS!$B$29))))</f>
        <v>1612738.6013174</v>
      </c>
      <c r="Y127" s="89" t="n">
        <f aca="true">IF(Y$5=0,X127,MAX(0,(X127-Y$4)*(1+NORMINV(RAND(),INPUTS!$B$28,INPUTS!$B$29))))</f>
        <v>1852049.1770893</v>
      </c>
      <c r="Z127" s="89" t="n">
        <f aca="true">IF(Z$5=0,Y127,MAX(0,(Y127-Z$4)*(1+NORMINV(RAND(),INPUTS!$B$28,INPUTS!$B$29))))</f>
        <v>1746033.19990391</v>
      </c>
      <c r="AA127" s="89" t="n">
        <f aca="true">IF(AA$5=0,Z127,MAX(0,(Z127-AA$4)*(1+NORMINV(RAND(),INPUTS!$B$28,INPUTS!$B$29))))</f>
        <v>1659872.03310504</v>
      </c>
      <c r="AB127" s="89" t="n">
        <f aca="true">IF(AB$5=0,AA127,MAX(0,(AA127-AB$4)*(1+NORMINV(RAND(),INPUTS!$B$28,INPUTS!$B$29))))</f>
        <v>1619642.07875075</v>
      </c>
      <c r="AC127" s="89" t="n">
        <f aca="true">IF(AC$5=0,AB127,MAX(0,(AB127-AC$4)*(1+NORMINV(RAND(),INPUTS!$B$28,INPUTS!$B$29))))</f>
        <v>1358720.76600203</v>
      </c>
      <c r="AD127" s="89" t="n">
        <f aca="true">IF(AD$5=0,AC127,MAX(0,(AC127-AD$4)*(1+NORMINV(RAND(),INPUTS!$B$28,INPUTS!$B$29))))</f>
        <v>1594196.39069891</v>
      </c>
      <c r="AE127" s="89" t="n">
        <f aca="true">IF(AE$5=0,AD127,MAX(0,(AD127-AE$4)*(1+NORMINV(RAND(),INPUTS!$B$28,INPUTS!$B$29))))</f>
        <v>1763328.77118462</v>
      </c>
      <c r="AF127" s="89" t="n">
        <f aca="true">IF(AF$5=0,AE127,MAX(0,(AE127-AF$4)*(1+NORMINV(RAND(),INPUTS!$B$28,INPUTS!$B$29))))</f>
        <v>1835699.45734139</v>
      </c>
      <c r="AG127" s="89" t="n">
        <f aca="true">IF(AG$5=0,AF127,MAX(0,(AF127-AG$4)*(1+NORMINV(RAND(),INPUTS!$B$28,INPUTS!$B$29))))</f>
        <v>2147208.78097721</v>
      </c>
      <c r="AH127" s="89" t="n">
        <f aca="true">IF(AH$5=0,AG127,MAX(0,(AG127-AH$4)*(1+NORMINV(RAND(),INPUTS!$B$28,INPUTS!$B$29))))</f>
        <v>2117947.52336539</v>
      </c>
      <c r="AI127" s="89" t="n">
        <f aca="true">IF(AI$5=0,AH127,MAX(0,(AH127-AI$4)*(1+NORMINV(RAND(),INPUTS!$B$28,INPUTS!$B$29))))</f>
        <v>2063082.0034838</v>
      </c>
      <c r="AJ127" s="89" t="n">
        <f aca="true">IF(AJ$5=0,AI127,MAX(0,(AI127-AJ$4)*(1+NORMINV(RAND(),INPUTS!$B$28,INPUTS!$B$29))))</f>
        <v>1837433.15806111</v>
      </c>
      <c r="AK127" s="89" t="n">
        <f aca="true">IF(AK$5=0,AJ127,MAX(0,(AJ127-AK$4)*(1+NORMINV(RAND(),INPUTS!$B$28,INPUTS!$B$29))))</f>
        <v>1842438.48961592</v>
      </c>
      <c r="AL127" s="89" t="n">
        <f aca="true">IF(AL$5=0,AK127,MAX(0,(AK127-AL$4)*(1+NORMINV(RAND(),INPUTS!$B$28,INPUTS!$B$29))))</f>
        <v>1822472.12232394</v>
      </c>
      <c r="AM127" s="89" t="n">
        <f aca="true">IF(AM$5=0,AL127,MAX(0,(AL127-AM$4)*(1+NORMINV(RAND(),INPUTS!$B$28,INPUTS!$B$29))))</f>
        <v>1822472.12232394</v>
      </c>
      <c r="AN127" s="89" t="n">
        <f aca="true">IF(AN$5=0,AM127,MAX(0,(AM127-AN$4)*(1+NORMINV(RAND(),INPUTS!$B$28,INPUTS!$B$29))))</f>
        <v>1822472.12232394</v>
      </c>
      <c r="AO127" s="89" t="n">
        <f aca="true">IF(AO$5=0,AN127,MAX(0,(AN127-AO$4)*(1+NORMINV(RAND(),INPUTS!$B$28,INPUTS!$B$29))))</f>
        <v>1822472.12232394</v>
      </c>
      <c r="AP127" s="89" t="n">
        <f aca="true">IF(AP$5=0,AO127,MAX(0,(AO127-AP$4)*(1+NORMINV(RAND(),INPUTS!$B$28,INPUTS!$B$29))))</f>
        <v>1822472.12232394</v>
      </c>
      <c r="AQ127" s="89" t="n">
        <f aca="true">IF(AQ$5=0,AP127,MAX(0,(AP127-AQ$4)*(1+NORMINV(RAND(),INPUTS!$B$28,INPUTS!$B$29))))</f>
        <v>1822472.12232394</v>
      </c>
      <c r="AR127" s="89" t="n">
        <f aca="true">IF(AR$5=0,AQ127,MAX(0,(AQ127-AR$4)*(1+NORMINV(RAND(),INPUTS!$B$28,INPUTS!$B$29))))</f>
        <v>1822472.12232394</v>
      </c>
      <c r="AS127" s="89" t="n">
        <f aca="true">IF(AS$5=0,AR127,MAX(0,(AR127-AS$4)*(1+NORMINV(RAND(),INPUTS!$B$28,INPUTS!$B$29))))</f>
        <v>1822472.12232394</v>
      </c>
      <c r="AT127" s="89" t="n">
        <f aca="true">IF(AT$5=0,AS127,MAX(0,(AS127-AT$4)*(1+NORMINV(RAND(),INPUTS!$B$28,INPUTS!$B$29))))</f>
        <v>1822472.12232394</v>
      </c>
      <c r="AU127" s="89" t="n">
        <f aca="true">IF(AU$5=0,AT127,MAX(0,(AT127-AU$4)*(1+NORMINV(RAND(),INPUTS!$B$28,INPUTS!$B$29))))</f>
        <v>1822472.12232394</v>
      </c>
      <c r="AV127" s="89" t="n">
        <f aca="true">IF(AV$5=0,AU127,MAX(0,(AU127-AV$4)*(1+NORMINV(RAND(),INPUTS!$B$28,INPUTS!$B$29))))</f>
        <v>1822472.12232394</v>
      </c>
      <c r="AW127" s="89" t="n">
        <f aca="true">IF(AW$5=0,AV127,MAX(0,(AV127-AW$4)*(1+NORMINV(RAND(),INPUTS!$B$28,INPUTS!$B$29))))</f>
        <v>1822472.12232394</v>
      </c>
      <c r="AX127" s="89" t="n">
        <f aca="true">IF(AX$5=0,AW127,MAX(0,(AW127-AX$4)*(1+NORMINV(RAND(),INPUTS!$B$28,INPUTS!$B$29))))</f>
        <v>1822472.12232394</v>
      </c>
      <c r="AY127" s="89" t="n">
        <f aca="true">IF(AY$5=0,AX127,MAX(0,(AX127-AY$4)*(1+NORMINV(RAND(),INPUTS!$B$28,INPUTS!$B$29))))</f>
        <v>1822472.12232394</v>
      </c>
      <c r="AZ127" s="89" t="n">
        <f aca="true">IF(AZ$5=0,AY127,MAX(0,(AY127-AZ$4)*(1+NORMINV(RAND(),INPUTS!$B$28,INPUTS!$B$29))))</f>
        <v>1822472.12232394</v>
      </c>
      <c r="BA127" s="89" t="n">
        <f aca="true">IF(BA$5=0,AZ127,MAX(0,(AZ127-BA$4)*(1+NORMINV(RAND(),INPUTS!$B$28,INPUTS!$B$29))))</f>
        <v>1822472.12232394</v>
      </c>
      <c r="BB127" s="89" t="n">
        <f aca="true">IF(BB$5=0,BA127,MAX(0,(BA127-BB$4)*(1+NORMINV(RAND(),INPUTS!$B$28,INPUTS!$B$29))))</f>
        <v>1822472.12232394</v>
      </c>
      <c r="BC127" s="89" t="n">
        <f aca="true">IF(BC$5=0,BB127,MAX(0,(BB127-BC$4)*(1+NORMINV(RAND(),INPUTS!$B$28,INPUTS!$B$29))))</f>
        <v>1822472.12232394</v>
      </c>
      <c r="BD127" s="89" t="n">
        <f aca="true">IF(BD$5=0,BC127,MAX(0,(BC127-BD$4)*(1+NORMINV(RAND(),INPUTS!$B$28,INPUTS!$B$29))))</f>
        <v>1822472.12232394</v>
      </c>
      <c r="BE127" s="89" t="n">
        <f aca="true">IF(BE$5=0,BD127,MAX(0,(BD127-BE$4)*(1+NORMINV(RAND(),INPUTS!$B$28,INPUTS!$B$29))))</f>
        <v>1822472.12232394</v>
      </c>
      <c r="BF127" s="89" t="n">
        <f aca="true">IF(BF$5=0,BE127,MAX(0,(BE127-BF$4)*(1+NORMINV(RAND(),INPUTS!$B$28,INPUTS!$B$29))))</f>
        <v>1822472.12232394</v>
      </c>
      <c r="BG127" s="89" t="n">
        <f aca="true">IF(BG$5=0,BF127,MAX(0,(BF127-BG$4)*(1+NORMINV(RAND(),INPUTS!$B$28,INPUTS!$B$29))))</f>
        <v>1822472.12232394</v>
      </c>
      <c r="BH127" s="89" t="n">
        <f aca="true">IF(BH$5=0,BG127,MAX(0,(BG127-BH$4)*(1+NORMINV(RAND(),INPUTS!$B$28,INPUTS!$B$29))))</f>
        <v>1822472.12232394</v>
      </c>
      <c r="BI127" s="89" t="n">
        <f aca="true">IF(BI$5=0,BH127,MAX(0,(BH127-BI$4)*(1+NORMINV(RAND(),INPUTS!$B$28,INPUTS!$B$29))))</f>
        <v>1822472.12232394</v>
      </c>
      <c r="BJ127" s="89" t="n">
        <f aca="true">IF(BJ$5=0,BI127,MAX(0,(BI127-BJ$4)*(1+NORMINV(RAND(),INPUTS!$B$28,INPUTS!$B$29))))</f>
        <v>1822472.12232394</v>
      </c>
    </row>
    <row r="128" customFormat="false" ht="15" hidden="false" customHeight="true" outlineLevel="0" collapsed="false">
      <c r="A128" s="87" t="n">
        <v>121</v>
      </c>
      <c r="B128" s="88" t="n">
        <f aca="false">LOOKUP(9.99E+307,C128:BJ128)</f>
        <v>4887372.52521725</v>
      </c>
      <c r="C128" s="89" t="n">
        <f aca="true">IF(C$5=0,INPUTS!$B$35,MAX(0,(INPUTS!$B$35-C$4)*(1+NORMINV(RAND(),INPUTS!$B$28,INPUTS!$B$29))))</f>
        <v>1545991.43738902</v>
      </c>
      <c r="D128" s="89" t="n">
        <f aca="true">IF(D$5=0,C128,MAX(0,(C128-D$4)*(1+NORMINV(RAND(),INPUTS!$B$28,INPUTS!$B$29))))</f>
        <v>1473294.83000192</v>
      </c>
      <c r="E128" s="89" t="n">
        <f aca="true">IF(E$5=0,D128,MAX(0,(D128-E$4)*(1+NORMINV(RAND(),INPUTS!$B$28,INPUTS!$B$29))))</f>
        <v>1711811.65532539</v>
      </c>
      <c r="F128" s="89" t="n">
        <f aca="true">IF(F$5=0,E128,MAX(0,(E128-F$4)*(1+NORMINV(RAND(),INPUTS!$B$28,INPUTS!$B$29))))</f>
        <v>2119054.65782331</v>
      </c>
      <c r="G128" s="89" t="n">
        <f aca="true">IF(G$5=0,F128,MAX(0,(F128-G$4)*(1+NORMINV(RAND(),INPUTS!$B$28,INPUTS!$B$29))))</f>
        <v>2037390.01196115</v>
      </c>
      <c r="H128" s="89" t="n">
        <f aca="true">IF(H$5=0,G128,MAX(0,(G128-H$4)*(1+NORMINV(RAND(),INPUTS!$B$28,INPUTS!$B$29))))</f>
        <v>2195958.79292102</v>
      </c>
      <c r="I128" s="89" t="n">
        <f aca="true">IF(I$5=0,H128,MAX(0,(H128-I$4)*(1+NORMINV(RAND(),INPUTS!$B$28,INPUTS!$B$29))))</f>
        <v>2332239.32298159</v>
      </c>
      <c r="J128" s="89" t="n">
        <f aca="true">IF(J$5=0,I128,MAX(0,(I128-J$4)*(1+NORMINV(RAND(),INPUTS!$B$28,INPUTS!$B$29))))</f>
        <v>2685022.19936125</v>
      </c>
      <c r="K128" s="89" t="n">
        <f aca="true">IF(K$5=0,J128,MAX(0,(J128-K$4)*(1+NORMINV(RAND(),INPUTS!$B$28,INPUTS!$B$29))))</f>
        <v>2099610.34085759</v>
      </c>
      <c r="L128" s="89" t="n">
        <f aca="true">IF(L$5=0,K128,MAX(0,(K128-L$4)*(1+NORMINV(RAND(),INPUTS!$B$28,INPUTS!$B$29))))</f>
        <v>1932629.57776512</v>
      </c>
      <c r="M128" s="89" t="n">
        <f aca="true">IF(M$5=0,L128,MAX(0,(L128-M$4)*(1+NORMINV(RAND(),INPUTS!$B$28,INPUTS!$B$29))))</f>
        <v>1994344.93785359</v>
      </c>
      <c r="N128" s="89" t="n">
        <f aca="true">IF(N$5=0,M128,MAX(0,(M128-N$4)*(1+NORMINV(RAND(),INPUTS!$B$28,INPUTS!$B$29))))</f>
        <v>2058195.31072706</v>
      </c>
      <c r="O128" s="89" t="n">
        <f aca="true">IF(O$5=0,N128,MAX(0,(N128-O$4)*(1+NORMINV(RAND(),INPUTS!$B$28,INPUTS!$B$29))))</f>
        <v>1872279.93257134</v>
      </c>
      <c r="P128" s="89" t="n">
        <f aca="true">IF(P$5=0,O128,MAX(0,(O128-P$4)*(1+NORMINV(RAND(),INPUTS!$B$28,INPUTS!$B$29))))</f>
        <v>1955830.89774948</v>
      </c>
      <c r="Q128" s="89" t="n">
        <f aca="true">IF(Q$5=0,P128,MAX(0,(P128-Q$4)*(1+NORMINV(RAND(),INPUTS!$B$28,INPUTS!$B$29))))</f>
        <v>1905657.54641539</v>
      </c>
      <c r="R128" s="89" t="n">
        <f aca="true">IF(R$5=0,Q128,MAX(0,(Q128-R$4)*(1+NORMINV(RAND(),INPUTS!$B$28,INPUTS!$B$29))))</f>
        <v>2212387.58900053</v>
      </c>
      <c r="S128" s="89" t="n">
        <f aca="true">IF(S$5=0,R128,MAX(0,(R128-S$4)*(1+NORMINV(RAND(),INPUTS!$B$28,INPUTS!$B$29))))</f>
        <v>2596334.34388432</v>
      </c>
      <c r="T128" s="89" t="n">
        <f aca="true">IF(T$5=0,S128,MAX(0,(S128-T$4)*(1+NORMINV(RAND(),INPUTS!$B$28,INPUTS!$B$29))))</f>
        <v>2323442.9296949</v>
      </c>
      <c r="U128" s="89" t="n">
        <f aca="true">IF(U$5=0,T128,MAX(0,(T128-U$4)*(1+NORMINV(RAND(),INPUTS!$B$28,INPUTS!$B$29))))</f>
        <v>2384633.45147003</v>
      </c>
      <c r="V128" s="89" t="n">
        <f aca="true">IF(V$5=0,U128,MAX(0,(U128-V$4)*(1+NORMINV(RAND(),INPUTS!$B$28,INPUTS!$B$29))))</f>
        <v>2356542.85630478</v>
      </c>
      <c r="W128" s="89" t="n">
        <f aca="true">IF(W$5=0,V128,MAX(0,(V128-W$4)*(1+NORMINV(RAND(),INPUTS!$B$28,INPUTS!$B$29))))</f>
        <v>2720934.64185849</v>
      </c>
      <c r="X128" s="89" t="n">
        <f aca="true">IF(X$5=0,W128,MAX(0,(W128-X$4)*(1+NORMINV(RAND(),INPUTS!$B$28,INPUTS!$B$29))))</f>
        <v>2653995.86205204</v>
      </c>
      <c r="Y128" s="89" t="n">
        <f aca="true">IF(Y$5=0,X128,MAX(0,(X128-Y$4)*(1+NORMINV(RAND(),INPUTS!$B$28,INPUTS!$B$29))))</f>
        <v>3043924.52034305</v>
      </c>
      <c r="Z128" s="89" t="n">
        <f aca="true">IF(Z$5=0,Y128,MAX(0,(Y128-Z$4)*(1+NORMINV(RAND(),INPUTS!$B$28,INPUTS!$B$29))))</f>
        <v>3674407.69999769</v>
      </c>
      <c r="AA128" s="89" t="n">
        <f aca="true">IF(AA$5=0,Z128,MAX(0,(Z128-AA$4)*(1+NORMINV(RAND(),INPUTS!$B$28,INPUTS!$B$29))))</f>
        <v>3771569.00767686</v>
      </c>
      <c r="AB128" s="89" t="n">
        <f aca="true">IF(AB$5=0,AA128,MAX(0,(AA128-AB$4)*(1+NORMINV(RAND(),INPUTS!$B$28,INPUTS!$B$29))))</f>
        <v>3225623.49550681</v>
      </c>
      <c r="AC128" s="89" t="n">
        <f aca="true">IF(AC$5=0,AB128,MAX(0,(AB128-AC$4)*(1+NORMINV(RAND(),INPUTS!$B$28,INPUTS!$B$29))))</f>
        <v>3495759.79831917</v>
      </c>
      <c r="AD128" s="89" t="n">
        <f aca="true">IF(AD$5=0,AC128,MAX(0,(AC128-AD$4)*(1+NORMINV(RAND(),INPUTS!$B$28,INPUTS!$B$29))))</f>
        <v>3746861.73029111</v>
      </c>
      <c r="AE128" s="89" t="n">
        <f aca="true">IF(AE$5=0,AD128,MAX(0,(AD128-AE$4)*(1+NORMINV(RAND(),INPUTS!$B$28,INPUTS!$B$29))))</f>
        <v>3791952.18941586</v>
      </c>
      <c r="AF128" s="89" t="n">
        <f aca="true">IF(AF$5=0,AE128,MAX(0,(AE128-AF$4)*(1+NORMINV(RAND(),INPUTS!$B$28,INPUTS!$B$29))))</f>
        <v>4468175.63481249</v>
      </c>
      <c r="AG128" s="89" t="n">
        <f aca="true">IF(AG$5=0,AF128,MAX(0,(AF128-AG$4)*(1+NORMINV(RAND(),INPUTS!$B$28,INPUTS!$B$29))))</f>
        <v>4319596.59197455</v>
      </c>
      <c r="AH128" s="89" t="n">
        <f aca="true">IF(AH$5=0,AG128,MAX(0,(AG128-AH$4)*(1+NORMINV(RAND(),INPUTS!$B$28,INPUTS!$B$29))))</f>
        <v>4441641.17453628</v>
      </c>
      <c r="AI128" s="89" t="n">
        <f aca="true">IF(AI$5=0,AH128,MAX(0,(AH128-AI$4)*(1+NORMINV(RAND(),INPUTS!$B$28,INPUTS!$B$29))))</f>
        <v>4809753.19031191</v>
      </c>
      <c r="AJ128" s="89" t="n">
        <f aca="true">IF(AJ$5=0,AI128,MAX(0,(AI128-AJ$4)*(1+NORMINV(RAND(),INPUTS!$B$28,INPUTS!$B$29))))</f>
        <v>4831232.21852302</v>
      </c>
      <c r="AK128" s="89" t="n">
        <f aca="true">IF(AK$5=0,AJ128,MAX(0,(AJ128-AK$4)*(1+NORMINV(RAND(),INPUTS!$B$28,INPUTS!$B$29))))</f>
        <v>4534318.35383598</v>
      </c>
      <c r="AL128" s="89" t="n">
        <f aca="true">IF(AL$5=0,AK128,MAX(0,(AK128-AL$4)*(1+NORMINV(RAND(),INPUTS!$B$28,INPUTS!$B$29))))</f>
        <v>4887372.52521725</v>
      </c>
      <c r="AM128" s="89" t="n">
        <f aca="true">IF(AM$5=0,AL128,MAX(0,(AL128-AM$4)*(1+NORMINV(RAND(),INPUTS!$B$28,INPUTS!$B$29))))</f>
        <v>4887372.52521725</v>
      </c>
      <c r="AN128" s="89" t="n">
        <f aca="true">IF(AN$5=0,AM128,MAX(0,(AM128-AN$4)*(1+NORMINV(RAND(),INPUTS!$B$28,INPUTS!$B$29))))</f>
        <v>4887372.52521725</v>
      </c>
      <c r="AO128" s="89" t="n">
        <f aca="true">IF(AO$5=0,AN128,MAX(0,(AN128-AO$4)*(1+NORMINV(RAND(),INPUTS!$B$28,INPUTS!$B$29))))</f>
        <v>4887372.52521725</v>
      </c>
      <c r="AP128" s="89" t="n">
        <f aca="true">IF(AP$5=0,AO128,MAX(0,(AO128-AP$4)*(1+NORMINV(RAND(),INPUTS!$B$28,INPUTS!$B$29))))</f>
        <v>4887372.52521725</v>
      </c>
      <c r="AQ128" s="89" t="n">
        <f aca="true">IF(AQ$5=0,AP128,MAX(0,(AP128-AQ$4)*(1+NORMINV(RAND(),INPUTS!$B$28,INPUTS!$B$29))))</f>
        <v>4887372.52521725</v>
      </c>
      <c r="AR128" s="89" t="n">
        <f aca="true">IF(AR$5=0,AQ128,MAX(0,(AQ128-AR$4)*(1+NORMINV(RAND(),INPUTS!$B$28,INPUTS!$B$29))))</f>
        <v>4887372.52521725</v>
      </c>
      <c r="AS128" s="89" t="n">
        <f aca="true">IF(AS$5=0,AR128,MAX(0,(AR128-AS$4)*(1+NORMINV(RAND(),INPUTS!$B$28,INPUTS!$B$29))))</f>
        <v>4887372.52521725</v>
      </c>
      <c r="AT128" s="89" t="n">
        <f aca="true">IF(AT$5=0,AS128,MAX(0,(AS128-AT$4)*(1+NORMINV(RAND(),INPUTS!$B$28,INPUTS!$B$29))))</f>
        <v>4887372.52521725</v>
      </c>
      <c r="AU128" s="89" t="n">
        <f aca="true">IF(AU$5=0,AT128,MAX(0,(AT128-AU$4)*(1+NORMINV(RAND(),INPUTS!$B$28,INPUTS!$B$29))))</f>
        <v>4887372.52521725</v>
      </c>
      <c r="AV128" s="89" t="n">
        <f aca="true">IF(AV$5=0,AU128,MAX(0,(AU128-AV$4)*(1+NORMINV(RAND(),INPUTS!$B$28,INPUTS!$B$29))))</f>
        <v>4887372.52521725</v>
      </c>
      <c r="AW128" s="89" t="n">
        <f aca="true">IF(AW$5=0,AV128,MAX(0,(AV128-AW$4)*(1+NORMINV(RAND(),INPUTS!$B$28,INPUTS!$B$29))))</f>
        <v>4887372.52521725</v>
      </c>
      <c r="AX128" s="89" t="n">
        <f aca="true">IF(AX$5=0,AW128,MAX(0,(AW128-AX$4)*(1+NORMINV(RAND(),INPUTS!$B$28,INPUTS!$B$29))))</f>
        <v>4887372.52521725</v>
      </c>
      <c r="AY128" s="89" t="n">
        <f aca="true">IF(AY$5=0,AX128,MAX(0,(AX128-AY$4)*(1+NORMINV(RAND(),INPUTS!$B$28,INPUTS!$B$29))))</f>
        <v>4887372.52521725</v>
      </c>
      <c r="AZ128" s="89" t="n">
        <f aca="true">IF(AZ$5=0,AY128,MAX(0,(AY128-AZ$4)*(1+NORMINV(RAND(),INPUTS!$B$28,INPUTS!$B$29))))</f>
        <v>4887372.52521725</v>
      </c>
      <c r="BA128" s="89" t="n">
        <f aca="true">IF(BA$5=0,AZ128,MAX(0,(AZ128-BA$4)*(1+NORMINV(RAND(),INPUTS!$B$28,INPUTS!$B$29))))</f>
        <v>4887372.52521725</v>
      </c>
      <c r="BB128" s="89" t="n">
        <f aca="true">IF(BB$5=0,BA128,MAX(0,(BA128-BB$4)*(1+NORMINV(RAND(),INPUTS!$B$28,INPUTS!$B$29))))</f>
        <v>4887372.52521725</v>
      </c>
      <c r="BC128" s="89" t="n">
        <f aca="true">IF(BC$5=0,BB128,MAX(0,(BB128-BC$4)*(1+NORMINV(RAND(),INPUTS!$B$28,INPUTS!$B$29))))</f>
        <v>4887372.52521725</v>
      </c>
      <c r="BD128" s="89" t="n">
        <f aca="true">IF(BD$5=0,BC128,MAX(0,(BC128-BD$4)*(1+NORMINV(RAND(),INPUTS!$B$28,INPUTS!$B$29))))</f>
        <v>4887372.52521725</v>
      </c>
      <c r="BE128" s="89" t="n">
        <f aca="true">IF(BE$5=0,BD128,MAX(0,(BD128-BE$4)*(1+NORMINV(RAND(),INPUTS!$B$28,INPUTS!$B$29))))</f>
        <v>4887372.52521725</v>
      </c>
      <c r="BF128" s="89" t="n">
        <f aca="true">IF(BF$5=0,BE128,MAX(0,(BE128-BF$4)*(1+NORMINV(RAND(),INPUTS!$B$28,INPUTS!$B$29))))</f>
        <v>4887372.52521725</v>
      </c>
      <c r="BG128" s="89" t="n">
        <f aca="true">IF(BG$5=0,BF128,MAX(0,(BF128-BG$4)*(1+NORMINV(RAND(),INPUTS!$B$28,INPUTS!$B$29))))</f>
        <v>4887372.52521725</v>
      </c>
      <c r="BH128" s="89" t="n">
        <f aca="true">IF(BH$5=0,BG128,MAX(0,(BG128-BH$4)*(1+NORMINV(RAND(),INPUTS!$B$28,INPUTS!$B$29))))</f>
        <v>4887372.52521725</v>
      </c>
      <c r="BI128" s="89" t="n">
        <f aca="true">IF(BI$5=0,BH128,MAX(0,(BH128-BI$4)*(1+NORMINV(RAND(),INPUTS!$B$28,INPUTS!$B$29))))</f>
        <v>4887372.52521725</v>
      </c>
      <c r="BJ128" s="89" t="n">
        <f aca="true">IF(BJ$5=0,BI128,MAX(0,(BI128-BJ$4)*(1+NORMINV(RAND(),INPUTS!$B$28,INPUTS!$B$29))))</f>
        <v>4887372.52521725</v>
      </c>
    </row>
    <row r="129" customFormat="false" ht="15" hidden="false" customHeight="true" outlineLevel="0" collapsed="false">
      <c r="A129" s="87" t="n">
        <v>122</v>
      </c>
      <c r="B129" s="88" t="n">
        <f aca="false">LOOKUP(9.99E+307,C129:BJ129)</f>
        <v>3412108.82095999</v>
      </c>
      <c r="C129" s="89" t="n">
        <f aca="true">IF(C$5=0,INPUTS!$B$35,MAX(0,(INPUTS!$B$35-C$4)*(1+NORMINV(RAND(),INPUTS!$B$28,INPUTS!$B$29))))</f>
        <v>1398134.93707858</v>
      </c>
      <c r="D129" s="89" t="n">
        <f aca="true">IF(D$5=0,C129,MAX(0,(C129-D$4)*(1+NORMINV(RAND(),INPUTS!$B$28,INPUTS!$B$29))))</f>
        <v>1093555.58550007</v>
      </c>
      <c r="E129" s="89" t="n">
        <f aca="true">IF(E$5=0,D129,MAX(0,(D129-E$4)*(1+NORMINV(RAND(),INPUTS!$B$28,INPUTS!$B$29))))</f>
        <v>929545.15049878</v>
      </c>
      <c r="F129" s="89" t="n">
        <f aca="true">IF(F$5=0,E129,MAX(0,(E129-F$4)*(1+NORMINV(RAND(),INPUTS!$B$28,INPUTS!$B$29))))</f>
        <v>1019679.78935879</v>
      </c>
      <c r="G129" s="89" t="n">
        <f aca="true">IF(G$5=0,F129,MAX(0,(F129-G$4)*(1+NORMINV(RAND(),INPUTS!$B$28,INPUTS!$B$29))))</f>
        <v>978427.27691446</v>
      </c>
      <c r="H129" s="89" t="n">
        <f aca="true">IF(H$5=0,G129,MAX(0,(G129-H$4)*(1+NORMINV(RAND(),INPUTS!$B$28,INPUTS!$B$29))))</f>
        <v>865454.04326666</v>
      </c>
      <c r="I129" s="89" t="n">
        <f aca="true">IF(I$5=0,H129,MAX(0,(H129-I$4)*(1+NORMINV(RAND(),INPUTS!$B$28,INPUTS!$B$29))))</f>
        <v>724231.352317835</v>
      </c>
      <c r="J129" s="89" t="n">
        <f aca="true">IF(J$5=0,I129,MAX(0,(I129-J$4)*(1+NORMINV(RAND(),INPUTS!$B$28,INPUTS!$B$29))))</f>
        <v>648769.637460805</v>
      </c>
      <c r="K129" s="89" t="n">
        <f aca="true">IF(K$5=0,J129,MAX(0,(J129-K$4)*(1+NORMINV(RAND(),INPUTS!$B$28,INPUTS!$B$29))))</f>
        <v>628876.785955962</v>
      </c>
      <c r="L129" s="89" t="n">
        <f aca="true">IF(L$5=0,K129,MAX(0,(K129-L$4)*(1+NORMINV(RAND(),INPUTS!$B$28,INPUTS!$B$29))))</f>
        <v>648304.231038771</v>
      </c>
      <c r="M129" s="89" t="n">
        <f aca="true">IF(M$5=0,L129,MAX(0,(L129-M$4)*(1+NORMINV(RAND(),INPUTS!$B$28,INPUTS!$B$29))))</f>
        <v>699334.175478777</v>
      </c>
      <c r="N129" s="89" t="n">
        <f aca="true">IF(N$5=0,M129,MAX(0,(M129-N$4)*(1+NORMINV(RAND(),INPUTS!$B$28,INPUTS!$B$29))))</f>
        <v>797537.130923174</v>
      </c>
      <c r="O129" s="89" t="n">
        <f aca="true">IF(O$5=0,N129,MAX(0,(N129-O$4)*(1+NORMINV(RAND(),INPUTS!$B$28,INPUTS!$B$29))))</f>
        <v>877922.23120549</v>
      </c>
      <c r="P129" s="89" t="n">
        <f aca="true">IF(P$5=0,O129,MAX(0,(O129-P$4)*(1+NORMINV(RAND(),INPUTS!$B$28,INPUTS!$B$29))))</f>
        <v>994764.777123254</v>
      </c>
      <c r="Q129" s="89" t="n">
        <f aca="true">IF(Q$5=0,P129,MAX(0,(P129-Q$4)*(1+NORMINV(RAND(),INPUTS!$B$28,INPUTS!$B$29))))</f>
        <v>1005499.53936095</v>
      </c>
      <c r="R129" s="89" t="n">
        <f aca="true">IF(R$5=0,Q129,MAX(0,(Q129-R$4)*(1+NORMINV(RAND(),INPUTS!$B$28,INPUTS!$B$29))))</f>
        <v>1218588.43138245</v>
      </c>
      <c r="S129" s="89" t="n">
        <f aca="true">IF(S$5=0,R129,MAX(0,(R129-S$4)*(1+NORMINV(RAND(),INPUTS!$B$28,INPUTS!$B$29))))</f>
        <v>1295716.15715986</v>
      </c>
      <c r="T129" s="89" t="n">
        <f aca="true">IF(T$5=0,S129,MAX(0,(S129-T$4)*(1+NORMINV(RAND(),INPUTS!$B$28,INPUTS!$B$29))))</f>
        <v>1415032.28064433</v>
      </c>
      <c r="U129" s="89" t="n">
        <f aca="true">IF(U$5=0,T129,MAX(0,(T129-U$4)*(1+NORMINV(RAND(),INPUTS!$B$28,INPUTS!$B$29))))</f>
        <v>1693084.16901416</v>
      </c>
      <c r="V129" s="89" t="n">
        <f aca="true">IF(V$5=0,U129,MAX(0,(U129-V$4)*(1+NORMINV(RAND(),INPUTS!$B$28,INPUTS!$B$29))))</f>
        <v>1672318.55104035</v>
      </c>
      <c r="W129" s="89" t="n">
        <f aca="true">IF(W$5=0,V129,MAX(0,(V129-W$4)*(1+NORMINV(RAND(),INPUTS!$B$28,INPUTS!$B$29))))</f>
        <v>1696502.14676634</v>
      </c>
      <c r="X129" s="89" t="n">
        <f aca="true">IF(X$5=0,W129,MAX(0,(W129-X$4)*(1+NORMINV(RAND(),INPUTS!$B$28,INPUTS!$B$29))))</f>
        <v>1744679.6460657</v>
      </c>
      <c r="Y129" s="89" t="n">
        <f aca="true">IF(Y$5=0,X129,MAX(0,(X129-Y$4)*(1+NORMINV(RAND(),INPUTS!$B$28,INPUTS!$B$29))))</f>
        <v>1686494.76452992</v>
      </c>
      <c r="Z129" s="89" t="n">
        <f aca="true">IF(Z$5=0,Y129,MAX(0,(Y129-Z$4)*(1+NORMINV(RAND(),INPUTS!$B$28,INPUTS!$B$29))))</f>
        <v>1923464.33593238</v>
      </c>
      <c r="AA129" s="89" t="n">
        <f aca="true">IF(AA$5=0,Z129,MAX(0,(Z129-AA$4)*(1+NORMINV(RAND(),INPUTS!$B$28,INPUTS!$B$29))))</f>
        <v>2039192.17669826</v>
      </c>
      <c r="AB129" s="89" t="n">
        <f aca="true">IF(AB$5=0,AA129,MAX(0,(AA129-AB$4)*(1+NORMINV(RAND(),INPUTS!$B$28,INPUTS!$B$29))))</f>
        <v>1846605.22701288</v>
      </c>
      <c r="AC129" s="89" t="n">
        <f aca="true">IF(AC$5=0,AB129,MAX(0,(AB129-AC$4)*(1+NORMINV(RAND(),INPUTS!$B$28,INPUTS!$B$29))))</f>
        <v>1804425.93822673</v>
      </c>
      <c r="AD129" s="89" t="n">
        <f aca="true">IF(AD$5=0,AC129,MAX(0,(AC129-AD$4)*(1+NORMINV(RAND(),INPUTS!$B$28,INPUTS!$B$29))))</f>
        <v>1730402.9545586</v>
      </c>
      <c r="AE129" s="89" t="n">
        <f aca="true">IF(AE$5=0,AD129,MAX(0,(AD129-AE$4)*(1+NORMINV(RAND(),INPUTS!$B$28,INPUTS!$B$29))))</f>
        <v>2102925.42636967</v>
      </c>
      <c r="AF129" s="89" t="n">
        <f aca="true">IF(AF$5=0,AE129,MAX(0,(AE129-AF$4)*(1+NORMINV(RAND(),INPUTS!$B$28,INPUTS!$B$29))))</f>
        <v>2099851.06112148</v>
      </c>
      <c r="AG129" s="89" t="n">
        <f aca="true">IF(AG$5=0,AF129,MAX(0,(AF129-AG$4)*(1+NORMINV(RAND(),INPUTS!$B$28,INPUTS!$B$29))))</f>
        <v>2142492.72250874</v>
      </c>
      <c r="AH129" s="89" t="n">
        <f aca="true">IF(AH$5=0,AG129,MAX(0,(AG129-AH$4)*(1+NORMINV(RAND(),INPUTS!$B$28,INPUTS!$B$29))))</f>
        <v>2316241.38362837</v>
      </c>
      <c r="AI129" s="89" t="n">
        <f aca="true">IF(AI$5=0,AH129,MAX(0,(AH129-AI$4)*(1+NORMINV(RAND(),INPUTS!$B$28,INPUTS!$B$29))))</f>
        <v>2736460.33145078</v>
      </c>
      <c r="AJ129" s="89" t="n">
        <f aca="true">IF(AJ$5=0,AI129,MAX(0,(AI129-AJ$4)*(1+NORMINV(RAND(),INPUTS!$B$28,INPUTS!$B$29))))</f>
        <v>2514934.87036315</v>
      </c>
      <c r="AK129" s="89" t="n">
        <f aca="true">IF(AK$5=0,AJ129,MAX(0,(AJ129-AK$4)*(1+NORMINV(RAND(),INPUTS!$B$28,INPUTS!$B$29))))</f>
        <v>3114071.52599952</v>
      </c>
      <c r="AL129" s="89" t="n">
        <f aca="true">IF(AL$5=0,AK129,MAX(0,(AK129-AL$4)*(1+NORMINV(RAND(),INPUTS!$B$28,INPUTS!$B$29))))</f>
        <v>3412108.82095999</v>
      </c>
      <c r="AM129" s="89" t="n">
        <f aca="true">IF(AM$5=0,AL129,MAX(0,(AL129-AM$4)*(1+NORMINV(RAND(),INPUTS!$B$28,INPUTS!$B$29))))</f>
        <v>3412108.82095999</v>
      </c>
      <c r="AN129" s="89" t="n">
        <f aca="true">IF(AN$5=0,AM129,MAX(0,(AM129-AN$4)*(1+NORMINV(RAND(),INPUTS!$B$28,INPUTS!$B$29))))</f>
        <v>3412108.82095999</v>
      </c>
      <c r="AO129" s="89" t="n">
        <f aca="true">IF(AO$5=0,AN129,MAX(0,(AN129-AO$4)*(1+NORMINV(RAND(),INPUTS!$B$28,INPUTS!$B$29))))</f>
        <v>3412108.82095999</v>
      </c>
      <c r="AP129" s="89" t="n">
        <f aca="true">IF(AP$5=0,AO129,MAX(0,(AO129-AP$4)*(1+NORMINV(RAND(),INPUTS!$B$28,INPUTS!$B$29))))</f>
        <v>3412108.82095999</v>
      </c>
      <c r="AQ129" s="89" t="n">
        <f aca="true">IF(AQ$5=0,AP129,MAX(0,(AP129-AQ$4)*(1+NORMINV(RAND(),INPUTS!$B$28,INPUTS!$B$29))))</f>
        <v>3412108.82095999</v>
      </c>
      <c r="AR129" s="89" t="n">
        <f aca="true">IF(AR$5=0,AQ129,MAX(0,(AQ129-AR$4)*(1+NORMINV(RAND(),INPUTS!$B$28,INPUTS!$B$29))))</f>
        <v>3412108.82095999</v>
      </c>
      <c r="AS129" s="89" t="n">
        <f aca="true">IF(AS$5=0,AR129,MAX(0,(AR129-AS$4)*(1+NORMINV(RAND(),INPUTS!$B$28,INPUTS!$B$29))))</f>
        <v>3412108.82095999</v>
      </c>
      <c r="AT129" s="89" t="n">
        <f aca="true">IF(AT$5=0,AS129,MAX(0,(AS129-AT$4)*(1+NORMINV(RAND(),INPUTS!$B$28,INPUTS!$B$29))))</f>
        <v>3412108.82095999</v>
      </c>
      <c r="AU129" s="89" t="n">
        <f aca="true">IF(AU$5=0,AT129,MAX(0,(AT129-AU$4)*(1+NORMINV(RAND(),INPUTS!$B$28,INPUTS!$B$29))))</f>
        <v>3412108.82095999</v>
      </c>
      <c r="AV129" s="89" t="n">
        <f aca="true">IF(AV$5=0,AU129,MAX(0,(AU129-AV$4)*(1+NORMINV(RAND(),INPUTS!$B$28,INPUTS!$B$29))))</f>
        <v>3412108.82095999</v>
      </c>
      <c r="AW129" s="89" t="n">
        <f aca="true">IF(AW$5=0,AV129,MAX(0,(AV129-AW$4)*(1+NORMINV(RAND(),INPUTS!$B$28,INPUTS!$B$29))))</f>
        <v>3412108.82095999</v>
      </c>
      <c r="AX129" s="89" t="n">
        <f aca="true">IF(AX$5=0,AW129,MAX(0,(AW129-AX$4)*(1+NORMINV(RAND(),INPUTS!$B$28,INPUTS!$B$29))))</f>
        <v>3412108.82095999</v>
      </c>
      <c r="AY129" s="89" t="n">
        <f aca="true">IF(AY$5=0,AX129,MAX(0,(AX129-AY$4)*(1+NORMINV(RAND(),INPUTS!$B$28,INPUTS!$B$29))))</f>
        <v>3412108.82095999</v>
      </c>
      <c r="AZ129" s="89" t="n">
        <f aca="true">IF(AZ$5=0,AY129,MAX(0,(AY129-AZ$4)*(1+NORMINV(RAND(),INPUTS!$B$28,INPUTS!$B$29))))</f>
        <v>3412108.82095999</v>
      </c>
      <c r="BA129" s="89" t="n">
        <f aca="true">IF(BA$5=0,AZ129,MAX(0,(AZ129-BA$4)*(1+NORMINV(RAND(),INPUTS!$B$28,INPUTS!$B$29))))</f>
        <v>3412108.82095999</v>
      </c>
      <c r="BB129" s="89" t="n">
        <f aca="true">IF(BB$5=0,BA129,MAX(0,(BA129-BB$4)*(1+NORMINV(RAND(),INPUTS!$B$28,INPUTS!$B$29))))</f>
        <v>3412108.82095999</v>
      </c>
      <c r="BC129" s="89" t="n">
        <f aca="true">IF(BC$5=0,BB129,MAX(0,(BB129-BC$4)*(1+NORMINV(RAND(),INPUTS!$B$28,INPUTS!$B$29))))</f>
        <v>3412108.82095999</v>
      </c>
      <c r="BD129" s="89" t="n">
        <f aca="true">IF(BD$5=0,BC129,MAX(0,(BC129-BD$4)*(1+NORMINV(RAND(),INPUTS!$B$28,INPUTS!$B$29))))</f>
        <v>3412108.82095999</v>
      </c>
      <c r="BE129" s="89" t="n">
        <f aca="true">IF(BE$5=0,BD129,MAX(0,(BD129-BE$4)*(1+NORMINV(RAND(),INPUTS!$B$28,INPUTS!$B$29))))</f>
        <v>3412108.82095999</v>
      </c>
      <c r="BF129" s="89" t="n">
        <f aca="true">IF(BF$5=0,BE129,MAX(0,(BE129-BF$4)*(1+NORMINV(RAND(),INPUTS!$B$28,INPUTS!$B$29))))</f>
        <v>3412108.82095999</v>
      </c>
      <c r="BG129" s="89" t="n">
        <f aca="true">IF(BG$5=0,BF129,MAX(0,(BF129-BG$4)*(1+NORMINV(RAND(),INPUTS!$B$28,INPUTS!$B$29))))</f>
        <v>3412108.82095999</v>
      </c>
      <c r="BH129" s="89" t="n">
        <f aca="true">IF(BH$5=0,BG129,MAX(0,(BG129-BH$4)*(1+NORMINV(RAND(),INPUTS!$B$28,INPUTS!$B$29))))</f>
        <v>3412108.82095999</v>
      </c>
      <c r="BI129" s="89" t="n">
        <f aca="true">IF(BI$5=0,BH129,MAX(0,(BH129-BI$4)*(1+NORMINV(RAND(),INPUTS!$B$28,INPUTS!$B$29))))</f>
        <v>3412108.82095999</v>
      </c>
      <c r="BJ129" s="89" t="n">
        <f aca="true">IF(BJ$5=0,BI129,MAX(0,(BI129-BJ$4)*(1+NORMINV(RAND(),INPUTS!$B$28,INPUTS!$B$29))))</f>
        <v>3412108.82095999</v>
      </c>
    </row>
    <row r="130" customFormat="false" ht="15" hidden="false" customHeight="true" outlineLevel="0" collapsed="false">
      <c r="A130" s="87" t="n">
        <v>123</v>
      </c>
      <c r="B130" s="88" t="n">
        <f aca="false">LOOKUP(9.99E+307,C130:BJ130)</f>
        <v>8343619.69490362</v>
      </c>
      <c r="C130" s="89" t="n">
        <f aca="true">IF(C$5=0,INPUTS!$B$35,MAX(0,(INPUTS!$B$35-C$4)*(1+NORMINV(RAND(),INPUTS!$B$28,INPUTS!$B$29))))</f>
        <v>1475248.56824881</v>
      </c>
      <c r="D130" s="89" t="n">
        <f aca="true">IF(D$5=0,C130,MAX(0,(C130-D$4)*(1+NORMINV(RAND(),INPUTS!$B$28,INPUTS!$B$29))))</f>
        <v>1328982.21220786</v>
      </c>
      <c r="E130" s="89" t="n">
        <f aca="true">IF(E$5=0,D130,MAX(0,(D130-E$4)*(1+NORMINV(RAND(),INPUTS!$B$28,INPUTS!$B$29))))</f>
        <v>1457498.84820449</v>
      </c>
      <c r="F130" s="89" t="n">
        <f aca="true">IF(F$5=0,E130,MAX(0,(E130-F$4)*(1+NORMINV(RAND(),INPUTS!$B$28,INPUTS!$B$29))))</f>
        <v>1780792.05616557</v>
      </c>
      <c r="G130" s="89" t="n">
        <f aca="true">IF(G$5=0,F130,MAX(0,(F130-G$4)*(1+NORMINV(RAND(),INPUTS!$B$28,INPUTS!$B$29))))</f>
        <v>1842628.5259793</v>
      </c>
      <c r="H130" s="89" t="n">
        <f aca="true">IF(H$5=0,G130,MAX(0,(G130-H$4)*(1+NORMINV(RAND(),INPUTS!$B$28,INPUTS!$B$29))))</f>
        <v>1975733.70695112</v>
      </c>
      <c r="I130" s="89" t="n">
        <f aca="true">IF(I$5=0,H130,MAX(0,(H130-I$4)*(1+NORMINV(RAND(),INPUTS!$B$28,INPUTS!$B$29))))</f>
        <v>2194774.87678</v>
      </c>
      <c r="J130" s="89" t="n">
        <f aca="true">IF(J$5=0,I130,MAX(0,(I130-J$4)*(1+NORMINV(RAND(),INPUTS!$B$28,INPUTS!$B$29))))</f>
        <v>2094141.54604843</v>
      </c>
      <c r="K130" s="89" t="n">
        <f aca="true">IF(K$5=0,J130,MAX(0,(J130-K$4)*(1+NORMINV(RAND(),INPUTS!$B$28,INPUTS!$B$29))))</f>
        <v>2589245.09853402</v>
      </c>
      <c r="L130" s="89" t="n">
        <f aca="true">IF(L$5=0,K130,MAX(0,(K130-L$4)*(1+NORMINV(RAND(),INPUTS!$B$28,INPUTS!$B$29))))</f>
        <v>2431661.53114096</v>
      </c>
      <c r="M130" s="89" t="n">
        <f aca="true">IF(M$5=0,L130,MAX(0,(L130-M$4)*(1+NORMINV(RAND(),INPUTS!$B$28,INPUTS!$B$29))))</f>
        <v>2547869.62939297</v>
      </c>
      <c r="N130" s="89" t="n">
        <f aca="true">IF(N$5=0,M130,MAX(0,(M130-N$4)*(1+NORMINV(RAND(),INPUTS!$B$28,INPUTS!$B$29))))</f>
        <v>2379273.13643609</v>
      </c>
      <c r="O130" s="89" t="n">
        <f aca="true">IF(O$5=0,N130,MAX(0,(N130-O$4)*(1+NORMINV(RAND(),INPUTS!$B$28,INPUTS!$B$29))))</f>
        <v>2645652.94752197</v>
      </c>
      <c r="P130" s="89" t="n">
        <f aca="true">IF(P$5=0,O130,MAX(0,(O130-P$4)*(1+NORMINV(RAND(),INPUTS!$B$28,INPUTS!$B$29))))</f>
        <v>2805053.81877756</v>
      </c>
      <c r="Q130" s="89" t="n">
        <f aca="true">IF(Q$5=0,P130,MAX(0,(P130-Q$4)*(1+NORMINV(RAND(),INPUTS!$B$28,INPUTS!$B$29))))</f>
        <v>3018561.24933381</v>
      </c>
      <c r="R130" s="89" t="n">
        <f aca="true">IF(R$5=0,Q130,MAX(0,(Q130-R$4)*(1+NORMINV(RAND(),INPUTS!$B$28,INPUTS!$B$29))))</f>
        <v>2893849.09928455</v>
      </c>
      <c r="S130" s="89" t="n">
        <f aca="true">IF(S$5=0,R130,MAX(0,(R130-S$4)*(1+NORMINV(RAND(),INPUTS!$B$28,INPUTS!$B$29))))</f>
        <v>2760570.94888413</v>
      </c>
      <c r="T130" s="89" t="n">
        <f aca="true">IF(T$5=0,S130,MAX(0,(S130-T$4)*(1+NORMINV(RAND(),INPUTS!$B$28,INPUTS!$B$29))))</f>
        <v>3091647.6469116</v>
      </c>
      <c r="U130" s="89" t="n">
        <f aca="true">IF(U$5=0,T130,MAX(0,(T130-U$4)*(1+NORMINV(RAND(),INPUTS!$B$28,INPUTS!$B$29))))</f>
        <v>2991686.12655433</v>
      </c>
      <c r="V130" s="89" t="n">
        <f aca="true">IF(V$5=0,U130,MAX(0,(U130-V$4)*(1+NORMINV(RAND(),INPUTS!$B$28,INPUTS!$B$29))))</f>
        <v>3412777.45331001</v>
      </c>
      <c r="W130" s="89" t="n">
        <f aca="true">IF(W$5=0,V130,MAX(0,(V130-W$4)*(1+NORMINV(RAND(),INPUTS!$B$28,INPUTS!$B$29))))</f>
        <v>3019866.82416599</v>
      </c>
      <c r="X130" s="89" t="n">
        <f aca="true">IF(X$5=0,W130,MAX(0,(W130-X$4)*(1+NORMINV(RAND(),INPUTS!$B$28,INPUTS!$B$29))))</f>
        <v>3753679.55901715</v>
      </c>
      <c r="Y130" s="89" t="n">
        <f aca="true">IF(Y$5=0,X130,MAX(0,(X130-Y$4)*(1+NORMINV(RAND(),INPUTS!$B$28,INPUTS!$B$29))))</f>
        <v>4048632.64226052</v>
      </c>
      <c r="Z130" s="89" t="n">
        <f aca="true">IF(Z$5=0,Y130,MAX(0,(Y130-Z$4)*(1+NORMINV(RAND(),INPUTS!$B$28,INPUTS!$B$29))))</f>
        <v>3922926.35150222</v>
      </c>
      <c r="AA130" s="89" t="n">
        <f aca="true">IF(AA$5=0,Z130,MAX(0,(Z130-AA$4)*(1+NORMINV(RAND(),INPUTS!$B$28,INPUTS!$B$29))))</f>
        <v>4083134.13626248</v>
      </c>
      <c r="AB130" s="89" t="n">
        <f aca="true">IF(AB$5=0,AA130,MAX(0,(AA130-AB$4)*(1+NORMINV(RAND(),INPUTS!$B$28,INPUTS!$B$29))))</f>
        <v>5025463.12102277</v>
      </c>
      <c r="AC130" s="89" t="n">
        <f aca="true">IF(AC$5=0,AB130,MAX(0,(AB130-AC$4)*(1+NORMINV(RAND(),INPUTS!$B$28,INPUTS!$B$29))))</f>
        <v>5467406.57318404</v>
      </c>
      <c r="AD130" s="89" t="n">
        <f aca="true">IF(AD$5=0,AC130,MAX(0,(AC130-AD$4)*(1+NORMINV(RAND(),INPUTS!$B$28,INPUTS!$B$29))))</f>
        <v>6389615.39984794</v>
      </c>
      <c r="AE130" s="89" t="n">
        <f aca="true">IF(AE$5=0,AD130,MAX(0,(AD130-AE$4)*(1+NORMINV(RAND(),INPUTS!$B$28,INPUTS!$B$29))))</f>
        <v>7053756.85956754</v>
      </c>
      <c r="AF130" s="89" t="n">
        <f aca="true">IF(AF$5=0,AE130,MAX(0,(AE130-AF$4)*(1+NORMINV(RAND(),INPUTS!$B$28,INPUTS!$B$29))))</f>
        <v>7465499.49690905</v>
      </c>
      <c r="AG130" s="89" t="n">
        <f aca="true">IF(AG$5=0,AF130,MAX(0,(AF130-AG$4)*(1+NORMINV(RAND(),INPUTS!$B$28,INPUTS!$B$29))))</f>
        <v>7621349.80152785</v>
      </c>
      <c r="AH130" s="89" t="n">
        <f aca="true">IF(AH$5=0,AG130,MAX(0,(AG130-AH$4)*(1+NORMINV(RAND(),INPUTS!$B$28,INPUTS!$B$29))))</f>
        <v>6611623.57546289</v>
      </c>
      <c r="AI130" s="89" t="n">
        <f aca="true">IF(AI$5=0,AH130,MAX(0,(AH130-AI$4)*(1+NORMINV(RAND(),INPUTS!$B$28,INPUTS!$B$29))))</f>
        <v>7116964.81241181</v>
      </c>
      <c r="AJ130" s="89" t="n">
        <f aca="true">IF(AJ$5=0,AI130,MAX(0,(AI130-AJ$4)*(1+NORMINV(RAND(),INPUTS!$B$28,INPUTS!$B$29))))</f>
        <v>6417676.65428452</v>
      </c>
      <c r="AK130" s="89" t="n">
        <f aca="true">IF(AK$5=0,AJ130,MAX(0,(AJ130-AK$4)*(1+NORMINV(RAND(),INPUTS!$B$28,INPUTS!$B$29))))</f>
        <v>7248144.73081193</v>
      </c>
      <c r="AL130" s="89" t="n">
        <f aca="true">IF(AL$5=0,AK130,MAX(0,(AK130-AL$4)*(1+NORMINV(RAND(),INPUTS!$B$28,INPUTS!$B$29))))</f>
        <v>8343619.69490362</v>
      </c>
      <c r="AM130" s="89" t="n">
        <f aca="true">IF(AM$5=0,AL130,MAX(0,(AL130-AM$4)*(1+NORMINV(RAND(),INPUTS!$B$28,INPUTS!$B$29))))</f>
        <v>8343619.69490362</v>
      </c>
      <c r="AN130" s="89" t="n">
        <f aca="true">IF(AN$5=0,AM130,MAX(0,(AM130-AN$4)*(1+NORMINV(RAND(),INPUTS!$B$28,INPUTS!$B$29))))</f>
        <v>8343619.69490362</v>
      </c>
      <c r="AO130" s="89" t="n">
        <f aca="true">IF(AO$5=0,AN130,MAX(0,(AN130-AO$4)*(1+NORMINV(RAND(),INPUTS!$B$28,INPUTS!$B$29))))</f>
        <v>8343619.69490362</v>
      </c>
      <c r="AP130" s="89" t="n">
        <f aca="true">IF(AP$5=0,AO130,MAX(0,(AO130-AP$4)*(1+NORMINV(RAND(),INPUTS!$B$28,INPUTS!$B$29))))</f>
        <v>8343619.69490362</v>
      </c>
      <c r="AQ130" s="89" t="n">
        <f aca="true">IF(AQ$5=0,AP130,MAX(0,(AP130-AQ$4)*(1+NORMINV(RAND(),INPUTS!$B$28,INPUTS!$B$29))))</f>
        <v>8343619.69490362</v>
      </c>
      <c r="AR130" s="89" t="n">
        <f aca="true">IF(AR$5=0,AQ130,MAX(0,(AQ130-AR$4)*(1+NORMINV(RAND(),INPUTS!$B$28,INPUTS!$B$29))))</f>
        <v>8343619.69490362</v>
      </c>
      <c r="AS130" s="89" t="n">
        <f aca="true">IF(AS$5=0,AR130,MAX(0,(AR130-AS$4)*(1+NORMINV(RAND(),INPUTS!$B$28,INPUTS!$B$29))))</f>
        <v>8343619.69490362</v>
      </c>
      <c r="AT130" s="89" t="n">
        <f aca="true">IF(AT$5=0,AS130,MAX(0,(AS130-AT$4)*(1+NORMINV(RAND(),INPUTS!$B$28,INPUTS!$B$29))))</f>
        <v>8343619.69490362</v>
      </c>
      <c r="AU130" s="89" t="n">
        <f aca="true">IF(AU$5=0,AT130,MAX(0,(AT130-AU$4)*(1+NORMINV(RAND(),INPUTS!$B$28,INPUTS!$B$29))))</f>
        <v>8343619.69490362</v>
      </c>
      <c r="AV130" s="89" t="n">
        <f aca="true">IF(AV$5=0,AU130,MAX(0,(AU130-AV$4)*(1+NORMINV(RAND(),INPUTS!$B$28,INPUTS!$B$29))))</f>
        <v>8343619.69490362</v>
      </c>
      <c r="AW130" s="89" t="n">
        <f aca="true">IF(AW$5=0,AV130,MAX(0,(AV130-AW$4)*(1+NORMINV(RAND(),INPUTS!$B$28,INPUTS!$B$29))))</f>
        <v>8343619.69490362</v>
      </c>
      <c r="AX130" s="89" t="n">
        <f aca="true">IF(AX$5=0,AW130,MAX(0,(AW130-AX$4)*(1+NORMINV(RAND(),INPUTS!$B$28,INPUTS!$B$29))))</f>
        <v>8343619.69490362</v>
      </c>
      <c r="AY130" s="89" t="n">
        <f aca="true">IF(AY$5=0,AX130,MAX(0,(AX130-AY$4)*(1+NORMINV(RAND(),INPUTS!$B$28,INPUTS!$B$29))))</f>
        <v>8343619.69490362</v>
      </c>
      <c r="AZ130" s="89" t="n">
        <f aca="true">IF(AZ$5=0,AY130,MAX(0,(AY130-AZ$4)*(1+NORMINV(RAND(),INPUTS!$B$28,INPUTS!$B$29))))</f>
        <v>8343619.69490362</v>
      </c>
      <c r="BA130" s="89" t="n">
        <f aca="true">IF(BA$5=0,AZ130,MAX(0,(AZ130-BA$4)*(1+NORMINV(RAND(),INPUTS!$B$28,INPUTS!$B$29))))</f>
        <v>8343619.69490362</v>
      </c>
      <c r="BB130" s="89" t="n">
        <f aca="true">IF(BB$5=0,BA130,MAX(0,(BA130-BB$4)*(1+NORMINV(RAND(),INPUTS!$B$28,INPUTS!$B$29))))</f>
        <v>8343619.69490362</v>
      </c>
      <c r="BC130" s="89" t="n">
        <f aca="true">IF(BC$5=0,BB130,MAX(0,(BB130-BC$4)*(1+NORMINV(RAND(),INPUTS!$B$28,INPUTS!$B$29))))</f>
        <v>8343619.69490362</v>
      </c>
      <c r="BD130" s="89" t="n">
        <f aca="true">IF(BD$5=0,BC130,MAX(0,(BC130-BD$4)*(1+NORMINV(RAND(),INPUTS!$B$28,INPUTS!$B$29))))</f>
        <v>8343619.69490362</v>
      </c>
      <c r="BE130" s="89" t="n">
        <f aca="true">IF(BE$5=0,BD130,MAX(0,(BD130-BE$4)*(1+NORMINV(RAND(),INPUTS!$B$28,INPUTS!$B$29))))</f>
        <v>8343619.69490362</v>
      </c>
      <c r="BF130" s="89" t="n">
        <f aca="true">IF(BF$5=0,BE130,MAX(0,(BE130-BF$4)*(1+NORMINV(RAND(),INPUTS!$B$28,INPUTS!$B$29))))</f>
        <v>8343619.69490362</v>
      </c>
      <c r="BG130" s="89" t="n">
        <f aca="true">IF(BG$5=0,BF130,MAX(0,(BF130-BG$4)*(1+NORMINV(RAND(),INPUTS!$B$28,INPUTS!$B$29))))</f>
        <v>8343619.69490362</v>
      </c>
      <c r="BH130" s="89" t="n">
        <f aca="true">IF(BH$5=0,BG130,MAX(0,(BG130-BH$4)*(1+NORMINV(RAND(),INPUTS!$B$28,INPUTS!$B$29))))</f>
        <v>8343619.69490362</v>
      </c>
      <c r="BI130" s="89" t="n">
        <f aca="true">IF(BI$5=0,BH130,MAX(0,(BH130-BI$4)*(1+NORMINV(RAND(),INPUTS!$B$28,INPUTS!$B$29))))</f>
        <v>8343619.69490362</v>
      </c>
      <c r="BJ130" s="89" t="n">
        <f aca="true">IF(BJ$5=0,BI130,MAX(0,(BI130-BJ$4)*(1+NORMINV(RAND(),INPUTS!$B$28,INPUTS!$B$29))))</f>
        <v>8343619.69490362</v>
      </c>
    </row>
    <row r="131" customFormat="false" ht="15" hidden="false" customHeight="true" outlineLevel="0" collapsed="false">
      <c r="A131" s="87" t="n">
        <v>124</v>
      </c>
      <c r="B131" s="88" t="n">
        <f aca="false">LOOKUP(9.99E+307,C131:BJ131)</f>
        <v>1214618.22463412</v>
      </c>
      <c r="C131" s="89" t="n">
        <f aca="true">IF(C$5=0,INPUTS!$B$35,MAX(0,(INPUTS!$B$35-C$4)*(1+NORMINV(RAND(),INPUTS!$B$28,INPUTS!$B$29))))</f>
        <v>1534707.65240372</v>
      </c>
      <c r="D131" s="89" t="n">
        <f aca="true">IF(D$5=0,C131,MAX(0,(C131-D$4)*(1+NORMINV(RAND(),INPUTS!$B$28,INPUTS!$B$29))))</f>
        <v>1374932.26593946</v>
      </c>
      <c r="E131" s="89" t="n">
        <f aca="true">IF(E$5=0,D131,MAX(0,(D131-E$4)*(1+NORMINV(RAND(),INPUTS!$B$28,INPUTS!$B$29))))</f>
        <v>1191599.88233269</v>
      </c>
      <c r="F131" s="89" t="n">
        <f aca="true">IF(F$5=0,E131,MAX(0,(E131-F$4)*(1+NORMINV(RAND(),INPUTS!$B$28,INPUTS!$B$29))))</f>
        <v>1334333.37670352</v>
      </c>
      <c r="G131" s="89" t="n">
        <f aca="true">IF(G$5=0,F131,MAX(0,(F131-G$4)*(1+NORMINV(RAND(),INPUTS!$B$28,INPUTS!$B$29))))</f>
        <v>1487770.53871066</v>
      </c>
      <c r="H131" s="89" t="n">
        <f aca="true">IF(H$5=0,G131,MAX(0,(G131-H$4)*(1+NORMINV(RAND(),INPUTS!$B$28,INPUTS!$B$29))))</f>
        <v>1393804.33659469</v>
      </c>
      <c r="I131" s="89" t="n">
        <f aca="true">IF(I$5=0,H131,MAX(0,(H131-I$4)*(1+NORMINV(RAND(),INPUTS!$B$28,INPUTS!$B$29))))</f>
        <v>1517454.77720112</v>
      </c>
      <c r="J131" s="89" t="n">
        <f aca="true">IF(J$5=0,I131,MAX(0,(I131-J$4)*(1+NORMINV(RAND(),INPUTS!$B$28,INPUTS!$B$29))))</f>
        <v>1632742.69627585</v>
      </c>
      <c r="K131" s="89" t="n">
        <f aca="true">IF(K$5=0,J131,MAX(0,(J131-K$4)*(1+NORMINV(RAND(),INPUTS!$B$28,INPUTS!$B$29))))</f>
        <v>1414002.71515839</v>
      </c>
      <c r="L131" s="89" t="n">
        <f aca="true">IF(L$5=0,K131,MAX(0,(K131-L$4)*(1+NORMINV(RAND(),INPUTS!$B$28,INPUTS!$B$29))))</f>
        <v>1168429.9856171</v>
      </c>
      <c r="M131" s="89" t="n">
        <f aca="true">IF(M$5=0,L131,MAX(0,(L131-M$4)*(1+NORMINV(RAND(),INPUTS!$B$28,INPUTS!$B$29))))</f>
        <v>1230025.43222789</v>
      </c>
      <c r="N131" s="89" t="n">
        <f aca="true">IF(N$5=0,M131,MAX(0,(M131-N$4)*(1+NORMINV(RAND(),INPUTS!$B$28,INPUTS!$B$29))))</f>
        <v>1512402.54760132</v>
      </c>
      <c r="O131" s="89" t="n">
        <f aca="true">IF(O$5=0,N131,MAX(0,(N131-O$4)*(1+NORMINV(RAND(),INPUTS!$B$28,INPUTS!$B$29))))</f>
        <v>1759695.27261714</v>
      </c>
      <c r="P131" s="89" t="n">
        <f aca="true">IF(P$5=0,O131,MAX(0,(O131-P$4)*(1+NORMINV(RAND(),INPUTS!$B$28,INPUTS!$B$29))))</f>
        <v>1708967.8482175</v>
      </c>
      <c r="Q131" s="89" t="n">
        <f aca="true">IF(Q$5=0,P131,MAX(0,(P131-Q$4)*(1+NORMINV(RAND(),INPUTS!$B$28,INPUTS!$B$29))))</f>
        <v>1702870.24906077</v>
      </c>
      <c r="R131" s="89" t="n">
        <f aca="true">IF(R$5=0,Q131,MAX(0,(Q131-R$4)*(1+NORMINV(RAND(),INPUTS!$B$28,INPUTS!$B$29))))</f>
        <v>2006631.73566688</v>
      </c>
      <c r="S131" s="89" t="n">
        <f aca="true">IF(S$5=0,R131,MAX(0,(R131-S$4)*(1+NORMINV(RAND(),INPUTS!$B$28,INPUTS!$B$29))))</f>
        <v>2461946.92299853</v>
      </c>
      <c r="T131" s="89" t="n">
        <f aca="true">IF(T$5=0,S131,MAX(0,(S131-T$4)*(1+NORMINV(RAND(),INPUTS!$B$28,INPUTS!$B$29))))</f>
        <v>2233654.97287399</v>
      </c>
      <c r="U131" s="89" t="n">
        <f aca="true">IF(U$5=0,T131,MAX(0,(T131-U$4)*(1+NORMINV(RAND(),INPUTS!$B$28,INPUTS!$B$29))))</f>
        <v>1828686.0499454</v>
      </c>
      <c r="V131" s="89" t="n">
        <f aca="true">IF(V$5=0,U131,MAX(0,(U131-V$4)*(1+NORMINV(RAND(),INPUTS!$B$28,INPUTS!$B$29))))</f>
        <v>1731294.7646961</v>
      </c>
      <c r="W131" s="89" t="n">
        <f aca="true">IF(W$5=0,V131,MAX(0,(V131-W$4)*(1+NORMINV(RAND(),INPUTS!$B$28,INPUTS!$B$29))))</f>
        <v>1966099.97725252</v>
      </c>
      <c r="X131" s="89" t="n">
        <f aca="true">IF(X$5=0,W131,MAX(0,(W131-X$4)*(1+NORMINV(RAND(),INPUTS!$B$28,INPUTS!$B$29))))</f>
        <v>1932139.02560704</v>
      </c>
      <c r="Y131" s="89" t="n">
        <f aca="true">IF(Y$5=0,X131,MAX(0,(X131-Y$4)*(1+NORMINV(RAND(),INPUTS!$B$28,INPUTS!$B$29))))</f>
        <v>1820295.85713153</v>
      </c>
      <c r="Z131" s="89" t="n">
        <f aca="true">IF(Z$5=0,Y131,MAX(0,(Y131-Z$4)*(1+NORMINV(RAND(),INPUTS!$B$28,INPUTS!$B$29))))</f>
        <v>1522789.13588478</v>
      </c>
      <c r="AA131" s="89" t="n">
        <f aca="true">IF(AA$5=0,Z131,MAX(0,(Z131-AA$4)*(1+NORMINV(RAND(),INPUTS!$B$28,INPUTS!$B$29))))</f>
        <v>1674521.22428052</v>
      </c>
      <c r="AB131" s="89" t="n">
        <f aca="true">IF(AB$5=0,AA131,MAX(0,(AA131-AB$4)*(1+NORMINV(RAND(),INPUTS!$B$28,INPUTS!$B$29))))</f>
        <v>1636490.14360384</v>
      </c>
      <c r="AC131" s="89" t="n">
        <f aca="true">IF(AC$5=0,AB131,MAX(0,(AB131-AC$4)*(1+NORMINV(RAND(),INPUTS!$B$28,INPUTS!$B$29))))</f>
        <v>1718329.69564964</v>
      </c>
      <c r="AD131" s="89" t="n">
        <f aca="true">IF(AD$5=0,AC131,MAX(0,(AC131-AD$4)*(1+NORMINV(RAND(),INPUTS!$B$28,INPUTS!$B$29))))</f>
        <v>1552313.60732727</v>
      </c>
      <c r="AE131" s="89" t="n">
        <f aca="true">IF(AE$5=0,AD131,MAX(0,(AD131-AE$4)*(1+NORMINV(RAND(),INPUTS!$B$28,INPUTS!$B$29))))</f>
        <v>1613367.68286393</v>
      </c>
      <c r="AF131" s="89" t="n">
        <f aca="true">IF(AF$5=0,AE131,MAX(0,(AE131-AF$4)*(1+NORMINV(RAND(),INPUTS!$B$28,INPUTS!$B$29))))</f>
        <v>1414592.80846899</v>
      </c>
      <c r="AG131" s="89" t="n">
        <f aca="true">IF(AG$5=0,AF131,MAX(0,(AF131-AG$4)*(1+NORMINV(RAND(),INPUTS!$B$28,INPUTS!$B$29))))</f>
        <v>1201262.5794245</v>
      </c>
      <c r="AH131" s="89" t="n">
        <f aca="true">IF(AH$5=0,AG131,MAX(0,(AG131-AH$4)*(1+NORMINV(RAND(),INPUTS!$B$28,INPUTS!$B$29))))</f>
        <v>1175619.02685201</v>
      </c>
      <c r="AI131" s="89" t="n">
        <f aca="true">IF(AI$5=0,AH131,MAX(0,(AH131-AI$4)*(1+NORMINV(RAND(),INPUTS!$B$28,INPUTS!$B$29))))</f>
        <v>1171105.25339977</v>
      </c>
      <c r="AJ131" s="89" t="n">
        <f aca="true">IF(AJ$5=0,AI131,MAX(0,(AI131-AJ$4)*(1+NORMINV(RAND(),INPUTS!$B$28,INPUTS!$B$29))))</f>
        <v>989786.380375488</v>
      </c>
      <c r="AK131" s="89" t="n">
        <f aca="true">IF(AK$5=0,AJ131,MAX(0,(AJ131-AK$4)*(1+NORMINV(RAND(),INPUTS!$B$28,INPUTS!$B$29))))</f>
        <v>964720.655387322</v>
      </c>
      <c r="AL131" s="89" t="n">
        <f aca="true">IF(AL$5=0,AK131,MAX(0,(AK131-AL$4)*(1+NORMINV(RAND(),INPUTS!$B$28,INPUTS!$B$29))))</f>
        <v>1214618.22463412</v>
      </c>
      <c r="AM131" s="89" t="n">
        <f aca="true">IF(AM$5=0,AL131,MAX(0,(AL131-AM$4)*(1+NORMINV(RAND(),INPUTS!$B$28,INPUTS!$B$29))))</f>
        <v>1214618.22463412</v>
      </c>
      <c r="AN131" s="89" t="n">
        <f aca="true">IF(AN$5=0,AM131,MAX(0,(AM131-AN$4)*(1+NORMINV(RAND(),INPUTS!$B$28,INPUTS!$B$29))))</f>
        <v>1214618.22463412</v>
      </c>
      <c r="AO131" s="89" t="n">
        <f aca="true">IF(AO$5=0,AN131,MAX(0,(AN131-AO$4)*(1+NORMINV(RAND(),INPUTS!$B$28,INPUTS!$B$29))))</f>
        <v>1214618.22463412</v>
      </c>
      <c r="AP131" s="89" t="n">
        <f aca="true">IF(AP$5=0,AO131,MAX(0,(AO131-AP$4)*(1+NORMINV(RAND(),INPUTS!$B$28,INPUTS!$B$29))))</f>
        <v>1214618.22463412</v>
      </c>
      <c r="AQ131" s="89" t="n">
        <f aca="true">IF(AQ$5=0,AP131,MAX(0,(AP131-AQ$4)*(1+NORMINV(RAND(),INPUTS!$B$28,INPUTS!$B$29))))</f>
        <v>1214618.22463412</v>
      </c>
      <c r="AR131" s="89" t="n">
        <f aca="true">IF(AR$5=0,AQ131,MAX(0,(AQ131-AR$4)*(1+NORMINV(RAND(),INPUTS!$B$28,INPUTS!$B$29))))</f>
        <v>1214618.22463412</v>
      </c>
      <c r="AS131" s="89" t="n">
        <f aca="true">IF(AS$5=0,AR131,MAX(0,(AR131-AS$4)*(1+NORMINV(RAND(),INPUTS!$B$28,INPUTS!$B$29))))</f>
        <v>1214618.22463412</v>
      </c>
      <c r="AT131" s="89" t="n">
        <f aca="true">IF(AT$5=0,AS131,MAX(0,(AS131-AT$4)*(1+NORMINV(RAND(),INPUTS!$B$28,INPUTS!$B$29))))</f>
        <v>1214618.22463412</v>
      </c>
      <c r="AU131" s="89" t="n">
        <f aca="true">IF(AU$5=0,AT131,MAX(0,(AT131-AU$4)*(1+NORMINV(RAND(),INPUTS!$B$28,INPUTS!$B$29))))</f>
        <v>1214618.22463412</v>
      </c>
      <c r="AV131" s="89" t="n">
        <f aca="true">IF(AV$5=0,AU131,MAX(0,(AU131-AV$4)*(1+NORMINV(RAND(),INPUTS!$B$28,INPUTS!$B$29))))</f>
        <v>1214618.22463412</v>
      </c>
      <c r="AW131" s="89" t="n">
        <f aca="true">IF(AW$5=0,AV131,MAX(0,(AV131-AW$4)*(1+NORMINV(RAND(),INPUTS!$B$28,INPUTS!$B$29))))</f>
        <v>1214618.22463412</v>
      </c>
      <c r="AX131" s="89" t="n">
        <f aca="true">IF(AX$5=0,AW131,MAX(0,(AW131-AX$4)*(1+NORMINV(RAND(),INPUTS!$B$28,INPUTS!$B$29))))</f>
        <v>1214618.22463412</v>
      </c>
      <c r="AY131" s="89" t="n">
        <f aca="true">IF(AY$5=0,AX131,MAX(0,(AX131-AY$4)*(1+NORMINV(RAND(),INPUTS!$B$28,INPUTS!$B$29))))</f>
        <v>1214618.22463412</v>
      </c>
      <c r="AZ131" s="89" t="n">
        <f aca="true">IF(AZ$5=0,AY131,MAX(0,(AY131-AZ$4)*(1+NORMINV(RAND(),INPUTS!$B$28,INPUTS!$B$29))))</f>
        <v>1214618.22463412</v>
      </c>
      <c r="BA131" s="89" t="n">
        <f aca="true">IF(BA$5=0,AZ131,MAX(0,(AZ131-BA$4)*(1+NORMINV(RAND(),INPUTS!$B$28,INPUTS!$B$29))))</f>
        <v>1214618.22463412</v>
      </c>
      <c r="BB131" s="89" t="n">
        <f aca="true">IF(BB$5=0,BA131,MAX(0,(BA131-BB$4)*(1+NORMINV(RAND(),INPUTS!$B$28,INPUTS!$B$29))))</f>
        <v>1214618.22463412</v>
      </c>
      <c r="BC131" s="89" t="n">
        <f aca="true">IF(BC$5=0,BB131,MAX(0,(BB131-BC$4)*(1+NORMINV(RAND(),INPUTS!$B$28,INPUTS!$B$29))))</f>
        <v>1214618.22463412</v>
      </c>
      <c r="BD131" s="89" t="n">
        <f aca="true">IF(BD$5=0,BC131,MAX(0,(BC131-BD$4)*(1+NORMINV(RAND(),INPUTS!$B$28,INPUTS!$B$29))))</f>
        <v>1214618.22463412</v>
      </c>
      <c r="BE131" s="89" t="n">
        <f aca="true">IF(BE$5=0,BD131,MAX(0,(BD131-BE$4)*(1+NORMINV(RAND(),INPUTS!$B$28,INPUTS!$B$29))))</f>
        <v>1214618.22463412</v>
      </c>
      <c r="BF131" s="89" t="n">
        <f aca="true">IF(BF$5=0,BE131,MAX(0,(BE131-BF$4)*(1+NORMINV(RAND(),INPUTS!$B$28,INPUTS!$B$29))))</f>
        <v>1214618.22463412</v>
      </c>
      <c r="BG131" s="89" t="n">
        <f aca="true">IF(BG$5=0,BF131,MAX(0,(BF131-BG$4)*(1+NORMINV(RAND(),INPUTS!$B$28,INPUTS!$B$29))))</f>
        <v>1214618.22463412</v>
      </c>
      <c r="BH131" s="89" t="n">
        <f aca="true">IF(BH$5=0,BG131,MAX(0,(BG131-BH$4)*(1+NORMINV(RAND(),INPUTS!$B$28,INPUTS!$B$29))))</f>
        <v>1214618.22463412</v>
      </c>
      <c r="BI131" s="89" t="n">
        <f aca="true">IF(BI$5=0,BH131,MAX(0,(BH131-BI$4)*(1+NORMINV(RAND(),INPUTS!$B$28,INPUTS!$B$29))))</f>
        <v>1214618.22463412</v>
      </c>
      <c r="BJ131" s="89" t="n">
        <f aca="true">IF(BJ$5=0,BI131,MAX(0,(BI131-BJ$4)*(1+NORMINV(RAND(),INPUTS!$B$28,INPUTS!$B$29))))</f>
        <v>1214618.22463412</v>
      </c>
    </row>
    <row r="132" customFormat="false" ht="15" hidden="false" customHeight="true" outlineLevel="0" collapsed="false">
      <c r="A132" s="87" t="n">
        <v>125</v>
      </c>
      <c r="B132" s="88" t="n">
        <f aca="false">LOOKUP(9.99E+307,C132:BJ132)</f>
        <v>3671658.58562574</v>
      </c>
      <c r="C132" s="89" t="n">
        <f aca="true">IF(C$5=0,INPUTS!$B$35,MAX(0,(INPUTS!$B$35-C$4)*(1+NORMINV(RAND(),INPUTS!$B$28,INPUTS!$B$29))))</f>
        <v>1353509.81901345</v>
      </c>
      <c r="D132" s="89" t="n">
        <f aca="true">IF(D$5=0,C132,MAX(0,(C132-D$4)*(1+NORMINV(RAND(),INPUTS!$B$28,INPUTS!$B$29))))</f>
        <v>1320730.29409928</v>
      </c>
      <c r="E132" s="89" t="n">
        <f aca="true">IF(E$5=0,D132,MAX(0,(D132-E$4)*(1+NORMINV(RAND(),INPUTS!$B$28,INPUTS!$B$29))))</f>
        <v>1485979.71635715</v>
      </c>
      <c r="F132" s="89" t="n">
        <f aca="true">IF(F$5=0,E132,MAX(0,(E132-F$4)*(1+NORMINV(RAND(),INPUTS!$B$28,INPUTS!$B$29))))</f>
        <v>1704529.32592441</v>
      </c>
      <c r="G132" s="89" t="n">
        <f aca="true">IF(G$5=0,F132,MAX(0,(F132-G$4)*(1+NORMINV(RAND(),INPUTS!$B$28,INPUTS!$B$29))))</f>
        <v>1689243.69156057</v>
      </c>
      <c r="H132" s="89" t="n">
        <f aca="true">IF(H$5=0,G132,MAX(0,(G132-H$4)*(1+NORMINV(RAND(),INPUTS!$B$28,INPUTS!$B$29))))</f>
        <v>1588613.84549863</v>
      </c>
      <c r="I132" s="89" t="n">
        <f aca="true">IF(I$5=0,H132,MAX(0,(H132-I$4)*(1+NORMINV(RAND(),INPUTS!$B$28,INPUTS!$B$29))))</f>
        <v>1558067.53310178</v>
      </c>
      <c r="J132" s="89" t="n">
        <f aca="true">IF(J$5=0,I132,MAX(0,(I132-J$4)*(1+NORMINV(RAND(),INPUTS!$B$28,INPUTS!$B$29))))</f>
        <v>1581305.41072806</v>
      </c>
      <c r="K132" s="89" t="n">
        <f aca="true">IF(K$5=0,J132,MAX(0,(J132-K$4)*(1+NORMINV(RAND(),INPUTS!$B$28,INPUTS!$B$29))))</f>
        <v>1480260.25708492</v>
      </c>
      <c r="L132" s="89" t="n">
        <f aca="true">IF(L$5=0,K132,MAX(0,(K132-L$4)*(1+NORMINV(RAND(),INPUTS!$B$28,INPUTS!$B$29))))</f>
        <v>1337746.28447951</v>
      </c>
      <c r="M132" s="89" t="n">
        <f aca="true">IF(M$5=0,L132,MAX(0,(L132-M$4)*(1+NORMINV(RAND(),INPUTS!$B$28,INPUTS!$B$29))))</f>
        <v>1230093.59850559</v>
      </c>
      <c r="N132" s="89" t="n">
        <f aca="true">IF(N$5=0,M132,MAX(0,(M132-N$4)*(1+NORMINV(RAND(),INPUTS!$B$28,INPUTS!$B$29))))</f>
        <v>1343316.76497509</v>
      </c>
      <c r="O132" s="89" t="n">
        <f aca="true">IF(O$5=0,N132,MAX(0,(N132-O$4)*(1+NORMINV(RAND(),INPUTS!$B$28,INPUTS!$B$29))))</f>
        <v>1406451.79056744</v>
      </c>
      <c r="P132" s="89" t="n">
        <f aca="true">IF(P$5=0,O132,MAX(0,(O132-P$4)*(1+NORMINV(RAND(),INPUTS!$B$28,INPUTS!$B$29))))</f>
        <v>1041101.38946421</v>
      </c>
      <c r="Q132" s="89" t="n">
        <f aca="true">IF(Q$5=0,P132,MAX(0,(P132-Q$4)*(1+NORMINV(RAND(),INPUTS!$B$28,INPUTS!$B$29))))</f>
        <v>912264.8060967</v>
      </c>
      <c r="R132" s="89" t="n">
        <f aca="true">IF(R$5=0,Q132,MAX(0,(Q132-R$4)*(1+NORMINV(RAND(),INPUTS!$B$28,INPUTS!$B$29))))</f>
        <v>875329.361976583</v>
      </c>
      <c r="S132" s="89" t="n">
        <f aca="true">IF(S$5=0,R132,MAX(0,(R132-S$4)*(1+NORMINV(RAND(),INPUTS!$B$28,INPUTS!$B$29))))</f>
        <v>1021818.37491343</v>
      </c>
      <c r="T132" s="89" t="n">
        <f aca="true">IF(T$5=0,S132,MAX(0,(S132-T$4)*(1+NORMINV(RAND(),INPUTS!$B$28,INPUTS!$B$29))))</f>
        <v>1204734.79664726</v>
      </c>
      <c r="U132" s="89" t="n">
        <f aca="true">IF(U$5=0,T132,MAX(0,(T132-U$4)*(1+NORMINV(RAND(),INPUTS!$B$28,INPUTS!$B$29))))</f>
        <v>1354959.64015874</v>
      </c>
      <c r="V132" s="89" t="n">
        <f aca="true">IF(V$5=0,U132,MAX(0,(U132-V$4)*(1+NORMINV(RAND(),INPUTS!$B$28,INPUTS!$B$29))))</f>
        <v>1334876.6056643</v>
      </c>
      <c r="W132" s="89" t="n">
        <f aca="true">IF(W$5=0,V132,MAX(0,(V132-W$4)*(1+NORMINV(RAND(),INPUTS!$B$28,INPUTS!$B$29))))</f>
        <v>1638426.53345</v>
      </c>
      <c r="X132" s="89" t="n">
        <f aca="true">IF(X$5=0,W132,MAX(0,(W132-X$4)*(1+NORMINV(RAND(),INPUTS!$B$28,INPUTS!$B$29))))</f>
        <v>2054207.38439983</v>
      </c>
      <c r="Y132" s="89" t="n">
        <f aca="true">IF(Y$5=0,X132,MAX(0,(X132-Y$4)*(1+NORMINV(RAND(),INPUTS!$B$28,INPUTS!$B$29))))</f>
        <v>1929376.3500608</v>
      </c>
      <c r="Z132" s="89" t="n">
        <f aca="true">IF(Z$5=0,Y132,MAX(0,(Y132-Z$4)*(1+NORMINV(RAND(),INPUTS!$B$28,INPUTS!$B$29))))</f>
        <v>1675702.06800896</v>
      </c>
      <c r="AA132" s="89" t="n">
        <f aca="true">IF(AA$5=0,Z132,MAX(0,(Z132-AA$4)*(1+NORMINV(RAND(),INPUTS!$B$28,INPUTS!$B$29))))</f>
        <v>1725315.6131998</v>
      </c>
      <c r="AB132" s="89" t="n">
        <f aca="true">IF(AB$5=0,AA132,MAX(0,(AA132-AB$4)*(1+NORMINV(RAND(),INPUTS!$B$28,INPUTS!$B$29))))</f>
        <v>1613316.46268335</v>
      </c>
      <c r="AC132" s="89" t="n">
        <f aca="true">IF(AC$5=0,AB132,MAX(0,(AB132-AC$4)*(1+NORMINV(RAND(),INPUTS!$B$28,INPUTS!$B$29))))</f>
        <v>1963601.14210429</v>
      </c>
      <c r="AD132" s="89" t="n">
        <f aca="true">IF(AD$5=0,AC132,MAX(0,(AC132-AD$4)*(1+NORMINV(RAND(),INPUTS!$B$28,INPUTS!$B$29))))</f>
        <v>2212326.9197114</v>
      </c>
      <c r="AE132" s="89" t="n">
        <f aca="true">IF(AE$5=0,AD132,MAX(0,(AD132-AE$4)*(1+NORMINV(RAND(),INPUTS!$B$28,INPUTS!$B$29))))</f>
        <v>2521012.42439785</v>
      </c>
      <c r="AF132" s="89" t="n">
        <f aca="true">IF(AF$5=0,AE132,MAX(0,(AE132-AF$4)*(1+NORMINV(RAND(),INPUTS!$B$28,INPUTS!$B$29))))</f>
        <v>2747543.70145563</v>
      </c>
      <c r="AG132" s="89" t="n">
        <f aca="true">IF(AG$5=0,AF132,MAX(0,(AF132-AG$4)*(1+NORMINV(RAND(),INPUTS!$B$28,INPUTS!$B$29))))</f>
        <v>3023855.04209949</v>
      </c>
      <c r="AH132" s="89" t="n">
        <f aca="true">IF(AH$5=0,AG132,MAX(0,(AG132-AH$4)*(1+NORMINV(RAND(),INPUTS!$B$28,INPUTS!$B$29))))</f>
        <v>3616155.4312668</v>
      </c>
      <c r="AI132" s="89" t="n">
        <f aca="true">IF(AI$5=0,AH132,MAX(0,(AH132-AI$4)*(1+NORMINV(RAND(),INPUTS!$B$28,INPUTS!$B$29))))</f>
        <v>3165775.06012951</v>
      </c>
      <c r="AJ132" s="89" t="n">
        <f aca="true">IF(AJ$5=0,AI132,MAX(0,(AI132-AJ$4)*(1+NORMINV(RAND(),INPUTS!$B$28,INPUTS!$B$29))))</f>
        <v>3908210.41291924</v>
      </c>
      <c r="AK132" s="89" t="n">
        <f aca="true">IF(AK$5=0,AJ132,MAX(0,(AJ132-AK$4)*(1+NORMINV(RAND(),INPUTS!$B$28,INPUTS!$B$29))))</f>
        <v>3651930.58086784</v>
      </c>
      <c r="AL132" s="89" t="n">
        <f aca="true">IF(AL$5=0,AK132,MAX(0,(AK132-AL$4)*(1+NORMINV(RAND(),INPUTS!$B$28,INPUTS!$B$29))))</f>
        <v>3671658.58562574</v>
      </c>
      <c r="AM132" s="89" t="n">
        <f aca="true">IF(AM$5=0,AL132,MAX(0,(AL132-AM$4)*(1+NORMINV(RAND(),INPUTS!$B$28,INPUTS!$B$29))))</f>
        <v>3671658.58562574</v>
      </c>
      <c r="AN132" s="89" t="n">
        <f aca="true">IF(AN$5=0,AM132,MAX(0,(AM132-AN$4)*(1+NORMINV(RAND(),INPUTS!$B$28,INPUTS!$B$29))))</f>
        <v>3671658.58562574</v>
      </c>
      <c r="AO132" s="89" t="n">
        <f aca="true">IF(AO$5=0,AN132,MAX(0,(AN132-AO$4)*(1+NORMINV(RAND(),INPUTS!$B$28,INPUTS!$B$29))))</f>
        <v>3671658.58562574</v>
      </c>
      <c r="AP132" s="89" t="n">
        <f aca="true">IF(AP$5=0,AO132,MAX(0,(AO132-AP$4)*(1+NORMINV(RAND(),INPUTS!$B$28,INPUTS!$B$29))))</f>
        <v>3671658.58562574</v>
      </c>
      <c r="AQ132" s="89" t="n">
        <f aca="true">IF(AQ$5=0,AP132,MAX(0,(AP132-AQ$4)*(1+NORMINV(RAND(),INPUTS!$B$28,INPUTS!$B$29))))</f>
        <v>3671658.58562574</v>
      </c>
      <c r="AR132" s="89" t="n">
        <f aca="true">IF(AR$5=0,AQ132,MAX(0,(AQ132-AR$4)*(1+NORMINV(RAND(),INPUTS!$B$28,INPUTS!$B$29))))</f>
        <v>3671658.58562574</v>
      </c>
      <c r="AS132" s="89" t="n">
        <f aca="true">IF(AS$5=0,AR132,MAX(0,(AR132-AS$4)*(1+NORMINV(RAND(),INPUTS!$B$28,INPUTS!$B$29))))</f>
        <v>3671658.58562574</v>
      </c>
      <c r="AT132" s="89" t="n">
        <f aca="true">IF(AT$5=0,AS132,MAX(0,(AS132-AT$4)*(1+NORMINV(RAND(),INPUTS!$B$28,INPUTS!$B$29))))</f>
        <v>3671658.58562574</v>
      </c>
      <c r="AU132" s="89" t="n">
        <f aca="true">IF(AU$5=0,AT132,MAX(0,(AT132-AU$4)*(1+NORMINV(RAND(),INPUTS!$B$28,INPUTS!$B$29))))</f>
        <v>3671658.58562574</v>
      </c>
      <c r="AV132" s="89" t="n">
        <f aca="true">IF(AV$5=0,AU132,MAX(0,(AU132-AV$4)*(1+NORMINV(RAND(),INPUTS!$B$28,INPUTS!$B$29))))</f>
        <v>3671658.58562574</v>
      </c>
      <c r="AW132" s="89" t="n">
        <f aca="true">IF(AW$5=0,AV132,MAX(0,(AV132-AW$4)*(1+NORMINV(RAND(),INPUTS!$B$28,INPUTS!$B$29))))</f>
        <v>3671658.58562574</v>
      </c>
      <c r="AX132" s="89" t="n">
        <f aca="true">IF(AX$5=0,AW132,MAX(0,(AW132-AX$4)*(1+NORMINV(RAND(),INPUTS!$B$28,INPUTS!$B$29))))</f>
        <v>3671658.58562574</v>
      </c>
      <c r="AY132" s="89" t="n">
        <f aca="true">IF(AY$5=0,AX132,MAX(0,(AX132-AY$4)*(1+NORMINV(RAND(),INPUTS!$B$28,INPUTS!$B$29))))</f>
        <v>3671658.58562574</v>
      </c>
      <c r="AZ132" s="89" t="n">
        <f aca="true">IF(AZ$5=0,AY132,MAX(0,(AY132-AZ$4)*(1+NORMINV(RAND(),INPUTS!$B$28,INPUTS!$B$29))))</f>
        <v>3671658.58562574</v>
      </c>
      <c r="BA132" s="89" t="n">
        <f aca="true">IF(BA$5=0,AZ132,MAX(0,(AZ132-BA$4)*(1+NORMINV(RAND(),INPUTS!$B$28,INPUTS!$B$29))))</f>
        <v>3671658.58562574</v>
      </c>
      <c r="BB132" s="89" t="n">
        <f aca="true">IF(BB$5=0,BA132,MAX(0,(BA132-BB$4)*(1+NORMINV(RAND(),INPUTS!$B$28,INPUTS!$B$29))))</f>
        <v>3671658.58562574</v>
      </c>
      <c r="BC132" s="89" t="n">
        <f aca="true">IF(BC$5=0,BB132,MAX(0,(BB132-BC$4)*(1+NORMINV(RAND(),INPUTS!$B$28,INPUTS!$B$29))))</f>
        <v>3671658.58562574</v>
      </c>
      <c r="BD132" s="89" t="n">
        <f aca="true">IF(BD$5=0,BC132,MAX(0,(BC132-BD$4)*(1+NORMINV(RAND(),INPUTS!$B$28,INPUTS!$B$29))))</f>
        <v>3671658.58562574</v>
      </c>
      <c r="BE132" s="89" t="n">
        <f aca="true">IF(BE$5=0,BD132,MAX(0,(BD132-BE$4)*(1+NORMINV(RAND(),INPUTS!$B$28,INPUTS!$B$29))))</f>
        <v>3671658.58562574</v>
      </c>
      <c r="BF132" s="89" t="n">
        <f aca="true">IF(BF$5=0,BE132,MAX(0,(BE132-BF$4)*(1+NORMINV(RAND(),INPUTS!$B$28,INPUTS!$B$29))))</f>
        <v>3671658.58562574</v>
      </c>
      <c r="BG132" s="89" t="n">
        <f aca="true">IF(BG$5=0,BF132,MAX(0,(BF132-BG$4)*(1+NORMINV(RAND(),INPUTS!$B$28,INPUTS!$B$29))))</f>
        <v>3671658.58562574</v>
      </c>
      <c r="BH132" s="89" t="n">
        <f aca="true">IF(BH$5=0,BG132,MAX(0,(BG132-BH$4)*(1+NORMINV(RAND(),INPUTS!$B$28,INPUTS!$B$29))))</f>
        <v>3671658.58562574</v>
      </c>
      <c r="BI132" s="89" t="n">
        <f aca="true">IF(BI$5=0,BH132,MAX(0,(BH132-BI$4)*(1+NORMINV(RAND(),INPUTS!$B$28,INPUTS!$B$29))))</f>
        <v>3671658.58562574</v>
      </c>
      <c r="BJ132" s="89" t="n">
        <f aca="true">IF(BJ$5=0,BI132,MAX(0,(BI132-BJ$4)*(1+NORMINV(RAND(),INPUTS!$B$28,INPUTS!$B$29))))</f>
        <v>3671658.58562574</v>
      </c>
    </row>
    <row r="133" customFormat="false" ht="15" hidden="false" customHeight="true" outlineLevel="0" collapsed="false">
      <c r="A133" s="87" t="n">
        <v>126</v>
      </c>
      <c r="B133" s="88" t="n">
        <f aca="false">LOOKUP(9.99E+307,C133:BJ133)</f>
        <v>806865.852177697</v>
      </c>
      <c r="C133" s="89" t="n">
        <f aca="true">IF(C$5=0,INPUTS!$B$35,MAX(0,(INPUTS!$B$35-C$4)*(1+NORMINV(RAND(),INPUTS!$B$28,INPUTS!$B$29))))</f>
        <v>1534060.8810645</v>
      </c>
      <c r="D133" s="89" t="n">
        <f aca="true">IF(D$5=0,C133,MAX(0,(C133-D$4)*(1+NORMINV(RAND(),INPUTS!$B$28,INPUTS!$B$29))))</f>
        <v>1465454.48329817</v>
      </c>
      <c r="E133" s="89" t="n">
        <f aca="true">IF(E$5=0,D133,MAX(0,(D133-E$4)*(1+NORMINV(RAND(),INPUTS!$B$28,INPUTS!$B$29))))</f>
        <v>1350172.65696431</v>
      </c>
      <c r="F133" s="89" t="n">
        <f aca="true">IF(F$5=0,E133,MAX(0,(E133-F$4)*(1+NORMINV(RAND(),INPUTS!$B$28,INPUTS!$B$29))))</f>
        <v>1482364.27208658</v>
      </c>
      <c r="G133" s="89" t="n">
        <f aca="true">IF(G$5=0,F133,MAX(0,(F133-G$4)*(1+NORMINV(RAND(),INPUTS!$B$28,INPUTS!$B$29))))</f>
        <v>1225559.95686274</v>
      </c>
      <c r="H133" s="89" t="n">
        <f aca="true">IF(H$5=0,G133,MAX(0,(G133-H$4)*(1+NORMINV(RAND(),INPUTS!$B$28,INPUTS!$B$29))))</f>
        <v>1357500.69235281</v>
      </c>
      <c r="I133" s="89" t="n">
        <f aca="true">IF(I$5=0,H133,MAX(0,(H133-I$4)*(1+NORMINV(RAND(),INPUTS!$B$28,INPUTS!$B$29))))</f>
        <v>1314085.36811524</v>
      </c>
      <c r="J133" s="89" t="n">
        <f aca="true">IF(J$5=0,I133,MAX(0,(I133-J$4)*(1+NORMINV(RAND(),INPUTS!$B$28,INPUTS!$B$29))))</f>
        <v>1094091.60770625</v>
      </c>
      <c r="K133" s="89" t="n">
        <f aca="true">IF(K$5=0,J133,MAX(0,(J133-K$4)*(1+NORMINV(RAND(),INPUTS!$B$28,INPUTS!$B$29))))</f>
        <v>1089128.3737341</v>
      </c>
      <c r="L133" s="89" t="n">
        <f aca="true">IF(L$5=0,K133,MAX(0,(K133-L$4)*(1+NORMINV(RAND(),INPUTS!$B$28,INPUTS!$B$29))))</f>
        <v>1018895.0204498</v>
      </c>
      <c r="M133" s="89" t="n">
        <f aca="true">IF(M$5=0,L133,MAX(0,(L133-M$4)*(1+NORMINV(RAND(),INPUTS!$B$28,INPUTS!$B$29))))</f>
        <v>1090026.32876662</v>
      </c>
      <c r="N133" s="89" t="n">
        <f aca="true">IF(N$5=0,M133,MAX(0,(M133-N$4)*(1+NORMINV(RAND(),INPUTS!$B$28,INPUTS!$B$29))))</f>
        <v>1090266.15528825</v>
      </c>
      <c r="O133" s="89" t="n">
        <f aca="true">IF(O$5=0,N133,MAX(0,(N133-O$4)*(1+NORMINV(RAND(),INPUTS!$B$28,INPUTS!$B$29))))</f>
        <v>1035677.49508662</v>
      </c>
      <c r="P133" s="89" t="n">
        <f aca="true">IF(P$5=0,O133,MAX(0,(O133-P$4)*(1+NORMINV(RAND(),INPUTS!$B$28,INPUTS!$B$29))))</f>
        <v>1002784.41153097</v>
      </c>
      <c r="Q133" s="89" t="n">
        <f aca="true">IF(Q$5=0,P133,MAX(0,(P133-Q$4)*(1+NORMINV(RAND(),INPUTS!$B$28,INPUTS!$B$29))))</f>
        <v>912209.757858683</v>
      </c>
      <c r="R133" s="89" t="n">
        <f aca="true">IF(R$5=0,Q133,MAX(0,(Q133-R$4)*(1+NORMINV(RAND(),INPUTS!$B$28,INPUTS!$B$29))))</f>
        <v>899161.817104754</v>
      </c>
      <c r="S133" s="89" t="n">
        <f aca="true">IF(S$5=0,R133,MAX(0,(R133-S$4)*(1+NORMINV(RAND(),INPUTS!$B$28,INPUTS!$B$29))))</f>
        <v>820912.220826528</v>
      </c>
      <c r="T133" s="89" t="n">
        <f aca="true">IF(T$5=0,S133,MAX(0,(S133-T$4)*(1+NORMINV(RAND(),INPUTS!$B$28,INPUTS!$B$29))))</f>
        <v>878989.311991676</v>
      </c>
      <c r="U133" s="89" t="n">
        <f aca="true">IF(U$5=0,T133,MAX(0,(T133-U$4)*(1+NORMINV(RAND(),INPUTS!$B$28,INPUTS!$B$29))))</f>
        <v>952602.877930684</v>
      </c>
      <c r="V133" s="89" t="n">
        <f aca="true">IF(V$5=0,U133,MAX(0,(U133-V$4)*(1+NORMINV(RAND(),INPUTS!$B$28,INPUTS!$B$29))))</f>
        <v>959466.018989726</v>
      </c>
      <c r="W133" s="89" t="n">
        <f aca="true">IF(W$5=0,V133,MAX(0,(V133-W$4)*(1+NORMINV(RAND(),INPUTS!$B$28,INPUTS!$B$29))))</f>
        <v>1004080.10254403</v>
      </c>
      <c r="X133" s="89" t="n">
        <f aca="true">IF(X$5=0,W133,MAX(0,(W133-X$4)*(1+NORMINV(RAND(),INPUTS!$B$28,INPUTS!$B$29))))</f>
        <v>1165443.99676563</v>
      </c>
      <c r="Y133" s="89" t="n">
        <f aca="true">IF(Y$5=0,X133,MAX(0,(X133-Y$4)*(1+NORMINV(RAND(),INPUTS!$B$28,INPUTS!$B$29))))</f>
        <v>1250373.23423943</v>
      </c>
      <c r="Z133" s="89" t="n">
        <f aca="true">IF(Z$5=0,Y133,MAX(0,(Y133-Z$4)*(1+NORMINV(RAND(),INPUTS!$B$28,INPUTS!$B$29))))</f>
        <v>1247361.84783495</v>
      </c>
      <c r="AA133" s="89" t="n">
        <f aca="true">IF(AA$5=0,Z133,MAX(0,(Z133-AA$4)*(1+NORMINV(RAND(),INPUTS!$B$28,INPUTS!$B$29))))</f>
        <v>1307129.8058861</v>
      </c>
      <c r="AB133" s="89" t="n">
        <f aca="true">IF(AB$5=0,AA133,MAX(0,(AA133-AB$4)*(1+NORMINV(RAND(),INPUTS!$B$28,INPUTS!$B$29))))</f>
        <v>1222906.22324409</v>
      </c>
      <c r="AC133" s="89" t="n">
        <f aca="true">IF(AC$5=0,AB133,MAX(0,(AB133-AC$4)*(1+NORMINV(RAND(),INPUTS!$B$28,INPUTS!$B$29))))</f>
        <v>1140426.76083648</v>
      </c>
      <c r="AD133" s="89" t="n">
        <f aca="true">IF(AD$5=0,AC133,MAX(0,(AC133-AD$4)*(1+NORMINV(RAND(),INPUTS!$B$28,INPUTS!$B$29))))</f>
        <v>1186172.43612001</v>
      </c>
      <c r="AE133" s="89" t="n">
        <f aca="true">IF(AE$5=0,AD133,MAX(0,(AD133-AE$4)*(1+NORMINV(RAND(),INPUTS!$B$28,INPUTS!$B$29))))</f>
        <v>1395556.78998214</v>
      </c>
      <c r="AF133" s="89" t="n">
        <f aca="true">IF(AF$5=0,AE133,MAX(0,(AE133-AF$4)*(1+NORMINV(RAND(),INPUTS!$B$28,INPUTS!$B$29))))</f>
        <v>1217656.25993599</v>
      </c>
      <c r="AG133" s="89" t="n">
        <f aca="true">IF(AG$5=0,AF133,MAX(0,(AF133-AG$4)*(1+NORMINV(RAND(),INPUTS!$B$28,INPUTS!$B$29))))</f>
        <v>1404169.05888699</v>
      </c>
      <c r="AH133" s="89" t="n">
        <f aca="true">IF(AH$5=0,AG133,MAX(0,(AG133-AH$4)*(1+NORMINV(RAND(),INPUTS!$B$28,INPUTS!$B$29))))</f>
        <v>1315396.6806416</v>
      </c>
      <c r="AI133" s="89" t="n">
        <f aca="true">IF(AI$5=0,AH133,MAX(0,(AH133-AI$4)*(1+NORMINV(RAND(),INPUTS!$B$28,INPUTS!$B$29))))</f>
        <v>1218738.66090369</v>
      </c>
      <c r="AJ133" s="89" t="n">
        <f aca="true">IF(AJ$5=0,AI133,MAX(0,(AI133-AJ$4)*(1+NORMINV(RAND(),INPUTS!$B$28,INPUTS!$B$29))))</f>
        <v>1087099.61634376</v>
      </c>
      <c r="AK133" s="89" t="n">
        <f aca="true">IF(AK$5=0,AJ133,MAX(0,(AJ133-AK$4)*(1+NORMINV(RAND(),INPUTS!$B$28,INPUTS!$B$29))))</f>
        <v>893031.694991957</v>
      </c>
      <c r="AL133" s="89" t="n">
        <f aca="true">IF(AL$5=0,AK133,MAX(0,(AK133-AL$4)*(1+NORMINV(RAND(),INPUTS!$B$28,INPUTS!$B$29))))</f>
        <v>806865.852177697</v>
      </c>
      <c r="AM133" s="89" t="n">
        <f aca="true">IF(AM$5=0,AL133,MAX(0,(AL133-AM$4)*(1+NORMINV(RAND(),INPUTS!$B$28,INPUTS!$B$29))))</f>
        <v>806865.852177697</v>
      </c>
      <c r="AN133" s="89" t="n">
        <f aca="true">IF(AN$5=0,AM133,MAX(0,(AM133-AN$4)*(1+NORMINV(RAND(),INPUTS!$B$28,INPUTS!$B$29))))</f>
        <v>806865.852177697</v>
      </c>
      <c r="AO133" s="89" t="n">
        <f aca="true">IF(AO$5=0,AN133,MAX(0,(AN133-AO$4)*(1+NORMINV(RAND(),INPUTS!$B$28,INPUTS!$B$29))))</f>
        <v>806865.852177697</v>
      </c>
      <c r="AP133" s="89" t="n">
        <f aca="true">IF(AP$5=0,AO133,MAX(0,(AO133-AP$4)*(1+NORMINV(RAND(),INPUTS!$B$28,INPUTS!$B$29))))</f>
        <v>806865.852177697</v>
      </c>
      <c r="AQ133" s="89" t="n">
        <f aca="true">IF(AQ$5=0,AP133,MAX(0,(AP133-AQ$4)*(1+NORMINV(RAND(),INPUTS!$B$28,INPUTS!$B$29))))</f>
        <v>806865.852177697</v>
      </c>
      <c r="AR133" s="89" t="n">
        <f aca="true">IF(AR$5=0,AQ133,MAX(0,(AQ133-AR$4)*(1+NORMINV(RAND(),INPUTS!$B$28,INPUTS!$B$29))))</f>
        <v>806865.852177697</v>
      </c>
      <c r="AS133" s="89" t="n">
        <f aca="true">IF(AS$5=0,AR133,MAX(0,(AR133-AS$4)*(1+NORMINV(RAND(),INPUTS!$B$28,INPUTS!$B$29))))</f>
        <v>806865.852177697</v>
      </c>
      <c r="AT133" s="89" t="n">
        <f aca="true">IF(AT$5=0,AS133,MAX(0,(AS133-AT$4)*(1+NORMINV(RAND(),INPUTS!$B$28,INPUTS!$B$29))))</f>
        <v>806865.852177697</v>
      </c>
      <c r="AU133" s="89" t="n">
        <f aca="true">IF(AU$5=0,AT133,MAX(0,(AT133-AU$4)*(1+NORMINV(RAND(),INPUTS!$B$28,INPUTS!$B$29))))</f>
        <v>806865.852177697</v>
      </c>
      <c r="AV133" s="89" t="n">
        <f aca="true">IF(AV$5=0,AU133,MAX(0,(AU133-AV$4)*(1+NORMINV(RAND(),INPUTS!$B$28,INPUTS!$B$29))))</f>
        <v>806865.852177697</v>
      </c>
      <c r="AW133" s="89" t="n">
        <f aca="true">IF(AW$5=0,AV133,MAX(0,(AV133-AW$4)*(1+NORMINV(RAND(),INPUTS!$B$28,INPUTS!$B$29))))</f>
        <v>806865.852177697</v>
      </c>
      <c r="AX133" s="89" t="n">
        <f aca="true">IF(AX$5=0,AW133,MAX(0,(AW133-AX$4)*(1+NORMINV(RAND(),INPUTS!$B$28,INPUTS!$B$29))))</f>
        <v>806865.852177697</v>
      </c>
      <c r="AY133" s="89" t="n">
        <f aca="true">IF(AY$5=0,AX133,MAX(0,(AX133-AY$4)*(1+NORMINV(RAND(),INPUTS!$B$28,INPUTS!$B$29))))</f>
        <v>806865.852177697</v>
      </c>
      <c r="AZ133" s="89" t="n">
        <f aca="true">IF(AZ$5=0,AY133,MAX(0,(AY133-AZ$4)*(1+NORMINV(RAND(),INPUTS!$B$28,INPUTS!$B$29))))</f>
        <v>806865.852177697</v>
      </c>
      <c r="BA133" s="89" t="n">
        <f aca="true">IF(BA$5=0,AZ133,MAX(0,(AZ133-BA$4)*(1+NORMINV(RAND(),INPUTS!$B$28,INPUTS!$B$29))))</f>
        <v>806865.852177697</v>
      </c>
      <c r="BB133" s="89" t="n">
        <f aca="true">IF(BB$5=0,BA133,MAX(0,(BA133-BB$4)*(1+NORMINV(RAND(),INPUTS!$B$28,INPUTS!$B$29))))</f>
        <v>806865.852177697</v>
      </c>
      <c r="BC133" s="89" t="n">
        <f aca="true">IF(BC$5=0,BB133,MAX(0,(BB133-BC$4)*(1+NORMINV(RAND(),INPUTS!$B$28,INPUTS!$B$29))))</f>
        <v>806865.852177697</v>
      </c>
      <c r="BD133" s="89" t="n">
        <f aca="true">IF(BD$5=0,BC133,MAX(0,(BC133-BD$4)*(1+NORMINV(RAND(),INPUTS!$B$28,INPUTS!$B$29))))</f>
        <v>806865.852177697</v>
      </c>
      <c r="BE133" s="89" t="n">
        <f aca="true">IF(BE$5=0,BD133,MAX(0,(BD133-BE$4)*(1+NORMINV(RAND(),INPUTS!$B$28,INPUTS!$B$29))))</f>
        <v>806865.852177697</v>
      </c>
      <c r="BF133" s="89" t="n">
        <f aca="true">IF(BF$5=0,BE133,MAX(0,(BE133-BF$4)*(1+NORMINV(RAND(),INPUTS!$B$28,INPUTS!$B$29))))</f>
        <v>806865.852177697</v>
      </c>
      <c r="BG133" s="89" t="n">
        <f aca="true">IF(BG$5=0,BF133,MAX(0,(BF133-BG$4)*(1+NORMINV(RAND(),INPUTS!$B$28,INPUTS!$B$29))))</f>
        <v>806865.852177697</v>
      </c>
      <c r="BH133" s="89" t="n">
        <f aca="true">IF(BH$5=0,BG133,MAX(0,(BG133-BH$4)*(1+NORMINV(RAND(),INPUTS!$B$28,INPUTS!$B$29))))</f>
        <v>806865.852177697</v>
      </c>
      <c r="BI133" s="89" t="n">
        <f aca="true">IF(BI$5=0,BH133,MAX(0,(BH133-BI$4)*(1+NORMINV(RAND(),INPUTS!$B$28,INPUTS!$B$29))))</f>
        <v>806865.852177697</v>
      </c>
      <c r="BJ133" s="89" t="n">
        <f aca="true">IF(BJ$5=0,BI133,MAX(0,(BI133-BJ$4)*(1+NORMINV(RAND(),INPUTS!$B$28,INPUTS!$B$29))))</f>
        <v>806865.852177697</v>
      </c>
    </row>
    <row r="134" customFormat="false" ht="15" hidden="false" customHeight="true" outlineLevel="0" collapsed="false">
      <c r="A134" s="87" t="n">
        <v>127</v>
      </c>
      <c r="B134" s="88" t="n">
        <f aca="false">LOOKUP(9.99E+307,C134:BJ134)</f>
        <v>10825105.171434</v>
      </c>
      <c r="C134" s="89" t="n">
        <f aca="true">IF(C$5=0,INPUTS!$B$35,MAX(0,(INPUTS!$B$35-C$4)*(1+NORMINV(RAND(),INPUTS!$B$28,INPUTS!$B$29))))</f>
        <v>1878710.00359301</v>
      </c>
      <c r="D134" s="89" t="n">
        <f aca="true">IF(D$5=0,C134,MAX(0,(C134-D$4)*(1+NORMINV(RAND(),INPUTS!$B$28,INPUTS!$B$29))))</f>
        <v>1973234.34293452</v>
      </c>
      <c r="E134" s="89" t="n">
        <f aca="true">IF(E$5=0,D134,MAX(0,(D134-E$4)*(1+NORMINV(RAND(),INPUTS!$B$28,INPUTS!$B$29))))</f>
        <v>2210627.11875542</v>
      </c>
      <c r="F134" s="89" t="n">
        <f aca="true">IF(F$5=0,E134,MAX(0,(E134-F$4)*(1+NORMINV(RAND(),INPUTS!$B$28,INPUTS!$B$29))))</f>
        <v>1933297.70555589</v>
      </c>
      <c r="G134" s="89" t="n">
        <f aca="true">IF(G$5=0,F134,MAX(0,(F134-G$4)*(1+NORMINV(RAND(),INPUTS!$B$28,INPUTS!$B$29))))</f>
        <v>2293562.58944844</v>
      </c>
      <c r="H134" s="89" t="n">
        <f aca="true">IF(H$5=0,G134,MAX(0,(G134-H$4)*(1+NORMINV(RAND(),INPUTS!$B$28,INPUTS!$B$29))))</f>
        <v>2444797.67921436</v>
      </c>
      <c r="I134" s="89" t="n">
        <f aca="true">IF(I$5=0,H134,MAX(0,(H134-I$4)*(1+NORMINV(RAND(),INPUTS!$B$28,INPUTS!$B$29))))</f>
        <v>2182750.26345511</v>
      </c>
      <c r="J134" s="89" t="n">
        <f aca="true">IF(J$5=0,I134,MAX(0,(I134-J$4)*(1+NORMINV(RAND(),INPUTS!$B$28,INPUTS!$B$29))))</f>
        <v>2410092.85714548</v>
      </c>
      <c r="K134" s="89" t="n">
        <f aca="true">IF(K$5=0,J134,MAX(0,(J134-K$4)*(1+NORMINV(RAND(),INPUTS!$B$28,INPUTS!$B$29))))</f>
        <v>2590086.25499909</v>
      </c>
      <c r="L134" s="89" t="n">
        <f aca="true">IF(L$5=0,K134,MAX(0,(K134-L$4)*(1+NORMINV(RAND(),INPUTS!$B$28,INPUTS!$B$29))))</f>
        <v>2958045.25145868</v>
      </c>
      <c r="M134" s="89" t="n">
        <f aca="true">IF(M$5=0,L134,MAX(0,(L134-M$4)*(1+NORMINV(RAND(),INPUTS!$B$28,INPUTS!$B$29))))</f>
        <v>3263725.31668933</v>
      </c>
      <c r="N134" s="89" t="n">
        <f aca="true">IF(N$5=0,M134,MAX(0,(M134-N$4)*(1+NORMINV(RAND(),INPUTS!$B$28,INPUTS!$B$29))))</f>
        <v>3154812.97313177</v>
      </c>
      <c r="O134" s="89" t="n">
        <f aca="true">IF(O$5=0,N134,MAX(0,(N134-O$4)*(1+NORMINV(RAND(),INPUTS!$B$28,INPUTS!$B$29))))</f>
        <v>3431164.02453746</v>
      </c>
      <c r="P134" s="89" t="n">
        <f aca="true">IF(P$5=0,O134,MAX(0,(O134-P$4)*(1+NORMINV(RAND(),INPUTS!$B$28,INPUTS!$B$29))))</f>
        <v>3523217.41008102</v>
      </c>
      <c r="Q134" s="89" t="n">
        <f aca="true">IF(Q$5=0,P134,MAX(0,(P134-Q$4)*(1+NORMINV(RAND(),INPUTS!$B$28,INPUTS!$B$29))))</f>
        <v>3841709.42943045</v>
      </c>
      <c r="R134" s="89" t="n">
        <f aca="true">IF(R$5=0,Q134,MAX(0,(Q134-R$4)*(1+NORMINV(RAND(),INPUTS!$B$28,INPUTS!$B$29))))</f>
        <v>3695203.39846284</v>
      </c>
      <c r="S134" s="89" t="n">
        <f aca="true">IF(S$5=0,R134,MAX(0,(R134-S$4)*(1+NORMINV(RAND(),INPUTS!$B$28,INPUTS!$B$29))))</f>
        <v>4209366.03623466</v>
      </c>
      <c r="T134" s="89" t="n">
        <f aca="true">IF(T$5=0,S134,MAX(0,(S134-T$4)*(1+NORMINV(RAND(),INPUTS!$B$28,INPUTS!$B$29))))</f>
        <v>4474753.32803729</v>
      </c>
      <c r="U134" s="89" t="n">
        <f aca="true">IF(U$5=0,T134,MAX(0,(T134-U$4)*(1+NORMINV(RAND(),INPUTS!$B$28,INPUTS!$B$29))))</f>
        <v>4705378.9588554</v>
      </c>
      <c r="V134" s="89" t="n">
        <f aca="true">IF(V$5=0,U134,MAX(0,(U134-V$4)*(1+NORMINV(RAND(),INPUTS!$B$28,INPUTS!$B$29))))</f>
        <v>5973303.68076135</v>
      </c>
      <c r="W134" s="89" t="n">
        <f aca="true">IF(W$5=0,V134,MAX(0,(V134-W$4)*(1+NORMINV(RAND(),INPUTS!$B$28,INPUTS!$B$29))))</f>
        <v>6916978.38132232</v>
      </c>
      <c r="X134" s="89" t="n">
        <f aca="true">IF(X$5=0,W134,MAX(0,(W134-X$4)*(1+NORMINV(RAND(),INPUTS!$B$28,INPUTS!$B$29))))</f>
        <v>6610892.57681585</v>
      </c>
      <c r="Y134" s="89" t="n">
        <f aca="true">IF(Y$5=0,X134,MAX(0,(X134-Y$4)*(1+NORMINV(RAND(),INPUTS!$B$28,INPUTS!$B$29))))</f>
        <v>8273032.65815277</v>
      </c>
      <c r="Z134" s="89" t="n">
        <f aca="true">IF(Z$5=0,Y134,MAX(0,(Y134-Z$4)*(1+NORMINV(RAND(),INPUTS!$B$28,INPUTS!$B$29))))</f>
        <v>8792865.84750325</v>
      </c>
      <c r="AA134" s="89" t="n">
        <f aca="true">IF(AA$5=0,Z134,MAX(0,(Z134-AA$4)*(1+NORMINV(RAND(),INPUTS!$B$28,INPUTS!$B$29))))</f>
        <v>10371130.6629622</v>
      </c>
      <c r="AB134" s="89" t="n">
        <f aca="true">IF(AB$5=0,AA134,MAX(0,(AA134-AB$4)*(1+NORMINV(RAND(),INPUTS!$B$28,INPUTS!$B$29))))</f>
        <v>11748757.0559948</v>
      </c>
      <c r="AC134" s="89" t="n">
        <f aca="true">IF(AC$5=0,AB134,MAX(0,(AB134-AC$4)*(1+NORMINV(RAND(),INPUTS!$B$28,INPUTS!$B$29))))</f>
        <v>10230748.167992</v>
      </c>
      <c r="AD134" s="89" t="n">
        <f aca="true">IF(AD$5=0,AC134,MAX(0,(AC134-AD$4)*(1+NORMINV(RAND(),INPUTS!$B$28,INPUTS!$B$29))))</f>
        <v>12275001.3648228</v>
      </c>
      <c r="AE134" s="89" t="n">
        <f aca="true">IF(AE$5=0,AD134,MAX(0,(AD134-AE$4)*(1+NORMINV(RAND(),INPUTS!$B$28,INPUTS!$B$29))))</f>
        <v>12505217.6605043</v>
      </c>
      <c r="AF134" s="89" t="n">
        <f aca="true">IF(AF$5=0,AE134,MAX(0,(AE134-AF$4)*(1+NORMINV(RAND(),INPUTS!$B$28,INPUTS!$B$29))))</f>
        <v>10054144.3597743</v>
      </c>
      <c r="AG134" s="89" t="n">
        <f aca="true">IF(AG$5=0,AF134,MAX(0,(AF134-AG$4)*(1+NORMINV(RAND(),INPUTS!$B$28,INPUTS!$B$29))))</f>
        <v>8488415.80967234</v>
      </c>
      <c r="AH134" s="89" t="n">
        <f aca="true">IF(AH$5=0,AG134,MAX(0,(AG134-AH$4)*(1+NORMINV(RAND(),INPUTS!$B$28,INPUTS!$B$29))))</f>
        <v>7975266.90893066</v>
      </c>
      <c r="AI134" s="89" t="n">
        <f aca="true">IF(AI$5=0,AH134,MAX(0,(AH134-AI$4)*(1+NORMINV(RAND(),INPUTS!$B$28,INPUTS!$B$29))))</f>
        <v>7699897.20812525</v>
      </c>
      <c r="AJ134" s="89" t="n">
        <f aca="true">IF(AJ$5=0,AI134,MAX(0,(AI134-AJ$4)*(1+NORMINV(RAND(),INPUTS!$B$28,INPUTS!$B$29))))</f>
        <v>8511316.1636982</v>
      </c>
      <c r="AK134" s="89" t="n">
        <f aca="true">IF(AK$5=0,AJ134,MAX(0,(AJ134-AK$4)*(1+NORMINV(RAND(),INPUTS!$B$28,INPUTS!$B$29))))</f>
        <v>8695289.4751993</v>
      </c>
      <c r="AL134" s="89" t="n">
        <f aca="true">IF(AL$5=0,AK134,MAX(0,(AK134-AL$4)*(1+NORMINV(RAND(),INPUTS!$B$28,INPUTS!$B$29))))</f>
        <v>10825105.171434</v>
      </c>
      <c r="AM134" s="89" t="n">
        <f aca="true">IF(AM$5=0,AL134,MAX(0,(AL134-AM$4)*(1+NORMINV(RAND(),INPUTS!$B$28,INPUTS!$B$29))))</f>
        <v>10825105.171434</v>
      </c>
      <c r="AN134" s="89" t="n">
        <f aca="true">IF(AN$5=0,AM134,MAX(0,(AM134-AN$4)*(1+NORMINV(RAND(),INPUTS!$B$28,INPUTS!$B$29))))</f>
        <v>10825105.171434</v>
      </c>
      <c r="AO134" s="89" t="n">
        <f aca="true">IF(AO$5=0,AN134,MAX(0,(AN134-AO$4)*(1+NORMINV(RAND(),INPUTS!$B$28,INPUTS!$B$29))))</f>
        <v>10825105.171434</v>
      </c>
      <c r="AP134" s="89" t="n">
        <f aca="true">IF(AP$5=0,AO134,MAX(0,(AO134-AP$4)*(1+NORMINV(RAND(),INPUTS!$B$28,INPUTS!$B$29))))</f>
        <v>10825105.171434</v>
      </c>
      <c r="AQ134" s="89" t="n">
        <f aca="true">IF(AQ$5=0,AP134,MAX(0,(AP134-AQ$4)*(1+NORMINV(RAND(),INPUTS!$B$28,INPUTS!$B$29))))</f>
        <v>10825105.171434</v>
      </c>
      <c r="AR134" s="89" t="n">
        <f aca="true">IF(AR$5=0,AQ134,MAX(0,(AQ134-AR$4)*(1+NORMINV(RAND(),INPUTS!$B$28,INPUTS!$B$29))))</f>
        <v>10825105.171434</v>
      </c>
      <c r="AS134" s="89" t="n">
        <f aca="true">IF(AS$5=0,AR134,MAX(0,(AR134-AS$4)*(1+NORMINV(RAND(),INPUTS!$B$28,INPUTS!$B$29))))</f>
        <v>10825105.171434</v>
      </c>
      <c r="AT134" s="89" t="n">
        <f aca="true">IF(AT$5=0,AS134,MAX(0,(AS134-AT$4)*(1+NORMINV(RAND(),INPUTS!$B$28,INPUTS!$B$29))))</f>
        <v>10825105.171434</v>
      </c>
      <c r="AU134" s="89" t="n">
        <f aca="true">IF(AU$5=0,AT134,MAX(0,(AT134-AU$4)*(1+NORMINV(RAND(),INPUTS!$B$28,INPUTS!$B$29))))</f>
        <v>10825105.171434</v>
      </c>
      <c r="AV134" s="89" t="n">
        <f aca="true">IF(AV$5=0,AU134,MAX(0,(AU134-AV$4)*(1+NORMINV(RAND(),INPUTS!$B$28,INPUTS!$B$29))))</f>
        <v>10825105.171434</v>
      </c>
      <c r="AW134" s="89" t="n">
        <f aca="true">IF(AW$5=0,AV134,MAX(0,(AV134-AW$4)*(1+NORMINV(RAND(),INPUTS!$B$28,INPUTS!$B$29))))</f>
        <v>10825105.171434</v>
      </c>
      <c r="AX134" s="89" t="n">
        <f aca="true">IF(AX$5=0,AW134,MAX(0,(AW134-AX$4)*(1+NORMINV(RAND(),INPUTS!$B$28,INPUTS!$B$29))))</f>
        <v>10825105.171434</v>
      </c>
      <c r="AY134" s="89" t="n">
        <f aca="true">IF(AY$5=0,AX134,MAX(0,(AX134-AY$4)*(1+NORMINV(RAND(),INPUTS!$B$28,INPUTS!$B$29))))</f>
        <v>10825105.171434</v>
      </c>
      <c r="AZ134" s="89" t="n">
        <f aca="true">IF(AZ$5=0,AY134,MAX(0,(AY134-AZ$4)*(1+NORMINV(RAND(),INPUTS!$B$28,INPUTS!$B$29))))</f>
        <v>10825105.171434</v>
      </c>
      <c r="BA134" s="89" t="n">
        <f aca="true">IF(BA$5=0,AZ134,MAX(0,(AZ134-BA$4)*(1+NORMINV(RAND(),INPUTS!$B$28,INPUTS!$B$29))))</f>
        <v>10825105.171434</v>
      </c>
      <c r="BB134" s="89" t="n">
        <f aca="true">IF(BB$5=0,BA134,MAX(0,(BA134-BB$4)*(1+NORMINV(RAND(),INPUTS!$B$28,INPUTS!$B$29))))</f>
        <v>10825105.171434</v>
      </c>
      <c r="BC134" s="89" t="n">
        <f aca="true">IF(BC$5=0,BB134,MAX(0,(BB134-BC$4)*(1+NORMINV(RAND(),INPUTS!$B$28,INPUTS!$B$29))))</f>
        <v>10825105.171434</v>
      </c>
      <c r="BD134" s="89" t="n">
        <f aca="true">IF(BD$5=0,BC134,MAX(0,(BC134-BD$4)*(1+NORMINV(RAND(),INPUTS!$B$28,INPUTS!$B$29))))</f>
        <v>10825105.171434</v>
      </c>
      <c r="BE134" s="89" t="n">
        <f aca="true">IF(BE$5=0,BD134,MAX(0,(BD134-BE$4)*(1+NORMINV(RAND(),INPUTS!$B$28,INPUTS!$B$29))))</f>
        <v>10825105.171434</v>
      </c>
      <c r="BF134" s="89" t="n">
        <f aca="true">IF(BF$5=0,BE134,MAX(0,(BE134-BF$4)*(1+NORMINV(RAND(),INPUTS!$B$28,INPUTS!$B$29))))</f>
        <v>10825105.171434</v>
      </c>
      <c r="BG134" s="89" t="n">
        <f aca="true">IF(BG$5=0,BF134,MAX(0,(BF134-BG$4)*(1+NORMINV(RAND(),INPUTS!$B$28,INPUTS!$B$29))))</f>
        <v>10825105.171434</v>
      </c>
      <c r="BH134" s="89" t="n">
        <f aca="true">IF(BH$5=0,BG134,MAX(0,(BG134-BH$4)*(1+NORMINV(RAND(),INPUTS!$B$28,INPUTS!$B$29))))</f>
        <v>10825105.171434</v>
      </c>
      <c r="BI134" s="89" t="n">
        <f aca="true">IF(BI$5=0,BH134,MAX(0,(BH134-BI$4)*(1+NORMINV(RAND(),INPUTS!$B$28,INPUTS!$B$29))))</f>
        <v>10825105.171434</v>
      </c>
      <c r="BJ134" s="89" t="n">
        <f aca="true">IF(BJ$5=0,BI134,MAX(0,(BI134-BJ$4)*(1+NORMINV(RAND(),INPUTS!$B$28,INPUTS!$B$29))))</f>
        <v>10825105.171434</v>
      </c>
    </row>
    <row r="135" customFormat="false" ht="15" hidden="false" customHeight="true" outlineLevel="0" collapsed="false">
      <c r="A135" s="87" t="n">
        <v>128</v>
      </c>
      <c r="B135" s="88" t="n">
        <f aca="false">LOOKUP(9.99E+307,C135:BJ135)</f>
        <v>27662301.5465698</v>
      </c>
      <c r="C135" s="89" t="n">
        <f aca="true">IF(C$5=0,INPUTS!$B$35,MAX(0,(INPUTS!$B$35-C$4)*(1+NORMINV(RAND(),INPUTS!$B$28,INPUTS!$B$29))))</f>
        <v>1753846.88735894</v>
      </c>
      <c r="D135" s="89" t="n">
        <f aca="true">IF(D$5=0,C135,MAX(0,(C135-D$4)*(1+NORMINV(RAND(),INPUTS!$B$28,INPUTS!$B$29))))</f>
        <v>1782352.14564023</v>
      </c>
      <c r="E135" s="89" t="n">
        <f aca="true">IF(E$5=0,D135,MAX(0,(D135-E$4)*(1+NORMINV(RAND(),INPUTS!$B$28,INPUTS!$B$29))))</f>
        <v>2021463.27684838</v>
      </c>
      <c r="F135" s="89" t="n">
        <f aca="true">IF(F$5=0,E135,MAX(0,(E135-F$4)*(1+NORMINV(RAND(),INPUTS!$B$28,INPUTS!$B$29))))</f>
        <v>2360157.65724951</v>
      </c>
      <c r="G135" s="89" t="n">
        <f aca="true">IF(G$5=0,F135,MAX(0,(F135-G$4)*(1+NORMINV(RAND(),INPUTS!$B$28,INPUTS!$B$29))))</f>
        <v>2689503.01775976</v>
      </c>
      <c r="H135" s="89" t="n">
        <f aca="true">IF(H$5=0,G135,MAX(0,(G135-H$4)*(1+NORMINV(RAND(),INPUTS!$B$28,INPUTS!$B$29))))</f>
        <v>2933504.62234226</v>
      </c>
      <c r="I135" s="89" t="n">
        <f aca="true">IF(I$5=0,H135,MAX(0,(H135-I$4)*(1+NORMINV(RAND(),INPUTS!$B$28,INPUTS!$B$29))))</f>
        <v>3444871.78519062</v>
      </c>
      <c r="J135" s="89" t="n">
        <f aca="true">IF(J$5=0,I135,MAX(0,(I135-J$4)*(1+NORMINV(RAND(),INPUTS!$B$28,INPUTS!$B$29))))</f>
        <v>4010894.88878522</v>
      </c>
      <c r="K135" s="89" t="n">
        <f aca="true">IF(K$5=0,J135,MAX(0,(J135-K$4)*(1+NORMINV(RAND(),INPUTS!$B$28,INPUTS!$B$29))))</f>
        <v>4239589.14747268</v>
      </c>
      <c r="L135" s="89" t="n">
        <f aca="true">IF(L$5=0,K135,MAX(0,(K135-L$4)*(1+NORMINV(RAND(),INPUTS!$B$28,INPUTS!$B$29))))</f>
        <v>5305452.43205348</v>
      </c>
      <c r="M135" s="89" t="n">
        <f aca="true">IF(M$5=0,L135,MAX(0,(L135-M$4)*(1+NORMINV(RAND(),INPUTS!$B$28,INPUTS!$B$29))))</f>
        <v>6391403.0845356</v>
      </c>
      <c r="N135" s="89" t="n">
        <f aca="true">IF(N$5=0,M135,MAX(0,(M135-N$4)*(1+NORMINV(RAND(),INPUTS!$B$28,INPUTS!$B$29))))</f>
        <v>8301541.99228103</v>
      </c>
      <c r="O135" s="89" t="n">
        <f aca="true">IF(O$5=0,N135,MAX(0,(N135-O$4)*(1+NORMINV(RAND(),INPUTS!$B$28,INPUTS!$B$29))))</f>
        <v>11338565.016043</v>
      </c>
      <c r="P135" s="89" t="n">
        <f aca="true">IF(P$5=0,O135,MAX(0,(O135-P$4)*(1+NORMINV(RAND(),INPUTS!$B$28,INPUTS!$B$29))))</f>
        <v>13038190.1422155</v>
      </c>
      <c r="Q135" s="89" t="n">
        <f aca="true">IF(Q$5=0,P135,MAX(0,(P135-Q$4)*(1+NORMINV(RAND(),INPUTS!$B$28,INPUTS!$B$29))))</f>
        <v>16899114.4019987</v>
      </c>
      <c r="R135" s="89" t="n">
        <f aca="true">IF(R$5=0,Q135,MAX(0,(Q135-R$4)*(1+NORMINV(RAND(),INPUTS!$B$28,INPUTS!$B$29))))</f>
        <v>17103875.6991398</v>
      </c>
      <c r="S135" s="89" t="n">
        <f aca="true">IF(S$5=0,R135,MAX(0,(R135-S$4)*(1+NORMINV(RAND(),INPUTS!$B$28,INPUTS!$B$29))))</f>
        <v>18295151.3684497</v>
      </c>
      <c r="T135" s="89" t="n">
        <f aca="true">IF(T$5=0,S135,MAX(0,(S135-T$4)*(1+NORMINV(RAND(),INPUTS!$B$28,INPUTS!$B$29))))</f>
        <v>21172072.415982</v>
      </c>
      <c r="U135" s="89" t="n">
        <f aca="true">IF(U$5=0,T135,MAX(0,(T135-U$4)*(1+NORMINV(RAND(),INPUTS!$B$28,INPUTS!$B$29))))</f>
        <v>23995301.0031744</v>
      </c>
      <c r="V135" s="89" t="n">
        <f aca="true">IF(V$5=0,U135,MAX(0,(U135-V$4)*(1+NORMINV(RAND(),INPUTS!$B$28,INPUTS!$B$29))))</f>
        <v>19361036.4908317</v>
      </c>
      <c r="W135" s="89" t="n">
        <f aca="true">IF(W$5=0,V135,MAX(0,(V135-W$4)*(1+NORMINV(RAND(),INPUTS!$B$28,INPUTS!$B$29))))</f>
        <v>18384530.015963</v>
      </c>
      <c r="X135" s="89" t="n">
        <f aca="true">IF(X$5=0,W135,MAX(0,(W135-X$4)*(1+NORMINV(RAND(),INPUTS!$B$28,INPUTS!$B$29))))</f>
        <v>22097586.9042318</v>
      </c>
      <c r="Y135" s="89" t="n">
        <f aca="true">IF(Y$5=0,X135,MAX(0,(X135-Y$4)*(1+NORMINV(RAND(),INPUTS!$B$28,INPUTS!$B$29))))</f>
        <v>29876400.1106229</v>
      </c>
      <c r="Z135" s="89" t="n">
        <f aca="true">IF(Z$5=0,Y135,MAX(0,(Y135-Z$4)*(1+NORMINV(RAND(),INPUTS!$B$28,INPUTS!$B$29))))</f>
        <v>25507697.5451002</v>
      </c>
      <c r="AA135" s="89" t="n">
        <f aca="true">IF(AA$5=0,Z135,MAX(0,(Z135-AA$4)*(1+NORMINV(RAND(),INPUTS!$B$28,INPUTS!$B$29))))</f>
        <v>23034325.0476053</v>
      </c>
      <c r="AB135" s="89" t="n">
        <f aca="true">IF(AB$5=0,AA135,MAX(0,(AA135-AB$4)*(1+NORMINV(RAND(),INPUTS!$B$28,INPUTS!$B$29))))</f>
        <v>28266944.218785</v>
      </c>
      <c r="AC135" s="89" t="n">
        <f aca="true">IF(AC$5=0,AB135,MAX(0,(AB135-AC$4)*(1+NORMINV(RAND(),INPUTS!$B$28,INPUTS!$B$29))))</f>
        <v>34361820.1373185</v>
      </c>
      <c r="AD135" s="89" t="n">
        <f aca="true">IF(AD$5=0,AC135,MAX(0,(AC135-AD$4)*(1+NORMINV(RAND(),INPUTS!$B$28,INPUTS!$B$29))))</f>
        <v>23210670.6657617</v>
      </c>
      <c r="AE135" s="89" t="n">
        <f aca="true">IF(AE$5=0,AD135,MAX(0,(AD135-AE$4)*(1+NORMINV(RAND(),INPUTS!$B$28,INPUTS!$B$29))))</f>
        <v>22497975.9119294</v>
      </c>
      <c r="AF135" s="89" t="n">
        <f aca="true">IF(AF$5=0,AE135,MAX(0,(AE135-AF$4)*(1+NORMINV(RAND(),INPUTS!$B$28,INPUTS!$B$29))))</f>
        <v>26304820.0593697</v>
      </c>
      <c r="AG135" s="89" t="n">
        <f aca="true">IF(AG$5=0,AF135,MAX(0,(AF135-AG$4)*(1+NORMINV(RAND(),INPUTS!$B$28,INPUTS!$B$29))))</f>
        <v>21754328.4786325</v>
      </c>
      <c r="AH135" s="89" t="n">
        <f aca="true">IF(AH$5=0,AG135,MAX(0,(AG135-AH$4)*(1+NORMINV(RAND(),INPUTS!$B$28,INPUTS!$B$29))))</f>
        <v>22293365.269823</v>
      </c>
      <c r="AI135" s="89" t="n">
        <f aca="true">IF(AI$5=0,AH135,MAX(0,(AH135-AI$4)*(1+NORMINV(RAND(),INPUTS!$B$28,INPUTS!$B$29))))</f>
        <v>23112561.4926272</v>
      </c>
      <c r="AJ135" s="89" t="n">
        <f aca="true">IF(AJ$5=0,AI135,MAX(0,(AI135-AJ$4)*(1+NORMINV(RAND(),INPUTS!$B$28,INPUTS!$B$29))))</f>
        <v>24645834.7337869</v>
      </c>
      <c r="AK135" s="89" t="n">
        <f aca="true">IF(AK$5=0,AJ135,MAX(0,(AJ135-AK$4)*(1+NORMINV(RAND(),INPUTS!$B$28,INPUTS!$B$29))))</f>
        <v>30394969.3863968</v>
      </c>
      <c r="AL135" s="89" t="n">
        <f aca="true">IF(AL$5=0,AK135,MAX(0,(AK135-AL$4)*(1+NORMINV(RAND(),INPUTS!$B$28,INPUTS!$B$29))))</f>
        <v>27662301.5465698</v>
      </c>
      <c r="AM135" s="89" t="n">
        <f aca="true">IF(AM$5=0,AL135,MAX(0,(AL135-AM$4)*(1+NORMINV(RAND(),INPUTS!$B$28,INPUTS!$B$29))))</f>
        <v>27662301.5465698</v>
      </c>
      <c r="AN135" s="89" t="n">
        <f aca="true">IF(AN$5=0,AM135,MAX(0,(AM135-AN$4)*(1+NORMINV(RAND(),INPUTS!$B$28,INPUTS!$B$29))))</f>
        <v>27662301.5465698</v>
      </c>
      <c r="AO135" s="89" t="n">
        <f aca="true">IF(AO$5=0,AN135,MAX(0,(AN135-AO$4)*(1+NORMINV(RAND(),INPUTS!$B$28,INPUTS!$B$29))))</f>
        <v>27662301.5465698</v>
      </c>
      <c r="AP135" s="89" t="n">
        <f aca="true">IF(AP$5=0,AO135,MAX(0,(AO135-AP$4)*(1+NORMINV(RAND(),INPUTS!$B$28,INPUTS!$B$29))))</f>
        <v>27662301.5465698</v>
      </c>
      <c r="AQ135" s="89" t="n">
        <f aca="true">IF(AQ$5=0,AP135,MAX(0,(AP135-AQ$4)*(1+NORMINV(RAND(),INPUTS!$B$28,INPUTS!$B$29))))</f>
        <v>27662301.5465698</v>
      </c>
      <c r="AR135" s="89" t="n">
        <f aca="true">IF(AR$5=0,AQ135,MAX(0,(AQ135-AR$4)*(1+NORMINV(RAND(),INPUTS!$B$28,INPUTS!$B$29))))</f>
        <v>27662301.5465698</v>
      </c>
      <c r="AS135" s="89" t="n">
        <f aca="true">IF(AS$5=0,AR135,MAX(0,(AR135-AS$4)*(1+NORMINV(RAND(),INPUTS!$B$28,INPUTS!$B$29))))</f>
        <v>27662301.5465698</v>
      </c>
      <c r="AT135" s="89" t="n">
        <f aca="true">IF(AT$5=0,AS135,MAX(0,(AS135-AT$4)*(1+NORMINV(RAND(),INPUTS!$B$28,INPUTS!$B$29))))</f>
        <v>27662301.5465698</v>
      </c>
      <c r="AU135" s="89" t="n">
        <f aca="true">IF(AU$5=0,AT135,MAX(0,(AT135-AU$4)*(1+NORMINV(RAND(),INPUTS!$B$28,INPUTS!$B$29))))</f>
        <v>27662301.5465698</v>
      </c>
      <c r="AV135" s="89" t="n">
        <f aca="true">IF(AV$5=0,AU135,MAX(0,(AU135-AV$4)*(1+NORMINV(RAND(),INPUTS!$B$28,INPUTS!$B$29))))</f>
        <v>27662301.5465698</v>
      </c>
      <c r="AW135" s="89" t="n">
        <f aca="true">IF(AW$5=0,AV135,MAX(0,(AV135-AW$4)*(1+NORMINV(RAND(),INPUTS!$B$28,INPUTS!$B$29))))</f>
        <v>27662301.5465698</v>
      </c>
      <c r="AX135" s="89" t="n">
        <f aca="true">IF(AX$5=0,AW135,MAX(0,(AW135-AX$4)*(1+NORMINV(RAND(),INPUTS!$B$28,INPUTS!$B$29))))</f>
        <v>27662301.5465698</v>
      </c>
      <c r="AY135" s="89" t="n">
        <f aca="true">IF(AY$5=0,AX135,MAX(0,(AX135-AY$4)*(1+NORMINV(RAND(),INPUTS!$B$28,INPUTS!$B$29))))</f>
        <v>27662301.5465698</v>
      </c>
      <c r="AZ135" s="89" t="n">
        <f aca="true">IF(AZ$5=0,AY135,MAX(0,(AY135-AZ$4)*(1+NORMINV(RAND(),INPUTS!$B$28,INPUTS!$B$29))))</f>
        <v>27662301.5465698</v>
      </c>
      <c r="BA135" s="89" t="n">
        <f aca="true">IF(BA$5=0,AZ135,MAX(0,(AZ135-BA$4)*(1+NORMINV(RAND(),INPUTS!$B$28,INPUTS!$B$29))))</f>
        <v>27662301.5465698</v>
      </c>
      <c r="BB135" s="89" t="n">
        <f aca="true">IF(BB$5=0,BA135,MAX(0,(BA135-BB$4)*(1+NORMINV(RAND(),INPUTS!$B$28,INPUTS!$B$29))))</f>
        <v>27662301.5465698</v>
      </c>
      <c r="BC135" s="89" t="n">
        <f aca="true">IF(BC$5=0,BB135,MAX(0,(BB135-BC$4)*(1+NORMINV(RAND(),INPUTS!$B$28,INPUTS!$B$29))))</f>
        <v>27662301.5465698</v>
      </c>
      <c r="BD135" s="89" t="n">
        <f aca="true">IF(BD$5=0,BC135,MAX(0,(BC135-BD$4)*(1+NORMINV(RAND(),INPUTS!$B$28,INPUTS!$B$29))))</f>
        <v>27662301.5465698</v>
      </c>
      <c r="BE135" s="89" t="n">
        <f aca="true">IF(BE$5=0,BD135,MAX(0,(BD135-BE$4)*(1+NORMINV(RAND(),INPUTS!$B$28,INPUTS!$B$29))))</f>
        <v>27662301.5465698</v>
      </c>
      <c r="BF135" s="89" t="n">
        <f aca="true">IF(BF$5=0,BE135,MAX(0,(BE135-BF$4)*(1+NORMINV(RAND(),INPUTS!$B$28,INPUTS!$B$29))))</f>
        <v>27662301.5465698</v>
      </c>
      <c r="BG135" s="89" t="n">
        <f aca="true">IF(BG$5=0,BF135,MAX(0,(BF135-BG$4)*(1+NORMINV(RAND(),INPUTS!$B$28,INPUTS!$B$29))))</f>
        <v>27662301.5465698</v>
      </c>
      <c r="BH135" s="89" t="n">
        <f aca="true">IF(BH$5=0,BG135,MAX(0,(BG135-BH$4)*(1+NORMINV(RAND(),INPUTS!$B$28,INPUTS!$B$29))))</f>
        <v>27662301.5465698</v>
      </c>
      <c r="BI135" s="89" t="n">
        <f aca="true">IF(BI$5=0,BH135,MAX(0,(BH135-BI$4)*(1+NORMINV(RAND(),INPUTS!$B$28,INPUTS!$B$29))))</f>
        <v>27662301.5465698</v>
      </c>
      <c r="BJ135" s="89" t="n">
        <f aca="true">IF(BJ$5=0,BI135,MAX(0,(BI135-BJ$4)*(1+NORMINV(RAND(),INPUTS!$B$28,INPUTS!$B$29))))</f>
        <v>27662301.5465698</v>
      </c>
    </row>
    <row r="136" customFormat="false" ht="15" hidden="false" customHeight="true" outlineLevel="0" collapsed="false">
      <c r="A136" s="87" t="n">
        <v>129</v>
      </c>
      <c r="B136" s="88" t="n">
        <f aca="false">LOOKUP(9.99E+307,C136:BJ136)</f>
        <v>17410024.0790282</v>
      </c>
      <c r="C136" s="89" t="n">
        <f aca="true">IF(C$5=0,INPUTS!$B$35,MAX(0,(INPUTS!$B$35-C$4)*(1+NORMINV(RAND(),INPUTS!$B$28,INPUTS!$B$29))))</f>
        <v>1755849.40299772</v>
      </c>
      <c r="D136" s="89" t="n">
        <f aca="true">IF(D$5=0,C136,MAX(0,(C136-D$4)*(1+NORMINV(RAND(),INPUTS!$B$28,INPUTS!$B$29))))</f>
        <v>1991380.43950165</v>
      </c>
      <c r="E136" s="89" t="n">
        <f aca="true">IF(E$5=0,D136,MAX(0,(D136-E$4)*(1+NORMINV(RAND(),INPUTS!$B$28,INPUTS!$B$29))))</f>
        <v>2313796.15734058</v>
      </c>
      <c r="F136" s="89" t="n">
        <f aca="true">IF(F$5=0,E136,MAX(0,(E136-F$4)*(1+NORMINV(RAND(),INPUTS!$B$28,INPUTS!$B$29))))</f>
        <v>2451732.7916615</v>
      </c>
      <c r="G136" s="89" t="n">
        <f aca="true">IF(G$5=0,F136,MAX(0,(F136-G$4)*(1+NORMINV(RAND(),INPUTS!$B$28,INPUTS!$B$29))))</f>
        <v>2436021.50607826</v>
      </c>
      <c r="H136" s="89" t="n">
        <f aca="true">IF(H$5=0,G136,MAX(0,(G136-H$4)*(1+NORMINV(RAND(),INPUTS!$B$28,INPUTS!$B$29))))</f>
        <v>3293322.75632217</v>
      </c>
      <c r="I136" s="89" t="n">
        <f aca="true">IF(I$5=0,H136,MAX(0,(H136-I$4)*(1+NORMINV(RAND(),INPUTS!$B$28,INPUTS!$B$29))))</f>
        <v>3421960.71695636</v>
      </c>
      <c r="J136" s="89" t="n">
        <f aca="true">IF(J$5=0,I136,MAX(0,(I136-J$4)*(1+NORMINV(RAND(),INPUTS!$B$28,INPUTS!$B$29))))</f>
        <v>3437830.80902634</v>
      </c>
      <c r="K136" s="89" t="n">
        <f aca="true">IF(K$5=0,J136,MAX(0,(J136-K$4)*(1+NORMINV(RAND(),INPUTS!$B$28,INPUTS!$B$29))))</f>
        <v>3928816.06926609</v>
      </c>
      <c r="L136" s="89" t="n">
        <f aca="true">IF(L$5=0,K136,MAX(0,(K136-L$4)*(1+NORMINV(RAND(),INPUTS!$B$28,INPUTS!$B$29))))</f>
        <v>4288719.31610641</v>
      </c>
      <c r="M136" s="89" t="n">
        <f aca="true">IF(M$5=0,L136,MAX(0,(L136-M$4)*(1+NORMINV(RAND(),INPUTS!$B$28,INPUTS!$B$29))))</f>
        <v>5096808.11468029</v>
      </c>
      <c r="N136" s="89" t="n">
        <f aca="true">IF(N$5=0,M136,MAX(0,(M136-N$4)*(1+NORMINV(RAND(),INPUTS!$B$28,INPUTS!$B$29))))</f>
        <v>5744149.65131444</v>
      </c>
      <c r="O136" s="89" t="n">
        <f aca="true">IF(O$5=0,N136,MAX(0,(N136-O$4)*(1+NORMINV(RAND(),INPUTS!$B$28,INPUTS!$B$29))))</f>
        <v>5591404.13862111</v>
      </c>
      <c r="P136" s="89" t="n">
        <f aca="true">IF(P$5=0,O136,MAX(0,(O136-P$4)*(1+NORMINV(RAND(),INPUTS!$B$28,INPUTS!$B$29))))</f>
        <v>5322974.63323115</v>
      </c>
      <c r="Q136" s="89" t="n">
        <f aca="true">IF(Q$5=0,P136,MAX(0,(P136-Q$4)*(1+NORMINV(RAND(),INPUTS!$B$28,INPUTS!$B$29))))</f>
        <v>6805594.2670396</v>
      </c>
      <c r="R136" s="89" t="n">
        <f aca="true">IF(R$5=0,Q136,MAX(0,(Q136-R$4)*(1+NORMINV(RAND(),INPUTS!$B$28,INPUTS!$B$29))))</f>
        <v>6543095.2343936</v>
      </c>
      <c r="S136" s="89" t="n">
        <f aca="true">IF(S$5=0,R136,MAX(0,(R136-S$4)*(1+NORMINV(RAND(),INPUTS!$B$28,INPUTS!$B$29))))</f>
        <v>7883897.72199959</v>
      </c>
      <c r="T136" s="89" t="n">
        <f aca="true">IF(T$5=0,S136,MAX(0,(S136-T$4)*(1+NORMINV(RAND(),INPUTS!$B$28,INPUTS!$B$29))))</f>
        <v>8106463.02110504</v>
      </c>
      <c r="U136" s="89" t="n">
        <f aca="true">IF(U$5=0,T136,MAX(0,(T136-U$4)*(1+NORMINV(RAND(),INPUTS!$B$28,INPUTS!$B$29))))</f>
        <v>6494246.33069437</v>
      </c>
      <c r="V136" s="89" t="n">
        <f aca="true">IF(V$5=0,U136,MAX(0,(U136-V$4)*(1+NORMINV(RAND(),INPUTS!$B$28,INPUTS!$B$29))))</f>
        <v>5966672.96558433</v>
      </c>
      <c r="W136" s="89" t="n">
        <f aca="true">IF(W$5=0,V136,MAX(0,(V136-W$4)*(1+NORMINV(RAND(),INPUTS!$B$28,INPUTS!$B$29))))</f>
        <v>7313165.42636075</v>
      </c>
      <c r="X136" s="89" t="n">
        <f aca="true">IF(X$5=0,W136,MAX(0,(W136-X$4)*(1+NORMINV(RAND(),INPUTS!$B$28,INPUTS!$B$29))))</f>
        <v>8786589.93303383</v>
      </c>
      <c r="Y136" s="89" t="n">
        <f aca="true">IF(Y$5=0,X136,MAX(0,(X136-Y$4)*(1+NORMINV(RAND(),INPUTS!$B$28,INPUTS!$B$29))))</f>
        <v>9088048.10907926</v>
      </c>
      <c r="Z136" s="89" t="n">
        <f aca="true">IF(Z$5=0,Y136,MAX(0,(Y136-Z$4)*(1+NORMINV(RAND(),INPUTS!$B$28,INPUTS!$B$29))))</f>
        <v>8790376.44458434</v>
      </c>
      <c r="AA136" s="89" t="n">
        <f aca="true">IF(AA$5=0,Z136,MAX(0,(Z136-AA$4)*(1+NORMINV(RAND(),INPUTS!$B$28,INPUTS!$B$29))))</f>
        <v>8756197.92086827</v>
      </c>
      <c r="AB136" s="89" t="n">
        <f aca="true">IF(AB$5=0,AA136,MAX(0,(AA136-AB$4)*(1+NORMINV(RAND(),INPUTS!$B$28,INPUTS!$B$29))))</f>
        <v>11438831.8530334</v>
      </c>
      <c r="AC136" s="89" t="n">
        <f aca="true">IF(AC$5=0,AB136,MAX(0,(AB136-AC$4)*(1+NORMINV(RAND(),INPUTS!$B$28,INPUTS!$B$29))))</f>
        <v>13410428.1926715</v>
      </c>
      <c r="AD136" s="89" t="n">
        <f aca="true">IF(AD$5=0,AC136,MAX(0,(AC136-AD$4)*(1+NORMINV(RAND(),INPUTS!$B$28,INPUTS!$B$29))))</f>
        <v>12342904.3115349</v>
      </c>
      <c r="AE136" s="89" t="n">
        <f aca="true">IF(AE$5=0,AD136,MAX(0,(AD136-AE$4)*(1+NORMINV(RAND(),INPUTS!$B$28,INPUTS!$B$29))))</f>
        <v>13160686.9167232</v>
      </c>
      <c r="AF136" s="89" t="n">
        <f aca="true">IF(AF$5=0,AE136,MAX(0,(AE136-AF$4)*(1+NORMINV(RAND(),INPUTS!$B$28,INPUTS!$B$29))))</f>
        <v>14311752.5023897</v>
      </c>
      <c r="AG136" s="89" t="n">
        <f aca="true">IF(AG$5=0,AF136,MAX(0,(AF136-AG$4)*(1+NORMINV(RAND(),INPUTS!$B$28,INPUTS!$B$29))))</f>
        <v>13637977.822242</v>
      </c>
      <c r="AH136" s="89" t="n">
        <f aca="true">IF(AH$5=0,AG136,MAX(0,(AG136-AH$4)*(1+NORMINV(RAND(),INPUTS!$B$28,INPUTS!$B$29))))</f>
        <v>14320298.7187727</v>
      </c>
      <c r="AI136" s="89" t="n">
        <f aca="true">IF(AI$5=0,AH136,MAX(0,(AH136-AI$4)*(1+NORMINV(RAND(),INPUTS!$B$28,INPUTS!$B$29))))</f>
        <v>13705394.3429051</v>
      </c>
      <c r="AJ136" s="89" t="n">
        <f aca="true">IF(AJ$5=0,AI136,MAX(0,(AI136-AJ$4)*(1+NORMINV(RAND(),INPUTS!$B$28,INPUTS!$B$29))))</f>
        <v>16030895.1254744</v>
      </c>
      <c r="AK136" s="89" t="n">
        <f aca="true">IF(AK$5=0,AJ136,MAX(0,(AJ136-AK$4)*(1+NORMINV(RAND(),INPUTS!$B$28,INPUTS!$B$29))))</f>
        <v>16914065.8682091</v>
      </c>
      <c r="AL136" s="89" t="n">
        <f aca="true">IF(AL$5=0,AK136,MAX(0,(AK136-AL$4)*(1+NORMINV(RAND(),INPUTS!$B$28,INPUTS!$B$29))))</f>
        <v>17410024.0790282</v>
      </c>
      <c r="AM136" s="89" t="n">
        <f aca="true">IF(AM$5=0,AL136,MAX(0,(AL136-AM$4)*(1+NORMINV(RAND(),INPUTS!$B$28,INPUTS!$B$29))))</f>
        <v>17410024.0790282</v>
      </c>
      <c r="AN136" s="89" t="n">
        <f aca="true">IF(AN$5=0,AM136,MAX(0,(AM136-AN$4)*(1+NORMINV(RAND(),INPUTS!$B$28,INPUTS!$B$29))))</f>
        <v>17410024.0790282</v>
      </c>
      <c r="AO136" s="89" t="n">
        <f aca="true">IF(AO$5=0,AN136,MAX(0,(AN136-AO$4)*(1+NORMINV(RAND(),INPUTS!$B$28,INPUTS!$B$29))))</f>
        <v>17410024.0790282</v>
      </c>
      <c r="AP136" s="89" t="n">
        <f aca="true">IF(AP$5=0,AO136,MAX(0,(AO136-AP$4)*(1+NORMINV(RAND(),INPUTS!$B$28,INPUTS!$B$29))))</f>
        <v>17410024.0790282</v>
      </c>
      <c r="AQ136" s="89" t="n">
        <f aca="true">IF(AQ$5=0,AP136,MAX(0,(AP136-AQ$4)*(1+NORMINV(RAND(),INPUTS!$B$28,INPUTS!$B$29))))</f>
        <v>17410024.0790282</v>
      </c>
      <c r="AR136" s="89" t="n">
        <f aca="true">IF(AR$5=0,AQ136,MAX(0,(AQ136-AR$4)*(1+NORMINV(RAND(),INPUTS!$B$28,INPUTS!$B$29))))</f>
        <v>17410024.0790282</v>
      </c>
      <c r="AS136" s="89" t="n">
        <f aca="true">IF(AS$5=0,AR136,MAX(0,(AR136-AS$4)*(1+NORMINV(RAND(),INPUTS!$B$28,INPUTS!$B$29))))</f>
        <v>17410024.0790282</v>
      </c>
      <c r="AT136" s="89" t="n">
        <f aca="true">IF(AT$5=0,AS136,MAX(0,(AS136-AT$4)*(1+NORMINV(RAND(),INPUTS!$B$28,INPUTS!$B$29))))</f>
        <v>17410024.0790282</v>
      </c>
      <c r="AU136" s="89" t="n">
        <f aca="true">IF(AU$5=0,AT136,MAX(0,(AT136-AU$4)*(1+NORMINV(RAND(),INPUTS!$B$28,INPUTS!$B$29))))</f>
        <v>17410024.0790282</v>
      </c>
      <c r="AV136" s="89" t="n">
        <f aca="true">IF(AV$5=0,AU136,MAX(0,(AU136-AV$4)*(1+NORMINV(RAND(),INPUTS!$B$28,INPUTS!$B$29))))</f>
        <v>17410024.0790282</v>
      </c>
      <c r="AW136" s="89" t="n">
        <f aca="true">IF(AW$5=0,AV136,MAX(0,(AV136-AW$4)*(1+NORMINV(RAND(),INPUTS!$B$28,INPUTS!$B$29))))</f>
        <v>17410024.0790282</v>
      </c>
      <c r="AX136" s="89" t="n">
        <f aca="true">IF(AX$5=0,AW136,MAX(0,(AW136-AX$4)*(1+NORMINV(RAND(),INPUTS!$B$28,INPUTS!$B$29))))</f>
        <v>17410024.0790282</v>
      </c>
      <c r="AY136" s="89" t="n">
        <f aca="true">IF(AY$5=0,AX136,MAX(0,(AX136-AY$4)*(1+NORMINV(RAND(),INPUTS!$B$28,INPUTS!$B$29))))</f>
        <v>17410024.0790282</v>
      </c>
      <c r="AZ136" s="89" t="n">
        <f aca="true">IF(AZ$5=0,AY136,MAX(0,(AY136-AZ$4)*(1+NORMINV(RAND(),INPUTS!$B$28,INPUTS!$B$29))))</f>
        <v>17410024.0790282</v>
      </c>
      <c r="BA136" s="89" t="n">
        <f aca="true">IF(BA$5=0,AZ136,MAX(0,(AZ136-BA$4)*(1+NORMINV(RAND(),INPUTS!$B$28,INPUTS!$B$29))))</f>
        <v>17410024.0790282</v>
      </c>
      <c r="BB136" s="89" t="n">
        <f aca="true">IF(BB$5=0,BA136,MAX(0,(BA136-BB$4)*(1+NORMINV(RAND(),INPUTS!$B$28,INPUTS!$B$29))))</f>
        <v>17410024.0790282</v>
      </c>
      <c r="BC136" s="89" t="n">
        <f aca="true">IF(BC$5=0,BB136,MAX(0,(BB136-BC$4)*(1+NORMINV(RAND(),INPUTS!$B$28,INPUTS!$B$29))))</f>
        <v>17410024.0790282</v>
      </c>
      <c r="BD136" s="89" t="n">
        <f aca="true">IF(BD$5=0,BC136,MAX(0,(BC136-BD$4)*(1+NORMINV(RAND(),INPUTS!$B$28,INPUTS!$B$29))))</f>
        <v>17410024.0790282</v>
      </c>
      <c r="BE136" s="89" t="n">
        <f aca="true">IF(BE$5=0,BD136,MAX(0,(BD136-BE$4)*(1+NORMINV(RAND(),INPUTS!$B$28,INPUTS!$B$29))))</f>
        <v>17410024.0790282</v>
      </c>
      <c r="BF136" s="89" t="n">
        <f aca="true">IF(BF$5=0,BE136,MAX(0,(BE136-BF$4)*(1+NORMINV(RAND(),INPUTS!$B$28,INPUTS!$B$29))))</f>
        <v>17410024.0790282</v>
      </c>
      <c r="BG136" s="89" t="n">
        <f aca="true">IF(BG$5=0,BF136,MAX(0,(BF136-BG$4)*(1+NORMINV(RAND(),INPUTS!$B$28,INPUTS!$B$29))))</f>
        <v>17410024.0790282</v>
      </c>
      <c r="BH136" s="89" t="n">
        <f aca="true">IF(BH$5=0,BG136,MAX(0,(BG136-BH$4)*(1+NORMINV(RAND(),INPUTS!$B$28,INPUTS!$B$29))))</f>
        <v>17410024.0790282</v>
      </c>
      <c r="BI136" s="89" t="n">
        <f aca="true">IF(BI$5=0,BH136,MAX(0,(BH136-BI$4)*(1+NORMINV(RAND(),INPUTS!$B$28,INPUTS!$B$29))))</f>
        <v>17410024.0790282</v>
      </c>
      <c r="BJ136" s="89" t="n">
        <f aca="true">IF(BJ$5=0,BI136,MAX(0,(BI136-BJ$4)*(1+NORMINV(RAND(),INPUTS!$B$28,INPUTS!$B$29))))</f>
        <v>17410024.0790282</v>
      </c>
    </row>
    <row r="137" customFormat="false" ht="15" hidden="false" customHeight="true" outlineLevel="0" collapsed="false">
      <c r="A137" s="87" t="n">
        <v>130</v>
      </c>
      <c r="B137" s="88" t="n">
        <f aca="false">LOOKUP(9.99E+307,C137:BJ137)</f>
        <v>3704320.18932063</v>
      </c>
      <c r="C137" s="89" t="n">
        <f aca="true">IF(C$5=0,INPUTS!$B$35,MAX(0,(INPUTS!$B$35-C$4)*(1+NORMINV(RAND(),INPUTS!$B$28,INPUTS!$B$29))))</f>
        <v>1742478.88042334</v>
      </c>
      <c r="D137" s="89" t="n">
        <f aca="true">IF(D$5=0,C137,MAX(0,(C137-D$4)*(1+NORMINV(RAND(),INPUTS!$B$28,INPUTS!$B$29))))</f>
        <v>1708147.62011681</v>
      </c>
      <c r="E137" s="89" t="n">
        <f aca="true">IF(E$5=0,D137,MAX(0,(D137-E$4)*(1+NORMINV(RAND(),INPUTS!$B$28,INPUTS!$B$29))))</f>
        <v>1899273.48663481</v>
      </c>
      <c r="F137" s="89" t="n">
        <f aca="true">IF(F$5=0,E137,MAX(0,(E137-F$4)*(1+NORMINV(RAND(),INPUTS!$B$28,INPUTS!$B$29))))</f>
        <v>1672934.35639455</v>
      </c>
      <c r="G137" s="89" t="n">
        <f aca="true">IF(G$5=0,F137,MAX(0,(F137-G$4)*(1+NORMINV(RAND(),INPUTS!$B$28,INPUTS!$B$29))))</f>
        <v>1524996.28311159</v>
      </c>
      <c r="H137" s="89" t="n">
        <f aca="true">IF(H$5=0,G137,MAX(0,(G137-H$4)*(1+NORMINV(RAND(),INPUTS!$B$28,INPUTS!$B$29))))</f>
        <v>1708879.09194346</v>
      </c>
      <c r="I137" s="89" t="n">
        <f aca="true">IF(I$5=0,H137,MAX(0,(H137-I$4)*(1+NORMINV(RAND(),INPUTS!$B$28,INPUTS!$B$29))))</f>
        <v>1579749.38416007</v>
      </c>
      <c r="J137" s="89" t="n">
        <f aca="true">IF(J$5=0,I137,MAX(0,(I137-J$4)*(1+NORMINV(RAND(),INPUTS!$B$28,INPUTS!$B$29))))</f>
        <v>1674789.27336039</v>
      </c>
      <c r="K137" s="89" t="n">
        <f aca="true">IF(K$5=0,J137,MAX(0,(J137-K$4)*(1+NORMINV(RAND(),INPUTS!$B$28,INPUTS!$B$29))))</f>
        <v>1628028.82797418</v>
      </c>
      <c r="L137" s="89" t="n">
        <f aca="true">IF(L$5=0,K137,MAX(0,(K137-L$4)*(1+NORMINV(RAND(),INPUTS!$B$28,INPUTS!$B$29))))</f>
        <v>1576949.17650446</v>
      </c>
      <c r="M137" s="89" t="n">
        <f aca="true">IF(M$5=0,L137,MAX(0,(L137-M$4)*(1+NORMINV(RAND(),INPUTS!$B$28,INPUTS!$B$29))))</f>
        <v>1533944.6236222</v>
      </c>
      <c r="N137" s="89" t="n">
        <f aca="true">IF(N$5=0,M137,MAX(0,(M137-N$4)*(1+NORMINV(RAND(),INPUTS!$B$28,INPUTS!$B$29))))</f>
        <v>1498236.08466697</v>
      </c>
      <c r="O137" s="89" t="n">
        <f aca="true">IF(O$5=0,N137,MAX(0,(N137-O$4)*(1+NORMINV(RAND(),INPUTS!$B$28,INPUTS!$B$29))))</f>
        <v>1414257.91167559</v>
      </c>
      <c r="P137" s="89" t="n">
        <f aca="true">IF(P$5=0,O137,MAX(0,(O137-P$4)*(1+NORMINV(RAND(),INPUTS!$B$28,INPUTS!$B$29))))</f>
        <v>1581408.43568169</v>
      </c>
      <c r="Q137" s="89" t="n">
        <f aca="true">IF(Q$5=0,P137,MAX(0,(P137-Q$4)*(1+NORMINV(RAND(),INPUTS!$B$28,INPUTS!$B$29))))</f>
        <v>1728144.73281942</v>
      </c>
      <c r="R137" s="89" t="n">
        <f aca="true">IF(R$5=0,Q137,MAX(0,(Q137-R$4)*(1+NORMINV(RAND(),INPUTS!$B$28,INPUTS!$B$29))))</f>
        <v>1751358.30573141</v>
      </c>
      <c r="S137" s="89" t="n">
        <f aca="true">IF(S$5=0,R137,MAX(0,(R137-S$4)*(1+NORMINV(RAND(),INPUTS!$B$28,INPUTS!$B$29))))</f>
        <v>1830729.78454764</v>
      </c>
      <c r="T137" s="89" t="n">
        <f aca="true">IF(T$5=0,S137,MAX(0,(S137-T$4)*(1+NORMINV(RAND(),INPUTS!$B$28,INPUTS!$B$29))))</f>
        <v>1942929.64456599</v>
      </c>
      <c r="U137" s="89" t="n">
        <f aca="true">IF(U$5=0,T137,MAX(0,(T137-U$4)*(1+NORMINV(RAND(),INPUTS!$B$28,INPUTS!$B$29))))</f>
        <v>2602411.01682901</v>
      </c>
      <c r="V137" s="89" t="n">
        <f aca="true">IF(V$5=0,U137,MAX(0,(U137-V$4)*(1+NORMINV(RAND(),INPUTS!$B$28,INPUTS!$B$29))))</f>
        <v>2897447.16037953</v>
      </c>
      <c r="W137" s="89" t="n">
        <f aca="true">IF(W$5=0,V137,MAX(0,(V137-W$4)*(1+NORMINV(RAND(),INPUTS!$B$28,INPUTS!$B$29))))</f>
        <v>3077335.83357026</v>
      </c>
      <c r="X137" s="89" t="n">
        <f aca="true">IF(X$5=0,W137,MAX(0,(W137-X$4)*(1+NORMINV(RAND(),INPUTS!$B$28,INPUTS!$B$29))))</f>
        <v>3486049.99014253</v>
      </c>
      <c r="Y137" s="89" t="n">
        <f aca="true">IF(Y$5=0,X137,MAX(0,(X137-Y$4)*(1+NORMINV(RAND(),INPUTS!$B$28,INPUTS!$B$29))))</f>
        <v>3587385.42230567</v>
      </c>
      <c r="Z137" s="89" t="n">
        <f aca="true">IF(Z$5=0,Y137,MAX(0,(Y137-Z$4)*(1+NORMINV(RAND(),INPUTS!$B$28,INPUTS!$B$29))))</f>
        <v>3554927.72190353</v>
      </c>
      <c r="AA137" s="89" t="n">
        <f aca="true">IF(AA$5=0,Z137,MAX(0,(Z137-AA$4)*(1+NORMINV(RAND(),INPUTS!$B$28,INPUTS!$B$29))))</f>
        <v>4369620.26586576</v>
      </c>
      <c r="AB137" s="89" t="n">
        <f aca="true">IF(AB$5=0,AA137,MAX(0,(AA137-AB$4)*(1+NORMINV(RAND(),INPUTS!$B$28,INPUTS!$B$29))))</f>
        <v>4483565.78629238</v>
      </c>
      <c r="AC137" s="89" t="n">
        <f aca="true">IF(AC$5=0,AB137,MAX(0,(AB137-AC$4)*(1+NORMINV(RAND(),INPUTS!$B$28,INPUTS!$B$29))))</f>
        <v>4786343.03624706</v>
      </c>
      <c r="AD137" s="89" t="n">
        <f aca="true">IF(AD$5=0,AC137,MAX(0,(AC137-AD$4)*(1+NORMINV(RAND(),INPUTS!$B$28,INPUTS!$B$29))))</f>
        <v>4092907.01764957</v>
      </c>
      <c r="AE137" s="89" t="n">
        <f aca="true">IF(AE$5=0,AD137,MAX(0,(AD137-AE$4)*(1+NORMINV(RAND(),INPUTS!$B$28,INPUTS!$B$29))))</f>
        <v>3947757.73425278</v>
      </c>
      <c r="AF137" s="89" t="n">
        <f aca="true">IF(AF$5=0,AE137,MAX(0,(AE137-AF$4)*(1+NORMINV(RAND(),INPUTS!$B$28,INPUTS!$B$29))))</f>
        <v>4470971.50576727</v>
      </c>
      <c r="AG137" s="89" t="n">
        <f aca="true">IF(AG$5=0,AF137,MAX(0,(AF137-AG$4)*(1+NORMINV(RAND(),INPUTS!$B$28,INPUTS!$B$29))))</f>
        <v>4172612.80246652</v>
      </c>
      <c r="AH137" s="89" t="n">
        <f aca="true">IF(AH$5=0,AG137,MAX(0,(AG137-AH$4)*(1+NORMINV(RAND(),INPUTS!$B$28,INPUTS!$B$29))))</f>
        <v>4344341.77150981</v>
      </c>
      <c r="AI137" s="89" t="n">
        <f aca="true">IF(AI$5=0,AH137,MAX(0,(AH137-AI$4)*(1+NORMINV(RAND(),INPUTS!$B$28,INPUTS!$B$29))))</f>
        <v>4519409.19717819</v>
      </c>
      <c r="AJ137" s="89" t="n">
        <f aca="true">IF(AJ$5=0,AI137,MAX(0,(AI137-AJ$4)*(1+NORMINV(RAND(),INPUTS!$B$28,INPUTS!$B$29))))</f>
        <v>4740036.87877563</v>
      </c>
      <c r="AK137" s="89" t="n">
        <f aca="true">IF(AK$5=0,AJ137,MAX(0,(AJ137-AK$4)*(1+NORMINV(RAND(),INPUTS!$B$28,INPUTS!$B$29))))</f>
        <v>4944662.84216517</v>
      </c>
      <c r="AL137" s="89" t="n">
        <f aca="true">IF(AL$5=0,AK137,MAX(0,(AK137-AL$4)*(1+NORMINV(RAND(),INPUTS!$B$28,INPUTS!$B$29))))</f>
        <v>3704320.18932063</v>
      </c>
      <c r="AM137" s="89" t="n">
        <f aca="true">IF(AM$5=0,AL137,MAX(0,(AL137-AM$4)*(1+NORMINV(RAND(),INPUTS!$B$28,INPUTS!$B$29))))</f>
        <v>3704320.18932063</v>
      </c>
      <c r="AN137" s="89" t="n">
        <f aca="true">IF(AN$5=0,AM137,MAX(0,(AM137-AN$4)*(1+NORMINV(RAND(),INPUTS!$B$28,INPUTS!$B$29))))</f>
        <v>3704320.18932063</v>
      </c>
      <c r="AO137" s="89" t="n">
        <f aca="true">IF(AO$5=0,AN137,MAX(0,(AN137-AO$4)*(1+NORMINV(RAND(),INPUTS!$B$28,INPUTS!$B$29))))</f>
        <v>3704320.18932063</v>
      </c>
      <c r="AP137" s="89" t="n">
        <f aca="true">IF(AP$5=0,AO137,MAX(0,(AO137-AP$4)*(1+NORMINV(RAND(),INPUTS!$B$28,INPUTS!$B$29))))</f>
        <v>3704320.18932063</v>
      </c>
      <c r="AQ137" s="89" t="n">
        <f aca="true">IF(AQ$5=0,AP137,MAX(0,(AP137-AQ$4)*(1+NORMINV(RAND(),INPUTS!$B$28,INPUTS!$B$29))))</f>
        <v>3704320.18932063</v>
      </c>
      <c r="AR137" s="89" t="n">
        <f aca="true">IF(AR$5=0,AQ137,MAX(0,(AQ137-AR$4)*(1+NORMINV(RAND(),INPUTS!$B$28,INPUTS!$B$29))))</f>
        <v>3704320.18932063</v>
      </c>
      <c r="AS137" s="89" t="n">
        <f aca="true">IF(AS$5=0,AR137,MAX(0,(AR137-AS$4)*(1+NORMINV(RAND(),INPUTS!$B$28,INPUTS!$B$29))))</f>
        <v>3704320.18932063</v>
      </c>
      <c r="AT137" s="89" t="n">
        <f aca="true">IF(AT$5=0,AS137,MAX(0,(AS137-AT$4)*(1+NORMINV(RAND(),INPUTS!$B$28,INPUTS!$B$29))))</f>
        <v>3704320.18932063</v>
      </c>
      <c r="AU137" s="89" t="n">
        <f aca="true">IF(AU$5=0,AT137,MAX(0,(AT137-AU$4)*(1+NORMINV(RAND(),INPUTS!$B$28,INPUTS!$B$29))))</f>
        <v>3704320.18932063</v>
      </c>
      <c r="AV137" s="89" t="n">
        <f aca="true">IF(AV$5=0,AU137,MAX(0,(AU137-AV$4)*(1+NORMINV(RAND(),INPUTS!$B$28,INPUTS!$B$29))))</f>
        <v>3704320.18932063</v>
      </c>
      <c r="AW137" s="89" t="n">
        <f aca="true">IF(AW$5=0,AV137,MAX(0,(AV137-AW$4)*(1+NORMINV(RAND(),INPUTS!$B$28,INPUTS!$B$29))))</f>
        <v>3704320.18932063</v>
      </c>
      <c r="AX137" s="89" t="n">
        <f aca="true">IF(AX$5=0,AW137,MAX(0,(AW137-AX$4)*(1+NORMINV(RAND(),INPUTS!$B$28,INPUTS!$B$29))))</f>
        <v>3704320.18932063</v>
      </c>
      <c r="AY137" s="89" t="n">
        <f aca="true">IF(AY$5=0,AX137,MAX(0,(AX137-AY$4)*(1+NORMINV(RAND(),INPUTS!$B$28,INPUTS!$B$29))))</f>
        <v>3704320.18932063</v>
      </c>
      <c r="AZ137" s="89" t="n">
        <f aca="true">IF(AZ$5=0,AY137,MAX(0,(AY137-AZ$4)*(1+NORMINV(RAND(),INPUTS!$B$28,INPUTS!$B$29))))</f>
        <v>3704320.18932063</v>
      </c>
      <c r="BA137" s="89" t="n">
        <f aca="true">IF(BA$5=0,AZ137,MAX(0,(AZ137-BA$4)*(1+NORMINV(RAND(),INPUTS!$B$28,INPUTS!$B$29))))</f>
        <v>3704320.18932063</v>
      </c>
      <c r="BB137" s="89" t="n">
        <f aca="true">IF(BB$5=0,BA137,MAX(0,(BA137-BB$4)*(1+NORMINV(RAND(),INPUTS!$B$28,INPUTS!$B$29))))</f>
        <v>3704320.18932063</v>
      </c>
      <c r="BC137" s="89" t="n">
        <f aca="true">IF(BC$5=0,BB137,MAX(0,(BB137-BC$4)*(1+NORMINV(RAND(),INPUTS!$B$28,INPUTS!$B$29))))</f>
        <v>3704320.18932063</v>
      </c>
      <c r="BD137" s="89" t="n">
        <f aca="true">IF(BD$5=0,BC137,MAX(0,(BC137-BD$4)*(1+NORMINV(RAND(),INPUTS!$B$28,INPUTS!$B$29))))</f>
        <v>3704320.18932063</v>
      </c>
      <c r="BE137" s="89" t="n">
        <f aca="true">IF(BE$5=0,BD137,MAX(0,(BD137-BE$4)*(1+NORMINV(RAND(),INPUTS!$B$28,INPUTS!$B$29))))</f>
        <v>3704320.18932063</v>
      </c>
      <c r="BF137" s="89" t="n">
        <f aca="true">IF(BF$5=0,BE137,MAX(0,(BE137-BF$4)*(1+NORMINV(RAND(),INPUTS!$B$28,INPUTS!$B$29))))</f>
        <v>3704320.18932063</v>
      </c>
      <c r="BG137" s="89" t="n">
        <f aca="true">IF(BG$5=0,BF137,MAX(0,(BF137-BG$4)*(1+NORMINV(RAND(),INPUTS!$B$28,INPUTS!$B$29))))</f>
        <v>3704320.18932063</v>
      </c>
      <c r="BH137" s="89" t="n">
        <f aca="true">IF(BH$5=0,BG137,MAX(0,(BG137-BH$4)*(1+NORMINV(RAND(),INPUTS!$B$28,INPUTS!$B$29))))</f>
        <v>3704320.18932063</v>
      </c>
      <c r="BI137" s="89" t="n">
        <f aca="true">IF(BI$5=0,BH137,MAX(0,(BH137-BI$4)*(1+NORMINV(RAND(),INPUTS!$B$28,INPUTS!$B$29))))</f>
        <v>3704320.18932063</v>
      </c>
      <c r="BJ137" s="89" t="n">
        <f aca="true">IF(BJ$5=0,BI137,MAX(0,(BI137-BJ$4)*(1+NORMINV(RAND(),INPUTS!$B$28,INPUTS!$B$29))))</f>
        <v>3704320.18932063</v>
      </c>
    </row>
    <row r="138" customFormat="false" ht="15" hidden="false" customHeight="true" outlineLevel="0" collapsed="false">
      <c r="A138" s="87" t="n">
        <v>131</v>
      </c>
      <c r="B138" s="88" t="n">
        <f aca="false">LOOKUP(9.99E+307,C138:BJ138)</f>
        <v>2695307.39734154</v>
      </c>
      <c r="C138" s="89" t="n">
        <f aca="true">IF(C$5=0,INPUTS!$B$35,MAX(0,(INPUTS!$B$35-C$4)*(1+NORMINV(RAND(),INPUTS!$B$28,INPUTS!$B$29))))</f>
        <v>1709199.62700495</v>
      </c>
      <c r="D138" s="89" t="n">
        <f aca="true">IF(D$5=0,C138,MAX(0,(C138-D$4)*(1+NORMINV(RAND(),INPUTS!$B$28,INPUTS!$B$29))))</f>
        <v>1705616.65630584</v>
      </c>
      <c r="E138" s="89" t="n">
        <f aca="true">IF(E$5=0,D138,MAX(0,(D138-E$4)*(1+NORMINV(RAND(),INPUTS!$B$28,INPUTS!$B$29))))</f>
        <v>1729239.46397696</v>
      </c>
      <c r="F138" s="89" t="n">
        <f aca="true">IF(F$5=0,E138,MAX(0,(E138-F$4)*(1+NORMINV(RAND(),INPUTS!$B$28,INPUTS!$B$29))))</f>
        <v>1524559.50454521</v>
      </c>
      <c r="G138" s="89" t="n">
        <f aca="true">IF(G$5=0,F138,MAX(0,(F138-G$4)*(1+NORMINV(RAND(),INPUTS!$B$28,INPUTS!$B$29))))</f>
        <v>1514599.76632692</v>
      </c>
      <c r="H138" s="89" t="n">
        <f aca="true">IF(H$5=0,G138,MAX(0,(G138-H$4)*(1+NORMINV(RAND(),INPUTS!$B$28,INPUTS!$B$29))))</f>
        <v>1520052.2670075</v>
      </c>
      <c r="I138" s="89" t="n">
        <f aca="true">IF(I$5=0,H138,MAX(0,(H138-I$4)*(1+NORMINV(RAND(),INPUTS!$B$28,INPUTS!$B$29))))</f>
        <v>1321990.74328731</v>
      </c>
      <c r="J138" s="89" t="n">
        <f aca="true">IF(J$5=0,I138,MAX(0,(I138-J$4)*(1+NORMINV(RAND(),INPUTS!$B$28,INPUTS!$B$29))))</f>
        <v>1439067.92371024</v>
      </c>
      <c r="K138" s="89" t="n">
        <f aca="true">IF(K$5=0,J138,MAX(0,(J138-K$4)*(1+NORMINV(RAND(),INPUTS!$B$28,INPUTS!$B$29))))</f>
        <v>1756890.94888233</v>
      </c>
      <c r="L138" s="89" t="n">
        <f aca="true">IF(L$5=0,K138,MAX(0,(K138-L$4)*(1+NORMINV(RAND(),INPUTS!$B$28,INPUTS!$B$29))))</f>
        <v>1798269.40298324</v>
      </c>
      <c r="M138" s="89" t="n">
        <f aca="true">IF(M$5=0,L138,MAX(0,(L138-M$4)*(1+NORMINV(RAND(),INPUTS!$B$28,INPUTS!$B$29))))</f>
        <v>1852263.83257778</v>
      </c>
      <c r="N138" s="89" t="n">
        <f aca="true">IF(N$5=0,M138,MAX(0,(M138-N$4)*(1+NORMINV(RAND(),INPUTS!$B$28,INPUTS!$B$29))))</f>
        <v>1856331.84125392</v>
      </c>
      <c r="O138" s="89" t="n">
        <f aca="true">IF(O$5=0,N138,MAX(0,(N138-O$4)*(1+NORMINV(RAND(),INPUTS!$B$28,INPUTS!$B$29))))</f>
        <v>1827609.60525426</v>
      </c>
      <c r="P138" s="89" t="n">
        <f aca="true">IF(P$5=0,O138,MAX(0,(O138-P$4)*(1+NORMINV(RAND(),INPUTS!$B$28,INPUTS!$B$29))))</f>
        <v>1946048.62959521</v>
      </c>
      <c r="Q138" s="89" t="n">
        <f aca="true">IF(Q$5=0,P138,MAX(0,(P138-Q$4)*(1+NORMINV(RAND(),INPUTS!$B$28,INPUTS!$B$29))))</f>
        <v>1884932.1415415</v>
      </c>
      <c r="R138" s="89" t="n">
        <f aca="true">IF(R$5=0,Q138,MAX(0,(Q138-R$4)*(1+NORMINV(RAND(),INPUTS!$B$28,INPUTS!$B$29))))</f>
        <v>1530200.09685299</v>
      </c>
      <c r="S138" s="89" t="n">
        <f aca="true">IF(S$5=0,R138,MAX(0,(R138-S$4)*(1+NORMINV(RAND(),INPUTS!$B$28,INPUTS!$B$29))))</f>
        <v>1504768.78123884</v>
      </c>
      <c r="T138" s="89" t="n">
        <f aca="true">IF(T$5=0,S138,MAX(0,(S138-T$4)*(1+NORMINV(RAND(),INPUTS!$B$28,INPUTS!$B$29))))</f>
        <v>1363155.75043396</v>
      </c>
      <c r="U138" s="89" t="n">
        <f aca="true">IF(U$5=0,T138,MAX(0,(T138-U$4)*(1+NORMINV(RAND(),INPUTS!$B$28,INPUTS!$B$29))))</f>
        <v>1468998.92083846</v>
      </c>
      <c r="V138" s="89" t="n">
        <f aca="true">IF(V$5=0,U138,MAX(0,(U138-V$4)*(1+NORMINV(RAND(),INPUTS!$B$28,INPUTS!$B$29))))</f>
        <v>1561016.40812212</v>
      </c>
      <c r="W138" s="89" t="n">
        <f aca="true">IF(W$5=0,V138,MAX(0,(V138-W$4)*(1+NORMINV(RAND(),INPUTS!$B$28,INPUTS!$B$29))))</f>
        <v>1651973.60418116</v>
      </c>
      <c r="X138" s="89" t="n">
        <f aca="true">IF(X$5=0,W138,MAX(0,(W138-X$4)*(1+NORMINV(RAND(),INPUTS!$B$28,INPUTS!$B$29))))</f>
        <v>2040995.18995999</v>
      </c>
      <c r="Y138" s="89" t="n">
        <f aca="true">IF(Y$5=0,X138,MAX(0,(X138-Y$4)*(1+NORMINV(RAND(),INPUTS!$B$28,INPUTS!$B$29))))</f>
        <v>2145393.20311699</v>
      </c>
      <c r="Z138" s="89" t="n">
        <f aca="true">IF(Z$5=0,Y138,MAX(0,(Y138-Z$4)*(1+NORMINV(RAND(),INPUTS!$B$28,INPUTS!$B$29))))</f>
        <v>2285553.29699603</v>
      </c>
      <c r="AA138" s="89" t="n">
        <f aca="true">IF(AA$5=0,Z138,MAX(0,(Z138-AA$4)*(1+NORMINV(RAND(),INPUTS!$B$28,INPUTS!$B$29))))</f>
        <v>1912191.48286996</v>
      </c>
      <c r="AB138" s="89" t="n">
        <f aca="true">IF(AB$5=0,AA138,MAX(0,(AA138-AB$4)*(1+NORMINV(RAND(),INPUTS!$B$28,INPUTS!$B$29))))</f>
        <v>2296513.28225346</v>
      </c>
      <c r="AC138" s="89" t="n">
        <f aca="true">IF(AC$5=0,AB138,MAX(0,(AB138-AC$4)*(1+NORMINV(RAND(),INPUTS!$B$28,INPUTS!$B$29))))</f>
        <v>2745622.33082722</v>
      </c>
      <c r="AD138" s="89" t="n">
        <f aca="true">IF(AD$5=0,AC138,MAX(0,(AC138-AD$4)*(1+NORMINV(RAND(),INPUTS!$B$28,INPUTS!$B$29))))</f>
        <v>2627458.08480253</v>
      </c>
      <c r="AE138" s="89" t="n">
        <f aca="true">IF(AE$5=0,AD138,MAX(0,(AD138-AE$4)*(1+NORMINV(RAND(),INPUTS!$B$28,INPUTS!$B$29))))</f>
        <v>2923269.90891222</v>
      </c>
      <c r="AF138" s="89" t="n">
        <f aca="true">IF(AF$5=0,AE138,MAX(0,(AE138-AF$4)*(1+NORMINV(RAND(),INPUTS!$B$28,INPUTS!$B$29))))</f>
        <v>2650359.53221748</v>
      </c>
      <c r="AG138" s="89" t="n">
        <f aca="true">IF(AG$5=0,AF138,MAX(0,(AF138-AG$4)*(1+NORMINV(RAND(),INPUTS!$B$28,INPUTS!$B$29))))</f>
        <v>2469141.77213967</v>
      </c>
      <c r="AH138" s="89" t="n">
        <f aca="true">IF(AH$5=0,AG138,MAX(0,(AG138-AH$4)*(1+NORMINV(RAND(),INPUTS!$B$28,INPUTS!$B$29))))</f>
        <v>2294132.69022318</v>
      </c>
      <c r="AI138" s="89" t="n">
        <f aca="true">IF(AI$5=0,AH138,MAX(0,(AH138-AI$4)*(1+NORMINV(RAND(),INPUTS!$B$28,INPUTS!$B$29))))</f>
        <v>2814658.08745461</v>
      </c>
      <c r="AJ138" s="89" t="n">
        <f aca="true">IF(AJ$5=0,AI138,MAX(0,(AI138-AJ$4)*(1+NORMINV(RAND(),INPUTS!$B$28,INPUTS!$B$29))))</f>
        <v>2968736.27932431</v>
      </c>
      <c r="AK138" s="89" t="n">
        <f aca="true">IF(AK$5=0,AJ138,MAX(0,(AJ138-AK$4)*(1+NORMINV(RAND(),INPUTS!$B$28,INPUTS!$B$29))))</f>
        <v>3030927.02775334</v>
      </c>
      <c r="AL138" s="89" t="n">
        <f aca="true">IF(AL$5=0,AK138,MAX(0,(AK138-AL$4)*(1+NORMINV(RAND(),INPUTS!$B$28,INPUTS!$B$29))))</f>
        <v>2695307.39734154</v>
      </c>
      <c r="AM138" s="89" t="n">
        <f aca="true">IF(AM$5=0,AL138,MAX(0,(AL138-AM$4)*(1+NORMINV(RAND(),INPUTS!$B$28,INPUTS!$B$29))))</f>
        <v>2695307.39734154</v>
      </c>
      <c r="AN138" s="89" t="n">
        <f aca="true">IF(AN$5=0,AM138,MAX(0,(AM138-AN$4)*(1+NORMINV(RAND(),INPUTS!$B$28,INPUTS!$B$29))))</f>
        <v>2695307.39734154</v>
      </c>
      <c r="AO138" s="89" t="n">
        <f aca="true">IF(AO$5=0,AN138,MAX(0,(AN138-AO$4)*(1+NORMINV(RAND(),INPUTS!$B$28,INPUTS!$B$29))))</f>
        <v>2695307.39734154</v>
      </c>
      <c r="AP138" s="89" t="n">
        <f aca="true">IF(AP$5=0,AO138,MAX(0,(AO138-AP$4)*(1+NORMINV(RAND(),INPUTS!$B$28,INPUTS!$B$29))))</f>
        <v>2695307.39734154</v>
      </c>
      <c r="AQ138" s="89" t="n">
        <f aca="true">IF(AQ$5=0,AP138,MAX(0,(AP138-AQ$4)*(1+NORMINV(RAND(),INPUTS!$B$28,INPUTS!$B$29))))</f>
        <v>2695307.39734154</v>
      </c>
      <c r="AR138" s="89" t="n">
        <f aca="true">IF(AR$5=0,AQ138,MAX(0,(AQ138-AR$4)*(1+NORMINV(RAND(),INPUTS!$B$28,INPUTS!$B$29))))</f>
        <v>2695307.39734154</v>
      </c>
      <c r="AS138" s="89" t="n">
        <f aca="true">IF(AS$5=0,AR138,MAX(0,(AR138-AS$4)*(1+NORMINV(RAND(),INPUTS!$B$28,INPUTS!$B$29))))</f>
        <v>2695307.39734154</v>
      </c>
      <c r="AT138" s="89" t="n">
        <f aca="true">IF(AT$5=0,AS138,MAX(0,(AS138-AT$4)*(1+NORMINV(RAND(),INPUTS!$B$28,INPUTS!$B$29))))</f>
        <v>2695307.39734154</v>
      </c>
      <c r="AU138" s="89" t="n">
        <f aca="true">IF(AU$5=0,AT138,MAX(0,(AT138-AU$4)*(1+NORMINV(RAND(),INPUTS!$B$28,INPUTS!$B$29))))</f>
        <v>2695307.39734154</v>
      </c>
      <c r="AV138" s="89" t="n">
        <f aca="true">IF(AV$5=0,AU138,MAX(0,(AU138-AV$4)*(1+NORMINV(RAND(),INPUTS!$B$28,INPUTS!$B$29))))</f>
        <v>2695307.39734154</v>
      </c>
      <c r="AW138" s="89" t="n">
        <f aca="true">IF(AW$5=0,AV138,MAX(0,(AV138-AW$4)*(1+NORMINV(RAND(),INPUTS!$B$28,INPUTS!$B$29))))</f>
        <v>2695307.39734154</v>
      </c>
      <c r="AX138" s="89" t="n">
        <f aca="true">IF(AX$5=0,AW138,MAX(0,(AW138-AX$4)*(1+NORMINV(RAND(),INPUTS!$B$28,INPUTS!$B$29))))</f>
        <v>2695307.39734154</v>
      </c>
      <c r="AY138" s="89" t="n">
        <f aca="true">IF(AY$5=0,AX138,MAX(0,(AX138-AY$4)*(1+NORMINV(RAND(),INPUTS!$B$28,INPUTS!$B$29))))</f>
        <v>2695307.39734154</v>
      </c>
      <c r="AZ138" s="89" t="n">
        <f aca="true">IF(AZ$5=0,AY138,MAX(0,(AY138-AZ$4)*(1+NORMINV(RAND(),INPUTS!$B$28,INPUTS!$B$29))))</f>
        <v>2695307.39734154</v>
      </c>
      <c r="BA138" s="89" t="n">
        <f aca="true">IF(BA$5=0,AZ138,MAX(0,(AZ138-BA$4)*(1+NORMINV(RAND(),INPUTS!$B$28,INPUTS!$B$29))))</f>
        <v>2695307.39734154</v>
      </c>
      <c r="BB138" s="89" t="n">
        <f aca="true">IF(BB$5=0,BA138,MAX(0,(BA138-BB$4)*(1+NORMINV(RAND(),INPUTS!$B$28,INPUTS!$B$29))))</f>
        <v>2695307.39734154</v>
      </c>
      <c r="BC138" s="89" t="n">
        <f aca="true">IF(BC$5=0,BB138,MAX(0,(BB138-BC$4)*(1+NORMINV(RAND(),INPUTS!$B$28,INPUTS!$B$29))))</f>
        <v>2695307.39734154</v>
      </c>
      <c r="BD138" s="89" t="n">
        <f aca="true">IF(BD$5=0,BC138,MAX(0,(BC138-BD$4)*(1+NORMINV(RAND(),INPUTS!$B$28,INPUTS!$B$29))))</f>
        <v>2695307.39734154</v>
      </c>
      <c r="BE138" s="89" t="n">
        <f aca="true">IF(BE$5=0,BD138,MAX(0,(BD138-BE$4)*(1+NORMINV(RAND(),INPUTS!$B$28,INPUTS!$B$29))))</f>
        <v>2695307.39734154</v>
      </c>
      <c r="BF138" s="89" t="n">
        <f aca="true">IF(BF$5=0,BE138,MAX(0,(BE138-BF$4)*(1+NORMINV(RAND(),INPUTS!$B$28,INPUTS!$B$29))))</f>
        <v>2695307.39734154</v>
      </c>
      <c r="BG138" s="89" t="n">
        <f aca="true">IF(BG$5=0,BF138,MAX(0,(BF138-BG$4)*(1+NORMINV(RAND(),INPUTS!$B$28,INPUTS!$B$29))))</f>
        <v>2695307.39734154</v>
      </c>
      <c r="BH138" s="89" t="n">
        <f aca="true">IF(BH$5=0,BG138,MAX(0,(BG138-BH$4)*(1+NORMINV(RAND(),INPUTS!$B$28,INPUTS!$B$29))))</f>
        <v>2695307.39734154</v>
      </c>
      <c r="BI138" s="89" t="n">
        <f aca="true">IF(BI$5=0,BH138,MAX(0,(BH138-BI$4)*(1+NORMINV(RAND(),INPUTS!$B$28,INPUTS!$B$29))))</f>
        <v>2695307.39734154</v>
      </c>
      <c r="BJ138" s="89" t="n">
        <f aca="true">IF(BJ$5=0,BI138,MAX(0,(BI138-BJ$4)*(1+NORMINV(RAND(),INPUTS!$B$28,INPUTS!$B$29))))</f>
        <v>2695307.39734154</v>
      </c>
    </row>
    <row r="139" customFormat="false" ht="15" hidden="false" customHeight="true" outlineLevel="0" collapsed="false">
      <c r="A139" s="87" t="n">
        <v>132</v>
      </c>
      <c r="B139" s="88" t="n">
        <f aca="false">LOOKUP(9.99E+307,C139:BJ139)</f>
        <v>17922979.5801009</v>
      </c>
      <c r="C139" s="89" t="n">
        <f aca="true">IF(C$5=0,INPUTS!$B$35,MAX(0,(INPUTS!$B$35-C$4)*(1+NORMINV(RAND(),INPUTS!$B$28,INPUTS!$B$29))))</f>
        <v>1534357.60546284</v>
      </c>
      <c r="D139" s="89" t="n">
        <f aca="true">IF(D$5=0,C139,MAX(0,(C139-D$4)*(1+NORMINV(RAND(),INPUTS!$B$28,INPUTS!$B$29))))</f>
        <v>1967812.79587753</v>
      </c>
      <c r="E139" s="89" t="n">
        <f aca="true">IF(E$5=0,D139,MAX(0,(D139-E$4)*(1+NORMINV(RAND(),INPUTS!$B$28,INPUTS!$B$29))))</f>
        <v>1733297.09495307</v>
      </c>
      <c r="F139" s="89" t="n">
        <f aca="true">IF(F$5=0,E139,MAX(0,(E139-F$4)*(1+NORMINV(RAND(),INPUTS!$B$28,INPUTS!$B$29))))</f>
        <v>2104109.08148291</v>
      </c>
      <c r="G139" s="89" t="n">
        <f aca="true">IF(G$5=0,F139,MAX(0,(F139-G$4)*(1+NORMINV(RAND(),INPUTS!$B$28,INPUTS!$B$29))))</f>
        <v>2399267.78764911</v>
      </c>
      <c r="H139" s="89" t="n">
        <f aca="true">IF(H$5=0,G139,MAX(0,(G139-H$4)*(1+NORMINV(RAND(),INPUTS!$B$28,INPUTS!$B$29))))</f>
        <v>2586363.56219998</v>
      </c>
      <c r="I139" s="89" t="n">
        <f aca="true">IF(I$5=0,H139,MAX(0,(H139-I$4)*(1+NORMINV(RAND(),INPUTS!$B$28,INPUTS!$B$29))))</f>
        <v>3408110.65570993</v>
      </c>
      <c r="J139" s="89" t="n">
        <f aca="true">IF(J$5=0,I139,MAX(0,(I139-J$4)*(1+NORMINV(RAND(),INPUTS!$B$28,INPUTS!$B$29))))</f>
        <v>3523444.17957875</v>
      </c>
      <c r="K139" s="89" t="n">
        <f aca="true">IF(K$5=0,J139,MAX(0,(J139-K$4)*(1+NORMINV(RAND(),INPUTS!$B$28,INPUTS!$B$29))))</f>
        <v>3636082.4022309</v>
      </c>
      <c r="L139" s="89" t="n">
        <f aca="true">IF(L$5=0,K139,MAX(0,(K139-L$4)*(1+NORMINV(RAND(),INPUTS!$B$28,INPUTS!$B$29))))</f>
        <v>4469429.28414188</v>
      </c>
      <c r="M139" s="89" t="n">
        <f aca="true">IF(M$5=0,L139,MAX(0,(L139-M$4)*(1+NORMINV(RAND(),INPUTS!$B$28,INPUTS!$B$29))))</f>
        <v>4200162.28180231</v>
      </c>
      <c r="N139" s="89" t="n">
        <f aca="true">IF(N$5=0,M139,MAX(0,(M139-N$4)*(1+NORMINV(RAND(),INPUTS!$B$28,INPUTS!$B$29))))</f>
        <v>4575111.16300781</v>
      </c>
      <c r="O139" s="89" t="n">
        <f aca="true">IF(O$5=0,N139,MAX(0,(N139-O$4)*(1+NORMINV(RAND(),INPUTS!$B$28,INPUTS!$B$29))))</f>
        <v>4985310.65158453</v>
      </c>
      <c r="P139" s="89" t="n">
        <f aca="true">IF(P$5=0,O139,MAX(0,(O139-P$4)*(1+NORMINV(RAND(),INPUTS!$B$28,INPUTS!$B$29))))</f>
        <v>4389298.19227151</v>
      </c>
      <c r="Q139" s="89" t="n">
        <f aca="true">IF(Q$5=0,P139,MAX(0,(P139-Q$4)*(1+NORMINV(RAND(),INPUTS!$B$28,INPUTS!$B$29))))</f>
        <v>4314772.94759155</v>
      </c>
      <c r="R139" s="89" t="n">
        <f aca="true">IF(R$5=0,Q139,MAX(0,(Q139-R$4)*(1+NORMINV(RAND(),INPUTS!$B$28,INPUTS!$B$29))))</f>
        <v>4520426.77613474</v>
      </c>
      <c r="S139" s="89" t="n">
        <f aca="true">IF(S$5=0,R139,MAX(0,(R139-S$4)*(1+NORMINV(RAND(),INPUTS!$B$28,INPUTS!$B$29))))</f>
        <v>5265679.87620418</v>
      </c>
      <c r="T139" s="89" t="n">
        <f aca="true">IF(T$5=0,S139,MAX(0,(S139-T$4)*(1+NORMINV(RAND(),INPUTS!$B$28,INPUTS!$B$29))))</f>
        <v>5520801.95449418</v>
      </c>
      <c r="U139" s="89" t="n">
        <f aca="true">IF(U$5=0,T139,MAX(0,(T139-U$4)*(1+NORMINV(RAND(),INPUTS!$B$28,INPUTS!$B$29))))</f>
        <v>5860837.44404037</v>
      </c>
      <c r="V139" s="89" t="n">
        <f aca="true">IF(V$5=0,U139,MAX(0,(U139-V$4)*(1+NORMINV(RAND(),INPUTS!$B$28,INPUTS!$B$29))))</f>
        <v>5111900.43449325</v>
      </c>
      <c r="W139" s="89" t="n">
        <f aca="true">IF(W$5=0,V139,MAX(0,(V139-W$4)*(1+NORMINV(RAND(),INPUTS!$B$28,INPUTS!$B$29))))</f>
        <v>5461759.96591996</v>
      </c>
      <c r="X139" s="89" t="n">
        <f aca="true">IF(X$5=0,W139,MAX(0,(W139-X$4)*(1+NORMINV(RAND(),INPUTS!$B$28,INPUTS!$B$29))))</f>
        <v>5566707.06122694</v>
      </c>
      <c r="Y139" s="89" t="n">
        <f aca="true">IF(Y$5=0,X139,MAX(0,(X139-Y$4)*(1+NORMINV(RAND(),INPUTS!$B$28,INPUTS!$B$29))))</f>
        <v>6102938.24703685</v>
      </c>
      <c r="Z139" s="89" t="n">
        <f aca="true">IF(Z$5=0,Y139,MAX(0,(Y139-Z$4)*(1+NORMINV(RAND(),INPUTS!$B$28,INPUTS!$B$29))))</f>
        <v>6682664.53949665</v>
      </c>
      <c r="AA139" s="89" t="n">
        <f aca="true">IF(AA$5=0,Z139,MAX(0,(Z139-AA$4)*(1+NORMINV(RAND(),INPUTS!$B$28,INPUTS!$B$29))))</f>
        <v>6502420.66257241</v>
      </c>
      <c r="AB139" s="89" t="n">
        <f aca="true">IF(AB$5=0,AA139,MAX(0,(AA139-AB$4)*(1+NORMINV(RAND(),INPUTS!$B$28,INPUTS!$B$29))))</f>
        <v>8233942.80351816</v>
      </c>
      <c r="AC139" s="89" t="n">
        <f aca="true">IF(AC$5=0,AB139,MAX(0,(AB139-AC$4)*(1+NORMINV(RAND(),INPUTS!$B$28,INPUTS!$B$29))))</f>
        <v>9674372.310247</v>
      </c>
      <c r="AD139" s="89" t="n">
        <f aca="true">IF(AD$5=0,AC139,MAX(0,(AC139-AD$4)*(1+NORMINV(RAND(),INPUTS!$B$28,INPUTS!$B$29))))</f>
        <v>9098939.77999698</v>
      </c>
      <c r="AE139" s="89" t="n">
        <f aca="true">IF(AE$5=0,AD139,MAX(0,(AD139-AE$4)*(1+NORMINV(RAND(),INPUTS!$B$28,INPUTS!$B$29))))</f>
        <v>9218536.45179648</v>
      </c>
      <c r="AF139" s="89" t="n">
        <f aca="true">IF(AF$5=0,AE139,MAX(0,(AE139-AF$4)*(1+NORMINV(RAND(),INPUTS!$B$28,INPUTS!$B$29))))</f>
        <v>10135114.8360689</v>
      </c>
      <c r="AG139" s="89" t="n">
        <f aca="true">IF(AG$5=0,AF139,MAX(0,(AF139-AG$4)*(1+NORMINV(RAND(),INPUTS!$B$28,INPUTS!$B$29))))</f>
        <v>10750834.3682417</v>
      </c>
      <c r="AH139" s="89" t="n">
        <f aca="true">IF(AH$5=0,AG139,MAX(0,(AG139-AH$4)*(1+NORMINV(RAND(),INPUTS!$B$28,INPUTS!$B$29))))</f>
        <v>11713300.3989492</v>
      </c>
      <c r="AI139" s="89" t="n">
        <f aca="true">IF(AI$5=0,AH139,MAX(0,(AH139-AI$4)*(1+NORMINV(RAND(),INPUTS!$B$28,INPUTS!$B$29))))</f>
        <v>13673735.6217462</v>
      </c>
      <c r="AJ139" s="89" t="n">
        <f aca="true">IF(AJ$5=0,AI139,MAX(0,(AI139-AJ$4)*(1+NORMINV(RAND(),INPUTS!$B$28,INPUTS!$B$29))))</f>
        <v>15036470.6974782</v>
      </c>
      <c r="AK139" s="89" t="n">
        <f aca="true">IF(AK$5=0,AJ139,MAX(0,(AJ139-AK$4)*(1+NORMINV(RAND(),INPUTS!$B$28,INPUTS!$B$29))))</f>
        <v>17564524.9059498</v>
      </c>
      <c r="AL139" s="89" t="n">
        <f aca="true">IF(AL$5=0,AK139,MAX(0,(AK139-AL$4)*(1+NORMINV(RAND(),INPUTS!$B$28,INPUTS!$B$29))))</f>
        <v>17922979.5801009</v>
      </c>
      <c r="AM139" s="89" t="n">
        <f aca="true">IF(AM$5=0,AL139,MAX(0,(AL139-AM$4)*(1+NORMINV(RAND(),INPUTS!$B$28,INPUTS!$B$29))))</f>
        <v>17922979.5801009</v>
      </c>
      <c r="AN139" s="89" t="n">
        <f aca="true">IF(AN$5=0,AM139,MAX(0,(AM139-AN$4)*(1+NORMINV(RAND(),INPUTS!$B$28,INPUTS!$B$29))))</f>
        <v>17922979.5801009</v>
      </c>
      <c r="AO139" s="89" t="n">
        <f aca="true">IF(AO$5=0,AN139,MAX(0,(AN139-AO$4)*(1+NORMINV(RAND(),INPUTS!$B$28,INPUTS!$B$29))))</f>
        <v>17922979.5801009</v>
      </c>
      <c r="AP139" s="89" t="n">
        <f aca="true">IF(AP$5=0,AO139,MAX(0,(AO139-AP$4)*(1+NORMINV(RAND(),INPUTS!$B$28,INPUTS!$B$29))))</f>
        <v>17922979.5801009</v>
      </c>
      <c r="AQ139" s="89" t="n">
        <f aca="true">IF(AQ$5=0,AP139,MAX(0,(AP139-AQ$4)*(1+NORMINV(RAND(),INPUTS!$B$28,INPUTS!$B$29))))</f>
        <v>17922979.5801009</v>
      </c>
      <c r="AR139" s="89" t="n">
        <f aca="true">IF(AR$5=0,AQ139,MAX(0,(AQ139-AR$4)*(1+NORMINV(RAND(),INPUTS!$B$28,INPUTS!$B$29))))</f>
        <v>17922979.5801009</v>
      </c>
      <c r="AS139" s="89" t="n">
        <f aca="true">IF(AS$5=0,AR139,MAX(0,(AR139-AS$4)*(1+NORMINV(RAND(),INPUTS!$B$28,INPUTS!$B$29))))</f>
        <v>17922979.5801009</v>
      </c>
      <c r="AT139" s="89" t="n">
        <f aca="true">IF(AT$5=0,AS139,MAX(0,(AS139-AT$4)*(1+NORMINV(RAND(),INPUTS!$B$28,INPUTS!$B$29))))</f>
        <v>17922979.5801009</v>
      </c>
      <c r="AU139" s="89" t="n">
        <f aca="true">IF(AU$5=0,AT139,MAX(0,(AT139-AU$4)*(1+NORMINV(RAND(),INPUTS!$B$28,INPUTS!$B$29))))</f>
        <v>17922979.5801009</v>
      </c>
      <c r="AV139" s="89" t="n">
        <f aca="true">IF(AV$5=0,AU139,MAX(0,(AU139-AV$4)*(1+NORMINV(RAND(),INPUTS!$B$28,INPUTS!$B$29))))</f>
        <v>17922979.5801009</v>
      </c>
      <c r="AW139" s="89" t="n">
        <f aca="true">IF(AW$5=0,AV139,MAX(0,(AV139-AW$4)*(1+NORMINV(RAND(),INPUTS!$B$28,INPUTS!$B$29))))</f>
        <v>17922979.5801009</v>
      </c>
      <c r="AX139" s="89" t="n">
        <f aca="true">IF(AX$5=0,AW139,MAX(0,(AW139-AX$4)*(1+NORMINV(RAND(),INPUTS!$B$28,INPUTS!$B$29))))</f>
        <v>17922979.5801009</v>
      </c>
      <c r="AY139" s="89" t="n">
        <f aca="true">IF(AY$5=0,AX139,MAX(0,(AX139-AY$4)*(1+NORMINV(RAND(),INPUTS!$B$28,INPUTS!$B$29))))</f>
        <v>17922979.5801009</v>
      </c>
      <c r="AZ139" s="89" t="n">
        <f aca="true">IF(AZ$5=0,AY139,MAX(0,(AY139-AZ$4)*(1+NORMINV(RAND(),INPUTS!$B$28,INPUTS!$B$29))))</f>
        <v>17922979.5801009</v>
      </c>
      <c r="BA139" s="89" t="n">
        <f aca="true">IF(BA$5=0,AZ139,MAX(0,(AZ139-BA$4)*(1+NORMINV(RAND(),INPUTS!$B$28,INPUTS!$B$29))))</f>
        <v>17922979.5801009</v>
      </c>
      <c r="BB139" s="89" t="n">
        <f aca="true">IF(BB$5=0,BA139,MAX(0,(BA139-BB$4)*(1+NORMINV(RAND(),INPUTS!$B$28,INPUTS!$B$29))))</f>
        <v>17922979.5801009</v>
      </c>
      <c r="BC139" s="89" t="n">
        <f aca="true">IF(BC$5=0,BB139,MAX(0,(BB139-BC$4)*(1+NORMINV(RAND(),INPUTS!$B$28,INPUTS!$B$29))))</f>
        <v>17922979.5801009</v>
      </c>
      <c r="BD139" s="89" t="n">
        <f aca="true">IF(BD$5=0,BC139,MAX(0,(BC139-BD$4)*(1+NORMINV(RAND(),INPUTS!$B$28,INPUTS!$B$29))))</f>
        <v>17922979.5801009</v>
      </c>
      <c r="BE139" s="89" t="n">
        <f aca="true">IF(BE$5=0,BD139,MAX(0,(BD139-BE$4)*(1+NORMINV(RAND(),INPUTS!$B$28,INPUTS!$B$29))))</f>
        <v>17922979.5801009</v>
      </c>
      <c r="BF139" s="89" t="n">
        <f aca="true">IF(BF$5=0,BE139,MAX(0,(BE139-BF$4)*(1+NORMINV(RAND(),INPUTS!$B$28,INPUTS!$B$29))))</f>
        <v>17922979.5801009</v>
      </c>
      <c r="BG139" s="89" t="n">
        <f aca="true">IF(BG$5=0,BF139,MAX(0,(BF139-BG$4)*(1+NORMINV(RAND(),INPUTS!$B$28,INPUTS!$B$29))))</f>
        <v>17922979.5801009</v>
      </c>
      <c r="BH139" s="89" t="n">
        <f aca="true">IF(BH$5=0,BG139,MAX(0,(BG139-BH$4)*(1+NORMINV(RAND(),INPUTS!$B$28,INPUTS!$B$29))))</f>
        <v>17922979.5801009</v>
      </c>
      <c r="BI139" s="89" t="n">
        <f aca="true">IF(BI$5=0,BH139,MAX(0,(BH139-BI$4)*(1+NORMINV(RAND(),INPUTS!$B$28,INPUTS!$B$29))))</f>
        <v>17922979.5801009</v>
      </c>
      <c r="BJ139" s="89" t="n">
        <f aca="true">IF(BJ$5=0,BI139,MAX(0,(BI139-BJ$4)*(1+NORMINV(RAND(),INPUTS!$B$28,INPUTS!$B$29))))</f>
        <v>17922979.5801009</v>
      </c>
    </row>
    <row r="140" customFormat="false" ht="15" hidden="false" customHeight="true" outlineLevel="0" collapsed="false">
      <c r="A140" s="87" t="n">
        <v>133</v>
      </c>
      <c r="B140" s="88" t="n">
        <f aca="false">LOOKUP(9.99E+307,C140:BJ140)</f>
        <v>3307215.82390462</v>
      </c>
      <c r="C140" s="89" t="n">
        <f aca="true">IF(C$5=0,INPUTS!$B$35,MAX(0,(INPUTS!$B$35-C$4)*(1+NORMINV(RAND(),INPUTS!$B$28,INPUTS!$B$29))))</f>
        <v>1428813.82114091</v>
      </c>
      <c r="D140" s="89" t="n">
        <f aca="true">IF(D$5=0,C140,MAX(0,(C140-D$4)*(1+NORMINV(RAND(),INPUTS!$B$28,INPUTS!$B$29))))</f>
        <v>1763221.89590379</v>
      </c>
      <c r="E140" s="89" t="n">
        <f aca="true">IF(E$5=0,D140,MAX(0,(D140-E$4)*(1+NORMINV(RAND(),INPUTS!$B$28,INPUTS!$B$29))))</f>
        <v>2056472.54149097</v>
      </c>
      <c r="F140" s="89" t="n">
        <f aca="true">IF(F$5=0,E140,MAX(0,(E140-F$4)*(1+NORMINV(RAND(),INPUTS!$B$28,INPUTS!$B$29))))</f>
        <v>1946116.05858572</v>
      </c>
      <c r="G140" s="89" t="n">
        <f aca="true">IF(G$5=0,F140,MAX(0,(F140-G$4)*(1+NORMINV(RAND(),INPUTS!$B$28,INPUTS!$B$29))))</f>
        <v>1848877.19590547</v>
      </c>
      <c r="H140" s="89" t="n">
        <f aca="true">IF(H$5=0,G140,MAX(0,(G140-H$4)*(1+NORMINV(RAND(),INPUTS!$B$28,INPUTS!$B$29))))</f>
        <v>1741666.19901444</v>
      </c>
      <c r="I140" s="89" t="n">
        <f aca="true">IF(I$5=0,H140,MAX(0,(H140-I$4)*(1+NORMINV(RAND(),INPUTS!$B$28,INPUTS!$B$29))))</f>
        <v>1739354.93182887</v>
      </c>
      <c r="J140" s="89" t="n">
        <f aca="true">IF(J$5=0,I140,MAX(0,(I140-J$4)*(1+NORMINV(RAND(),INPUTS!$B$28,INPUTS!$B$29))))</f>
        <v>1747852.76397244</v>
      </c>
      <c r="K140" s="89" t="n">
        <f aca="true">IF(K$5=0,J140,MAX(0,(J140-K$4)*(1+NORMINV(RAND(),INPUTS!$B$28,INPUTS!$B$29))))</f>
        <v>1615329.60924053</v>
      </c>
      <c r="L140" s="89" t="n">
        <f aca="true">IF(L$5=0,K140,MAX(0,(K140-L$4)*(1+NORMINV(RAND(),INPUTS!$B$28,INPUTS!$B$29))))</f>
        <v>1680050.05893631</v>
      </c>
      <c r="M140" s="89" t="n">
        <f aca="true">IF(M$5=0,L140,MAX(0,(L140-M$4)*(1+NORMINV(RAND(),INPUTS!$B$28,INPUTS!$B$29))))</f>
        <v>1616022.52091524</v>
      </c>
      <c r="N140" s="89" t="n">
        <f aca="true">IF(N$5=0,M140,MAX(0,(M140-N$4)*(1+NORMINV(RAND(),INPUTS!$B$28,INPUTS!$B$29))))</f>
        <v>1767493.01531546</v>
      </c>
      <c r="O140" s="89" t="n">
        <f aca="true">IF(O$5=0,N140,MAX(0,(N140-O$4)*(1+NORMINV(RAND(),INPUTS!$B$28,INPUTS!$B$29))))</f>
        <v>2162774.60720113</v>
      </c>
      <c r="P140" s="89" t="n">
        <f aca="true">IF(P$5=0,O140,MAX(0,(O140-P$4)*(1+NORMINV(RAND(),INPUTS!$B$28,INPUTS!$B$29))))</f>
        <v>2492710.82743415</v>
      </c>
      <c r="Q140" s="89" t="n">
        <f aca="true">IF(Q$5=0,P140,MAX(0,(P140-Q$4)*(1+NORMINV(RAND(),INPUTS!$B$28,INPUTS!$B$29))))</f>
        <v>2827619.25670187</v>
      </c>
      <c r="R140" s="89" t="n">
        <f aca="true">IF(R$5=0,Q140,MAX(0,(Q140-R$4)*(1+NORMINV(RAND(),INPUTS!$B$28,INPUTS!$B$29))))</f>
        <v>2413407.81796604</v>
      </c>
      <c r="S140" s="89" t="n">
        <f aca="true">IF(S$5=0,R140,MAX(0,(R140-S$4)*(1+NORMINV(RAND(),INPUTS!$B$28,INPUTS!$B$29))))</f>
        <v>2718730.88932136</v>
      </c>
      <c r="T140" s="89" t="n">
        <f aca="true">IF(T$5=0,S140,MAX(0,(S140-T$4)*(1+NORMINV(RAND(),INPUTS!$B$28,INPUTS!$B$29))))</f>
        <v>2590114.52310731</v>
      </c>
      <c r="U140" s="89" t="n">
        <f aca="true">IF(U$5=0,T140,MAX(0,(T140-U$4)*(1+NORMINV(RAND(),INPUTS!$B$28,INPUTS!$B$29))))</f>
        <v>2891132.32161364</v>
      </c>
      <c r="V140" s="89" t="n">
        <f aca="true">IF(V$5=0,U140,MAX(0,(U140-V$4)*(1+NORMINV(RAND(),INPUTS!$B$28,INPUTS!$B$29))))</f>
        <v>3467615.69351899</v>
      </c>
      <c r="W140" s="89" t="n">
        <f aca="true">IF(W$5=0,V140,MAX(0,(V140-W$4)*(1+NORMINV(RAND(),INPUTS!$B$28,INPUTS!$B$29))))</f>
        <v>3660533.9192431</v>
      </c>
      <c r="X140" s="89" t="n">
        <f aca="true">IF(X$5=0,W140,MAX(0,(W140-X$4)*(1+NORMINV(RAND(),INPUTS!$B$28,INPUTS!$B$29))))</f>
        <v>3835114.05218782</v>
      </c>
      <c r="Y140" s="89" t="n">
        <f aca="true">IF(Y$5=0,X140,MAX(0,(X140-Y$4)*(1+NORMINV(RAND(),INPUTS!$B$28,INPUTS!$B$29))))</f>
        <v>4981073.18743898</v>
      </c>
      <c r="Z140" s="89" t="n">
        <f aca="true">IF(Z$5=0,Y140,MAX(0,(Y140-Z$4)*(1+NORMINV(RAND(),INPUTS!$B$28,INPUTS!$B$29))))</f>
        <v>4608204.08888745</v>
      </c>
      <c r="AA140" s="89" t="n">
        <f aca="true">IF(AA$5=0,Z140,MAX(0,(Z140-AA$4)*(1+NORMINV(RAND(),INPUTS!$B$28,INPUTS!$B$29))))</f>
        <v>4038575.29025639</v>
      </c>
      <c r="AB140" s="89" t="n">
        <f aca="true">IF(AB$5=0,AA140,MAX(0,(AA140-AB$4)*(1+NORMINV(RAND(),INPUTS!$B$28,INPUTS!$B$29))))</f>
        <v>3926568.14952527</v>
      </c>
      <c r="AC140" s="89" t="n">
        <f aca="true">IF(AC$5=0,AB140,MAX(0,(AB140-AC$4)*(1+NORMINV(RAND(),INPUTS!$B$28,INPUTS!$B$29))))</f>
        <v>3774502.72969195</v>
      </c>
      <c r="AD140" s="89" t="n">
        <f aca="true">IF(AD$5=0,AC140,MAX(0,(AC140-AD$4)*(1+NORMINV(RAND(),INPUTS!$B$28,INPUTS!$B$29))))</f>
        <v>3841660.85449892</v>
      </c>
      <c r="AE140" s="89" t="n">
        <f aca="true">IF(AE$5=0,AD140,MAX(0,(AD140-AE$4)*(1+NORMINV(RAND(),INPUTS!$B$28,INPUTS!$B$29))))</f>
        <v>3382873.75008203</v>
      </c>
      <c r="AF140" s="89" t="n">
        <f aca="true">IF(AF$5=0,AE140,MAX(0,(AE140-AF$4)*(1+NORMINV(RAND(),INPUTS!$B$28,INPUTS!$B$29))))</f>
        <v>3782876.4137517</v>
      </c>
      <c r="AG140" s="89" t="n">
        <f aca="true">IF(AG$5=0,AF140,MAX(0,(AF140-AG$4)*(1+NORMINV(RAND(),INPUTS!$B$28,INPUTS!$B$29))))</f>
        <v>3304803.11195195</v>
      </c>
      <c r="AH140" s="89" t="n">
        <f aca="true">IF(AH$5=0,AG140,MAX(0,(AG140-AH$4)*(1+NORMINV(RAND(),INPUTS!$B$28,INPUTS!$B$29))))</f>
        <v>3348282.68978083</v>
      </c>
      <c r="AI140" s="89" t="n">
        <f aca="true">IF(AI$5=0,AH140,MAX(0,(AH140-AI$4)*(1+NORMINV(RAND(),INPUTS!$B$28,INPUTS!$B$29))))</f>
        <v>3398492.23333084</v>
      </c>
      <c r="AJ140" s="89" t="n">
        <f aca="true">IF(AJ$5=0,AI140,MAX(0,(AI140-AJ$4)*(1+NORMINV(RAND(),INPUTS!$B$28,INPUTS!$B$29))))</f>
        <v>3201581.80966471</v>
      </c>
      <c r="AK140" s="89" t="n">
        <f aca="true">IF(AK$5=0,AJ140,MAX(0,(AJ140-AK$4)*(1+NORMINV(RAND(),INPUTS!$B$28,INPUTS!$B$29))))</f>
        <v>3500290.56831309</v>
      </c>
      <c r="AL140" s="89" t="n">
        <f aca="true">IF(AL$5=0,AK140,MAX(0,(AK140-AL$4)*(1+NORMINV(RAND(),INPUTS!$B$28,INPUTS!$B$29))))</f>
        <v>3307215.82390462</v>
      </c>
      <c r="AM140" s="89" t="n">
        <f aca="true">IF(AM$5=0,AL140,MAX(0,(AL140-AM$4)*(1+NORMINV(RAND(),INPUTS!$B$28,INPUTS!$B$29))))</f>
        <v>3307215.82390462</v>
      </c>
      <c r="AN140" s="89" t="n">
        <f aca="true">IF(AN$5=0,AM140,MAX(0,(AM140-AN$4)*(1+NORMINV(RAND(),INPUTS!$B$28,INPUTS!$B$29))))</f>
        <v>3307215.82390462</v>
      </c>
      <c r="AO140" s="89" t="n">
        <f aca="true">IF(AO$5=0,AN140,MAX(0,(AN140-AO$4)*(1+NORMINV(RAND(),INPUTS!$B$28,INPUTS!$B$29))))</f>
        <v>3307215.82390462</v>
      </c>
      <c r="AP140" s="89" t="n">
        <f aca="true">IF(AP$5=0,AO140,MAX(0,(AO140-AP$4)*(1+NORMINV(RAND(),INPUTS!$B$28,INPUTS!$B$29))))</f>
        <v>3307215.82390462</v>
      </c>
      <c r="AQ140" s="89" t="n">
        <f aca="true">IF(AQ$5=0,AP140,MAX(0,(AP140-AQ$4)*(1+NORMINV(RAND(),INPUTS!$B$28,INPUTS!$B$29))))</f>
        <v>3307215.82390462</v>
      </c>
      <c r="AR140" s="89" t="n">
        <f aca="true">IF(AR$5=0,AQ140,MAX(0,(AQ140-AR$4)*(1+NORMINV(RAND(),INPUTS!$B$28,INPUTS!$B$29))))</f>
        <v>3307215.82390462</v>
      </c>
      <c r="AS140" s="89" t="n">
        <f aca="true">IF(AS$5=0,AR140,MAX(0,(AR140-AS$4)*(1+NORMINV(RAND(),INPUTS!$B$28,INPUTS!$B$29))))</f>
        <v>3307215.82390462</v>
      </c>
      <c r="AT140" s="89" t="n">
        <f aca="true">IF(AT$5=0,AS140,MAX(0,(AS140-AT$4)*(1+NORMINV(RAND(),INPUTS!$B$28,INPUTS!$B$29))))</f>
        <v>3307215.82390462</v>
      </c>
      <c r="AU140" s="89" t="n">
        <f aca="true">IF(AU$5=0,AT140,MAX(0,(AT140-AU$4)*(1+NORMINV(RAND(),INPUTS!$B$28,INPUTS!$B$29))))</f>
        <v>3307215.82390462</v>
      </c>
      <c r="AV140" s="89" t="n">
        <f aca="true">IF(AV$5=0,AU140,MAX(0,(AU140-AV$4)*(1+NORMINV(RAND(),INPUTS!$B$28,INPUTS!$B$29))))</f>
        <v>3307215.82390462</v>
      </c>
      <c r="AW140" s="89" t="n">
        <f aca="true">IF(AW$5=0,AV140,MAX(0,(AV140-AW$4)*(1+NORMINV(RAND(),INPUTS!$B$28,INPUTS!$B$29))))</f>
        <v>3307215.82390462</v>
      </c>
      <c r="AX140" s="89" t="n">
        <f aca="true">IF(AX$5=0,AW140,MAX(0,(AW140-AX$4)*(1+NORMINV(RAND(),INPUTS!$B$28,INPUTS!$B$29))))</f>
        <v>3307215.82390462</v>
      </c>
      <c r="AY140" s="89" t="n">
        <f aca="true">IF(AY$5=0,AX140,MAX(0,(AX140-AY$4)*(1+NORMINV(RAND(),INPUTS!$B$28,INPUTS!$B$29))))</f>
        <v>3307215.82390462</v>
      </c>
      <c r="AZ140" s="89" t="n">
        <f aca="true">IF(AZ$5=0,AY140,MAX(0,(AY140-AZ$4)*(1+NORMINV(RAND(),INPUTS!$B$28,INPUTS!$B$29))))</f>
        <v>3307215.82390462</v>
      </c>
      <c r="BA140" s="89" t="n">
        <f aca="true">IF(BA$5=0,AZ140,MAX(0,(AZ140-BA$4)*(1+NORMINV(RAND(),INPUTS!$B$28,INPUTS!$B$29))))</f>
        <v>3307215.82390462</v>
      </c>
      <c r="BB140" s="89" t="n">
        <f aca="true">IF(BB$5=0,BA140,MAX(0,(BA140-BB$4)*(1+NORMINV(RAND(),INPUTS!$B$28,INPUTS!$B$29))))</f>
        <v>3307215.82390462</v>
      </c>
      <c r="BC140" s="89" t="n">
        <f aca="true">IF(BC$5=0,BB140,MAX(0,(BB140-BC$4)*(1+NORMINV(RAND(),INPUTS!$B$28,INPUTS!$B$29))))</f>
        <v>3307215.82390462</v>
      </c>
      <c r="BD140" s="89" t="n">
        <f aca="true">IF(BD$5=0,BC140,MAX(0,(BC140-BD$4)*(1+NORMINV(RAND(),INPUTS!$B$28,INPUTS!$B$29))))</f>
        <v>3307215.82390462</v>
      </c>
      <c r="BE140" s="89" t="n">
        <f aca="true">IF(BE$5=0,BD140,MAX(0,(BD140-BE$4)*(1+NORMINV(RAND(),INPUTS!$B$28,INPUTS!$B$29))))</f>
        <v>3307215.82390462</v>
      </c>
      <c r="BF140" s="89" t="n">
        <f aca="true">IF(BF$5=0,BE140,MAX(0,(BE140-BF$4)*(1+NORMINV(RAND(),INPUTS!$B$28,INPUTS!$B$29))))</f>
        <v>3307215.82390462</v>
      </c>
      <c r="BG140" s="89" t="n">
        <f aca="true">IF(BG$5=0,BF140,MAX(0,(BF140-BG$4)*(1+NORMINV(RAND(),INPUTS!$B$28,INPUTS!$B$29))))</f>
        <v>3307215.82390462</v>
      </c>
      <c r="BH140" s="89" t="n">
        <f aca="true">IF(BH$5=0,BG140,MAX(0,(BG140-BH$4)*(1+NORMINV(RAND(),INPUTS!$B$28,INPUTS!$B$29))))</f>
        <v>3307215.82390462</v>
      </c>
      <c r="BI140" s="89" t="n">
        <f aca="true">IF(BI$5=0,BH140,MAX(0,(BH140-BI$4)*(1+NORMINV(RAND(),INPUTS!$B$28,INPUTS!$B$29))))</f>
        <v>3307215.82390462</v>
      </c>
      <c r="BJ140" s="89" t="n">
        <f aca="true">IF(BJ$5=0,BI140,MAX(0,(BI140-BJ$4)*(1+NORMINV(RAND(),INPUTS!$B$28,INPUTS!$B$29))))</f>
        <v>3307215.82390462</v>
      </c>
    </row>
    <row r="141" customFormat="false" ht="15" hidden="false" customHeight="true" outlineLevel="0" collapsed="false">
      <c r="A141" s="87" t="n">
        <v>134</v>
      </c>
      <c r="B141" s="88" t="n">
        <f aca="false">LOOKUP(9.99E+307,C141:BJ141)</f>
        <v>185576.685843273</v>
      </c>
      <c r="C141" s="89" t="n">
        <f aca="true">IF(C$5=0,INPUTS!$B$35,MAX(0,(INPUTS!$B$35-C$4)*(1+NORMINV(RAND(),INPUTS!$B$28,INPUTS!$B$29))))</f>
        <v>1520507.43047226</v>
      </c>
      <c r="D141" s="89" t="n">
        <f aca="true">IF(D$5=0,C141,MAX(0,(C141-D$4)*(1+NORMINV(RAND(),INPUTS!$B$28,INPUTS!$B$29))))</f>
        <v>1424032.76723686</v>
      </c>
      <c r="E141" s="89" t="n">
        <f aca="true">IF(E$5=0,D141,MAX(0,(D141-E$4)*(1+NORMINV(RAND(),INPUTS!$B$28,INPUTS!$B$29))))</f>
        <v>1785627.75664927</v>
      </c>
      <c r="F141" s="89" t="n">
        <f aca="true">IF(F$5=0,E141,MAX(0,(E141-F$4)*(1+NORMINV(RAND(),INPUTS!$B$28,INPUTS!$B$29))))</f>
        <v>1807622.3908435</v>
      </c>
      <c r="G141" s="89" t="n">
        <f aca="true">IF(G$5=0,F141,MAX(0,(F141-G$4)*(1+NORMINV(RAND(),INPUTS!$B$28,INPUTS!$B$29))))</f>
        <v>1861609.92315519</v>
      </c>
      <c r="H141" s="89" t="n">
        <f aca="true">IF(H$5=0,G141,MAX(0,(G141-H$4)*(1+NORMINV(RAND(),INPUTS!$B$28,INPUTS!$B$29))))</f>
        <v>1937766.76999224</v>
      </c>
      <c r="I141" s="89" t="n">
        <f aca="true">IF(I$5=0,H141,MAX(0,(H141-I$4)*(1+NORMINV(RAND(),INPUTS!$B$28,INPUTS!$B$29))))</f>
        <v>2311176.56094896</v>
      </c>
      <c r="J141" s="89" t="n">
        <f aca="true">IF(J$5=0,I141,MAX(0,(I141-J$4)*(1+NORMINV(RAND(),INPUTS!$B$28,INPUTS!$B$29))))</f>
        <v>2339260.14583735</v>
      </c>
      <c r="K141" s="89" t="n">
        <f aca="true">IF(K$5=0,J141,MAX(0,(J141-K$4)*(1+NORMINV(RAND(),INPUTS!$B$28,INPUTS!$B$29))))</f>
        <v>2152680.16175994</v>
      </c>
      <c r="L141" s="89" t="n">
        <f aca="true">IF(L$5=0,K141,MAX(0,(K141-L$4)*(1+NORMINV(RAND(),INPUTS!$B$28,INPUTS!$B$29))))</f>
        <v>1898532.31388841</v>
      </c>
      <c r="M141" s="89" t="n">
        <f aca="true">IF(M$5=0,L141,MAX(0,(L141-M$4)*(1+NORMINV(RAND(),INPUTS!$B$28,INPUTS!$B$29))))</f>
        <v>1440658.67326017</v>
      </c>
      <c r="N141" s="89" t="n">
        <f aca="true">IF(N$5=0,M141,MAX(0,(M141-N$4)*(1+NORMINV(RAND(),INPUTS!$B$28,INPUTS!$B$29))))</f>
        <v>1218389.19042313</v>
      </c>
      <c r="O141" s="89" t="n">
        <f aca="true">IF(O$5=0,N141,MAX(0,(N141-O$4)*(1+NORMINV(RAND(),INPUTS!$B$28,INPUTS!$B$29))))</f>
        <v>955931.938423925</v>
      </c>
      <c r="P141" s="89" t="n">
        <f aca="true">IF(P$5=0,O141,MAX(0,(O141-P$4)*(1+NORMINV(RAND(),INPUTS!$B$28,INPUTS!$B$29))))</f>
        <v>871137.181441032</v>
      </c>
      <c r="Q141" s="89" t="n">
        <f aca="true">IF(Q$5=0,P141,MAX(0,(P141-Q$4)*(1+NORMINV(RAND(),INPUTS!$B$28,INPUTS!$B$29))))</f>
        <v>895624.428746238</v>
      </c>
      <c r="R141" s="89" t="n">
        <f aca="true">IF(R$5=0,Q141,MAX(0,(Q141-R$4)*(1+NORMINV(RAND(),INPUTS!$B$28,INPUTS!$B$29))))</f>
        <v>932680.282134466</v>
      </c>
      <c r="S141" s="89" t="n">
        <f aca="true">IF(S$5=0,R141,MAX(0,(R141-S$4)*(1+NORMINV(RAND(),INPUTS!$B$28,INPUTS!$B$29))))</f>
        <v>993180.49929141</v>
      </c>
      <c r="T141" s="89" t="n">
        <f aca="true">IF(T$5=0,S141,MAX(0,(S141-T$4)*(1+NORMINV(RAND(),INPUTS!$B$28,INPUTS!$B$29))))</f>
        <v>1014801.45397063</v>
      </c>
      <c r="U141" s="89" t="n">
        <f aca="true">IF(U$5=0,T141,MAX(0,(T141-U$4)*(1+NORMINV(RAND(),INPUTS!$B$28,INPUTS!$B$29))))</f>
        <v>909215.171439724</v>
      </c>
      <c r="V141" s="89" t="n">
        <f aca="true">IF(V$5=0,U141,MAX(0,(U141-V$4)*(1+NORMINV(RAND(),INPUTS!$B$28,INPUTS!$B$29))))</f>
        <v>817567.213271863</v>
      </c>
      <c r="W141" s="89" t="n">
        <f aca="true">IF(W$5=0,V141,MAX(0,(V141-W$4)*(1+NORMINV(RAND(),INPUTS!$B$28,INPUTS!$B$29))))</f>
        <v>791347.500436726</v>
      </c>
      <c r="X141" s="89" t="n">
        <f aca="true">IF(X$5=0,W141,MAX(0,(W141-X$4)*(1+NORMINV(RAND(),INPUTS!$B$28,INPUTS!$B$29))))</f>
        <v>893816.458933501</v>
      </c>
      <c r="Y141" s="89" t="n">
        <f aca="true">IF(Y$5=0,X141,MAX(0,(X141-Y$4)*(1+NORMINV(RAND(),INPUTS!$B$28,INPUTS!$B$29))))</f>
        <v>676283.702736984</v>
      </c>
      <c r="Z141" s="89" t="n">
        <f aca="true">IF(Z$5=0,Y141,MAX(0,(Y141-Z$4)*(1+NORMINV(RAND(),INPUTS!$B$28,INPUTS!$B$29))))</f>
        <v>677707.109572415</v>
      </c>
      <c r="AA141" s="89" t="n">
        <f aca="true">IF(AA$5=0,Z141,MAX(0,(Z141-AA$4)*(1+NORMINV(RAND(),INPUTS!$B$28,INPUTS!$B$29))))</f>
        <v>653488.516437127</v>
      </c>
      <c r="AB141" s="89" t="n">
        <f aca="true">IF(AB$5=0,AA141,MAX(0,(AA141-AB$4)*(1+NORMINV(RAND(),INPUTS!$B$28,INPUTS!$B$29))))</f>
        <v>637931.01221818</v>
      </c>
      <c r="AC141" s="89" t="n">
        <f aca="true">IF(AC$5=0,AB141,MAX(0,(AB141-AC$4)*(1+NORMINV(RAND(),INPUTS!$B$28,INPUTS!$B$29))))</f>
        <v>703996.497896525</v>
      </c>
      <c r="AD141" s="89" t="n">
        <f aca="true">IF(AD$5=0,AC141,MAX(0,(AC141-AD$4)*(1+NORMINV(RAND(),INPUTS!$B$28,INPUTS!$B$29))))</f>
        <v>690866.664071063</v>
      </c>
      <c r="AE141" s="89" t="n">
        <f aca="true">IF(AE$5=0,AD141,MAX(0,(AD141-AE$4)*(1+NORMINV(RAND(),INPUTS!$B$28,INPUTS!$B$29))))</f>
        <v>630100.167008334</v>
      </c>
      <c r="AF141" s="89" t="n">
        <f aca="true">IF(AF$5=0,AE141,MAX(0,(AE141-AF$4)*(1+NORMINV(RAND(),INPUTS!$B$28,INPUTS!$B$29))))</f>
        <v>611402.009178709</v>
      </c>
      <c r="AG141" s="89" t="n">
        <f aca="true">IF(AG$5=0,AF141,MAX(0,(AF141-AG$4)*(1+NORMINV(RAND(),INPUTS!$B$28,INPUTS!$B$29))))</f>
        <v>529128.744036995</v>
      </c>
      <c r="AH141" s="89" t="n">
        <f aca="true">IF(AH$5=0,AG141,MAX(0,(AG141-AH$4)*(1+NORMINV(RAND(),INPUTS!$B$28,INPUTS!$B$29))))</f>
        <v>463274.703151179</v>
      </c>
      <c r="AI141" s="89" t="n">
        <f aca="true">IF(AI$5=0,AH141,MAX(0,(AH141-AI$4)*(1+NORMINV(RAND(),INPUTS!$B$28,INPUTS!$B$29))))</f>
        <v>421005.770392735</v>
      </c>
      <c r="AJ141" s="89" t="n">
        <f aca="true">IF(AJ$5=0,AI141,MAX(0,(AI141-AJ$4)*(1+NORMINV(RAND(),INPUTS!$B$28,INPUTS!$B$29))))</f>
        <v>328971.578876791</v>
      </c>
      <c r="AK141" s="89" t="n">
        <f aca="true">IF(AK$5=0,AJ141,MAX(0,(AJ141-AK$4)*(1+NORMINV(RAND(),INPUTS!$B$28,INPUTS!$B$29))))</f>
        <v>242337.644281322</v>
      </c>
      <c r="AL141" s="89" t="n">
        <f aca="true">IF(AL$5=0,AK141,MAX(0,(AK141-AL$4)*(1+NORMINV(RAND(),INPUTS!$B$28,INPUTS!$B$29))))</f>
        <v>185576.685843273</v>
      </c>
      <c r="AM141" s="89" t="n">
        <f aca="true">IF(AM$5=0,AL141,MAX(0,(AL141-AM$4)*(1+NORMINV(RAND(),INPUTS!$B$28,INPUTS!$B$29))))</f>
        <v>185576.685843273</v>
      </c>
      <c r="AN141" s="89" t="n">
        <f aca="true">IF(AN$5=0,AM141,MAX(0,(AM141-AN$4)*(1+NORMINV(RAND(),INPUTS!$B$28,INPUTS!$B$29))))</f>
        <v>185576.685843273</v>
      </c>
      <c r="AO141" s="89" t="n">
        <f aca="true">IF(AO$5=0,AN141,MAX(0,(AN141-AO$4)*(1+NORMINV(RAND(),INPUTS!$B$28,INPUTS!$B$29))))</f>
        <v>185576.685843273</v>
      </c>
      <c r="AP141" s="89" t="n">
        <f aca="true">IF(AP$5=0,AO141,MAX(0,(AO141-AP$4)*(1+NORMINV(RAND(),INPUTS!$B$28,INPUTS!$B$29))))</f>
        <v>185576.685843273</v>
      </c>
      <c r="AQ141" s="89" t="n">
        <f aca="true">IF(AQ$5=0,AP141,MAX(0,(AP141-AQ$4)*(1+NORMINV(RAND(),INPUTS!$B$28,INPUTS!$B$29))))</f>
        <v>185576.685843273</v>
      </c>
      <c r="AR141" s="89" t="n">
        <f aca="true">IF(AR$5=0,AQ141,MAX(0,(AQ141-AR$4)*(1+NORMINV(RAND(),INPUTS!$B$28,INPUTS!$B$29))))</f>
        <v>185576.685843273</v>
      </c>
      <c r="AS141" s="89" t="n">
        <f aca="true">IF(AS$5=0,AR141,MAX(0,(AR141-AS$4)*(1+NORMINV(RAND(),INPUTS!$B$28,INPUTS!$B$29))))</f>
        <v>185576.685843273</v>
      </c>
      <c r="AT141" s="89" t="n">
        <f aca="true">IF(AT$5=0,AS141,MAX(0,(AS141-AT$4)*(1+NORMINV(RAND(),INPUTS!$B$28,INPUTS!$B$29))))</f>
        <v>185576.685843273</v>
      </c>
      <c r="AU141" s="89" t="n">
        <f aca="true">IF(AU$5=0,AT141,MAX(0,(AT141-AU$4)*(1+NORMINV(RAND(),INPUTS!$B$28,INPUTS!$B$29))))</f>
        <v>185576.685843273</v>
      </c>
      <c r="AV141" s="89" t="n">
        <f aca="true">IF(AV$5=0,AU141,MAX(0,(AU141-AV$4)*(1+NORMINV(RAND(),INPUTS!$B$28,INPUTS!$B$29))))</f>
        <v>185576.685843273</v>
      </c>
      <c r="AW141" s="89" t="n">
        <f aca="true">IF(AW$5=0,AV141,MAX(0,(AV141-AW$4)*(1+NORMINV(RAND(),INPUTS!$B$28,INPUTS!$B$29))))</f>
        <v>185576.685843273</v>
      </c>
      <c r="AX141" s="89" t="n">
        <f aca="true">IF(AX$5=0,AW141,MAX(0,(AW141-AX$4)*(1+NORMINV(RAND(),INPUTS!$B$28,INPUTS!$B$29))))</f>
        <v>185576.685843273</v>
      </c>
      <c r="AY141" s="89" t="n">
        <f aca="true">IF(AY$5=0,AX141,MAX(0,(AX141-AY$4)*(1+NORMINV(RAND(),INPUTS!$B$28,INPUTS!$B$29))))</f>
        <v>185576.685843273</v>
      </c>
      <c r="AZ141" s="89" t="n">
        <f aca="true">IF(AZ$5=0,AY141,MAX(0,(AY141-AZ$4)*(1+NORMINV(RAND(),INPUTS!$B$28,INPUTS!$B$29))))</f>
        <v>185576.685843273</v>
      </c>
      <c r="BA141" s="89" t="n">
        <f aca="true">IF(BA$5=0,AZ141,MAX(0,(AZ141-BA$4)*(1+NORMINV(RAND(),INPUTS!$B$28,INPUTS!$B$29))))</f>
        <v>185576.685843273</v>
      </c>
      <c r="BB141" s="89" t="n">
        <f aca="true">IF(BB$5=0,BA141,MAX(0,(BA141-BB$4)*(1+NORMINV(RAND(),INPUTS!$B$28,INPUTS!$B$29))))</f>
        <v>185576.685843273</v>
      </c>
      <c r="BC141" s="89" t="n">
        <f aca="true">IF(BC$5=0,BB141,MAX(0,(BB141-BC$4)*(1+NORMINV(RAND(),INPUTS!$B$28,INPUTS!$B$29))))</f>
        <v>185576.685843273</v>
      </c>
      <c r="BD141" s="89" t="n">
        <f aca="true">IF(BD$5=0,BC141,MAX(0,(BC141-BD$4)*(1+NORMINV(RAND(),INPUTS!$B$28,INPUTS!$B$29))))</f>
        <v>185576.685843273</v>
      </c>
      <c r="BE141" s="89" t="n">
        <f aca="true">IF(BE$5=0,BD141,MAX(0,(BD141-BE$4)*(1+NORMINV(RAND(),INPUTS!$B$28,INPUTS!$B$29))))</f>
        <v>185576.685843273</v>
      </c>
      <c r="BF141" s="89" t="n">
        <f aca="true">IF(BF$5=0,BE141,MAX(0,(BE141-BF$4)*(1+NORMINV(RAND(),INPUTS!$B$28,INPUTS!$B$29))))</f>
        <v>185576.685843273</v>
      </c>
      <c r="BG141" s="89" t="n">
        <f aca="true">IF(BG$5=0,BF141,MAX(0,(BF141-BG$4)*(1+NORMINV(RAND(),INPUTS!$B$28,INPUTS!$B$29))))</f>
        <v>185576.685843273</v>
      </c>
      <c r="BH141" s="89" t="n">
        <f aca="true">IF(BH$5=0,BG141,MAX(0,(BG141-BH$4)*(1+NORMINV(RAND(),INPUTS!$B$28,INPUTS!$B$29))))</f>
        <v>185576.685843273</v>
      </c>
      <c r="BI141" s="89" t="n">
        <f aca="true">IF(BI$5=0,BH141,MAX(0,(BH141-BI$4)*(1+NORMINV(RAND(),INPUTS!$B$28,INPUTS!$B$29))))</f>
        <v>185576.685843273</v>
      </c>
      <c r="BJ141" s="89" t="n">
        <f aca="true">IF(BJ$5=0,BI141,MAX(0,(BI141-BJ$4)*(1+NORMINV(RAND(),INPUTS!$B$28,INPUTS!$B$29))))</f>
        <v>185576.685843273</v>
      </c>
    </row>
    <row r="142" customFormat="false" ht="15" hidden="false" customHeight="true" outlineLevel="0" collapsed="false">
      <c r="A142" s="87" t="n">
        <v>135</v>
      </c>
      <c r="B142" s="88" t="n">
        <f aca="false">LOOKUP(9.99E+307,C142:BJ142)</f>
        <v>0</v>
      </c>
      <c r="C142" s="89" t="n">
        <f aca="true">IF(C$5=0,INPUTS!$B$35,MAX(0,(INPUTS!$B$35-C$4)*(1+NORMINV(RAND(),INPUTS!$B$28,INPUTS!$B$29))))</f>
        <v>1332551.84820235</v>
      </c>
      <c r="D142" s="89" t="n">
        <f aca="true">IF(D$5=0,C142,MAX(0,(C142-D$4)*(1+NORMINV(RAND(),INPUTS!$B$28,INPUTS!$B$29))))</f>
        <v>1518124.16766825</v>
      </c>
      <c r="E142" s="89" t="n">
        <f aca="true">IF(E$5=0,D142,MAX(0,(D142-E$4)*(1+NORMINV(RAND(),INPUTS!$B$28,INPUTS!$B$29))))</f>
        <v>1505425.64311251</v>
      </c>
      <c r="F142" s="89" t="n">
        <f aca="true">IF(F$5=0,E142,MAX(0,(E142-F$4)*(1+NORMINV(RAND(),INPUTS!$B$28,INPUTS!$B$29))))</f>
        <v>1694110.81315574</v>
      </c>
      <c r="G142" s="89" t="n">
        <f aca="true">IF(G$5=0,F142,MAX(0,(F142-G$4)*(1+NORMINV(RAND(),INPUTS!$B$28,INPUTS!$B$29))))</f>
        <v>1538304.88322503</v>
      </c>
      <c r="H142" s="89" t="n">
        <f aca="true">IF(H$5=0,G142,MAX(0,(G142-H$4)*(1+NORMINV(RAND(),INPUTS!$B$28,INPUTS!$B$29))))</f>
        <v>1467793.29693768</v>
      </c>
      <c r="I142" s="89" t="n">
        <f aca="true">IF(I$5=0,H142,MAX(0,(H142-I$4)*(1+NORMINV(RAND(),INPUTS!$B$28,INPUTS!$B$29))))</f>
        <v>1457029.3808212</v>
      </c>
      <c r="J142" s="89" t="n">
        <f aca="true">IF(J$5=0,I142,MAX(0,(I142-J$4)*(1+NORMINV(RAND(),INPUTS!$B$28,INPUTS!$B$29))))</f>
        <v>1182275.43416508</v>
      </c>
      <c r="K142" s="89" t="n">
        <f aca="true">IF(K$5=0,J142,MAX(0,(J142-K$4)*(1+NORMINV(RAND(),INPUTS!$B$28,INPUTS!$B$29))))</f>
        <v>1489276.8339038</v>
      </c>
      <c r="L142" s="89" t="n">
        <f aca="true">IF(L$5=0,K142,MAX(0,(K142-L$4)*(1+NORMINV(RAND(),INPUTS!$B$28,INPUTS!$B$29))))</f>
        <v>769641.098601818</v>
      </c>
      <c r="M142" s="89" t="n">
        <f aca="true">IF(M$5=0,L142,MAX(0,(L142-M$4)*(1+NORMINV(RAND(),INPUTS!$B$28,INPUTS!$B$29))))</f>
        <v>707508.509611102</v>
      </c>
      <c r="N142" s="89" t="n">
        <f aca="true">IF(N$5=0,M142,MAX(0,(M142-N$4)*(1+NORMINV(RAND(),INPUTS!$B$28,INPUTS!$B$29))))</f>
        <v>531656.179412574</v>
      </c>
      <c r="O142" s="89" t="n">
        <f aca="true">IF(O$5=0,N142,MAX(0,(N142-O$4)*(1+NORMINV(RAND(),INPUTS!$B$28,INPUTS!$B$29))))</f>
        <v>530599.453500469</v>
      </c>
      <c r="P142" s="89" t="n">
        <f aca="true">IF(P$5=0,O142,MAX(0,(O142-P$4)*(1+NORMINV(RAND(),INPUTS!$B$28,INPUTS!$B$29))))</f>
        <v>458639.564772835</v>
      </c>
      <c r="Q142" s="89" t="n">
        <f aca="true">IF(Q$5=0,P142,MAX(0,(P142-Q$4)*(1+NORMINV(RAND(),INPUTS!$B$28,INPUTS!$B$29))))</f>
        <v>448646.061647199</v>
      </c>
      <c r="R142" s="89" t="n">
        <f aca="true">IF(R$5=0,Q142,MAX(0,(Q142-R$4)*(1+NORMINV(RAND(),INPUTS!$B$28,INPUTS!$B$29))))</f>
        <v>431712.442859881</v>
      </c>
      <c r="S142" s="89" t="n">
        <f aca="true">IF(S$5=0,R142,MAX(0,(R142-S$4)*(1+NORMINV(RAND(),INPUTS!$B$28,INPUTS!$B$29))))</f>
        <v>503409.108508856</v>
      </c>
      <c r="T142" s="89" t="n">
        <f aca="true">IF(T$5=0,S142,MAX(0,(S142-T$4)*(1+NORMINV(RAND(),INPUTS!$B$28,INPUTS!$B$29))))</f>
        <v>487964.108246778</v>
      </c>
      <c r="U142" s="89" t="n">
        <f aca="true">IF(U$5=0,T142,MAX(0,(T142-U$4)*(1+NORMINV(RAND(),INPUTS!$B$28,INPUTS!$B$29))))</f>
        <v>474088.345406177</v>
      </c>
      <c r="V142" s="89" t="n">
        <f aca="true">IF(V$5=0,U142,MAX(0,(U142-V$4)*(1+NORMINV(RAND(),INPUTS!$B$28,INPUTS!$B$29))))</f>
        <v>488642.227233608</v>
      </c>
      <c r="W142" s="89" t="n">
        <f aca="true">IF(W$5=0,V142,MAX(0,(V142-W$4)*(1+NORMINV(RAND(),INPUTS!$B$28,INPUTS!$B$29))))</f>
        <v>373501.135629578</v>
      </c>
      <c r="X142" s="89" t="n">
        <f aca="true">IF(X$5=0,W142,MAX(0,(W142-X$4)*(1+NORMINV(RAND(),INPUTS!$B$28,INPUTS!$B$29))))</f>
        <v>370338.567445927</v>
      </c>
      <c r="Y142" s="89" t="n">
        <f aca="true">IF(Y$5=0,X142,MAX(0,(X142-Y$4)*(1+NORMINV(RAND(),INPUTS!$B$28,INPUTS!$B$29))))</f>
        <v>350857.588012383</v>
      </c>
      <c r="Z142" s="89" t="n">
        <f aca="true">IF(Z$5=0,Y142,MAX(0,(Y142-Z$4)*(1+NORMINV(RAND(),INPUTS!$B$28,INPUTS!$B$29))))</f>
        <v>317081.077564558</v>
      </c>
      <c r="AA142" s="89" t="n">
        <f aca="true">IF(AA$5=0,Z142,MAX(0,(Z142-AA$4)*(1+NORMINV(RAND(),INPUTS!$B$28,INPUTS!$B$29))))</f>
        <v>285698.035280004</v>
      </c>
      <c r="AB142" s="89" t="n">
        <f aca="true">IF(AB$5=0,AA142,MAX(0,(AA142-AB$4)*(1+NORMINV(RAND(),INPUTS!$B$28,INPUTS!$B$29))))</f>
        <v>253702.640616684</v>
      </c>
      <c r="AC142" s="89" t="n">
        <f aca="true">IF(AC$5=0,AB142,MAX(0,(AB142-AC$4)*(1+NORMINV(RAND(),INPUTS!$B$28,INPUTS!$B$29))))</f>
        <v>156399.2142179</v>
      </c>
      <c r="AD142" s="89" t="n">
        <f aca="true">IF(AD$5=0,AC142,MAX(0,(AC142-AD$4)*(1+NORMINV(RAND(),INPUTS!$B$28,INPUTS!$B$29))))</f>
        <v>89619.2582110291</v>
      </c>
      <c r="AE142" s="89" t="n">
        <f aca="true">IF(AE$5=0,AD142,MAX(0,(AD142-AE$4)*(1+NORMINV(RAND(),INPUTS!$B$28,INPUTS!$B$29))))</f>
        <v>20716.7717015568</v>
      </c>
      <c r="AF142" s="89" t="n">
        <f aca="true">IF(AF$5=0,AE142,MAX(0,(AE142-AF$4)*(1+NORMINV(RAND(),INPUTS!$B$28,INPUTS!$B$29))))</f>
        <v>0</v>
      </c>
      <c r="AG142" s="89" t="n">
        <f aca="true">IF(AG$5=0,AF142,MAX(0,(AF142-AG$4)*(1+NORMINV(RAND(),INPUTS!$B$28,INPUTS!$B$29))))</f>
        <v>0</v>
      </c>
      <c r="AH142" s="89" t="n">
        <f aca="true">IF(AH$5=0,AG142,MAX(0,(AG142-AH$4)*(1+NORMINV(RAND(),INPUTS!$B$28,INPUTS!$B$29))))</f>
        <v>0</v>
      </c>
      <c r="AI142" s="89" t="n">
        <f aca="true">IF(AI$5=0,AH142,MAX(0,(AH142-AI$4)*(1+NORMINV(RAND(),INPUTS!$B$28,INPUTS!$B$29))))</f>
        <v>0</v>
      </c>
      <c r="AJ142" s="89" t="n">
        <f aca="true">IF(AJ$5=0,AI142,MAX(0,(AI142-AJ$4)*(1+NORMINV(RAND(),INPUTS!$B$28,INPUTS!$B$29))))</f>
        <v>0</v>
      </c>
      <c r="AK142" s="89" t="n">
        <f aca="true">IF(AK$5=0,AJ142,MAX(0,(AJ142-AK$4)*(1+NORMINV(RAND(),INPUTS!$B$28,INPUTS!$B$29))))</f>
        <v>0</v>
      </c>
      <c r="AL142" s="89" t="n">
        <f aca="true">IF(AL$5=0,AK142,MAX(0,(AK142-AL$4)*(1+NORMINV(RAND(),INPUTS!$B$28,INPUTS!$B$29))))</f>
        <v>0</v>
      </c>
      <c r="AM142" s="89" t="n">
        <f aca="true">IF(AM$5=0,AL142,MAX(0,(AL142-AM$4)*(1+NORMINV(RAND(),INPUTS!$B$28,INPUTS!$B$29))))</f>
        <v>0</v>
      </c>
      <c r="AN142" s="89" t="n">
        <f aca="true">IF(AN$5=0,AM142,MAX(0,(AM142-AN$4)*(1+NORMINV(RAND(),INPUTS!$B$28,INPUTS!$B$29))))</f>
        <v>0</v>
      </c>
      <c r="AO142" s="89" t="n">
        <f aca="true">IF(AO$5=0,AN142,MAX(0,(AN142-AO$4)*(1+NORMINV(RAND(),INPUTS!$B$28,INPUTS!$B$29))))</f>
        <v>0</v>
      </c>
      <c r="AP142" s="89" t="n">
        <f aca="true">IF(AP$5=0,AO142,MAX(0,(AO142-AP$4)*(1+NORMINV(RAND(),INPUTS!$B$28,INPUTS!$B$29))))</f>
        <v>0</v>
      </c>
      <c r="AQ142" s="89" t="n">
        <f aca="true">IF(AQ$5=0,AP142,MAX(0,(AP142-AQ$4)*(1+NORMINV(RAND(),INPUTS!$B$28,INPUTS!$B$29))))</f>
        <v>0</v>
      </c>
      <c r="AR142" s="89" t="n">
        <f aca="true">IF(AR$5=0,AQ142,MAX(0,(AQ142-AR$4)*(1+NORMINV(RAND(),INPUTS!$B$28,INPUTS!$B$29))))</f>
        <v>0</v>
      </c>
      <c r="AS142" s="89" t="n">
        <f aca="true">IF(AS$5=0,AR142,MAX(0,(AR142-AS$4)*(1+NORMINV(RAND(),INPUTS!$B$28,INPUTS!$B$29))))</f>
        <v>0</v>
      </c>
      <c r="AT142" s="89" t="n">
        <f aca="true">IF(AT$5=0,AS142,MAX(0,(AS142-AT$4)*(1+NORMINV(RAND(),INPUTS!$B$28,INPUTS!$B$29))))</f>
        <v>0</v>
      </c>
      <c r="AU142" s="89" t="n">
        <f aca="true">IF(AU$5=0,AT142,MAX(0,(AT142-AU$4)*(1+NORMINV(RAND(),INPUTS!$B$28,INPUTS!$B$29))))</f>
        <v>0</v>
      </c>
      <c r="AV142" s="89" t="n">
        <f aca="true">IF(AV$5=0,AU142,MAX(0,(AU142-AV$4)*(1+NORMINV(RAND(),INPUTS!$B$28,INPUTS!$B$29))))</f>
        <v>0</v>
      </c>
      <c r="AW142" s="89" t="n">
        <f aca="true">IF(AW$5=0,AV142,MAX(0,(AV142-AW$4)*(1+NORMINV(RAND(),INPUTS!$B$28,INPUTS!$B$29))))</f>
        <v>0</v>
      </c>
      <c r="AX142" s="89" t="n">
        <f aca="true">IF(AX$5=0,AW142,MAX(0,(AW142-AX$4)*(1+NORMINV(RAND(),INPUTS!$B$28,INPUTS!$B$29))))</f>
        <v>0</v>
      </c>
      <c r="AY142" s="89" t="n">
        <f aca="true">IF(AY$5=0,AX142,MAX(0,(AX142-AY$4)*(1+NORMINV(RAND(),INPUTS!$B$28,INPUTS!$B$29))))</f>
        <v>0</v>
      </c>
      <c r="AZ142" s="89" t="n">
        <f aca="true">IF(AZ$5=0,AY142,MAX(0,(AY142-AZ$4)*(1+NORMINV(RAND(),INPUTS!$B$28,INPUTS!$B$29))))</f>
        <v>0</v>
      </c>
      <c r="BA142" s="89" t="n">
        <f aca="true">IF(BA$5=0,AZ142,MAX(0,(AZ142-BA$4)*(1+NORMINV(RAND(),INPUTS!$B$28,INPUTS!$B$29))))</f>
        <v>0</v>
      </c>
      <c r="BB142" s="89" t="n">
        <f aca="true">IF(BB$5=0,BA142,MAX(0,(BA142-BB$4)*(1+NORMINV(RAND(),INPUTS!$B$28,INPUTS!$B$29))))</f>
        <v>0</v>
      </c>
      <c r="BC142" s="89" t="n">
        <f aca="true">IF(BC$5=0,BB142,MAX(0,(BB142-BC$4)*(1+NORMINV(RAND(),INPUTS!$B$28,INPUTS!$B$29))))</f>
        <v>0</v>
      </c>
      <c r="BD142" s="89" t="n">
        <f aca="true">IF(BD$5=0,BC142,MAX(0,(BC142-BD$4)*(1+NORMINV(RAND(),INPUTS!$B$28,INPUTS!$B$29))))</f>
        <v>0</v>
      </c>
      <c r="BE142" s="89" t="n">
        <f aca="true">IF(BE$5=0,BD142,MAX(0,(BD142-BE$4)*(1+NORMINV(RAND(),INPUTS!$B$28,INPUTS!$B$29))))</f>
        <v>0</v>
      </c>
      <c r="BF142" s="89" t="n">
        <f aca="true">IF(BF$5=0,BE142,MAX(0,(BE142-BF$4)*(1+NORMINV(RAND(),INPUTS!$B$28,INPUTS!$B$29))))</f>
        <v>0</v>
      </c>
      <c r="BG142" s="89" t="n">
        <f aca="true">IF(BG$5=0,BF142,MAX(0,(BF142-BG$4)*(1+NORMINV(RAND(),INPUTS!$B$28,INPUTS!$B$29))))</f>
        <v>0</v>
      </c>
      <c r="BH142" s="89" t="n">
        <f aca="true">IF(BH$5=0,BG142,MAX(0,(BG142-BH$4)*(1+NORMINV(RAND(),INPUTS!$B$28,INPUTS!$B$29))))</f>
        <v>0</v>
      </c>
      <c r="BI142" s="89" t="n">
        <f aca="true">IF(BI$5=0,BH142,MAX(0,(BH142-BI$4)*(1+NORMINV(RAND(),INPUTS!$B$28,INPUTS!$B$29))))</f>
        <v>0</v>
      </c>
      <c r="BJ142" s="89" t="n">
        <f aca="true">IF(BJ$5=0,BI142,MAX(0,(BI142-BJ$4)*(1+NORMINV(RAND(),INPUTS!$B$28,INPUTS!$B$29))))</f>
        <v>0</v>
      </c>
    </row>
    <row r="143" customFormat="false" ht="15" hidden="false" customHeight="true" outlineLevel="0" collapsed="false">
      <c r="A143" s="87" t="n">
        <v>136</v>
      </c>
      <c r="B143" s="88" t="n">
        <f aca="false">LOOKUP(9.99E+307,C143:BJ143)</f>
        <v>1360433.72594005</v>
      </c>
      <c r="C143" s="89" t="n">
        <f aca="true">IF(C$5=0,INPUTS!$B$35,MAX(0,(INPUTS!$B$35-C$4)*(1+NORMINV(RAND(),INPUTS!$B$28,INPUTS!$B$29))))</f>
        <v>1656648.27123634</v>
      </c>
      <c r="D143" s="89" t="n">
        <f aca="true">IF(D$5=0,C143,MAX(0,(C143-D$4)*(1+NORMINV(RAND(),INPUTS!$B$28,INPUTS!$B$29))))</f>
        <v>1541047.79419961</v>
      </c>
      <c r="E143" s="89" t="n">
        <f aca="true">IF(E$5=0,D143,MAX(0,(D143-E$4)*(1+NORMINV(RAND(),INPUTS!$B$28,INPUTS!$B$29))))</f>
        <v>1463623.73992248</v>
      </c>
      <c r="F143" s="89" t="n">
        <f aca="true">IF(F$5=0,E143,MAX(0,(E143-F$4)*(1+NORMINV(RAND(),INPUTS!$B$28,INPUTS!$B$29))))</f>
        <v>1611584.02330246</v>
      </c>
      <c r="G143" s="89" t="n">
        <f aca="true">IF(G$5=0,F143,MAX(0,(F143-G$4)*(1+NORMINV(RAND(),INPUTS!$B$28,INPUTS!$B$29))))</f>
        <v>1495090.75167953</v>
      </c>
      <c r="H143" s="89" t="n">
        <f aca="true">IF(H$5=0,G143,MAX(0,(G143-H$4)*(1+NORMINV(RAND(),INPUTS!$B$28,INPUTS!$B$29))))</f>
        <v>1741497.35813014</v>
      </c>
      <c r="I143" s="89" t="n">
        <f aca="true">IF(I$5=0,H143,MAX(0,(H143-I$4)*(1+NORMINV(RAND(),INPUTS!$B$28,INPUTS!$B$29))))</f>
        <v>1832893.70636076</v>
      </c>
      <c r="J143" s="89" t="n">
        <f aca="true">IF(J$5=0,I143,MAX(0,(I143-J$4)*(1+NORMINV(RAND(),INPUTS!$B$28,INPUTS!$B$29))))</f>
        <v>1843937.31188321</v>
      </c>
      <c r="K143" s="89" t="n">
        <f aca="true">IF(K$5=0,J143,MAX(0,(J143-K$4)*(1+NORMINV(RAND(),INPUTS!$B$28,INPUTS!$B$29))))</f>
        <v>2062840.52799739</v>
      </c>
      <c r="L143" s="89" t="n">
        <f aca="true">IF(L$5=0,K143,MAX(0,(K143-L$4)*(1+NORMINV(RAND(),INPUTS!$B$28,INPUTS!$B$29))))</f>
        <v>2441200.74807518</v>
      </c>
      <c r="M143" s="89" t="n">
        <f aca="true">IF(M$5=0,L143,MAX(0,(L143-M$4)*(1+NORMINV(RAND(),INPUTS!$B$28,INPUTS!$B$29))))</f>
        <v>2251182.62412612</v>
      </c>
      <c r="N143" s="89" t="n">
        <f aca="true">IF(N$5=0,M143,MAX(0,(M143-N$4)*(1+NORMINV(RAND(),INPUTS!$B$28,INPUTS!$B$29))))</f>
        <v>2020058.56134074</v>
      </c>
      <c r="O143" s="89" t="n">
        <f aca="true">IF(O$5=0,N143,MAX(0,(N143-O$4)*(1+NORMINV(RAND(),INPUTS!$B$28,INPUTS!$B$29))))</f>
        <v>1894748.23523678</v>
      </c>
      <c r="P143" s="89" t="n">
        <f aca="true">IF(P$5=0,O143,MAX(0,(O143-P$4)*(1+NORMINV(RAND(),INPUTS!$B$28,INPUTS!$B$29))))</f>
        <v>2291983.79452295</v>
      </c>
      <c r="Q143" s="89" t="n">
        <f aca="true">IF(Q$5=0,P143,MAX(0,(P143-Q$4)*(1+NORMINV(RAND(),INPUTS!$B$28,INPUTS!$B$29))))</f>
        <v>2031995.33547838</v>
      </c>
      <c r="R143" s="89" t="n">
        <f aca="true">IF(R$5=0,Q143,MAX(0,(Q143-R$4)*(1+NORMINV(RAND(),INPUTS!$B$28,INPUTS!$B$29))))</f>
        <v>2294234.81200832</v>
      </c>
      <c r="S143" s="89" t="n">
        <f aca="true">IF(S$5=0,R143,MAX(0,(R143-S$4)*(1+NORMINV(RAND(),INPUTS!$B$28,INPUTS!$B$29))))</f>
        <v>2483934.04946102</v>
      </c>
      <c r="T143" s="89" t="n">
        <f aca="true">IF(T$5=0,S143,MAX(0,(S143-T$4)*(1+NORMINV(RAND(),INPUTS!$B$28,INPUTS!$B$29))))</f>
        <v>2295040.70894273</v>
      </c>
      <c r="U143" s="89" t="n">
        <f aca="true">IF(U$5=0,T143,MAX(0,(T143-U$4)*(1+NORMINV(RAND(),INPUTS!$B$28,INPUTS!$B$29))))</f>
        <v>2199622.50808318</v>
      </c>
      <c r="V143" s="89" t="n">
        <f aca="true">IF(V$5=0,U143,MAX(0,(U143-V$4)*(1+NORMINV(RAND(),INPUTS!$B$28,INPUTS!$B$29))))</f>
        <v>2333408.53232531</v>
      </c>
      <c r="W143" s="89" t="n">
        <f aca="true">IF(W$5=0,V143,MAX(0,(V143-W$4)*(1+NORMINV(RAND(),INPUTS!$B$28,INPUTS!$B$29))))</f>
        <v>2765864.65446008</v>
      </c>
      <c r="X143" s="89" t="n">
        <f aca="true">IF(X$5=0,W143,MAX(0,(W143-X$4)*(1+NORMINV(RAND(),INPUTS!$B$28,INPUTS!$B$29))))</f>
        <v>2758404.02940293</v>
      </c>
      <c r="Y143" s="89" t="n">
        <f aca="true">IF(Y$5=0,X143,MAX(0,(X143-Y$4)*(1+NORMINV(RAND(),INPUTS!$B$28,INPUTS!$B$29))))</f>
        <v>2709098.23461439</v>
      </c>
      <c r="Z143" s="89" t="n">
        <f aca="true">IF(Z$5=0,Y143,MAX(0,(Y143-Z$4)*(1+NORMINV(RAND(),INPUTS!$B$28,INPUTS!$B$29))))</f>
        <v>2494718.37481991</v>
      </c>
      <c r="AA143" s="89" t="n">
        <f aca="true">IF(AA$5=0,Z143,MAX(0,(Z143-AA$4)*(1+NORMINV(RAND(),INPUTS!$B$28,INPUTS!$B$29))))</f>
        <v>2374488.85268767</v>
      </c>
      <c r="AB143" s="89" t="n">
        <f aca="true">IF(AB$5=0,AA143,MAX(0,(AA143-AB$4)*(1+NORMINV(RAND(),INPUTS!$B$28,INPUTS!$B$29))))</f>
        <v>2590920.39271791</v>
      </c>
      <c r="AC143" s="89" t="n">
        <f aca="true">IF(AC$5=0,AB143,MAX(0,(AB143-AC$4)*(1+NORMINV(RAND(),INPUTS!$B$28,INPUTS!$B$29))))</f>
        <v>2624659.06443774</v>
      </c>
      <c r="AD143" s="89" t="n">
        <f aca="true">IF(AD$5=0,AC143,MAX(0,(AC143-AD$4)*(1+NORMINV(RAND(),INPUTS!$B$28,INPUTS!$B$29))))</f>
        <v>2700778.11557125</v>
      </c>
      <c r="AE143" s="89" t="n">
        <f aca="true">IF(AE$5=0,AD143,MAX(0,(AD143-AE$4)*(1+NORMINV(RAND(),INPUTS!$B$28,INPUTS!$B$29))))</f>
        <v>2514765.35637075</v>
      </c>
      <c r="AF143" s="89" t="n">
        <f aca="true">IF(AF$5=0,AE143,MAX(0,(AE143-AF$4)*(1+NORMINV(RAND(),INPUTS!$B$28,INPUTS!$B$29))))</f>
        <v>2194689.53153013</v>
      </c>
      <c r="AG143" s="89" t="n">
        <f aca="true">IF(AG$5=0,AF143,MAX(0,(AF143-AG$4)*(1+NORMINV(RAND(),INPUTS!$B$28,INPUTS!$B$29))))</f>
        <v>2068400.59328728</v>
      </c>
      <c r="AH143" s="89" t="n">
        <f aca="true">IF(AH$5=0,AG143,MAX(0,(AG143-AH$4)*(1+NORMINV(RAND(),INPUTS!$B$28,INPUTS!$B$29))))</f>
        <v>1639564.14230746</v>
      </c>
      <c r="AI143" s="89" t="n">
        <f aca="true">IF(AI$5=0,AH143,MAX(0,(AH143-AI$4)*(1+NORMINV(RAND(),INPUTS!$B$28,INPUTS!$B$29))))</f>
        <v>1524671.92367963</v>
      </c>
      <c r="AJ143" s="89" t="n">
        <f aca="true">IF(AJ$5=0,AI143,MAX(0,(AI143-AJ$4)*(1+NORMINV(RAND(),INPUTS!$B$28,INPUTS!$B$29))))</f>
        <v>1460246.32478864</v>
      </c>
      <c r="AK143" s="89" t="n">
        <f aca="true">IF(AK$5=0,AJ143,MAX(0,(AJ143-AK$4)*(1+NORMINV(RAND(),INPUTS!$B$28,INPUTS!$B$29))))</f>
        <v>1348769.70444011</v>
      </c>
      <c r="AL143" s="89" t="n">
        <f aca="true">IF(AL$5=0,AK143,MAX(0,(AK143-AL$4)*(1+NORMINV(RAND(),INPUTS!$B$28,INPUTS!$B$29))))</f>
        <v>1360433.72594005</v>
      </c>
      <c r="AM143" s="89" t="n">
        <f aca="true">IF(AM$5=0,AL143,MAX(0,(AL143-AM$4)*(1+NORMINV(RAND(),INPUTS!$B$28,INPUTS!$B$29))))</f>
        <v>1360433.72594005</v>
      </c>
      <c r="AN143" s="89" t="n">
        <f aca="true">IF(AN$5=0,AM143,MAX(0,(AM143-AN$4)*(1+NORMINV(RAND(),INPUTS!$B$28,INPUTS!$B$29))))</f>
        <v>1360433.72594005</v>
      </c>
      <c r="AO143" s="89" t="n">
        <f aca="true">IF(AO$5=0,AN143,MAX(0,(AN143-AO$4)*(1+NORMINV(RAND(),INPUTS!$B$28,INPUTS!$B$29))))</f>
        <v>1360433.72594005</v>
      </c>
      <c r="AP143" s="89" t="n">
        <f aca="true">IF(AP$5=0,AO143,MAX(0,(AO143-AP$4)*(1+NORMINV(RAND(),INPUTS!$B$28,INPUTS!$B$29))))</f>
        <v>1360433.72594005</v>
      </c>
      <c r="AQ143" s="89" t="n">
        <f aca="true">IF(AQ$5=0,AP143,MAX(0,(AP143-AQ$4)*(1+NORMINV(RAND(),INPUTS!$B$28,INPUTS!$B$29))))</f>
        <v>1360433.72594005</v>
      </c>
      <c r="AR143" s="89" t="n">
        <f aca="true">IF(AR$5=0,AQ143,MAX(0,(AQ143-AR$4)*(1+NORMINV(RAND(),INPUTS!$B$28,INPUTS!$B$29))))</f>
        <v>1360433.72594005</v>
      </c>
      <c r="AS143" s="89" t="n">
        <f aca="true">IF(AS$5=0,AR143,MAX(0,(AR143-AS$4)*(1+NORMINV(RAND(),INPUTS!$B$28,INPUTS!$B$29))))</f>
        <v>1360433.72594005</v>
      </c>
      <c r="AT143" s="89" t="n">
        <f aca="true">IF(AT$5=0,AS143,MAX(0,(AS143-AT$4)*(1+NORMINV(RAND(),INPUTS!$B$28,INPUTS!$B$29))))</f>
        <v>1360433.72594005</v>
      </c>
      <c r="AU143" s="89" t="n">
        <f aca="true">IF(AU$5=0,AT143,MAX(0,(AT143-AU$4)*(1+NORMINV(RAND(),INPUTS!$B$28,INPUTS!$B$29))))</f>
        <v>1360433.72594005</v>
      </c>
      <c r="AV143" s="89" t="n">
        <f aca="true">IF(AV$5=0,AU143,MAX(0,(AU143-AV$4)*(1+NORMINV(RAND(),INPUTS!$B$28,INPUTS!$B$29))))</f>
        <v>1360433.72594005</v>
      </c>
      <c r="AW143" s="89" t="n">
        <f aca="true">IF(AW$5=0,AV143,MAX(0,(AV143-AW$4)*(1+NORMINV(RAND(),INPUTS!$B$28,INPUTS!$B$29))))</f>
        <v>1360433.72594005</v>
      </c>
      <c r="AX143" s="89" t="n">
        <f aca="true">IF(AX$5=0,AW143,MAX(0,(AW143-AX$4)*(1+NORMINV(RAND(),INPUTS!$B$28,INPUTS!$B$29))))</f>
        <v>1360433.72594005</v>
      </c>
      <c r="AY143" s="89" t="n">
        <f aca="true">IF(AY$5=0,AX143,MAX(0,(AX143-AY$4)*(1+NORMINV(RAND(),INPUTS!$B$28,INPUTS!$B$29))))</f>
        <v>1360433.72594005</v>
      </c>
      <c r="AZ143" s="89" t="n">
        <f aca="true">IF(AZ$5=0,AY143,MAX(0,(AY143-AZ$4)*(1+NORMINV(RAND(),INPUTS!$B$28,INPUTS!$B$29))))</f>
        <v>1360433.72594005</v>
      </c>
      <c r="BA143" s="89" t="n">
        <f aca="true">IF(BA$5=0,AZ143,MAX(0,(AZ143-BA$4)*(1+NORMINV(RAND(),INPUTS!$B$28,INPUTS!$B$29))))</f>
        <v>1360433.72594005</v>
      </c>
      <c r="BB143" s="89" t="n">
        <f aca="true">IF(BB$5=0,BA143,MAX(0,(BA143-BB$4)*(1+NORMINV(RAND(),INPUTS!$B$28,INPUTS!$B$29))))</f>
        <v>1360433.72594005</v>
      </c>
      <c r="BC143" s="89" t="n">
        <f aca="true">IF(BC$5=0,BB143,MAX(0,(BB143-BC$4)*(1+NORMINV(RAND(),INPUTS!$B$28,INPUTS!$B$29))))</f>
        <v>1360433.72594005</v>
      </c>
      <c r="BD143" s="89" t="n">
        <f aca="true">IF(BD$5=0,BC143,MAX(0,(BC143-BD$4)*(1+NORMINV(RAND(),INPUTS!$B$28,INPUTS!$B$29))))</f>
        <v>1360433.72594005</v>
      </c>
      <c r="BE143" s="89" t="n">
        <f aca="true">IF(BE$5=0,BD143,MAX(0,(BD143-BE$4)*(1+NORMINV(RAND(),INPUTS!$B$28,INPUTS!$B$29))))</f>
        <v>1360433.72594005</v>
      </c>
      <c r="BF143" s="89" t="n">
        <f aca="true">IF(BF$5=0,BE143,MAX(0,(BE143-BF$4)*(1+NORMINV(RAND(),INPUTS!$B$28,INPUTS!$B$29))))</f>
        <v>1360433.72594005</v>
      </c>
      <c r="BG143" s="89" t="n">
        <f aca="true">IF(BG$5=0,BF143,MAX(0,(BF143-BG$4)*(1+NORMINV(RAND(),INPUTS!$B$28,INPUTS!$B$29))))</f>
        <v>1360433.72594005</v>
      </c>
      <c r="BH143" s="89" t="n">
        <f aca="true">IF(BH$5=0,BG143,MAX(0,(BG143-BH$4)*(1+NORMINV(RAND(),INPUTS!$B$28,INPUTS!$B$29))))</f>
        <v>1360433.72594005</v>
      </c>
      <c r="BI143" s="89" t="n">
        <f aca="true">IF(BI$5=0,BH143,MAX(0,(BH143-BI$4)*(1+NORMINV(RAND(),INPUTS!$B$28,INPUTS!$B$29))))</f>
        <v>1360433.72594005</v>
      </c>
      <c r="BJ143" s="89" t="n">
        <f aca="true">IF(BJ$5=0,BI143,MAX(0,(BI143-BJ$4)*(1+NORMINV(RAND(),INPUTS!$B$28,INPUTS!$B$29))))</f>
        <v>1360433.72594005</v>
      </c>
    </row>
    <row r="144" customFormat="false" ht="15" hidden="false" customHeight="true" outlineLevel="0" collapsed="false">
      <c r="A144" s="87" t="n">
        <v>137</v>
      </c>
      <c r="B144" s="88" t="n">
        <f aca="false">LOOKUP(9.99E+307,C144:BJ144)</f>
        <v>5088905.62264383</v>
      </c>
      <c r="C144" s="89" t="n">
        <f aca="true">IF(C$5=0,INPUTS!$B$35,MAX(0,(INPUTS!$B$35-C$4)*(1+NORMINV(RAND(),INPUTS!$B$28,INPUTS!$B$29))))</f>
        <v>1518392.6177235</v>
      </c>
      <c r="D144" s="89" t="n">
        <f aca="true">IF(D$5=0,C144,MAX(0,(C144-D$4)*(1+NORMINV(RAND(),INPUTS!$B$28,INPUTS!$B$29))))</f>
        <v>1660203.05762254</v>
      </c>
      <c r="E144" s="89" t="n">
        <f aca="true">IF(E$5=0,D144,MAX(0,(D144-E$4)*(1+NORMINV(RAND(),INPUTS!$B$28,INPUTS!$B$29))))</f>
        <v>1468502.69165497</v>
      </c>
      <c r="F144" s="89" t="n">
        <f aca="true">IF(F$5=0,E144,MAX(0,(E144-F$4)*(1+NORMINV(RAND(),INPUTS!$B$28,INPUTS!$B$29))))</f>
        <v>1557138.01986628</v>
      </c>
      <c r="G144" s="89" t="n">
        <f aca="true">IF(G$5=0,F144,MAX(0,(F144-G$4)*(1+NORMINV(RAND(),INPUTS!$B$28,INPUTS!$B$29))))</f>
        <v>1778052.59324514</v>
      </c>
      <c r="H144" s="89" t="n">
        <f aca="true">IF(H$5=0,G144,MAX(0,(G144-H$4)*(1+NORMINV(RAND(),INPUTS!$B$28,INPUTS!$B$29))))</f>
        <v>1803122.1247834</v>
      </c>
      <c r="I144" s="89" t="n">
        <f aca="true">IF(I$5=0,H144,MAX(0,(H144-I$4)*(1+NORMINV(RAND(),INPUTS!$B$28,INPUTS!$B$29))))</f>
        <v>1757287.50070746</v>
      </c>
      <c r="J144" s="89" t="n">
        <f aca="true">IF(J$5=0,I144,MAX(0,(I144-J$4)*(1+NORMINV(RAND(),INPUTS!$B$28,INPUTS!$B$29))))</f>
        <v>1914579.26813829</v>
      </c>
      <c r="K144" s="89" t="n">
        <f aca="true">IF(K$5=0,J144,MAX(0,(J144-K$4)*(1+NORMINV(RAND(),INPUTS!$B$28,INPUTS!$B$29))))</f>
        <v>1792815.13402543</v>
      </c>
      <c r="L144" s="89" t="n">
        <f aca="true">IF(L$5=0,K144,MAX(0,(K144-L$4)*(1+NORMINV(RAND(),INPUTS!$B$28,INPUTS!$B$29))))</f>
        <v>1728932.29679267</v>
      </c>
      <c r="M144" s="89" t="n">
        <f aca="true">IF(M$5=0,L144,MAX(0,(L144-M$4)*(1+NORMINV(RAND(),INPUTS!$B$28,INPUTS!$B$29))))</f>
        <v>1929550.54024559</v>
      </c>
      <c r="N144" s="89" t="n">
        <f aca="true">IF(N$5=0,M144,MAX(0,(M144-N$4)*(1+NORMINV(RAND(),INPUTS!$B$28,INPUTS!$B$29))))</f>
        <v>2177437.34221226</v>
      </c>
      <c r="O144" s="89" t="n">
        <f aca="true">IF(O$5=0,N144,MAX(0,(N144-O$4)*(1+NORMINV(RAND(),INPUTS!$B$28,INPUTS!$B$29))))</f>
        <v>2293756.58183295</v>
      </c>
      <c r="P144" s="89" t="n">
        <f aca="true">IF(P$5=0,O144,MAX(0,(O144-P$4)*(1+NORMINV(RAND(),INPUTS!$B$28,INPUTS!$B$29))))</f>
        <v>2667351.25816967</v>
      </c>
      <c r="Q144" s="89" t="n">
        <f aca="true">IF(Q$5=0,P144,MAX(0,(P144-Q$4)*(1+NORMINV(RAND(),INPUTS!$B$28,INPUTS!$B$29))))</f>
        <v>3432569.97256058</v>
      </c>
      <c r="R144" s="89" t="n">
        <f aca="true">IF(R$5=0,Q144,MAX(0,(Q144-R$4)*(1+NORMINV(RAND(),INPUTS!$B$28,INPUTS!$B$29))))</f>
        <v>3952798.64842293</v>
      </c>
      <c r="S144" s="89" t="n">
        <f aca="true">IF(S$5=0,R144,MAX(0,(R144-S$4)*(1+NORMINV(RAND(),INPUTS!$B$28,INPUTS!$B$29))))</f>
        <v>3599517.95368412</v>
      </c>
      <c r="T144" s="89" t="n">
        <f aca="true">IF(T$5=0,S144,MAX(0,(S144-T$4)*(1+NORMINV(RAND(),INPUTS!$B$28,INPUTS!$B$29))))</f>
        <v>4335991.74812668</v>
      </c>
      <c r="U144" s="89" t="n">
        <f aca="true">IF(U$5=0,T144,MAX(0,(T144-U$4)*(1+NORMINV(RAND(),INPUTS!$B$28,INPUTS!$B$29))))</f>
        <v>3862611.9709222</v>
      </c>
      <c r="V144" s="89" t="n">
        <f aca="true">IF(V$5=0,U144,MAX(0,(U144-V$4)*(1+NORMINV(RAND(),INPUTS!$B$28,INPUTS!$B$29))))</f>
        <v>2808400.27730396</v>
      </c>
      <c r="W144" s="89" t="n">
        <f aca="true">IF(W$5=0,V144,MAX(0,(V144-W$4)*(1+NORMINV(RAND(),INPUTS!$B$28,INPUTS!$B$29))))</f>
        <v>3016123.54307011</v>
      </c>
      <c r="X144" s="89" t="n">
        <f aca="true">IF(X$5=0,W144,MAX(0,(W144-X$4)*(1+NORMINV(RAND(),INPUTS!$B$28,INPUTS!$B$29))))</f>
        <v>3530124.81748947</v>
      </c>
      <c r="Y144" s="89" t="n">
        <f aca="true">IF(Y$5=0,X144,MAX(0,(X144-Y$4)*(1+NORMINV(RAND(),INPUTS!$B$28,INPUTS!$B$29))))</f>
        <v>3186123.22394405</v>
      </c>
      <c r="Z144" s="89" t="n">
        <f aca="true">IF(Z$5=0,Y144,MAX(0,(Y144-Z$4)*(1+NORMINV(RAND(),INPUTS!$B$28,INPUTS!$B$29))))</f>
        <v>3833483.33541278</v>
      </c>
      <c r="AA144" s="89" t="n">
        <f aca="true">IF(AA$5=0,Z144,MAX(0,(Z144-AA$4)*(1+NORMINV(RAND(),INPUTS!$B$28,INPUTS!$B$29))))</f>
        <v>4402632.47549072</v>
      </c>
      <c r="AB144" s="89" t="n">
        <f aca="true">IF(AB$5=0,AA144,MAX(0,(AA144-AB$4)*(1+NORMINV(RAND(),INPUTS!$B$28,INPUTS!$B$29))))</f>
        <v>4562721.46118668</v>
      </c>
      <c r="AC144" s="89" t="n">
        <f aca="true">IF(AC$5=0,AB144,MAX(0,(AB144-AC$4)*(1+NORMINV(RAND(),INPUTS!$B$28,INPUTS!$B$29))))</f>
        <v>4701607.75244966</v>
      </c>
      <c r="AD144" s="89" t="n">
        <f aca="true">IF(AD$5=0,AC144,MAX(0,(AC144-AD$4)*(1+NORMINV(RAND(),INPUTS!$B$28,INPUTS!$B$29))))</f>
        <v>4629692.73465632</v>
      </c>
      <c r="AE144" s="89" t="n">
        <f aca="true">IF(AE$5=0,AD144,MAX(0,(AD144-AE$4)*(1+NORMINV(RAND(),INPUTS!$B$28,INPUTS!$B$29))))</f>
        <v>4790357.32575059</v>
      </c>
      <c r="AF144" s="89" t="n">
        <f aca="true">IF(AF$5=0,AE144,MAX(0,(AE144-AF$4)*(1+NORMINV(RAND(),INPUTS!$B$28,INPUTS!$B$29))))</f>
        <v>5788957.24632025</v>
      </c>
      <c r="AG144" s="89" t="n">
        <f aca="true">IF(AG$5=0,AF144,MAX(0,(AF144-AG$4)*(1+NORMINV(RAND(),INPUTS!$B$28,INPUTS!$B$29))))</f>
        <v>6776954.42660259</v>
      </c>
      <c r="AH144" s="89" t="n">
        <f aca="true">IF(AH$5=0,AG144,MAX(0,(AG144-AH$4)*(1+NORMINV(RAND(),INPUTS!$B$28,INPUTS!$B$29))))</f>
        <v>5459780.70342406</v>
      </c>
      <c r="AI144" s="89" t="n">
        <f aca="true">IF(AI$5=0,AH144,MAX(0,(AH144-AI$4)*(1+NORMINV(RAND(),INPUTS!$B$28,INPUTS!$B$29))))</f>
        <v>4283254.78294691</v>
      </c>
      <c r="AJ144" s="89" t="n">
        <f aca="true">IF(AJ$5=0,AI144,MAX(0,(AI144-AJ$4)*(1+NORMINV(RAND(),INPUTS!$B$28,INPUTS!$B$29))))</f>
        <v>4105877.65601588</v>
      </c>
      <c r="AK144" s="89" t="n">
        <f aca="true">IF(AK$5=0,AJ144,MAX(0,(AJ144-AK$4)*(1+NORMINV(RAND(),INPUTS!$B$28,INPUTS!$B$29))))</f>
        <v>4545430.66176372</v>
      </c>
      <c r="AL144" s="89" t="n">
        <f aca="true">IF(AL$5=0,AK144,MAX(0,(AK144-AL$4)*(1+NORMINV(RAND(),INPUTS!$B$28,INPUTS!$B$29))))</f>
        <v>5088905.62264383</v>
      </c>
      <c r="AM144" s="89" t="n">
        <f aca="true">IF(AM$5=0,AL144,MAX(0,(AL144-AM$4)*(1+NORMINV(RAND(),INPUTS!$B$28,INPUTS!$B$29))))</f>
        <v>5088905.62264383</v>
      </c>
      <c r="AN144" s="89" t="n">
        <f aca="true">IF(AN$5=0,AM144,MAX(0,(AM144-AN$4)*(1+NORMINV(RAND(),INPUTS!$B$28,INPUTS!$B$29))))</f>
        <v>5088905.62264383</v>
      </c>
      <c r="AO144" s="89" t="n">
        <f aca="true">IF(AO$5=0,AN144,MAX(0,(AN144-AO$4)*(1+NORMINV(RAND(),INPUTS!$B$28,INPUTS!$B$29))))</f>
        <v>5088905.62264383</v>
      </c>
      <c r="AP144" s="89" t="n">
        <f aca="true">IF(AP$5=0,AO144,MAX(0,(AO144-AP$4)*(1+NORMINV(RAND(),INPUTS!$B$28,INPUTS!$B$29))))</f>
        <v>5088905.62264383</v>
      </c>
      <c r="AQ144" s="89" t="n">
        <f aca="true">IF(AQ$5=0,AP144,MAX(0,(AP144-AQ$4)*(1+NORMINV(RAND(),INPUTS!$B$28,INPUTS!$B$29))))</f>
        <v>5088905.62264383</v>
      </c>
      <c r="AR144" s="89" t="n">
        <f aca="true">IF(AR$5=0,AQ144,MAX(0,(AQ144-AR$4)*(1+NORMINV(RAND(),INPUTS!$B$28,INPUTS!$B$29))))</f>
        <v>5088905.62264383</v>
      </c>
      <c r="AS144" s="89" t="n">
        <f aca="true">IF(AS$5=0,AR144,MAX(0,(AR144-AS$4)*(1+NORMINV(RAND(),INPUTS!$B$28,INPUTS!$B$29))))</f>
        <v>5088905.62264383</v>
      </c>
      <c r="AT144" s="89" t="n">
        <f aca="true">IF(AT$5=0,AS144,MAX(0,(AS144-AT$4)*(1+NORMINV(RAND(),INPUTS!$B$28,INPUTS!$B$29))))</f>
        <v>5088905.62264383</v>
      </c>
      <c r="AU144" s="89" t="n">
        <f aca="true">IF(AU$5=0,AT144,MAX(0,(AT144-AU$4)*(1+NORMINV(RAND(),INPUTS!$B$28,INPUTS!$B$29))))</f>
        <v>5088905.62264383</v>
      </c>
      <c r="AV144" s="89" t="n">
        <f aca="true">IF(AV$5=0,AU144,MAX(0,(AU144-AV$4)*(1+NORMINV(RAND(),INPUTS!$B$28,INPUTS!$B$29))))</f>
        <v>5088905.62264383</v>
      </c>
      <c r="AW144" s="89" t="n">
        <f aca="true">IF(AW$5=0,AV144,MAX(0,(AV144-AW$4)*(1+NORMINV(RAND(),INPUTS!$B$28,INPUTS!$B$29))))</f>
        <v>5088905.62264383</v>
      </c>
      <c r="AX144" s="89" t="n">
        <f aca="true">IF(AX$5=0,AW144,MAX(0,(AW144-AX$4)*(1+NORMINV(RAND(),INPUTS!$B$28,INPUTS!$B$29))))</f>
        <v>5088905.62264383</v>
      </c>
      <c r="AY144" s="89" t="n">
        <f aca="true">IF(AY$5=0,AX144,MAX(0,(AX144-AY$4)*(1+NORMINV(RAND(),INPUTS!$B$28,INPUTS!$B$29))))</f>
        <v>5088905.62264383</v>
      </c>
      <c r="AZ144" s="89" t="n">
        <f aca="true">IF(AZ$5=0,AY144,MAX(0,(AY144-AZ$4)*(1+NORMINV(RAND(),INPUTS!$B$28,INPUTS!$B$29))))</f>
        <v>5088905.62264383</v>
      </c>
      <c r="BA144" s="89" t="n">
        <f aca="true">IF(BA$5=0,AZ144,MAX(0,(AZ144-BA$4)*(1+NORMINV(RAND(),INPUTS!$B$28,INPUTS!$B$29))))</f>
        <v>5088905.62264383</v>
      </c>
      <c r="BB144" s="89" t="n">
        <f aca="true">IF(BB$5=0,BA144,MAX(0,(BA144-BB$4)*(1+NORMINV(RAND(),INPUTS!$B$28,INPUTS!$B$29))))</f>
        <v>5088905.62264383</v>
      </c>
      <c r="BC144" s="89" t="n">
        <f aca="true">IF(BC$5=0,BB144,MAX(0,(BB144-BC$4)*(1+NORMINV(RAND(),INPUTS!$B$28,INPUTS!$B$29))))</f>
        <v>5088905.62264383</v>
      </c>
      <c r="BD144" s="89" t="n">
        <f aca="true">IF(BD$5=0,BC144,MAX(0,(BC144-BD$4)*(1+NORMINV(RAND(),INPUTS!$B$28,INPUTS!$B$29))))</f>
        <v>5088905.62264383</v>
      </c>
      <c r="BE144" s="89" t="n">
        <f aca="true">IF(BE$5=0,BD144,MAX(0,(BD144-BE$4)*(1+NORMINV(RAND(),INPUTS!$B$28,INPUTS!$B$29))))</f>
        <v>5088905.62264383</v>
      </c>
      <c r="BF144" s="89" t="n">
        <f aca="true">IF(BF$5=0,BE144,MAX(0,(BE144-BF$4)*(1+NORMINV(RAND(),INPUTS!$B$28,INPUTS!$B$29))))</f>
        <v>5088905.62264383</v>
      </c>
      <c r="BG144" s="89" t="n">
        <f aca="true">IF(BG$5=0,BF144,MAX(0,(BF144-BG$4)*(1+NORMINV(RAND(),INPUTS!$B$28,INPUTS!$B$29))))</f>
        <v>5088905.62264383</v>
      </c>
      <c r="BH144" s="89" t="n">
        <f aca="true">IF(BH$5=0,BG144,MAX(0,(BG144-BH$4)*(1+NORMINV(RAND(),INPUTS!$B$28,INPUTS!$B$29))))</f>
        <v>5088905.62264383</v>
      </c>
      <c r="BI144" s="89" t="n">
        <f aca="true">IF(BI$5=0,BH144,MAX(0,(BH144-BI$4)*(1+NORMINV(RAND(),INPUTS!$B$28,INPUTS!$B$29))))</f>
        <v>5088905.62264383</v>
      </c>
      <c r="BJ144" s="89" t="n">
        <f aca="true">IF(BJ$5=0,BI144,MAX(0,(BI144-BJ$4)*(1+NORMINV(RAND(),INPUTS!$B$28,INPUTS!$B$29))))</f>
        <v>5088905.62264383</v>
      </c>
    </row>
    <row r="145" customFormat="false" ht="15" hidden="false" customHeight="true" outlineLevel="0" collapsed="false">
      <c r="A145" s="87" t="n">
        <v>138</v>
      </c>
      <c r="B145" s="88" t="n">
        <f aca="false">LOOKUP(9.99E+307,C145:BJ145)</f>
        <v>240250.102826068</v>
      </c>
      <c r="C145" s="89" t="n">
        <f aca="true">IF(C$5=0,INPUTS!$B$35,MAX(0,(INPUTS!$B$35-C$4)*(1+NORMINV(RAND(),INPUTS!$B$28,INPUTS!$B$29))))</f>
        <v>1319363.72925169</v>
      </c>
      <c r="D145" s="89" t="n">
        <f aca="true">IF(D$5=0,C145,MAX(0,(C145-D$4)*(1+NORMINV(RAND(),INPUTS!$B$28,INPUTS!$B$29))))</f>
        <v>1456711.89872262</v>
      </c>
      <c r="E145" s="89" t="n">
        <f aca="true">IF(E$5=0,D145,MAX(0,(D145-E$4)*(1+NORMINV(RAND(),INPUTS!$B$28,INPUTS!$B$29))))</f>
        <v>1355551.65156289</v>
      </c>
      <c r="F145" s="89" t="n">
        <f aca="true">IF(F$5=0,E145,MAX(0,(E145-F$4)*(1+NORMINV(RAND(),INPUTS!$B$28,INPUTS!$B$29))))</f>
        <v>1357990.84111539</v>
      </c>
      <c r="G145" s="89" t="n">
        <f aca="true">IF(G$5=0,F145,MAX(0,(F145-G$4)*(1+NORMINV(RAND(),INPUTS!$B$28,INPUTS!$B$29))))</f>
        <v>1422418.4257981</v>
      </c>
      <c r="H145" s="89" t="n">
        <f aca="true">IF(H$5=0,G145,MAX(0,(G145-H$4)*(1+NORMINV(RAND(),INPUTS!$B$28,INPUTS!$B$29))))</f>
        <v>1420381.98583913</v>
      </c>
      <c r="I145" s="89" t="n">
        <f aca="true">IF(I$5=0,H145,MAX(0,(H145-I$4)*(1+NORMINV(RAND(),INPUTS!$B$28,INPUTS!$B$29))))</f>
        <v>1487650.03206416</v>
      </c>
      <c r="J145" s="89" t="n">
        <f aca="true">IF(J$5=0,I145,MAX(0,(I145-J$4)*(1+NORMINV(RAND(),INPUTS!$B$28,INPUTS!$B$29))))</f>
        <v>1399036.69608764</v>
      </c>
      <c r="K145" s="89" t="n">
        <f aca="true">IF(K$5=0,J145,MAX(0,(J145-K$4)*(1+NORMINV(RAND(),INPUTS!$B$28,INPUTS!$B$29))))</f>
        <v>1288486.21989996</v>
      </c>
      <c r="L145" s="89" t="n">
        <f aca="true">IF(L$5=0,K145,MAX(0,(K145-L$4)*(1+NORMINV(RAND(),INPUTS!$B$28,INPUTS!$B$29))))</f>
        <v>1339730.83604862</v>
      </c>
      <c r="M145" s="89" t="n">
        <f aca="true">IF(M$5=0,L145,MAX(0,(L145-M$4)*(1+NORMINV(RAND(),INPUTS!$B$28,INPUTS!$B$29))))</f>
        <v>1572641.35699789</v>
      </c>
      <c r="N145" s="89" t="n">
        <f aca="true">IF(N$5=0,M145,MAX(0,(M145-N$4)*(1+NORMINV(RAND(),INPUTS!$B$28,INPUTS!$B$29))))</f>
        <v>1716386.93283892</v>
      </c>
      <c r="O145" s="89" t="n">
        <f aca="true">IF(O$5=0,N145,MAX(0,(N145-O$4)*(1+NORMINV(RAND(),INPUTS!$B$28,INPUTS!$B$29))))</f>
        <v>2046265.75782984</v>
      </c>
      <c r="P145" s="89" t="n">
        <f aca="true">IF(P$5=0,O145,MAX(0,(O145-P$4)*(1+NORMINV(RAND(),INPUTS!$B$28,INPUTS!$B$29))))</f>
        <v>1698469.08315443</v>
      </c>
      <c r="Q145" s="89" t="n">
        <f aca="true">IF(Q$5=0,P145,MAX(0,(P145-Q$4)*(1+NORMINV(RAND(),INPUTS!$B$28,INPUTS!$B$29))))</f>
        <v>1761659.68071525</v>
      </c>
      <c r="R145" s="89" t="n">
        <f aca="true">IF(R$5=0,Q145,MAX(0,(Q145-R$4)*(1+NORMINV(RAND(),INPUTS!$B$28,INPUTS!$B$29))))</f>
        <v>1759054.56633779</v>
      </c>
      <c r="S145" s="89" t="n">
        <f aca="true">IF(S$5=0,R145,MAX(0,(R145-S$4)*(1+NORMINV(RAND(),INPUTS!$B$28,INPUTS!$B$29))))</f>
        <v>1504493.89093569</v>
      </c>
      <c r="T145" s="89" t="n">
        <f aca="true">IF(T$5=0,S145,MAX(0,(S145-T$4)*(1+NORMINV(RAND(),INPUTS!$B$28,INPUTS!$B$29))))</f>
        <v>1519315.71409593</v>
      </c>
      <c r="U145" s="89" t="n">
        <f aca="true">IF(U$5=0,T145,MAX(0,(T145-U$4)*(1+NORMINV(RAND(),INPUTS!$B$28,INPUTS!$B$29))))</f>
        <v>1505629.23947436</v>
      </c>
      <c r="V145" s="89" t="n">
        <f aca="true">IF(V$5=0,U145,MAX(0,(U145-V$4)*(1+NORMINV(RAND(),INPUTS!$B$28,INPUTS!$B$29))))</f>
        <v>1216412.65070225</v>
      </c>
      <c r="W145" s="89" t="n">
        <f aca="true">IF(W$5=0,V145,MAX(0,(V145-W$4)*(1+NORMINV(RAND(),INPUTS!$B$28,INPUTS!$B$29))))</f>
        <v>1247603.30078154</v>
      </c>
      <c r="X145" s="89" t="n">
        <f aca="true">IF(X$5=0,W145,MAX(0,(W145-X$4)*(1+NORMINV(RAND(),INPUTS!$B$28,INPUTS!$B$29))))</f>
        <v>1144694.99414033</v>
      </c>
      <c r="Y145" s="89" t="n">
        <f aca="true">IF(Y$5=0,X145,MAX(0,(X145-Y$4)*(1+NORMINV(RAND(),INPUTS!$B$28,INPUTS!$B$29))))</f>
        <v>1100556.09236415</v>
      </c>
      <c r="Z145" s="89" t="n">
        <f aca="true">IF(Z$5=0,Y145,MAX(0,(Y145-Z$4)*(1+NORMINV(RAND(),INPUTS!$B$28,INPUTS!$B$29))))</f>
        <v>836767.804807209</v>
      </c>
      <c r="AA145" s="89" t="n">
        <f aca="true">IF(AA$5=0,Z145,MAX(0,(Z145-AA$4)*(1+NORMINV(RAND(),INPUTS!$B$28,INPUTS!$B$29))))</f>
        <v>871948.97565796</v>
      </c>
      <c r="AB145" s="89" t="n">
        <f aca="true">IF(AB$5=0,AA145,MAX(0,(AA145-AB$4)*(1+NORMINV(RAND(),INPUTS!$B$28,INPUTS!$B$29))))</f>
        <v>830194.150348009</v>
      </c>
      <c r="AC145" s="89" t="n">
        <f aca="true">IF(AC$5=0,AB145,MAX(0,(AB145-AC$4)*(1+NORMINV(RAND(),INPUTS!$B$28,INPUTS!$B$29))))</f>
        <v>834987.804994806</v>
      </c>
      <c r="AD145" s="89" t="n">
        <f aca="true">IF(AD$5=0,AC145,MAX(0,(AC145-AD$4)*(1+NORMINV(RAND(),INPUTS!$B$28,INPUTS!$B$29))))</f>
        <v>670551.61994214</v>
      </c>
      <c r="AE145" s="89" t="n">
        <f aca="true">IF(AE$5=0,AD145,MAX(0,(AD145-AE$4)*(1+NORMINV(RAND(),INPUTS!$B$28,INPUTS!$B$29))))</f>
        <v>532360.71168926</v>
      </c>
      <c r="AF145" s="89" t="n">
        <f aca="true">IF(AF$5=0,AE145,MAX(0,(AE145-AF$4)*(1+NORMINV(RAND(),INPUTS!$B$28,INPUTS!$B$29))))</f>
        <v>473422.628375578</v>
      </c>
      <c r="AG145" s="89" t="n">
        <f aca="true">IF(AG$5=0,AF145,MAX(0,(AF145-AG$4)*(1+NORMINV(RAND(),INPUTS!$B$28,INPUTS!$B$29))))</f>
        <v>450769.747235564</v>
      </c>
      <c r="AH145" s="89" t="n">
        <f aca="true">IF(AH$5=0,AG145,MAX(0,(AG145-AH$4)*(1+NORMINV(RAND(),INPUTS!$B$28,INPUTS!$B$29))))</f>
        <v>492710.53834167</v>
      </c>
      <c r="AI145" s="89" t="n">
        <f aca="true">IF(AI$5=0,AH145,MAX(0,(AH145-AI$4)*(1+NORMINV(RAND(),INPUTS!$B$28,INPUTS!$B$29))))</f>
        <v>470858.77063738</v>
      </c>
      <c r="AJ145" s="89" t="n">
        <f aca="true">IF(AJ$5=0,AI145,MAX(0,(AI145-AJ$4)*(1+NORMINV(RAND(),INPUTS!$B$28,INPUTS!$B$29))))</f>
        <v>458700.890594598</v>
      </c>
      <c r="AK145" s="89" t="n">
        <f aca="true">IF(AK$5=0,AJ145,MAX(0,(AJ145-AK$4)*(1+NORMINV(RAND(),INPUTS!$B$28,INPUTS!$B$29))))</f>
        <v>314339.059494308</v>
      </c>
      <c r="AL145" s="89" t="n">
        <f aca="true">IF(AL$5=0,AK145,MAX(0,(AK145-AL$4)*(1+NORMINV(RAND(),INPUTS!$B$28,INPUTS!$B$29))))</f>
        <v>240250.102826068</v>
      </c>
      <c r="AM145" s="89" t="n">
        <f aca="true">IF(AM$5=0,AL145,MAX(0,(AL145-AM$4)*(1+NORMINV(RAND(),INPUTS!$B$28,INPUTS!$B$29))))</f>
        <v>240250.102826068</v>
      </c>
      <c r="AN145" s="89" t="n">
        <f aca="true">IF(AN$5=0,AM145,MAX(0,(AM145-AN$4)*(1+NORMINV(RAND(),INPUTS!$B$28,INPUTS!$B$29))))</f>
        <v>240250.102826068</v>
      </c>
      <c r="AO145" s="89" t="n">
        <f aca="true">IF(AO$5=0,AN145,MAX(0,(AN145-AO$4)*(1+NORMINV(RAND(),INPUTS!$B$28,INPUTS!$B$29))))</f>
        <v>240250.102826068</v>
      </c>
      <c r="AP145" s="89" t="n">
        <f aca="true">IF(AP$5=0,AO145,MAX(0,(AO145-AP$4)*(1+NORMINV(RAND(),INPUTS!$B$28,INPUTS!$B$29))))</f>
        <v>240250.102826068</v>
      </c>
      <c r="AQ145" s="89" t="n">
        <f aca="true">IF(AQ$5=0,AP145,MAX(0,(AP145-AQ$4)*(1+NORMINV(RAND(),INPUTS!$B$28,INPUTS!$B$29))))</f>
        <v>240250.102826068</v>
      </c>
      <c r="AR145" s="89" t="n">
        <f aca="true">IF(AR$5=0,AQ145,MAX(0,(AQ145-AR$4)*(1+NORMINV(RAND(),INPUTS!$B$28,INPUTS!$B$29))))</f>
        <v>240250.102826068</v>
      </c>
      <c r="AS145" s="89" t="n">
        <f aca="true">IF(AS$5=0,AR145,MAX(0,(AR145-AS$4)*(1+NORMINV(RAND(),INPUTS!$B$28,INPUTS!$B$29))))</f>
        <v>240250.102826068</v>
      </c>
      <c r="AT145" s="89" t="n">
        <f aca="true">IF(AT$5=0,AS145,MAX(0,(AS145-AT$4)*(1+NORMINV(RAND(),INPUTS!$B$28,INPUTS!$B$29))))</f>
        <v>240250.102826068</v>
      </c>
      <c r="AU145" s="89" t="n">
        <f aca="true">IF(AU$5=0,AT145,MAX(0,(AT145-AU$4)*(1+NORMINV(RAND(),INPUTS!$B$28,INPUTS!$B$29))))</f>
        <v>240250.102826068</v>
      </c>
      <c r="AV145" s="89" t="n">
        <f aca="true">IF(AV$5=0,AU145,MAX(0,(AU145-AV$4)*(1+NORMINV(RAND(),INPUTS!$B$28,INPUTS!$B$29))))</f>
        <v>240250.102826068</v>
      </c>
      <c r="AW145" s="89" t="n">
        <f aca="true">IF(AW$5=0,AV145,MAX(0,(AV145-AW$4)*(1+NORMINV(RAND(),INPUTS!$B$28,INPUTS!$B$29))))</f>
        <v>240250.102826068</v>
      </c>
      <c r="AX145" s="89" t="n">
        <f aca="true">IF(AX$5=0,AW145,MAX(0,(AW145-AX$4)*(1+NORMINV(RAND(),INPUTS!$B$28,INPUTS!$B$29))))</f>
        <v>240250.102826068</v>
      </c>
      <c r="AY145" s="89" t="n">
        <f aca="true">IF(AY$5=0,AX145,MAX(0,(AX145-AY$4)*(1+NORMINV(RAND(),INPUTS!$B$28,INPUTS!$B$29))))</f>
        <v>240250.102826068</v>
      </c>
      <c r="AZ145" s="89" t="n">
        <f aca="true">IF(AZ$5=0,AY145,MAX(0,(AY145-AZ$4)*(1+NORMINV(RAND(),INPUTS!$B$28,INPUTS!$B$29))))</f>
        <v>240250.102826068</v>
      </c>
      <c r="BA145" s="89" t="n">
        <f aca="true">IF(BA$5=0,AZ145,MAX(0,(AZ145-BA$4)*(1+NORMINV(RAND(),INPUTS!$B$28,INPUTS!$B$29))))</f>
        <v>240250.102826068</v>
      </c>
      <c r="BB145" s="89" t="n">
        <f aca="true">IF(BB$5=0,BA145,MAX(0,(BA145-BB$4)*(1+NORMINV(RAND(),INPUTS!$B$28,INPUTS!$B$29))))</f>
        <v>240250.102826068</v>
      </c>
      <c r="BC145" s="89" t="n">
        <f aca="true">IF(BC$5=0,BB145,MAX(0,(BB145-BC$4)*(1+NORMINV(RAND(),INPUTS!$B$28,INPUTS!$B$29))))</f>
        <v>240250.102826068</v>
      </c>
      <c r="BD145" s="89" t="n">
        <f aca="true">IF(BD$5=0,BC145,MAX(0,(BC145-BD$4)*(1+NORMINV(RAND(),INPUTS!$B$28,INPUTS!$B$29))))</f>
        <v>240250.102826068</v>
      </c>
      <c r="BE145" s="89" t="n">
        <f aca="true">IF(BE$5=0,BD145,MAX(0,(BD145-BE$4)*(1+NORMINV(RAND(),INPUTS!$B$28,INPUTS!$B$29))))</f>
        <v>240250.102826068</v>
      </c>
      <c r="BF145" s="89" t="n">
        <f aca="true">IF(BF$5=0,BE145,MAX(0,(BE145-BF$4)*(1+NORMINV(RAND(),INPUTS!$B$28,INPUTS!$B$29))))</f>
        <v>240250.102826068</v>
      </c>
      <c r="BG145" s="89" t="n">
        <f aca="true">IF(BG$5=0,BF145,MAX(0,(BF145-BG$4)*(1+NORMINV(RAND(),INPUTS!$B$28,INPUTS!$B$29))))</f>
        <v>240250.102826068</v>
      </c>
      <c r="BH145" s="89" t="n">
        <f aca="true">IF(BH$5=0,BG145,MAX(0,(BG145-BH$4)*(1+NORMINV(RAND(),INPUTS!$B$28,INPUTS!$B$29))))</f>
        <v>240250.102826068</v>
      </c>
      <c r="BI145" s="89" t="n">
        <f aca="true">IF(BI$5=0,BH145,MAX(0,(BH145-BI$4)*(1+NORMINV(RAND(),INPUTS!$B$28,INPUTS!$B$29))))</f>
        <v>240250.102826068</v>
      </c>
      <c r="BJ145" s="89" t="n">
        <f aca="true">IF(BJ$5=0,BI145,MAX(0,(BI145-BJ$4)*(1+NORMINV(RAND(),INPUTS!$B$28,INPUTS!$B$29))))</f>
        <v>240250.102826068</v>
      </c>
    </row>
    <row r="146" customFormat="false" ht="15" hidden="false" customHeight="true" outlineLevel="0" collapsed="false">
      <c r="A146" s="87" t="n">
        <v>139</v>
      </c>
      <c r="B146" s="88" t="n">
        <f aca="false">LOOKUP(9.99E+307,C146:BJ146)</f>
        <v>1885888.22573487</v>
      </c>
      <c r="C146" s="89" t="n">
        <f aca="true">IF(C$5=0,INPUTS!$B$35,MAX(0,(INPUTS!$B$35-C$4)*(1+NORMINV(RAND(),INPUTS!$B$28,INPUTS!$B$29))))</f>
        <v>1393299.27682082</v>
      </c>
      <c r="D146" s="89" t="n">
        <f aca="true">IF(D$5=0,C146,MAX(0,(C146-D$4)*(1+NORMINV(RAND(),INPUTS!$B$28,INPUTS!$B$29))))</f>
        <v>1396823.50694522</v>
      </c>
      <c r="E146" s="89" t="n">
        <f aca="true">IF(E$5=0,D146,MAX(0,(D146-E$4)*(1+NORMINV(RAND(),INPUTS!$B$28,INPUTS!$B$29))))</f>
        <v>1472608.36064663</v>
      </c>
      <c r="F146" s="89" t="n">
        <f aca="true">IF(F$5=0,E146,MAX(0,(E146-F$4)*(1+NORMINV(RAND(),INPUTS!$B$28,INPUTS!$B$29))))</f>
        <v>1655446.08452632</v>
      </c>
      <c r="G146" s="89" t="n">
        <f aca="true">IF(G$5=0,F146,MAX(0,(F146-G$4)*(1+NORMINV(RAND(),INPUTS!$B$28,INPUTS!$B$29))))</f>
        <v>1518056.3804539</v>
      </c>
      <c r="H146" s="89" t="n">
        <f aca="true">IF(H$5=0,G146,MAX(0,(G146-H$4)*(1+NORMINV(RAND(),INPUTS!$B$28,INPUTS!$B$29))))</f>
        <v>1370549.38594541</v>
      </c>
      <c r="I146" s="89" t="n">
        <f aca="true">IF(I$5=0,H146,MAX(0,(H146-I$4)*(1+NORMINV(RAND(),INPUTS!$B$28,INPUTS!$B$29))))</f>
        <v>1170358.89407642</v>
      </c>
      <c r="J146" s="89" t="n">
        <f aca="true">IF(J$5=0,I146,MAX(0,(I146-J$4)*(1+NORMINV(RAND(),INPUTS!$B$28,INPUTS!$B$29))))</f>
        <v>1228003.78619555</v>
      </c>
      <c r="K146" s="89" t="n">
        <f aca="true">IF(K$5=0,J146,MAX(0,(J146-K$4)*(1+NORMINV(RAND(),INPUTS!$B$28,INPUTS!$B$29))))</f>
        <v>1224921.03290126</v>
      </c>
      <c r="L146" s="89" t="n">
        <f aca="true">IF(L$5=0,K146,MAX(0,(K146-L$4)*(1+NORMINV(RAND(),INPUTS!$B$28,INPUTS!$B$29))))</f>
        <v>1058436.02164119</v>
      </c>
      <c r="M146" s="89" t="n">
        <f aca="true">IF(M$5=0,L146,MAX(0,(L146-M$4)*(1+NORMINV(RAND(),INPUTS!$B$28,INPUTS!$B$29))))</f>
        <v>1015671.96982264</v>
      </c>
      <c r="N146" s="89" t="n">
        <f aca="true">IF(N$5=0,M146,MAX(0,(M146-N$4)*(1+NORMINV(RAND(),INPUTS!$B$28,INPUTS!$B$29))))</f>
        <v>1024108.80120484</v>
      </c>
      <c r="O146" s="89" t="n">
        <f aca="true">IF(O$5=0,N146,MAX(0,(N146-O$4)*(1+NORMINV(RAND(),INPUTS!$B$28,INPUTS!$B$29))))</f>
        <v>1260544.6845209</v>
      </c>
      <c r="P146" s="89" t="n">
        <f aca="true">IF(P$5=0,O146,MAX(0,(O146-P$4)*(1+NORMINV(RAND(),INPUTS!$B$28,INPUTS!$B$29))))</f>
        <v>1170108.9710556</v>
      </c>
      <c r="Q146" s="89" t="n">
        <f aca="true">IF(Q$5=0,P146,MAX(0,(P146-Q$4)*(1+NORMINV(RAND(),INPUTS!$B$28,INPUTS!$B$29))))</f>
        <v>1004891.43082589</v>
      </c>
      <c r="R146" s="89" t="n">
        <f aca="true">IF(R$5=0,Q146,MAX(0,(Q146-R$4)*(1+NORMINV(RAND(),INPUTS!$B$28,INPUTS!$B$29))))</f>
        <v>1181308.28122398</v>
      </c>
      <c r="S146" s="89" t="n">
        <f aca="true">IF(S$5=0,R146,MAX(0,(R146-S$4)*(1+NORMINV(RAND(),INPUTS!$B$28,INPUTS!$B$29))))</f>
        <v>1122468.75660502</v>
      </c>
      <c r="T146" s="89" t="n">
        <f aca="true">IF(T$5=0,S146,MAX(0,(S146-T$4)*(1+NORMINV(RAND(),INPUTS!$B$28,INPUTS!$B$29))))</f>
        <v>1079130.69309206</v>
      </c>
      <c r="U146" s="89" t="n">
        <f aca="true">IF(U$5=0,T146,MAX(0,(T146-U$4)*(1+NORMINV(RAND(),INPUTS!$B$28,INPUTS!$B$29))))</f>
        <v>1207548.9111234</v>
      </c>
      <c r="V146" s="89" t="n">
        <f aca="true">IF(V$5=0,U146,MAX(0,(U146-V$4)*(1+NORMINV(RAND(),INPUTS!$B$28,INPUTS!$B$29))))</f>
        <v>1258562.51331345</v>
      </c>
      <c r="W146" s="89" t="n">
        <f aca="true">IF(W$5=0,V146,MAX(0,(V146-W$4)*(1+NORMINV(RAND(),INPUTS!$B$28,INPUTS!$B$29))))</f>
        <v>1163335.88818387</v>
      </c>
      <c r="X146" s="89" t="n">
        <f aca="true">IF(X$5=0,W146,MAX(0,(W146-X$4)*(1+NORMINV(RAND(),INPUTS!$B$28,INPUTS!$B$29))))</f>
        <v>1068944.45707881</v>
      </c>
      <c r="Y146" s="89" t="n">
        <f aca="true">IF(Y$5=0,X146,MAX(0,(X146-Y$4)*(1+NORMINV(RAND(),INPUTS!$B$28,INPUTS!$B$29))))</f>
        <v>1029894.25121043</v>
      </c>
      <c r="Z146" s="89" t="n">
        <f aca="true">IF(Z$5=0,Y146,MAX(0,(Y146-Z$4)*(1+NORMINV(RAND(),INPUTS!$B$28,INPUTS!$B$29))))</f>
        <v>1011672.75216437</v>
      </c>
      <c r="AA146" s="89" t="n">
        <f aca="true">IF(AA$5=0,Z146,MAX(0,(Z146-AA$4)*(1+NORMINV(RAND(),INPUTS!$B$28,INPUTS!$B$29))))</f>
        <v>1225570.37312318</v>
      </c>
      <c r="AB146" s="89" t="n">
        <f aca="true">IF(AB$5=0,AA146,MAX(0,(AA146-AB$4)*(1+NORMINV(RAND(),INPUTS!$B$28,INPUTS!$B$29))))</f>
        <v>1318475.07779404</v>
      </c>
      <c r="AC146" s="89" t="n">
        <f aca="true">IF(AC$5=0,AB146,MAX(0,(AB146-AC$4)*(1+NORMINV(RAND(),INPUTS!$B$28,INPUTS!$B$29))))</f>
        <v>1186748.22145944</v>
      </c>
      <c r="AD146" s="89" t="n">
        <f aca="true">IF(AD$5=0,AC146,MAX(0,(AC146-AD$4)*(1+NORMINV(RAND(),INPUTS!$B$28,INPUTS!$B$29))))</f>
        <v>1092815.01111158</v>
      </c>
      <c r="AE146" s="89" t="n">
        <f aca="true">IF(AE$5=0,AD146,MAX(0,(AD146-AE$4)*(1+NORMINV(RAND(),INPUTS!$B$28,INPUTS!$B$29))))</f>
        <v>1285702.28087986</v>
      </c>
      <c r="AF146" s="89" t="n">
        <f aca="true">IF(AF$5=0,AE146,MAX(0,(AE146-AF$4)*(1+NORMINV(RAND(),INPUTS!$B$28,INPUTS!$B$29))))</f>
        <v>1125283.44209089</v>
      </c>
      <c r="AG146" s="89" t="n">
        <f aca="true">IF(AG$5=0,AF146,MAX(0,(AF146-AG$4)*(1+NORMINV(RAND(),INPUTS!$B$28,INPUTS!$B$29))))</f>
        <v>1179339.16443594</v>
      </c>
      <c r="AH146" s="89" t="n">
        <f aca="true">IF(AH$5=0,AG146,MAX(0,(AG146-AH$4)*(1+NORMINV(RAND(),INPUTS!$B$28,INPUTS!$B$29))))</f>
        <v>1292672.41295504</v>
      </c>
      <c r="AI146" s="89" t="n">
        <f aca="true">IF(AI$5=0,AH146,MAX(0,(AH146-AI$4)*(1+NORMINV(RAND(),INPUTS!$B$28,INPUTS!$B$29))))</f>
        <v>1355699.23724489</v>
      </c>
      <c r="AJ146" s="89" t="n">
        <f aca="true">IF(AJ$5=0,AI146,MAX(0,(AI146-AJ$4)*(1+NORMINV(RAND(),INPUTS!$B$28,INPUTS!$B$29))))</f>
        <v>1402885.47040315</v>
      </c>
      <c r="AK146" s="89" t="n">
        <f aca="true">IF(AK$5=0,AJ146,MAX(0,(AJ146-AK$4)*(1+NORMINV(RAND(),INPUTS!$B$28,INPUTS!$B$29))))</f>
        <v>1656446.95409227</v>
      </c>
      <c r="AL146" s="89" t="n">
        <f aca="true">IF(AL$5=0,AK146,MAX(0,(AK146-AL$4)*(1+NORMINV(RAND(),INPUTS!$B$28,INPUTS!$B$29))))</f>
        <v>1885888.22573487</v>
      </c>
      <c r="AM146" s="89" t="n">
        <f aca="true">IF(AM$5=0,AL146,MAX(0,(AL146-AM$4)*(1+NORMINV(RAND(),INPUTS!$B$28,INPUTS!$B$29))))</f>
        <v>1885888.22573487</v>
      </c>
      <c r="AN146" s="89" t="n">
        <f aca="true">IF(AN$5=0,AM146,MAX(0,(AM146-AN$4)*(1+NORMINV(RAND(),INPUTS!$B$28,INPUTS!$B$29))))</f>
        <v>1885888.22573487</v>
      </c>
      <c r="AO146" s="89" t="n">
        <f aca="true">IF(AO$5=0,AN146,MAX(0,(AN146-AO$4)*(1+NORMINV(RAND(),INPUTS!$B$28,INPUTS!$B$29))))</f>
        <v>1885888.22573487</v>
      </c>
      <c r="AP146" s="89" t="n">
        <f aca="true">IF(AP$5=0,AO146,MAX(0,(AO146-AP$4)*(1+NORMINV(RAND(),INPUTS!$B$28,INPUTS!$B$29))))</f>
        <v>1885888.22573487</v>
      </c>
      <c r="AQ146" s="89" t="n">
        <f aca="true">IF(AQ$5=0,AP146,MAX(0,(AP146-AQ$4)*(1+NORMINV(RAND(),INPUTS!$B$28,INPUTS!$B$29))))</f>
        <v>1885888.22573487</v>
      </c>
      <c r="AR146" s="89" t="n">
        <f aca="true">IF(AR$5=0,AQ146,MAX(0,(AQ146-AR$4)*(1+NORMINV(RAND(),INPUTS!$B$28,INPUTS!$B$29))))</f>
        <v>1885888.22573487</v>
      </c>
      <c r="AS146" s="89" t="n">
        <f aca="true">IF(AS$5=0,AR146,MAX(0,(AR146-AS$4)*(1+NORMINV(RAND(),INPUTS!$B$28,INPUTS!$B$29))))</f>
        <v>1885888.22573487</v>
      </c>
      <c r="AT146" s="89" t="n">
        <f aca="true">IF(AT$5=0,AS146,MAX(0,(AS146-AT$4)*(1+NORMINV(RAND(),INPUTS!$B$28,INPUTS!$B$29))))</f>
        <v>1885888.22573487</v>
      </c>
      <c r="AU146" s="89" t="n">
        <f aca="true">IF(AU$5=0,AT146,MAX(0,(AT146-AU$4)*(1+NORMINV(RAND(),INPUTS!$B$28,INPUTS!$B$29))))</f>
        <v>1885888.22573487</v>
      </c>
      <c r="AV146" s="89" t="n">
        <f aca="true">IF(AV$5=0,AU146,MAX(0,(AU146-AV$4)*(1+NORMINV(RAND(),INPUTS!$B$28,INPUTS!$B$29))))</f>
        <v>1885888.22573487</v>
      </c>
      <c r="AW146" s="89" t="n">
        <f aca="true">IF(AW$5=0,AV146,MAX(0,(AV146-AW$4)*(1+NORMINV(RAND(),INPUTS!$B$28,INPUTS!$B$29))))</f>
        <v>1885888.22573487</v>
      </c>
      <c r="AX146" s="89" t="n">
        <f aca="true">IF(AX$5=0,AW146,MAX(0,(AW146-AX$4)*(1+NORMINV(RAND(),INPUTS!$B$28,INPUTS!$B$29))))</f>
        <v>1885888.22573487</v>
      </c>
      <c r="AY146" s="89" t="n">
        <f aca="true">IF(AY$5=0,AX146,MAX(0,(AX146-AY$4)*(1+NORMINV(RAND(),INPUTS!$B$28,INPUTS!$B$29))))</f>
        <v>1885888.22573487</v>
      </c>
      <c r="AZ146" s="89" t="n">
        <f aca="true">IF(AZ$5=0,AY146,MAX(0,(AY146-AZ$4)*(1+NORMINV(RAND(),INPUTS!$B$28,INPUTS!$B$29))))</f>
        <v>1885888.22573487</v>
      </c>
      <c r="BA146" s="89" t="n">
        <f aca="true">IF(BA$5=0,AZ146,MAX(0,(AZ146-BA$4)*(1+NORMINV(RAND(),INPUTS!$B$28,INPUTS!$B$29))))</f>
        <v>1885888.22573487</v>
      </c>
      <c r="BB146" s="89" t="n">
        <f aca="true">IF(BB$5=0,BA146,MAX(0,(BA146-BB$4)*(1+NORMINV(RAND(),INPUTS!$B$28,INPUTS!$B$29))))</f>
        <v>1885888.22573487</v>
      </c>
      <c r="BC146" s="89" t="n">
        <f aca="true">IF(BC$5=0,BB146,MAX(0,(BB146-BC$4)*(1+NORMINV(RAND(),INPUTS!$B$28,INPUTS!$B$29))))</f>
        <v>1885888.22573487</v>
      </c>
      <c r="BD146" s="89" t="n">
        <f aca="true">IF(BD$5=0,BC146,MAX(0,(BC146-BD$4)*(1+NORMINV(RAND(),INPUTS!$B$28,INPUTS!$B$29))))</f>
        <v>1885888.22573487</v>
      </c>
      <c r="BE146" s="89" t="n">
        <f aca="true">IF(BE$5=0,BD146,MAX(0,(BD146-BE$4)*(1+NORMINV(RAND(),INPUTS!$B$28,INPUTS!$B$29))))</f>
        <v>1885888.22573487</v>
      </c>
      <c r="BF146" s="89" t="n">
        <f aca="true">IF(BF$5=0,BE146,MAX(0,(BE146-BF$4)*(1+NORMINV(RAND(),INPUTS!$B$28,INPUTS!$B$29))))</f>
        <v>1885888.22573487</v>
      </c>
      <c r="BG146" s="89" t="n">
        <f aca="true">IF(BG$5=0,BF146,MAX(0,(BF146-BG$4)*(1+NORMINV(RAND(),INPUTS!$B$28,INPUTS!$B$29))))</f>
        <v>1885888.22573487</v>
      </c>
      <c r="BH146" s="89" t="n">
        <f aca="true">IF(BH$5=0,BG146,MAX(0,(BG146-BH$4)*(1+NORMINV(RAND(),INPUTS!$B$28,INPUTS!$B$29))))</f>
        <v>1885888.22573487</v>
      </c>
      <c r="BI146" s="89" t="n">
        <f aca="true">IF(BI$5=0,BH146,MAX(0,(BH146-BI$4)*(1+NORMINV(RAND(),INPUTS!$B$28,INPUTS!$B$29))))</f>
        <v>1885888.22573487</v>
      </c>
      <c r="BJ146" s="89" t="n">
        <f aca="true">IF(BJ$5=0,BI146,MAX(0,(BI146-BJ$4)*(1+NORMINV(RAND(),INPUTS!$B$28,INPUTS!$B$29))))</f>
        <v>1885888.22573487</v>
      </c>
    </row>
    <row r="147" customFormat="false" ht="15" hidden="false" customHeight="true" outlineLevel="0" collapsed="false">
      <c r="A147" s="87" t="n">
        <v>140</v>
      </c>
      <c r="B147" s="88" t="n">
        <f aca="false">LOOKUP(9.99E+307,C147:BJ147)</f>
        <v>0</v>
      </c>
      <c r="C147" s="89" t="n">
        <f aca="true">IF(C$5=0,INPUTS!$B$35,MAX(0,(INPUTS!$B$35-C$4)*(1+NORMINV(RAND(),INPUTS!$B$28,INPUTS!$B$29))))</f>
        <v>1038488.79369279</v>
      </c>
      <c r="D147" s="89" t="n">
        <f aca="true">IF(D$5=0,C147,MAX(0,(C147-D$4)*(1+NORMINV(RAND(),INPUTS!$B$28,INPUTS!$B$29))))</f>
        <v>1081726.79306377</v>
      </c>
      <c r="E147" s="89" t="n">
        <f aca="true">IF(E$5=0,D147,MAX(0,(D147-E$4)*(1+NORMINV(RAND(),INPUTS!$B$28,INPUTS!$B$29))))</f>
        <v>944437.89993331</v>
      </c>
      <c r="F147" s="89" t="n">
        <f aca="true">IF(F$5=0,E147,MAX(0,(E147-F$4)*(1+NORMINV(RAND(),INPUTS!$B$28,INPUTS!$B$29))))</f>
        <v>981619.425717776</v>
      </c>
      <c r="G147" s="89" t="n">
        <f aca="true">IF(G$5=0,F147,MAX(0,(F147-G$4)*(1+NORMINV(RAND(),INPUTS!$B$28,INPUTS!$B$29))))</f>
        <v>1006190.72891766</v>
      </c>
      <c r="H147" s="89" t="n">
        <f aca="true">IF(H$5=0,G147,MAX(0,(G147-H$4)*(1+NORMINV(RAND(),INPUTS!$B$28,INPUTS!$B$29))))</f>
        <v>746202.917508001</v>
      </c>
      <c r="I147" s="89" t="n">
        <f aca="true">IF(I$5=0,H147,MAX(0,(H147-I$4)*(1+NORMINV(RAND(),INPUTS!$B$28,INPUTS!$B$29))))</f>
        <v>670865.079377629</v>
      </c>
      <c r="J147" s="89" t="n">
        <f aca="true">IF(J$5=0,I147,MAX(0,(I147-J$4)*(1+NORMINV(RAND(),INPUTS!$B$28,INPUTS!$B$29))))</f>
        <v>634743.604020715</v>
      </c>
      <c r="K147" s="89" t="n">
        <f aca="true">IF(K$5=0,J147,MAX(0,(J147-K$4)*(1+NORMINV(RAND(),INPUTS!$B$28,INPUTS!$B$29))))</f>
        <v>564242.490355779</v>
      </c>
      <c r="L147" s="89" t="n">
        <f aca="true">IF(L$5=0,K147,MAX(0,(K147-L$4)*(1+NORMINV(RAND(),INPUTS!$B$28,INPUTS!$B$29))))</f>
        <v>579703.345716566</v>
      </c>
      <c r="M147" s="89" t="n">
        <f aca="true">IF(M$5=0,L147,MAX(0,(L147-M$4)*(1+NORMINV(RAND(),INPUTS!$B$28,INPUTS!$B$29))))</f>
        <v>611414.378496819</v>
      </c>
      <c r="N147" s="89" t="n">
        <f aca="true">IF(N$5=0,M147,MAX(0,(M147-N$4)*(1+NORMINV(RAND(),INPUTS!$B$28,INPUTS!$B$29))))</f>
        <v>647547.753272051</v>
      </c>
      <c r="O147" s="89" t="n">
        <f aca="true">IF(O$5=0,N147,MAX(0,(N147-O$4)*(1+NORMINV(RAND(),INPUTS!$B$28,INPUTS!$B$29))))</f>
        <v>645536.121532138</v>
      </c>
      <c r="P147" s="89" t="n">
        <f aca="true">IF(P$5=0,O147,MAX(0,(O147-P$4)*(1+NORMINV(RAND(),INPUTS!$B$28,INPUTS!$B$29))))</f>
        <v>558994.021055828</v>
      </c>
      <c r="Q147" s="89" t="n">
        <f aca="true">IF(Q$5=0,P147,MAX(0,(P147-Q$4)*(1+NORMINV(RAND(),INPUTS!$B$28,INPUTS!$B$29))))</f>
        <v>560766.344317642</v>
      </c>
      <c r="R147" s="89" t="n">
        <f aca="true">IF(R$5=0,Q147,MAX(0,(Q147-R$4)*(1+NORMINV(RAND(),INPUTS!$B$28,INPUTS!$B$29))))</f>
        <v>547940.90617251</v>
      </c>
      <c r="S147" s="89" t="n">
        <f aca="true">IF(S$5=0,R147,MAX(0,(R147-S$4)*(1+NORMINV(RAND(),INPUTS!$B$28,INPUTS!$B$29))))</f>
        <v>588853.562045438</v>
      </c>
      <c r="T147" s="89" t="n">
        <f aca="true">IF(T$5=0,S147,MAX(0,(S147-T$4)*(1+NORMINV(RAND(),INPUTS!$B$28,INPUTS!$B$29))))</f>
        <v>467494.552297605</v>
      </c>
      <c r="U147" s="89" t="n">
        <f aca="true">IF(U$5=0,T147,MAX(0,(T147-U$4)*(1+NORMINV(RAND(),INPUTS!$B$28,INPUTS!$B$29))))</f>
        <v>544920.686775491</v>
      </c>
      <c r="V147" s="89" t="n">
        <f aca="true">IF(V$5=0,U147,MAX(0,(U147-V$4)*(1+NORMINV(RAND(),INPUTS!$B$28,INPUTS!$B$29))))</f>
        <v>470178.704681286</v>
      </c>
      <c r="W147" s="89" t="n">
        <f aca="true">IF(W$5=0,V147,MAX(0,(V147-W$4)*(1+NORMINV(RAND(),INPUTS!$B$28,INPUTS!$B$29))))</f>
        <v>359867.440745874</v>
      </c>
      <c r="X147" s="89" t="n">
        <f aca="true">IF(X$5=0,W147,MAX(0,(W147-X$4)*(1+NORMINV(RAND(),INPUTS!$B$28,INPUTS!$B$29))))</f>
        <v>309380.99492447</v>
      </c>
      <c r="Y147" s="89" t="n">
        <f aca="true">IF(Y$5=0,X147,MAX(0,(X147-Y$4)*(1+NORMINV(RAND(),INPUTS!$B$28,INPUTS!$B$29))))</f>
        <v>280515.703457061</v>
      </c>
      <c r="Z147" s="89" t="n">
        <f aca="true">IF(Z$5=0,Y147,MAX(0,(Y147-Z$4)*(1+NORMINV(RAND(),INPUTS!$B$28,INPUTS!$B$29))))</f>
        <v>217785.613639314</v>
      </c>
      <c r="AA147" s="89" t="n">
        <f aca="true">IF(AA$5=0,Z147,MAX(0,(Z147-AA$4)*(1+NORMINV(RAND(),INPUTS!$B$28,INPUTS!$B$29))))</f>
        <v>169939.862717441</v>
      </c>
      <c r="AB147" s="89" t="n">
        <f aca="true">IF(AB$5=0,AA147,MAX(0,(AA147-AB$4)*(1+NORMINV(RAND(),INPUTS!$B$28,INPUTS!$B$29))))</f>
        <v>101733.131774248</v>
      </c>
      <c r="AC147" s="89" t="n">
        <f aca="true">IF(AC$5=0,AB147,MAX(0,(AB147-AC$4)*(1+NORMINV(RAND(),INPUTS!$B$28,INPUTS!$B$29))))</f>
        <v>49278.1610646793</v>
      </c>
      <c r="AD147" s="89" t="n">
        <f aca="true">IF(AD$5=0,AC147,MAX(0,(AC147-AD$4)*(1+NORMINV(RAND(),INPUTS!$B$28,INPUTS!$B$29))))</f>
        <v>0</v>
      </c>
      <c r="AE147" s="89" t="n">
        <f aca="true">IF(AE$5=0,AD147,MAX(0,(AD147-AE$4)*(1+NORMINV(RAND(),INPUTS!$B$28,INPUTS!$B$29))))</f>
        <v>0</v>
      </c>
      <c r="AF147" s="89" t="n">
        <f aca="true">IF(AF$5=0,AE147,MAX(0,(AE147-AF$4)*(1+NORMINV(RAND(),INPUTS!$B$28,INPUTS!$B$29))))</f>
        <v>0</v>
      </c>
      <c r="AG147" s="89" t="n">
        <f aca="true">IF(AG$5=0,AF147,MAX(0,(AF147-AG$4)*(1+NORMINV(RAND(),INPUTS!$B$28,INPUTS!$B$29))))</f>
        <v>0</v>
      </c>
      <c r="AH147" s="89" t="n">
        <f aca="true">IF(AH$5=0,AG147,MAX(0,(AG147-AH$4)*(1+NORMINV(RAND(),INPUTS!$B$28,INPUTS!$B$29))))</f>
        <v>0</v>
      </c>
      <c r="AI147" s="89" t="n">
        <f aca="true">IF(AI$5=0,AH147,MAX(0,(AH147-AI$4)*(1+NORMINV(RAND(),INPUTS!$B$28,INPUTS!$B$29))))</f>
        <v>0</v>
      </c>
      <c r="AJ147" s="89" t="n">
        <f aca="true">IF(AJ$5=0,AI147,MAX(0,(AI147-AJ$4)*(1+NORMINV(RAND(),INPUTS!$B$28,INPUTS!$B$29))))</f>
        <v>0</v>
      </c>
      <c r="AK147" s="89" t="n">
        <f aca="true">IF(AK$5=0,AJ147,MAX(0,(AJ147-AK$4)*(1+NORMINV(RAND(),INPUTS!$B$28,INPUTS!$B$29))))</f>
        <v>0</v>
      </c>
      <c r="AL147" s="89" t="n">
        <f aca="true">IF(AL$5=0,AK147,MAX(0,(AK147-AL$4)*(1+NORMINV(RAND(),INPUTS!$B$28,INPUTS!$B$29))))</f>
        <v>0</v>
      </c>
      <c r="AM147" s="89" t="n">
        <f aca="true">IF(AM$5=0,AL147,MAX(0,(AL147-AM$4)*(1+NORMINV(RAND(),INPUTS!$B$28,INPUTS!$B$29))))</f>
        <v>0</v>
      </c>
      <c r="AN147" s="89" t="n">
        <f aca="true">IF(AN$5=0,AM147,MAX(0,(AM147-AN$4)*(1+NORMINV(RAND(),INPUTS!$B$28,INPUTS!$B$29))))</f>
        <v>0</v>
      </c>
      <c r="AO147" s="89" t="n">
        <f aca="true">IF(AO$5=0,AN147,MAX(0,(AN147-AO$4)*(1+NORMINV(RAND(),INPUTS!$B$28,INPUTS!$B$29))))</f>
        <v>0</v>
      </c>
      <c r="AP147" s="89" t="n">
        <f aca="true">IF(AP$5=0,AO147,MAX(0,(AO147-AP$4)*(1+NORMINV(RAND(),INPUTS!$B$28,INPUTS!$B$29))))</f>
        <v>0</v>
      </c>
      <c r="AQ147" s="89" t="n">
        <f aca="true">IF(AQ$5=0,AP147,MAX(0,(AP147-AQ$4)*(1+NORMINV(RAND(),INPUTS!$B$28,INPUTS!$B$29))))</f>
        <v>0</v>
      </c>
      <c r="AR147" s="89" t="n">
        <f aca="true">IF(AR$5=0,AQ147,MAX(0,(AQ147-AR$4)*(1+NORMINV(RAND(),INPUTS!$B$28,INPUTS!$B$29))))</f>
        <v>0</v>
      </c>
      <c r="AS147" s="89" t="n">
        <f aca="true">IF(AS$5=0,AR147,MAX(0,(AR147-AS$4)*(1+NORMINV(RAND(),INPUTS!$B$28,INPUTS!$B$29))))</f>
        <v>0</v>
      </c>
      <c r="AT147" s="89" t="n">
        <f aca="true">IF(AT$5=0,AS147,MAX(0,(AS147-AT$4)*(1+NORMINV(RAND(),INPUTS!$B$28,INPUTS!$B$29))))</f>
        <v>0</v>
      </c>
      <c r="AU147" s="89" t="n">
        <f aca="true">IF(AU$5=0,AT147,MAX(0,(AT147-AU$4)*(1+NORMINV(RAND(),INPUTS!$B$28,INPUTS!$B$29))))</f>
        <v>0</v>
      </c>
      <c r="AV147" s="89" t="n">
        <f aca="true">IF(AV$5=0,AU147,MAX(0,(AU147-AV$4)*(1+NORMINV(RAND(),INPUTS!$B$28,INPUTS!$B$29))))</f>
        <v>0</v>
      </c>
      <c r="AW147" s="89" t="n">
        <f aca="true">IF(AW$5=0,AV147,MAX(0,(AV147-AW$4)*(1+NORMINV(RAND(),INPUTS!$B$28,INPUTS!$B$29))))</f>
        <v>0</v>
      </c>
      <c r="AX147" s="89" t="n">
        <f aca="true">IF(AX$5=0,AW147,MAX(0,(AW147-AX$4)*(1+NORMINV(RAND(),INPUTS!$B$28,INPUTS!$B$29))))</f>
        <v>0</v>
      </c>
      <c r="AY147" s="89" t="n">
        <f aca="true">IF(AY$5=0,AX147,MAX(0,(AX147-AY$4)*(1+NORMINV(RAND(),INPUTS!$B$28,INPUTS!$B$29))))</f>
        <v>0</v>
      </c>
      <c r="AZ147" s="89" t="n">
        <f aca="true">IF(AZ$5=0,AY147,MAX(0,(AY147-AZ$4)*(1+NORMINV(RAND(),INPUTS!$B$28,INPUTS!$B$29))))</f>
        <v>0</v>
      </c>
      <c r="BA147" s="89" t="n">
        <f aca="true">IF(BA$5=0,AZ147,MAX(0,(AZ147-BA$4)*(1+NORMINV(RAND(),INPUTS!$B$28,INPUTS!$B$29))))</f>
        <v>0</v>
      </c>
      <c r="BB147" s="89" t="n">
        <f aca="true">IF(BB$5=0,BA147,MAX(0,(BA147-BB$4)*(1+NORMINV(RAND(),INPUTS!$B$28,INPUTS!$B$29))))</f>
        <v>0</v>
      </c>
      <c r="BC147" s="89" t="n">
        <f aca="true">IF(BC$5=0,BB147,MAX(0,(BB147-BC$4)*(1+NORMINV(RAND(),INPUTS!$B$28,INPUTS!$B$29))))</f>
        <v>0</v>
      </c>
      <c r="BD147" s="89" t="n">
        <f aca="true">IF(BD$5=0,BC147,MAX(0,(BC147-BD$4)*(1+NORMINV(RAND(),INPUTS!$B$28,INPUTS!$B$29))))</f>
        <v>0</v>
      </c>
      <c r="BE147" s="89" t="n">
        <f aca="true">IF(BE$5=0,BD147,MAX(0,(BD147-BE$4)*(1+NORMINV(RAND(),INPUTS!$B$28,INPUTS!$B$29))))</f>
        <v>0</v>
      </c>
      <c r="BF147" s="89" t="n">
        <f aca="true">IF(BF$5=0,BE147,MAX(0,(BE147-BF$4)*(1+NORMINV(RAND(),INPUTS!$B$28,INPUTS!$B$29))))</f>
        <v>0</v>
      </c>
      <c r="BG147" s="89" t="n">
        <f aca="true">IF(BG$5=0,BF147,MAX(0,(BF147-BG$4)*(1+NORMINV(RAND(),INPUTS!$B$28,INPUTS!$B$29))))</f>
        <v>0</v>
      </c>
      <c r="BH147" s="89" t="n">
        <f aca="true">IF(BH$5=0,BG147,MAX(0,(BG147-BH$4)*(1+NORMINV(RAND(),INPUTS!$B$28,INPUTS!$B$29))))</f>
        <v>0</v>
      </c>
      <c r="BI147" s="89" t="n">
        <f aca="true">IF(BI$5=0,BH147,MAX(0,(BH147-BI$4)*(1+NORMINV(RAND(),INPUTS!$B$28,INPUTS!$B$29))))</f>
        <v>0</v>
      </c>
      <c r="BJ147" s="89" t="n">
        <f aca="true">IF(BJ$5=0,BI147,MAX(0,(BI147-BJ$4)*(1+NORMINV(RAND(),INPUTS!$B$28,INPUTS!$B$29))))</f>
        <v>0</v>
      </c>
    </row>
    <row r="148" customFormat="false" ht="15" hidden="false" customHeight="true" outlineLevel="0" collapsed="false">
      <c r="A148" s="87" t="n">
        <v>141</v>
      </c>
      <c r="B148" s="88" t="n">
        <f aca="false">LOOKUP(9.99E+307,C148:BJ148)</f>
        <v>930096.945946364</v>
      </c>
      <c r="C148" s="89" t="n">
        <f aca="true">IF(C$5=0,INPUTS!$B$35,MAX(0,(INPUTS!$B$35-C$4)*(1+NORMINV(RAND(),INPUTS!$B$28,INPUTS!$B$29))))</f>
        <v>1442085.03422045</v>
      </c>
      <c r="D148" s="89" t="n">
        <f aca="true">IF(D$5=0,C148,MAX(0,(C148-D$4)*(1+NORMINV(RAND(),INPUTS!$B$28,INPUTS!$B$29))))</f>
        <v>1560210.83930751</v>
      </c>
      <c r="E148" s="89" t="n">
        <f aca="true">IF(E$5=0,D148,MAX(0,(D148-E$4)*(1+NORMINV(RAND(),INPUTS!$B$28,INPUTS!$B$29))))</f>
        <v>1571757.08640813</v>
      </c>
      <c r="F148" s="89" t="n">
        <f aca="true">IF(F$5=0,E148,MAX(0,(E148-F$4)*(1+NORMINV(RAND(),INPUTS!$B$28,INPUTS!$B$29))))</f>
        <v>1636546.99941366</v>
      </c>
      <c r="G148" s="89" t="n">
        <f aca="true">IF(G$5=0,F148,MAX(0,(F148-G$4)*(1+NORMINV(RAND(),INPUTS!$B$28,INPUTS!$B$29))))</f>
        <v>1599664.71590168</v>
      </c>
      <c r="H148" s="89" t="n">
        <f aca="true">IF(H$5=0,G148,MAX(0,(G148-H$4)*(1+NORMINV(RAND(),INPUTS!$B$28,INPUTS!$B$29))))</f>
        <v>1791050.46516944</v>
      </c>
      <c r="I148" s="89" t="n">
        <f aca="true">IF(I$5=0,H148,MAX(0,(H148-I$4)*(1+NORMINV(RAND(),INPUTS!$B$28,INPUTS!$B$29))))</f>
        <v>1373645.25795235</v>
      </c>
      <c r="J148" s="89" t="n">
        <f aca="true">IF(J$5=0,I148,MAX(0,(I148-J$4)*(1+NORMINV(RAND(),INPUTS!$B$28,INPUTS!$B$29))))</f>
        <v>1137961.77993632</v>
      </c>
      <c r="K148" s="89" t="n">
        <f aca="true">IF(K$5=0,J148,MAX(0,(J148-K$4)*(1+NORMINV(RAND(),INPUTS!$B$28,INPUTS!$B$29))))</f>
        <v>1018193.27769751</v>
      </c>
      <c r="L148" s="89" t="n">
        <f aca="true">IF(L$5=0,K148,MAX(0,(K148-L$4)*(1+NORMINV(RAND(),INPUTS!$B$28,INPUTS!$B$29))))</f>
        <v>1042262.63173616</v>
      </c>
      <c r="M148" s="89" t="n">
        <f aca="true">IF(M$5=0,L148,MAX(0,(L148-M$4)*(1+NORMINV(RAND(),INPUTS!$B$28,INPUTS!$B$29))))</f>
        <v>1155853.04595831</v>
      </c>
      <c r="N148" s="89" t="n">
        <f aca="true">IF(N$5=0,M148,MAX(0,(M148-N$4)*(1+NORMINV(RAND(),INPUTS!$B$28,INPUTS!$B$29))))</f>
        <v>1008767.77956076</v>
      </c>
      <c r="O148" s="89" t="n">
        <f aca="true">IF(O$5=0,N148,MAX(0,(N148-O$4)*(1+NORMINV(RAND(),INPUTS!$B$28,INPUTS!$B$29))))</f>
        <v>1111860.67208527</v>
      </c>
      <c r="P148" s="89" t="n">
        <f aca="true">IF(P$5=0,O148,MAX(0,(O148-P$4)*(1+NORMINV(RAND(),INPUTS!$B$28,INPUTS!$B$29))))</f>
        <v>1090972.93370883</v>
      </c>
      <c r="Q148" s="89" t="n">
        <f aca="true">IF(Q$5=0,P148,MAX(0,(P148-Q$4)*(1+NORMINV(RAND(),INPUTS!$B$28,INPUTS!$B$29))))</f>
        <v>1072181.81081987</v>
      </c>
      <c r="R148" s="89" t="n">
        <f aca="true">IF(R$5=0,Q148,MAX(0,(Q148-R$4)*(1+NORMINV(RAND(),INPUTS!$B$28,INPUTS!$B$29))))</f>
        <v>1062984.25144641</v>
      </c>
      <c r="S148" s="89" t="n">
        <f aca="true">IF(S$5=0,R148,MAX(0,(R148-S$4)*(1+NORMINV(RAND(),INPUTS!$B$28,INPUTS!$B$29))))</f>
        <v>1009652.51479947</v>
      </c>
      <c r="T148" s="89" t="n">
        <f aca="true">IF(T$5=0,S148,MAX(0,(S148-T$4)*(1+NORMINV(RAND(),INPUTS!$B$28,INPUTS!$B$29))))</f>
        <v>929872.15366865</v>
      </c>
      <c r="U148" s="89" t="n">
        <f aca="true">IF(U$5=0,T148,MAX(0,(T148-U$4)*(1+NORMINV(RAND(),INPUTS!$B$28,INPUTS!$B$29))))</f>
        <v>842535.188470463</v>
      </c>
      <c r="V148" s="89" t="n">
        <f aca="true">IF(V$5=0,U148,MAX(0,(U148-V$4)*(1+NORMINV(RAND(),INPUTS!$B$28,INPUTS!$B$29))))</f>
        <v>897441.056482215</v>
      </c>
      <c r="W148" s="89" t="n">
        <f aca="true">IF(W$5=0,V148,MAX(0,(V148-W$4)*(1+NORMINV(RAND(),INPUTS!$B$28,INPUTS!$B$29))))</f>
        <v>914640.732702431</v>
      </c>
      <c r="X148" s="89" t="n">
        <f aca="true">IF(X$5=0,W148,MAX(0,(W148-X$4)*(1+NORMINV(RAND(),INPUTS!$B$28,INPUTS!$B$29))))</f>
        <v>1142351.26357752</v>
      </c>
      <c r="Y148" s="89" t="n">
        <f aca="true">IF(Y$5=0,X148,MAX(0,(X148-Y$4)*(1+NORMINV(RAND(),INPUTS!$B$28,INPUTS!$B$29))))</f>
        <v>1063971.05282901</v>
      </c>
      <c r="Z148" s="89" t="n">
        <f aca="true">IF(Z$5=0,Y148,MAX(0,(Y148-Z$4)*(1+NORMINV(RAND(),INPUTS!$B$28,INPUTS!$B$29))))</f>
        <v>1078993.04733068</v>
      </c>
      <c r="AA148" s="89" t="n">
        <f aca="true">IF(AA$5=0,Z148,MAX(0,(Z148-AA$4)*(1+NORMINV(RAND(),INPUTS!$B$28,INPUTS!$B$29))))</f>
        <v>1155091.19671929</v>
      </c>
      <c r="AB148" s="89" t="n">
        <f aca="true">IF(AB$5=0,AA148,MAX(0,(AA148-AB$4)*(1+NORMINV(RAND(),INPUTS!$B$28,INPUTS!$B$29))))</f>
        <v>1123596.43816334</v>
      </c>
      <c r="AC148" s="89" t="n">
        <f aca="true">IF(AC$5=0,AB148,MAX(0,(AB148-AC$4)*(1+NORMINV(RAND(),INPUTS!$B$28,INPUTS!$B$29))))</f>
        <v>1013205.47107417</v>
      </c>
      <c r="AD148" s="89" t="n">
        <f aca="true">IF(AD$5=0,AC148,MAX(0,(AC148-AD$4)*(1+NORMINV(RAND(),INPUTS!$B$28,INPUTS!$B$29))))</f>
        <v>1150889.53286417</v>
      </c>
      <c r="AE148" s="89" t="n">
        <f aca="true">IF(AE$5=0,AD148,MAX(0,(AD148-AE$4)*(1+NORMINV(RAND(),INPUTS!$B$28,INPUTS!$B$29))))</f>
        <v>1127801.12809443</v>
      </c>
      <c r="AF148" s="89" t="n">
        <f aca="true">IF(AF$5=0,AE148,MAX(0,(AE148-AF$4)*(1+NORMINV(RAND(),INPUTS!$B$28,INPUTS!$B$29))))</f>
        <v>1216307.52486175</v>
      </c>
      <c r="AG148" s="89" t="n">
        <f aca="true">IF(AG$5=0,AF148,MAX(0,(AF148-AG$4)*(1+NORMINV(RAND(),INPUTS!$B$28,INPUTS!$B$29))))</f>
        <v>1111471.45245081</v>
      </c>
      <c r="AH148" s="89" t="n">
        <f aca="true">IF(AH$5=0,AG148,MAX(0,(AG148-AH$4)*(1+NORMINV(RAND(),INPUTS!$B$28,INPUTS!$B$29))))</f>
        <v>1095394.68783419</v>
      </c>
      <c r="AI148" s="89" t="n">
        <f aca="true">IF(AI$5=0,AH148,MAX(0,(AH148-AI$4)*(1+NORMINV(RAND(),INPUTS!$B$28,INPUTS!$B$29))))</f>
        <v>1235460.57893665</v>
      </c>
      <c r="AJ148" s="89" t="n">
        <f aca="true">IF(AJ$5=0,AI148,MAX(0,(AI148-AJ$4)*(1+NORMINV(RAND(),INPUTS!$B$28,INPUTS!$B$29))))</f>
        <v>1191573.83978618</v>
      </c>
      <c r="AK148" s="89" t="n">
        <f aca="true">IF(AK$5=0,AJ148,MAX(0,(AJ148-AK$4)*(1+NORMINV(RAND(),INPUTS!$B$28,INPUTS!$B$29))))</f>
        <v>1103490.85864355</v>
      </c>
      <c r="AL148" s="89" t="n">
        <f aca="true">IF(AL$5=0,AK148,MAX(0,(AK148-AL$4)*(1+NORMINV(RAND(),INPUTS!$B$28,INPUTS!$B$29))))</f>
        <v>930096.945946364</v>
      </c>
      <c r="AM148" s="89" t="n">
        <f aca="true">IF(AM$5=0,AL148,MAX(0,(AL148-AM$4)*(1+NORMINV(RAND(),INPUTS!$B$28,INPUTS!$B$29))))</f>
        <v>930096.945946364</v>
      </c>
      <c r="AN148" s="89" t="n">
        <f aca="true">IF(AN$5=0,AM148,MAX(0,(AM148-AN$4)*(1+NORMINV(RAND(),INPUTS!$B$28,INPUTS!$B$29))))</f>
        <v>930096.945946364</v>
      </c>
      <c r="AO148" s="89" t="n">
        <f aca="true">IF(AO$5=0,AN148,MAX(0,(AN148-AO$4)*(1+NORMINV(RAND(),INPUTS!$B$28,INPUTS!$B$29))))</f>
        <v>930096.945946364</v>
      </c>
      <c r="AP148" s="89" t="n">
        <f aca="true">IF(AP$5=0,AO148,MAX(0,(AO148-AP$4)*(1+NORMINV(RAND(),INPUTS!$B$28,INPUTS!$B$29))))</f>
        <v>930096.945946364</v>
      </c>
      <c r="AQ148" s="89" t="n">
        <f aca="true">IF(AQ$5=0,AP148,MAX(0,(AP148-AQ$4)*(1+NORMINV(RAND(),INPUTS!$B$28,INPUTS!$B$29))))</f>
        <v>930096.945946364</v>
      </c>
      <c r="AR148" s="89" t="n">
        <f aca="true">IF(AR$5=0,AQ148,MAX(0,(AQ148-AR$4)*(1+NORMINV(RAND(),INPUTS!$B$28,INPUTS!$B$29))))</f>
        <v>930096.945946364</v>
      </c>
      <c r="AS148" s="89" t="n">
        <f aca="true">IF(AS$5=0,AR148,MAX(0,(AR148-AS$4)*(1+NORMINV(RAND(),INPUTS!$B$28,INPUTS!$B$29))))</f>
        <v>930096.945946364</v>
      </c>
      <c r="AT148" s="89" t="n">
        <f aca="true">IF(AT$5=0,AS148,MAX(0,(AS148-AT$4)*(1+NORMINV(RAND(),INPUTS!$B$28,INPUTS!$B$29))))</f>
        <v>930096.945946364</v>
      </c>
      <c r="AU148" s="89" t="n">
        <f aca="true">IF(AU$5=0,AT148,MAX(0,(AT148-AU$4)*(1+NORMINV(RAND(),INPUTS!$B$28,INPUTS!$B$29))))</f>
        <v>930096.945946364</v>
      </c>
      <c r="AV148" s="89" t="n">
        <f aca="true">IF(AV$5=0,AU148,MAX(0,(AU148-AV$4)*(1+NORMINV(RAND(),INPUTS!$B$28,INPUTS!$B$29))))</f>
        <v>930096.945946364</v>
      </c>
      <c r="AW148" s="89" t="n">
        <f aca="true">IF(AW$5=0,AV148,MAX(0,(AV148-AW$4)*(1+NORMINV(RAND(),INPUTS!$B$28,INPUTS!$B$29))))</f>
        <v>930096.945946364</v>
      </c>
      <c r="AX148" s="89" t="n">
        <f aca="true">IF(AX$5=0,AW148,MAX(0,(AW148-AX$4)*(1+NORMINV(RAND(),INPUTS!$B$28,INPUTS!$B$29))))</f>
        <v>930096.945946364</v>
      </c>
      <c r="AY148" s="89" t="n">
        <f aca="true">IF(AY$5=0,AX148,MAX(0,(AX148-AY$4)*(1+NORMINV(RAND(),INPUTS!$B$28,INPUTS!$B$29))))</f>
        <v>930096.945946364</v>
      </c>
      <c r="AZ148" s="89" t="n">
        <f aca="true">IF(AZ$5=0,AY148,MAX(0,(AY148-AZ$4)*(1+NORMINV(RAND(),INPUTS!$B$28,INPUTS!$B$29))))</f>
        <v>930096.945946364</v>
      </c>
      <c r="BA148" s="89" t="n">
        <f aca="true">IF(BA$5=0,AZ148,MAX(0,(AZ148-BA$4)*(1+NORMINV(RAND(),INPUTS!$B$28,INPUTS!$B$29))))</f>
        <v>930096.945946364</v>
      </c>
      <c r="BB148" s="89" t="n">
        <f aca="true">IF(BB$5=0,BA148,MAX(0,(BA148-BB$4)*(1+NORMINV(RAND(),INPUTS!$B$28,INPUTS!$B$29))))</f>
        <v>930096.945946364</v>
      </c>
      <c r="BC148" s="89" t="n">
        <f aca="true">IF(BC$5=0,BB148,MAX(0,(BB148-BC$4)*(1+NORMINV(RAND(),INPUTS!$B$28,INPUTS!$B$29))))</f>
        <v>930096.945946364</v>
      </c>
      <c r="BD148" s="89" t="n">
        <f aca="true">IF(BD$5=0,BC148,MAX(0,(BC148-BD$4)*(1+NORMINV(RAND(),INPUTS!$B$28,INPUTS!$B$29))))</f>
        <v>930096.945946364</v>
      </c>
      <c r="BE148" s="89" t="n">
        <f aca="true">IF(BE$5=0,BD148,MAX(0,(BD148-BE$4)*(1+NORMINV(RAND(),INPUTS!$B$28,INPUTS!$B$29))))</f>
        <v>930096.945946364</v>
      </c>
      <c r="BF148" s="89" t="n">
        <f aca="true">IF(BF$5=0,BE148,MAX(0,(BE148-BF$4)*(1+NORMINV(RAND(),INPUTS!$B$28,INPUTS!$B$29))))</f>
        <v>930096.945946364</v>
      </c>
      <c r="BG148" s="89" t="n">
        <f aca="true">IF(BG$5=0,BF148,MAX(0,(BF148-BG$4)*(1+NORMINV(RAND(),INPUTS!$B$28,INPUTS!$B$29))))</f>
        <v>930096.945946364</v>
      </c>
      <c r="BH148" s="89" t="n">
        <f aca="true">IF(BH$5=0,BG148,MAX(0,(BG148-BH$4)*(1+NORMINV(RAND(),INPUTS!$B$28,INPUTS!$B$29))))</f>
        <v>930096.945946364</v>
      </c>
      <c r="BI148" s="89" t="n">
        <f aca="true">IF(BI$5=0,BH148,MAX(0,(BH148-BI$4)*(1+NORMINV(RAND(),INPUTS!$B$28,INPUTS!$B$29))))</f>
        <v>930096.945946364</v>
      </c>
      <c r="BJ148" s="89" t="n">
        <f aca="true">IF(BJ$5=0,BI148,MAX(0,(BI148-BJ$4)*(1+NORMINV(RAND(),INPUTS!$B$28,INPUTS!$B$29))))</f>
        <v>930096.945946364</v>
      </c>
    </row>
    <row r="149" customFormat="false" ht="15" hidden="false" customHeight="true" outlineLevel="0" collapsed="false">
      <c r="A149" s="87" t="n">
        <v>142</v>
      </c>
      <c r="B149" s="88" t="n">
        <f aca="false">LOOKUP(9.99E+307,C149:BJ149)</f>
        <v>4156826.60156147</v>
      </c>
      <c r="C149" s="89" t="n">
        <f aca="true">IF(C$5=0,INPUTS!$B$35,MAX(0,(INPUTS!$B$35-C$4)*(1+NORMINV(RAND(),INPUTS!$B$28,INPUTS!$B$29))))</f>
        <v>1375297.29420169</v>
      </c>
      <c r="D149" s="89" t="n">
        <f aca="true">IF(D$5=0,C149,MAX(0,(C149-D$4)*(1+NORMINV(RAND(),INPUTS!$B$28,INPUTS!$B$29))))</f>
        <v>1342679.69027662</v>
      </c>
      <c r="E149" s="89" t="n">
        <f aca="true">IF(E$5=0,D149,MAX(0,(D149-E$4)*(1+NORMINV(RAND(),INPUTS!$B$28,INPUTS!$B$29))))</f>
        <v>1280468.47838693</v>
      </c>
      <c r="F149" s="89" t="n">
        <f aca="true">IF(F$5=0,E149,MAX(0,(E149-F$4)*(1+NORMINV(RAND(),INPUTS!$B$28,INPUTS!$B$29))))</f>
        <v>1461630.99383861</v>
      </c>
      <c r="G149" s="89" t="n">
        <f aca="true">IF(G$5=0,F149,MAX(0,(F149-G$4)*(1+NORMINV(RAND(),INPUTS!$B$28,INPUTS!$B$29))))</f>
        <v>1853765.80181947</v>
      </c>
      <c r="H149" s="89" t="n">
        <f aca="true">IF(H$5=0,G149,MAX(0,(G149-H$4)*(1+NORMINV(RAND(),INPUTS!$B$28,INPUTS!$B$29))))</f>
        <v>1781967.534893</v>
      </c>
      <c r="I149" s="89" t="n">
        <f aca="true">IF(I$5=0,H149,MAX(0,(H149-I$4)*(1+NORMINV(RAND(),INPUTS!$B$28,INPUTS!$B$29))))</f>
        <v>1992123.89717549</v>
      </c>
      <c r="J149" s="89" t="n">
        <f aca="true">IF(J$5=0,I149,MAX(0,(I149-J$4)*(1+NORMINV(RAND(),INPUTS!$B$28,INPUTS!$B$29))))</f>
        <v>1728598.40318888</v>
      </c>
      <c r="K149" s="89" t="n">
        <f aca="true">IF(K$5=0,J149,MAX(0,(J149-K$4)*(1+NORMINV(RAND(),INPUTS!$B$28,INPUTS!$B$29))))</f>
        <v>1694318.29050063</v>
      </c>
      <c r="L149" s="89" t="n">
        <f aca="true">IF(L$5=0,K149,MAX(0,(K149-L$4)*(1+NORMINV(RAND(),INPUTS!$B$28,INPUTS!$B$29))))</f>
        <v>1365346.61832512</v>
      </c>
      <c r="M149" s="89" t="n">
        <f aca="true">IF(M$5=0,L149,MAX(0,(L149-M$4)*(1+NORMINV(RAND(),INPUTS!$B$28,INPUTS!$B$29))))</f>
        <v>1160964.93549914</v>
      </c>
      <c r="N149" s="89" t="n">
        <f aca="true">IF(N$5=0,M149,MAX(0,(M149-N$4)*(1+NORMINV(RAND(),INPUTS!$B$28,INPUTS!$B$29))))</f>
        <v>1086838.41043021</v>
      </c>
      <c r="O149" s="89" t="n">
        <f aca="true">IF(O$5=0,N149,MAX(0,(N149-O$4)*(1+NORMINV(RAND(),INPUTS!$B$28,INPUTS!$B$29))))</f>
        <v>1146420.85846389</v>
      </c>
      <c r="P149" s="89" t="n">
        <f aca="true">IF(P$5=0,O149,MAX(0,(O149-P$4)*(1+NORMINV(RAND(),INPUTS!$B$28,INPUTS!$B$29))))</f>
        <v>1090262.88666947</v>
      </c>
      <c r="Q149" s="89" t="n">
        <f aca="true">IF(Q$5=0,P149,MAX(0,(P149-Q$4)*(1+NORMINV(RAND(),INPUTS!$B$28,INPUTS!$B$29))))</f>
        <v>1326495.58732497</v>
      </c>
      <c r="R149" s="89" t="n">
        <f aca="true">IF(R$5=0,Q149,MAX(0,(Q149-R$4)*(1+NORMINV(RAND(),INPUTS!$B$28,INPUTS!$B$29))))</f>
        <v>1369557.02712473</v>
      </c>
      <c r="S149" s="89" t="n">
        <f aca="true">IF(S$5=0,R149,MAX(0,(R149-S$4)*(1+NORMINV(RAND(),INPUTS!$B$28,INPUTS!$B$29))))</f>
        <v>1548302.22509283</v>
      </c>
      <c r="T149" s="89" t="n">
        <f aca="true">IF(T$5=0,S149,MAX(0,(S149-T$4)*(1+NORMINV(RAND(),INPUTS!$B$28,INPUTS!$B$29))))</f>
        <v>1756214.00139673</v>
      </c>
      <c r="U149" s="89" t="n">
        <f aca="true">IF(U$5=0,T149,MAX(0,(T149-U$4)*(1+NORMINV(RAND(),INPUTS!$B$28,INPUTS!$B$29))))</f>
        <v>1493146.00409898</v>
      </c>
      <c r="V149" s="89" t="n">
        <f aca="true">IF(V$5=0,U149,MAX(0,(U149-V$4)*(1+NORMINV(RAND(),INPUTS!$B$28,INPUTS!$B$29))))</f>
        <v>1682788.26089039</v>
      </c>
      <c r="W149" s="89" t="n">
        <f aca="true">IF(W$5=0,V149,MAX(0,(V149-W$4)*(1+NORMINV(RAND(),INPUTS!$B$28,INPUTS!$B$29))))</f>
        <v>2013002.50087622</v>
      </c>
      <c r="X149" s="89" t="n">
        <f aca="true">IF(X$5=0,W149,MAX(0,(W149-X$4)*(1+NORMINV(RAND(),INPUTS!$B$28,INPUTS!$B$29))))</f>
        <v>2335024.07202608</v>
      </c>
      <c r="Y149" s="89" t="n">
        <f aca="true">IF(Y$5=0,X149,MAX(0,(X149-Y$4)*(1+NORMINV(RAND(),INPUTS!$B$28,INPUTS!$B$29))))</f>
        <v>2460780.03303467</v>
      </c>
      <c r="Z149" s="89" t="n">
        <f aca="true">IF(Z$5=0,Y149,MAX(0,(Y149-Z$4)*(1+NORMINV(RAND(),INPUTS!$B$28,INPUTS!$B$29))))</f>
        <v>2956559.06637531</v>
      </c>
      <c r="AA149" s="89" t="n">
        <f aca="true">IF(AA$5=0,Z149,MAX(0,(Z149-AA$4)*(1+NORMINV(RAND(),INPUTS!$B$28,INPUTS!$B$29))))</f>
        <v>3333716.98112207</v>
      </c>
      <c r="AB149" s="89" t="n">
        <f aca="true">IF(AB$5=0,AA149,MAX(0,(AA149-AB$4)*(1+NORMINV(RAND(),INPUTS!$B$28,INPUTS!$B$29))))</f>
        <v>3232900.78876751</v>
      </c>
      <c r="AC149" s="89" t="n">
        <f aca="true">IF(AC$5=0,AB149,MAX(0,(AB149-AC$4)*(1+NORMINV(RAND(),INPUTS!$B$28,INPUTS!$B$29))))</f>
        <v>3438888.07075896</v>
      </c>
      <c r="AD149" s="89" t="n">
        <f aca="true">IF(AD$5=0,AC149,MAX(0,(AC149-AD$4)*(1+NORMINV(RAND(),INPUTS!$B$28,INPUTS!$B$29))))</f>
        <v>2444784.73091875</v>
      </c>
      <c r="AE149" s="89" t="n">
        <f aca="true">IF(AE$5=0,AD149,MAX(0,(AD149-AE$4)*(1+NORMINV(RAND(),INPUTS!$B$28,INPUTS!$B$29))))</f>
        <v>2482231.70535027</v>
      </c>
      <c r="AF149" s="89" t="n">
        <f aca="true">IF(AF$5=0,AE149,MAX(0,(AE149-AF$4)*(1+NORMINV(RAND(),INPUTS!$B$28,INPUTS!$B$29))))</f>
        <v>2481454.41829708</v>
      </c>
      <c r="AG149" s="89" t="n">
        <f aca="true">IF(AG$5=0,AF149,MAX(0,(AF149-AG$4)*(1+NORMINV(RAND(),INPUTS!$B$28,INPUTS!$B$29))))</f>
        <v>2611157.21815932</v>
      </c>
      <c r="AH149" s="89" t="n">
        <f aca="true">IF(AH$5=0,AG149,MAX(0,(AG149-AH$4)*(1+NORMINV(RAND(),INPUTS!$B$28,INPUTS!$B$29))))</f>
        <v>2850848.71512643</v>
      </c>
      <c r="AI149" s="89" t="n">
        <f aca="true">IF(AI$5=0,AH149,MAX(0,(AH149-AI$4)*(1+NORMINV(RAND(),INPUTS!$B$28,INPUTS!$B$29))))</f>
        <v>3320040.16129343</v>
      </c>
      <c r="AJ149" s="89" t="n">
        <f aca="true">IF(AJ$5=0,AI149,MAX(0,(AI149-AJ$4)*(1+NORMINV(RAND(),INPUTS!$B$28,INPUTS!$B$29))))</f>
        <v>3619289.1648115</v>
      </c>
      <c r="AK149" s="89" t="n">
        <f aca="true">IF(AK$5=0,AJ149,MAX(0,(AJ149-AK$4)*(1+NORMINV(RAND(),INPUTS!$B$28,INPUTS!$B$29))))</f>
        <v>3737646.35263188</v>
      </c>
      <c r="AL149" s="89" t="n">
        <f aca="true">IF(AL$5=0,AK149,MAX(0,(AK149-AL$4)*(1+NORMINV(RAND(),INPUTS!$B$28,INPUTS!$B$29))))</f>
        <v>4156826.60156147</v>
      </c>
      <c r="AM149" s="89" t="n">
        <f aca="true">IF(AM$5=0,AL149,MAX(0,(AL149-AM$4)*(1+NORMINV(RAND(),INPUTS!$B$28,INPUTS!$B$29))))</f>
        <v>4156826.60156147</v>
      </c>
      <c r="AN149" s="89" t="n">
        <f aca="true">IF(AN$5=0,AM149,MAX(0,(AM149-AN$4)*(1+NORMINV(RAND(),INPUTS!$B$28,INPUTS!$B$29))))</f>
        <v>4156826.60156147</v>
      </c>
      <c r="AO149" s="89" t="n">
        <f aca="true">IF(AO$5=0,AN149,MAX(0,(AN149-AO$4)*(1+NORMINV(RAND(),INPUTS!$B$28,INPUTS!$B$29))))</f>
        <v>4156826.60156147</v>
      </c>
      <c r="AP149" s="89" t="n">
        <f aca="true">IF(AP$5=0,AO149,MAX(0,(AO149-AP$4)*(1+NORMINV(RAND(),INPUTS!$B$28,INPUTS!$B$29))))</f>
        <v>4156826.60156147</v>
      </c>
      <c r="AQ149" s="89" t="n">
        <f aca="true">IF(AQ$5=0,AP149,MAX(0,(AP149-AQ$4)*(1+NORMINV(RAND(),INPUTS!$B$28,INPUTS!$B$29))))</f>
        <v>4156826.60156147</v>
      </c>
      <c r="AR149" s="89" t="n">
        <f aca="true">IF(AR$5=0,AQ149,MAX(0,(AQ149-AR$4)*(1+NORMINV(RAND(),INPUTS!$B$28,INPUTS!$B$29))))</f>
        <v>4156826.60156147</v>
      </c>
      <c r="AS149" s="89" t="n">
        <f aca="true">IF(AS$5=0,AR149,MAX(0,(AR149-AS$4)*(1+NORMINV(RAND(),INPUTS!$B$28,INPUTS!$B$29))))</f>
        <v>4156826.60156147</v>
      </c>
      <c r="AT149" s="89" t="n">
        <f aca="true">IF(AT$5=0,AS149,MAX(0,(AS149-AT$4)*(1+NORMINV(RAND(),INPUTS!$B$28,INPUTS!$B$29))))</f>
        <v>4156826.60156147</v>
      </c>
      <c r="AU149" s="89" t="n">
        <f aca="true">IF(AU$5=0,AT149,MAX(0,(AT149-AU$4)*(1+NORMINV(RAND(),INPUTS!$B$28,INPUTS!$B$29))))</f>
        <v>4156826.60156147</v>
      </c>
      <c r="AV149" s="89" t="n">
        <f aca="true">IF(AV$5=0,AU149,MAX(0,(AU149-AV$4)*(1+NORMINV(RAND(),INPUTS!$B$28,INPUTS!$B$29))))</f>
        <v>4156826.60156147</v>
      </c>
      <c r="AW149" s="89" t="n">
        <f aca="true">IF(AW$5=0,AV149,MAX(0,(AV149-AW$4)*(1+NORMINV(RAND(),INPUTS!$B$28,INPUTS!$B$29))))</f>
        <v>4156826.60156147</v>
      </c>
      <c r="AX149" s="89" t="n">
        <f aca="true">IF(AX$5=0,AW149,MAX(0,(AW149-AX$4)*(1+NORMINV(RAND(),INPUTS!$B$28,INPUTS!$B$29))))</f>
        <v>4156826.60156147</v>
      </c>
      <c r="AY149" s="89" t="n">
        <f aca="true">IF(AY$5=0,AX149,MAX(0,(AX149-AY$4)*(1+NORMINV(RAND(),INPUTS!$B$28,INPUTS!$B$29))))</f>
        <v>4156826.60156147</v>
      </c>
      <c r="AZ149" s="89" t="n">
        <f aca="true">IF(AZ$5=0,AY149,MAX(0,(AY149-AZ$4)*(1+NORMINV(RAND(),INPUTS!$B$28,INPUTS!$B$29))))</f>
        <v>4156826.60156147</v>
      </c>
      <c r="BA149" s="89" t="n">
        <f aca="true">IF(BA$5=0,AZ149,MAX(0,(AZ149-BA$4)*(1+NORMINV(RAND(),INPUTS!$B$28,INPUTS!$B$29))))</f>
        <v>4156826.60156147</v>
      </c>
      <c r="BB149" s="89" t="n">
        <f aca="true">IF(BB$5=0,BA149,MAX(0,(BA149-BB$4)*(1+NORMINV(RAND(),INPUTS!$B$28,INPUTS!$B$29))))</f>
        <v>4156826.60156147</v>
      </c>
      <c r="BC149" s="89" t="n">
        <f aca="true">IF(BC$5=0,BB149,MAX(0,(BB149-BC$4)*(1+NORMINV(RAND(),INPUTS!$B$28,INPUTS!$B$29))))</f>
        <v>4156826.60156147</v>
      </c>
      <c r="BD149" s="89" t="n">
        <f aca="true">IF(BD$5=0,BC149,MAX(0,(BC149-BD$4)*(1+NORMINV(RAND(),INPUTS!$B$28,INPUTS!$B$29))))</f>
        <v>4156826.60156147</v>
      </c>
      <c r="BE149" s="89" t="n">
        <f aca="true">IF(BE$5=0,BD149,MAX(0,(BD149-BE$4)*(1+NORMINV(RAND(),INPUTS!$B$28,INPUTS!$B$29))))</f>
        <v>4156826.60156147</v>
      </c>
      <c r="BF149" s="89" t="n">
        <f aca="true">IF(BF$5=0,BE149,MAX(0,(BE149-BF$4)*(1+NORMINV(RAND(),INPUTS!$B$28,INPUTS!$B$29))))</f>
        <v>4156826.60156147</v>
      </c>
      <c r="BG149" s="89" t="n">
        <f aca="true">IF(BG$5=0,BF149,MAX(0,(BF149-BG$4)*(1+NORMINV(RAND(),INPUTS!$B$28,INPUTS!$B$29))))</f>
        <v>4156826.60156147</v>
      </c>
      <c r="BH149" s="89" t="n">
        <f aca="true">IF(BH$5=0,BG149,MAX(0,(BG149-BH$4)*(1+NORMINV(RAND(),INPUTS!$B$28,INPUTS!$B$29))))</f>
        <v>4156826.60156147</v>
      </c>
      <c r="BI149" s="89" t="n">
        <f aca="true">IF(BI$5=0,BH149,MAX(0,(BH149-BI$4)*(1+NORMINV(RAND(),INPUTS!$B$28,INPUTS!$B$29))))</f>
        <v>4156826.60156147</v>
      </c>
      <c r="BJ149" s="89" t="n">
        <f aca="true">IF(BJ$5=0,BI149,MAX(0,(BI149-BJ$4)*(1+NORMINV(RAND(),INPUTS!$B$28,INPUTS!$B$29))))</f>
        <v>4156826.60156147</v>
      </c>
    </row>
    <row r="150" customFormat="false" ht="15" hidden="false" customHeight="true" outlineLevel="0" collapsed="false">
      <c r="A150" s="87" t="n">
        <v>143</v>
      </c>
      <c r="B150" s="88" t="n">
        <f aca="false">LOOKUP(9.99E+307,C150:BJ150)</f>
        <v>2861056.84748165</v>
      </c>
      <c r="C150" s="89" t="n">
        <f aca="true">IF(C$5=0,INPUTS!$B$35,MAX(0,(INPUTS!$B$35-C$4)*(1+NORMINV(RAND(),INPUTS!$B$28,INPUTS!$B$29))))</f>
        <v>1579879.33166959</v>
      </c>
      <c r="D150" s="89" t="n">
        <f aca="true">IF(D$5=0,C150,MAX(0,(C150-D$4)*(1+NORMINV(RAND(),INPUTS!$B$28,INPUTS!$B$29))))</f>
        <v>1617428.64689792</v>
      </c>
      <c r="E150" s="89" t="n">
        <f aca="true">IF(E$5=0,D150,MAX(0,(D150-E$4)*(1+NORMINV(RAND(),INPUTS!$B$28,INPUTS!$B$29))))</f>
        <v>1888125.25688091</v>
      </c>
      <c r="F150" s="89" t="n">
        <f aca="true">IF(F$5=0,E150,MAX(0,(E150-F$4)*(1+NORMINV(RAND(),INPUTS!$B$28,INPUTS!$B$29))))</f>
        <v>1648088.81477199</v>
      </c>
      <c r="G150" s="89" t="n">
        <f aca="true">IF(G$5=0,F150,MAX(0,(F150-G$4)*(1+NORMINV(RAND(),INPUTS!$B$28,INPUTS!$B$29))))</f>
        <v>1654449.66376405</v>
      </c>
      <c r="H150" s="89" t="n">
        <f aca="true">IF(H$5=0,G150,MAX(0,(G150-H$4)*(1+NORMINV(RAND(),INPUTS!$B$28,INPUTS!$B$29))))</f>
        <v>1552774.37368715</v>
      </c>
      <c r="I150" s="89" t="n">
        <f aca="true">IF(I$5=0,H150,MAX(0,(H150-I$4)*(1+NORMINV(RAND(),INPUTS!$B$28,INPUTS!$B$29))))</f>
        <v>1177930.3476402</v>
      </c>
      <c r="J150" s="89" t="n">
        <f aca="true">IF(J$5=0,I150,MAX(0,(I150-J$4)*(1+NORMINV(RAND(),INPUTS!$B$28,INPUTS!$B$29))))</f>
        <v>1201907.17202303</v>
      </c>
      <c r="K150" s="89" t="n">
        <f aca="true">IF(K$5=0,J150,MAX(0,(J150-K$4)*(1+NORMINV(RAND(),INPUTS!$B$28,INPUTS!$B$29))))</f>
        <v>1009529.36754189</v>
      </c>
      <c r="L150" s="89" t="n">
        <f aca="true">IF(L$5=0,K150,MAX(0,(K150-L$4)*(1+NORMINV(RAND(),INPUTS!$B$28,INPUTS!$B$29))))</f>
        <v>1006019.37976325</v>
      </c>
      <c r="M150" s="89" t="n">
        <f aca="true">IF(M$5=0,L150,MAX(0,(L150-M$4)*(1+NORMINV(RAND(),INPUTS!$B$28,INPUTS!$B$29))))</f>
        <v>981557.847085757</v>
      </c>
      <c r="N150" s="89" t="n">
        <f aca="true">IF(N$5=0,M150,MAX(0,(M150-N$4)*(1+NORMINV(RAND(),INPUTS!$B$28,INPUTS!$B$29))))</f>
        <v>1096754.20964363</v>
      </c>
      <c r="O150" s="89" t="n">
        <f aca="true">IF(O$5=0,N150,MAX(0,(N150-O$4)*(1+NORMINV(RAND(),INPUTS!$B$28,INPUTS!$B$29))))</f>
        <v>1023347.86828556</v>
      </c>
      <c r="P150" s="89" t="n">
        <f aca="true">IF(P$5=0,O150,MAX(0,(O150-P$4)*(1+NORMINV(RAND(),INPUTS!$B$28,INPUTS!$B$29))))</f>
        <v>1166842.81491571</v>
      </c>
      <c r="Q150" s="89" t="n">
        <f aca="true">IF(Q$5=0,P150,MAX(0,(P150-Q$4)*(1+NORMINV(RAND(),INPUTS!$B$28,INPUTS!$B$29))))</f>
        <v>1097596.30353593</v>
      </c>
      <c r="R150" s="89" t="n">
        <f aca="true">IF(R$5=0,Q150,MAX(0,(Q150-R$4)*(1+NORMINV(RAND(),INPUTS!$B$28,INPUTS!$B$29))))</f>
        <v>1292240.28557925</v>
      </c>
      <c r="S150" s="89" t="n">
        <f aca="true">IF(S$5=0,R150,MAX(0,(R150-S$4)*(1+NORMINV(RAND(),INPUTS!$B$28,INPUTS!$B$29))))</f>
        <v>1493424.6119053</v>
      </c>
      <c r="T150" s="89" t="n">
        <f aca="true">IF(T$5=0,S150,MAX(0,(S150-T$4)*(1+NORMINV(RAND(),INPUTS!$B$28,INPUTS!$B$29))))</f>
        <v>1780126.30563245</v>
      </c>
      <c r="U150" s="89" t="n">
        <f aca="true">IF(U$5=0,T150,MAX(0,(T150-U$4)*(1+NORMINV(RAND(),INPUTS!$B$28,INPUTS!$B$29))))</f>
        <v>1637554.49628463</v>
      </c>
      <c r="V150" s="89" t="n">
        <f aca="true">IF(V$5=0,U150,MAX(0,(U150-V$4)*(1+NORMINV(RAND(),INPUTS!$B$28,INPUTS!$B$29))))</f>
        <v>1586386.86465648</v>
      </c>
      <c r="W150" s="89" t="n">
        <f aca="true">IF(W$5=0,V150,MAX(0,(V150-W$4)*(1+NORMINV(RAND(),INPUTS!$B$28,INPUTS!$B$29))))</f>
        <v>1752479.95772115</v>
      </c>
      <c r="X150" s="89" t="n">
        <f aca="true">IF(X$5=0,W150,MAX(0,(W150-X$4)*(1+NORMINV(RAND(),INPUTS!$B$28,INPUTS!$B$29))))</f>
        <v>2044415.91449657</v>
      </c>
      <c r="Y150" s="89" t="n">
        <f aca="true">IF(Y$5=0,X150,MAX(0,(X150-Y$4)*(1+NORMINV(RAND(),INPUTS!$B$28,INPUTS!$B$29))))</f>
        <v>2301957.34307564</v>
      </c>
      <c r="Z150" s="89" t="n">
        <f aca="true">IF(Z$5=0,Y150,MAX(0,(Y150-Z$4)*(1+NORMINV(RAND(),INPUTS!$B$28,INPUTS!$B$29))))</f>
        <v>2454339.30277432</v>
      </c>
      <c r="AA150" s="89" t="n">
        <f aca="true">IF(AA$5=0,Z150,MAX(0,(Z150-AA$4)*(1+NORMINV(RAND(),INPUTS!$B$28,INPUTS!$B$29))))</f>
        <v>2171148.41829844</v>
      </c>
      <c r="AB150" s="89" t="n">
        <f aca="true">IF(AB$5=0,AA150,MAX(0,(AA150-AB$4)*(1+NORMINV(RAND(),INPUTS!$B$28,INPUTS!$B$29))))</f>
        <v>2334419.06208141</v>
      </c>
      <c r="AC150" s="89" t="n">
        <f aca="true">IF(AC$5=0,AB150,MAX(0,(AB150-AC$4)*(1+NORMINV(RAND(),INPUTS!$B$28,INPUTS!$B$29))))</f>
        <v>2303378.55029721</v>
      </c>
      <c r="AD150" s="89" t="n">
        <f aca="true">IF(AD$5=0,AC150,MAX(0,(AC150-AD$4)*(1+NORMINV(RAND(),INPUTS!$B$28,INPUTS!$B$29))))</f>
        <v>2530467.812177</v>
      </c>
      <c r="AE150" s="89" t="n">
        <f aca="true">IF(AE$5=0,AD150,MAX(0,(AD150-AE$4)*(1+NORMINV(RAND(),INPUTS!$B$28,INPUTS!$B$29))))</f>
        <v>2651158.45331774</v>
      </c>
      <c r="AF150" s="89" t="n">
        <f aca="true">IF(AF$5=0,AE150,MAX(0,(AE150-AF$4)*(1+NORMINV(RAND(),INPUTS!$B$28,INPUTS!$B$29))))</f>
        <v>2411445.94764329</v>
      </c>
      <c r="AG150" s="89" t="n">
        <f aca="true">IF(AG$5=0,AF150,MAX(0,(AF150-AG$4)*(1+NORMINV(RAND(),INPUTS!$B$28,INPUTS!$B$29))))</f>
        <v>2229389.63344193</v>
      </c>
      <c r="AH150" s="89" t="n">
        <f aca="true">IF(AH$5=0,AG150,MAX(0,(AG150-AH$4)*(1+NORMINV(RAND(),INPUTS!$B$28,INPUTS!$B$29))))</f>
        <v>2420308.52362544</v>
      </c>
      <c r="AI150" s="89" t="n">
        <f aca="true">IF(AI$5=0,AH150,MAX(0,(AH150-AI$4)*(1+NORMINV(RAND(),INPUTS!$B$28,INPUTS!$B$29))))</f>
        <v>2316615.46936094</v>
      </c>
      <c r="AJ150" s="89" t="n">
        <f aca="true">IF(AJ$5=0,AI150,MAX(0,(AI150-AJ$4)*(1+NORMINV(RAND(),INPUTS!$B$28,INPUTS!$B$29))))</f>
        <v>2929660.58247148</v>
      </c>
      <c r="AK150" s="89" t="n">
        <f aca="true">IF(AK$5=0,AJ150,MAX(0,(AJ150-AK$4)*(1+NORMINV(RAND(),INPUTS!$B$28,INPUTS!$B$29))))</f>
        <v>2809378.55382061</v>
      </c>
      <c r="AL150" s="89" t="n">
        <f aca="true">IF(AL$5=0,AK150,MAX(0,(AK150-AL$4)*(1+NORMINV(RAND(),INPUTS!$B$28,INPUTS!$B$29))))</f>
        <v>2861056.84748165</v>
      </c>
      <c r="AM150" s="89" t="n">
        <f aca="true">IF(AM$5=0,AL150,MAX(0,(AL150-AM$4)*(1+NORMINV(RAND(),INPUTS!$B$28,INPUTS!$B$29))))</f>
        <v>2861056.84748165</v>
      </c>
      <c r="AN150" s="89" t="n">
        <f aca="true">IF(AN$5=0,AM150,MAX(0,(AM150-AN$4)*(1+NORMINV(RAND(),INPUTS!$B$28,INPUTS!$B$29))))</f>
        <v>2861056.84748165</v>
      </c>
      <c r="AO150" s="89" t="n">
        <f aca="true">IF(AO$5=0,AN150,MAX(0,(AN150-AO$4)*(1+NORMINV(RAND(),INPUTS!$B$28,INPUTS!$B$29))))</f>
        <v>2861056.84748165</v>
      </c>
      <c r="AP150" s="89" t="n">
        <f aca="true">IF(AP$5=0,AO150,MAX(0,(AO150-AP$4)*(1+NORMINV(RAND(),INPUTS!$B$28,INPUTS!$B$29))))</f>
        <v>2861056.84748165</v>
      </c>
      <c r="AQ150" s="89" t="n">
        <f aca="true">IF(AQ$5=0,AP150,MAX(0,(AP150-AQ$4)*(1+NORMINV(RAND(),INPUTS!$B$28,INPUTS!$B$29))))</f>
        <v>2861056.84748165</v>
      </c>
      <c r="AR150" s="89" t="n">
        <f aca="true">IF(AR$5=0,AQ150,MAX(0,(AQ150-AR$4)*(1+NORMINV(RAND(),INPUTS!$B$28,INPUTS!$B$29))))</f>
        <v>2861056.84748165</v>
      </c>
      <c r="AS150" s="89" t="n">
        <f aca="true">IF(AS$5=0,AR150,MAX(0,(AR150-AS$4)*(1+NORMINV(RAND(),INPUTS!$B$28,INPUTS!$B$29))))</f>
        <v>2861056.84748165</v>
      </c>
      <c r="AT150" s="89" t="n">
        <f aca="true">IF(AT$5=0,AS150,MAX(0,(AS150-AT$4)*(1+NORMINV(RAND(),INPUTS!$B$28,INPUTS!$B$29))))</f>
        <v>2861056.84748165</v>
      </c>
      <c r="AU150" s="89" t="n">
        <f aca="true">IF(AU$5=0,AT150,MAX(0,(AT150-AU$4)*(1+NORMINV(RAND(),INPUTS!$B$28,INPUTS!$B$29))))</f>
        <v>2861056.84748165</v>
      </c>
      <c r="AV150" s="89" t="n">
        <f aca="true">IF(AV$5=0,AU150,MAX(0,(AU150-AV$4)*(1+NORMINV(RAND(),INPUTS!$B$28,INPUTS!$B$29))))</f>
        <v>2861056.84748165</v>
      </c>
      <c r="AW150" s="89" t="n">
        <f aca="true">IF(AW$5=0,AV150,MAX(0,(AV150-AW$4)*(1+NORMINV(RAND(),INPUTS!$B$28,INPUTS!$B$29))))</f>
        <v>2861056.84748165</v>
      </c>
      <c r="AX150" s="89" t="n">
        <f aca="true">IF(AX$5=0,AW150,MAX(0,(AW150-AX$4)*(1+NORMINV(RAND(),INPUTS!$B$28,INPUTS!$B$29))))</f>
        <v>2861056.84748165</v>
      </c>
      <c r="AY150" s="89" t="n">
        <f aca="true">IF(AY$5=0,AX150,MAX(0,(AX150-AY$4)*(1+NORMINV(RAND(),INPUTS!$B$28,INPUTS!$B$29))))</f>
        <v>2861056.84748165</v>
      </c>
      <c r="AZ150" s="89" t="n">
        <f aca="true">IF(AZ$5=0,AY150,MAX(0,(AY150-AZ$4)*(1+NORMINV(RAND(),INPUTS!$B$28,INPUTS!$B$29))))</f>
        <v>2861056.84748165</v>
      </c>
      <c r="BA150" s="89" t="n">
        <f aca="true">IF(BA$5=0,AZ150,MAX(0,(AZ150-BA$4)*(1+NORMINV(RAND(),INPUTS!$B$28,INPUTS!$B$29))))</f>
        <v>2861056.84748165</v>
      </c>
      <c r="BB150" s="89" t="n">
        <f aca="true">IF(BB$5=0,BA150,MAX(0,(BA150-BB$4)*(1+NORMINV(RAND(),INPUTS!$B$28,INPUTS!$B$29))))</f>
        <v>2861056.84748165</v>
      </c>
      <c r="BC150" s="89" t="n">
        <f aca="true">IF(BC$5=0,BB150,MAX(0,(BB150-BC$4)*(1+NORMINV(RAND(),INPUTS!$B$28,INPUTS!$B$29))))</f>
        <v>2861056.84748165</v>
      </c>
      <c r="BD150" s="89" t="n">
        <f aca="true">IF(BD$5=0,BC150,MAX(0,(BC150-BD$4)*(1+NORMINV(RAND(),INPUTS!$B$28,INPUTS!$B$29))))</f>
        <v>2861056.84748165</v>
      </c>
      <c r="BE150" s="89" t="n">
        <f aca="true">IF(BE$5=0,BD150,MAX(0,(BD150-BE$4)*(1+NORMINV(RAND(),INPUTS!$B$28,INPUTS!$B$29))))</f>
        <v>2861056.84748165</v>
      </c>
      <c r="BF150" s="89" t="n">
        <f aca="true">IF(BF$5=0,BE150,MAX(0,(BE150-BF$4)*(1+NORMINV(RAND(),INPUTS!$B$28,INPUTS!$B$29))))</f>
        <v>2861056.84748165</v>
      </c>
      <c r="BG150" s="89" t="n">
        <f aca="true">IF(BG$5=0,BF150,MAX(0,(BF150-BG$4)*(1+NORMINV(RAND(),INPUTS!$B$28,INPUTS!$B$29))))</f>
        <v>2861056.84748165</v>
      </c>
      <c r="BH150" s="89" t="n">
        <f aca="true">IF(BH$5=0,BG150,MAX(0,(BG150-BH$4)*(1+NORMINV(RAND(),INPUTS!$B$28,INPUTS!$B$29))))</f>
        <v>2861056.84748165</v>
      </c>
      <c r="BI150" s="89" t="n">
        <f aca="true">IF(BI$5=0,BH150,MAX(0,(BH150-BI$4)*(1+NORMINV(RAND(),INPUTS!$B$28,INPUTS!$B$29))))</f>
        <v>2861056.84748165</v>
      </c>
      <c r="BJ150" s="89" t="n">
        <f aca="true">IF(BJ$5=0,BI150,MAX(0,(BI150-BJ$4)*(1+NORMINV(RAND(),INPUTS!$B$28,INPUTS!$B$29))))</f>
        <v>2861056.84748165</v>
      </c>
    </row>
    <row r="151" customFormat="false" ht="15" hidden="false" customHeight="true" outlineLevel="0" collapsed="false">
      <c r="A151" s="87" t="n">
        <v>144</v>
      </c>
      <c r="B151" s="88" t="n">
        <f aca="false">LOOKUP(9.99E+307,C151:BJ151)</f>
        <v>2381844.25062202</v>
      </c>
      <c r="C151" s="89" t="n">
        <f aca="true">IF(C$5=0,INPUTS!$B$35,MAX(0,(INPUTS!$B$35-C$4)*(1+NORMINV(RAND(),INPUTS!$B$28,INPUTS!$B$29))))</f>
        <v>1502827.52034889</v>
      </c>
      <c r="D151" s="89" t="n">
        <f aca="true">IF(D$5=0,C151,MAX(0,(C151-D$4)*(1+NORMINV(RAND(),INPUTS!$B$28,INPUTS!$B$29))))</f>
        <v>1571364.86760127</v>
      </c>
      <c r="E151" s="89" t="n">
        <f aca="true">IF(E$5=0,D151,MAX(0,(D151-E$4)*(1+NORMINV(RAND(),INPUTS!$B$28,INPUTS!$B$29))))</f>
        <v>1358457.18242806</v>
      </c>
      <c r="F151" s="89" t="n">
        <f aca="true">IF(F$5=0,E151,MAX(0,(E151-F$4)*(1+NORMINV(RAND(),INPUTS!$B$28,INPUTS!$B$29))))</f>
        <v>1367173.89937765</v>
      </c>
      <c r="G151" s="89" t="n">
        <f aca="true">IF(G$5=0,F151,MAX(0,(F151-G$4)*(1+NORMINV(RAND(),INPUTS!$B$28,INPUTS!$B$29))))</f>
        <v>1456769.76699668</v>
      </c>
      <c r="H151" s="89" t="n">
        <f aca="true">IF(H$5=0,G151,MAX(0,(G151-H$4)*(1+NORMINV(RAND(),INPUTS!$B$28,INPUTS!$B$29))))</f>
        <v>1457783.9319423</v>
      </c>
      <c r="I151" s="89" t="n">
        <f aca="true">IF(I$5=0,H151,MAX(0,(H151-I$4)*(1+NORMINV(RAND(),INPUTS!$B$28,INPUTS!$B$29))))</f>
        <v>1453722.83998516</v>
      </c>
      <c r="J151" s="89" t="n">
        <f aca="true">IF(J$5=0,I151,MAX(0,(I151-J$4)*(1+NORMINV(RAND(),INPUTS!$B$28,INPUTS!$B$29))))</f>
        <v>1505445.05339522</v>
      </c>
      <c r="K151" s="89" t="n">
        <f aca="true">IF(K$5=0,J151,MAX(0,(J151-K$4)*(1+NORMINV(RAND(),INPUTS!$B$28,INPUTS!$B$29))))</f>
        <v>1464715.68856695</v>
      </c>
      <c r="L151" s="89" t="n">
        <f aca="true">IF(L$5=0,K151,MAX(0,(K151-L$4)*(1+NORMINV(RAND(),INPUTS!$B$28,INPUTS!$B$29))))</f>
        <v>1529835.96139482</v>
      </c>
      <c r="M151" s="89" t="n">
        <f aca="true">IF(M$5=0,L151,MAX(0,(L151-M$4)*(1+NORMINV(RAND(),INPUTS!$B$28,INPUTS!$B$29))))</f>
        <v>1441352.20747218</v>
      </c>
      <c r="N151" s="89" t="n">
        <f aca="true">IF(N$5=0,M151,MAX(0,(M151-N$4)*(1+NORMINV(RAND(),INPUTS!$B$28,INPUTS!$B$29))))</f>
        <v>1295258.60210784</v>
      </c>
      <c r="O151" s="89" t="n">
        <f aca="true">IF(O$5=0,N151,MAX(0,(N151-O$4)*(1+NORMINV(RAND(),INPUTS!$B$28,INPUTS!$B$29))))</f>
        <v>1406809.59516868</v>
      </c>
      <c r="P151" s="89" t="n">
        <f aca="true">IF(P$5=0,O151,MAX(0,(O151-P$4)*(1+NORMINV(RAND(),INPUTS!$B$28,INPUTS!$B$29))))</f>
        <v>1418778.41040916</v>
      </c>
      <c r="Q151" s="89" t="n">
        <f aca="true">IF(Q$5=0,P151,MAX(0,(P151-Q$4)*(1+NORMINV(RAND(),INPUTS!$B$28,INPUTS!$B$29))))</f>
        <v>1282443.19886588</v>
      </c>
      <c r="R151" s="89" t="n">
        <f aca="true">IF(R$5=0,Q151,MAX(0,(Q151-R$4)*(1+NORMINV(RAND(),INPUTS!$B$28,INPUTS!$B$29))))</f>
        <v>1416270.34993594</v>
      </c>
      <c r="S151" s="89" t="n">
        <f aca="true">IF(S$5=0,R151,MAX(0,(R151-S$4)*(1+NORMINV(RAND(),INPUTS!$B$28,INPUTS!$B$29))))</f>
        <v>1574896.50780457</v>
      </c>
      <c r="T151" s="89" t="n">
        <f aca="true">IF(T$5=0,S151,MAX(0,(S151-T$4)*(1+NORMINV(RAND(),INPUTS!$B$28,INPUTS!$B$29))))</f>
        <v>1521872.4333239</v>
      </c>
      <c r="U151" s="89" t="n">
        <f aca="true">IF(U$5=0,T151,MAX(0,(T151-U$4)*(1+NORMINV(RAND(),INPUTS!$B$28,INPUTS!$B$29))))</f>
        <v>1512356.62248447</v>
      </c>
      <c r="V151" s="89" t="n">
        <f aca="true">IF(V$5=0,U151,MAX(0,(U151-V$4)*(1+NORMINV(RAND(),INPUTS!$B$28,INPUTS!$B$29))))</f>
        <v>1802292.62052578</v>
      </c>
      <c r="W151" s="89" t="n">
        <f aca="true">IF(W$5=0,V151,MAX(0,(V151-W$4)*(1+NORMINV(RAND(),INPUTS!$B$28,INPUTS!$B$29))))</f>
        <v>1829125.6996807</v>
      </c>
      <c r="X151" s="89" t="n">
        <f aca="true">IF(X$5=0,W151,MAX(0,(W151-X$4)*(1+NORMINV(RAND(),INPUTS!$B$28,INPUTS!$B$29))))</f>
        <v>1921328.22247657</v>
      </c>
      <c r="Y151" s="89" t="n">
        <f aca="true">IF(Y$5=0,X151,MAX(0,(X151-Y$4)*(1+NORMINV(RAND(),INPUTS!$B$28,INPUTS!$B$29))))</f>
        <v>1997720.36394589</v>
      </c>
      <c r="Z151" s="89" t="n">
        <f aca="true">IF(Z$5=0,Y151,MAX(0,(Y151-Z$4)*(1+NORMINV(RAND(),INPUTS!$B$28,INPUTS!$B$29))))</f>
        <v>2362870.18828963</v>
      </c>
      <c r="AA151" s="89" t="n">
        <f aca="true">IF(AA$5=0,Z151,MAX(0,(Z151-AA$4)*(1+NORMINV(RAND(),INPUTS!$B$28,INPUTS!$B$29))))</f>
        <v>2888400.76973239</v>
      </c>
      <c r="AB151" s="89" t="n">
        <f aca="true">IF(AB$5=0,AA151,MAX(0,(AA151-AB$4)*(1+NORMINV(RAND(),INPUTS!$B$28,INPUTS!$B$29))))</f>
        <v>3060991.28351951</v>
      </c>
      <c r="AC151" s="89" t="n">
        <f aca="true">IF(AC$5=0,AB151,MAX(0,(AB151-AC$4)*(1+NORMINV(RAND(),INPUTS!$B$28,INPUTS!$B$29))))</f>
        <v>2284598.34228271</v>
      </c>
      <c r="AD151" s="89" t="n">
        <f aca="true">IF(AD$5=0,AC151,MAX(0,(AC151-AD$4)*(1+NORMINV(RAND(),INPUTS!$B$28,INPUTS!$B$29))))</f>
        <v>2635693.52766846</v>
      </c>
      <c r="AE151" s="89" t="n">
        <f aca="true">IF(AE$5=0,AD151,MAX(0,(AD151-AE$4)*(1+NORMINV(RAND(),INPUTS!$B$28,INPUTS!$B$29))))</f>
        <v>2645646.74211296</v>
      </c>
      <c r="AF151" s="89" t="n">
        <f aca="true">IF(AF$5=0,AE151,MAX(0,(AE151-AF$4)*(1+NORMINV(RAND(),INPUTS!$B$28,INPUTS!$B$29))))</f>
        <v>2836242.14006549</v>
      </c>
      <c r="AG151" s="89" t="n">
        <f aca="true">IF(AG$5=0,AF151,MAX(0,(AF151-AG$4)*(1+NORMINV(RAND(),INPUTS!$B$28,INPUTS!$B$29))))</f>
        <v>2420388.29991139</v>
      </c>
      <c r="AH151" s="89" t="n">
        <f aca="true">IF(AH$5=0,AG151,MAX(0,(AG151-AH$4)*(1+NORMINV(RAND(),INPUTS!$B$28,INPUTS!$B$29))))</f>
        <v>2480609.82839735</v>
      </c>
      <c r="AI151" s="89" t="n">
        <f aca="true">IF(AI$5=0,AH151,MAX(0,(AH151-AI$4)*(1+NORMINV(RAND(),INPUTS!$B$28,INPUTS!$B$29))))</f>
        <v>2878201.26846803</v>
      </c>
      <c r="AJ151" s="89" t="n">
        <f aca="true">IF(AJ$5=0,AI151,MAX(0,(AI151-AJ$4)*(1+NORMINV(RAND(),INPUTS!$B$28,INPUTS!$B$29))))</f>
        <v>2809156.78299644</v>
      </c>
      <c r="AK151" s="89" t="n">
        <f aca="true">IF(AK$5=0,AJ151,MAX(0,(AJ151-AK$4)*(1+NORMINV(RAND(),INPUTS!$B$28,INPUTS!$B$29))))</f>
        <v>2685782.80958133</v>
      </c>
      <c r="AL151" s="89" t="n">
        <f aca="true">IF(AL$5=0,AK151,MAX(0,(AK151-AL$4)*(1+NORMINV(RAND(),INPUTS!$B$28,INPUTS!$B$29))))</f>
        <v>2381844.25062202</v>
      </c>
      <c r="AM151" s="89" t="n">
        <f aca="true">IF(AM$5=0,AL151,MAX(0,(AL151-AM$4)*(1+NORMINV(RAND(),INPUTS!$B$28,INPUTS!$B$29))))</f>
        <v>2381844.25062202</v>
      </c>
      <c r="AN151" s="89" t="n">
        <f aca="true">IF(AN$5=0,AM151,MAX(0,(AM151-AN$4)*(1+NORMINV(RAND(),INPUTS!$B$28,INPUTS!$B$29))))</f>
        <v>2381844.25062202</v>
      </c>
      <c r="AO151" s="89" t="n">
        <f aca="true">IF(AO$5=0,AN151,MAX(0,(AN151-AO$4)*(1+NORMINV(RAND(),INPUTS!$B$28,INPUTS!$B$29))))</f>
        <v>2381844.25062202</v>
      </c>
      <c r="AP151" s="89" t="n">
        <f aca="true">IF(AP$5=0,AO151,MAX(0,(AO151-AP$4)*(1+NORMINV(RAND(),INPUTS!$B$28,INPUTS!$B$29))))</f>
        <v>2381844.25062202</v>
      </c>
      <c r="AQ151" s="89" t="n">
        <f aca="true">IF(AQ$5=0,AP151,MAX(0,(AP151-AQ$4)*(1+NORMINV(RAND(),INPUTS!$B$28,INPUTS!$B$29))))</f>
        <v>2381844.25062202</v>
      </c>
      <c r="AR151" s="89" t="n">
        <f aca="true">IF(AR$5=0,AQ151,MAX(0,(AQ151-AR$4)*(1+NORMINV(RAND(),INPUTS!$B$28,INPUTS!$B$29))))</f>
        <v>2381844.25062202</v>
      </c>
      <c r="AS151" s="89" t="n">
        <f aca="true">IF(AS$5=0,AR151,MAX(0,(AR151-AS$4)*(1+NORMINV(RAND(),INPUTS!$B$28,INPUTS!$B$29))))</f>
        <v>2381844.25062202</v>
      </c>
      <c r="AT151" s="89" t="n">
        <f aca="true">IF(AT$5=0,AS151,MAX(0,(AS151-AT$4)*(1+NORMINV(RAND(),INPUTS!$B$28,INPUTS!$B$29))))</f>
        <v>2381844.25062202</v>
      </c>
      <c r="AU151" s="89" t="n">
        <f aca="true">IF(AU$5=0,AT151,MAX(0,(AT151-AU$4)*(1+NORMINV(RAND(),INPUTS!$B$28,INPUTS!$B$29))))</f>
        <v>2381844.25062202</v>
      </c>
      <c r="AV151" s="89" t="n">
        <f aca="true">IF(AV$5=0,AU151,MAX(0,(AU151-AV$4)*(1+NORMINV(RAND(),INPUTS!$B$28,INPUTS!$B$29))))</f>
        <v>2381844.25062202</v>
      </c>
      <c r="AW151" s="89" t="n">
        <f aca="true">IF(AW$5=0,AV151,MAX(0,(AV151-AW$4)*(1+NORMINV(RAND(),INPUTS!$B$28,INPUTS!$B$29))))</f>
        <v>2381844.25062202</v>
      </c>
      <c r="AX151" s="89" t="n">
        <f aca="true">IF(AX$5=0,AW151,MAX(0,(AW151-AX$4)*(1+NORMINV(RAND(),INPUTS!$B$28,INPUTS!$B$29))))</f>
        <v>2381844.25062202</v>
      </c>
      <c r="AY151" s="89" t="n">
        <f aca="true">IF(AY$5=0,AX151,MAX(0,(AX151-AY$4)*(1+NORMINV(RAND(),INPUTS!$B$28,INPUTS!$B$29))))</f>
        <v>2381844.25062202</v>
      </c>
      <c r="AZ151" s="89" t="n">
        <f aca="true">IF(AZ$5=0,AY151,MAX(0,(AY151-AZ$4)*(1+NORMINV(RAND(),INPUTS!$B$28,INPUTS!$B$29))))</f>
        <v>2381844.25062202</v>
      </c>
      <c r="BA151" s="89" t="n">
        <f aca="true">IF(BA$5=0,AZ151,MAX(0,(AZ151-BA$4)*(1+NORMINV(RAND(),INPUTS!$B$28,INPUTS!$B$29))))</f>
        <v>2381844.25062202</v>
      </c>
      <c r="BB151" s="89" t="n">
        <f aca="true">IF(BB$5=0,BA151,MAX(0,(BA151-BB$4)*(1+NORMINV(RAND(),INPUTS!$B$28,INPUTS!$B$29))))</f>
        <v>2381844.25062202</v>
      </c>
      <c r="BC151" s="89" t="n">
        <f aca="true">IF(BC$5=0,BB151,MAX(0,(BB151-BC$4)*(1+NORMINV(RAND(),INPUTS!$B$28,INPUTS!$B$29))))</f>
        <v>2381844.25062202</v>
      </c>
      <c r="BD151" s="89" t="n">
        <f aca="true">IF(BD$5=0,BC151,MAX(0,(BC151-BD$4)*(1+NORMINV(RAND(),INPUTS!$B$28,INPUTS!$B$29))))</f>
        <v>2381844.25062202</v>
      </c>
      <c r="BE151" s="89" t="n">
        <f aca="true">IF(BE$5=0,BD151,MAX(0,(BD151-BE$4)*(1+NORMINV(RAND(),INPUTS!$B$28,INPUTS!$B$29))))</f>
        <v>2381844.25062202</v>
      </c>
      <c r="BF151" s="89" t="n">
        <f aca="true">IF(BF$5=0,BE151,MAX(0,(BE151-BF$4)*(1+NORMINV(RAND(),INPUTS!$B$28,INPUTS!$B$29))))</f>
        <v>2381844.25062202</v>
      </c>
      <c r="BG151" s="89" t="n">
        <f aca="true">IF(BG$5=0,BF151,MAX(0,(BF151-BG$4)*(1+NORMINV(RAND(),INPUTS!$B$28,INPUTS!$B$29))))</f>
        <v>2381844.25062202</v>
      </c>
      <c r="BH151" s="89" t="n">
        <f aca="true">IF(BH$5=0,BG151,MAX(0,(BG151-BH$4)*(1+NORMINV(RAND(),INPUTS!$B$28,INPUTS!$B$29))))</f>
        <v>2381844.25062202</v>
      </c>
      <c r="BI151" s="89" t="n">
        <f aca="true">IF(BI$5=0,BH151,MAX(0,(BH151-BI$4)*(1+NORMINV(RAND(),INPUTS!$B$28,INPUTS!$B$29))))</f>
        <v>2381844.25062202</v>
      </c>
      <c r="BJ151" s="89" t="n">
        <f aca="true">IF(BJ$5=0,BI151,MAX(0,(BI151-BJ$4)*(1+NORMINV(RAND(),INPUTS!$B$28,INPUTS!$B$29))))</f>
        <v>2381844.25062202</v>
      </c>
    </row>
    <row r="152" customFormat="false" ht="15" hidden="false" customHeight="true" outlineLevel="0" collapsed="false">
      <c r="A152" s="87" t="n">
        <v>145</v>
      </c>
      <c r="B152" s="88" t="n">
        <f aca="false">LOOKUP(9.99E+307,C152:BJ152)</f>
        <v>3305401.0255565</v>
      </c>
      <c r="C152" s="89" t="n">
        <f aca="true">IF(C$5=0,INPUTS!$B$35,MAX(0,(INPUTS!$B$35-C$4)*(1+NORMINV(RAND(),INPUTS!$B$28,INPUTS!$B$29))))</f>
        <v>1663991.00317948</v>
      </c>
      <c r="D152" s="89" t="n">
        <f aca="true">IF(D$5=0,C152,MAX(0,(C152-D$4)*(1+NORMINV(RAND(),INPUTS!$B$28,INPUTS!$B$29))))</f>
        <v>1505315.41052205</v>
      </c>
      <c r="E152" s="89" t="n">
        <f aca="true">IF(E$5=0,D152,MAX(0,(D152-E$4)*(1+NORMINV(RAND(),INPUTS!$B$28,INPUTS!$B$29))))</f>
        <v>1807607.61444962</v>
      </c>
      <c r="F152" s="89" t="n">
        <f aca="true">IF(F$5=0,E152,MAX(0,(E152-F$4)*(1+NORMINV(RAND(),INPUTS!$B$28,INPUTS!$B$29))))</f>
        <v>2087674.3782795</v>
      </c>
      <c r="G152" s="89" t="n">
        <f aca="true">IF(G$5=0,F152,MAX(0,(F152-G$4)*(1+NORMINV(RAND(),INPUTS!$B$28,INPUTS!$B$29))))</f>
        <v>2062523.32845478</v>
      </c>
      <c r="H152" s="89" t="n">
        <f aca="true">IF(H$5=0,G152,MAX(0,(G152-H$4)*(1+NORMINV(RAND(),INPUTS!$B$28,INPUTS!$B$29))))</f>
        <v>1936396.9706698</v>
      </c>
      <c r="I152" s="89" t="n">
        <f aca="true">IF(I$5=0,H152,MAX(0,(H152-I$4)*(1+NORMINV(RAND(),INPUTS!$B$28,INPUTS!$B$29))))</f>
        <v>2045058.20799269</v>
      </c>
      <c r="J152" s="89" t="n">
        <f aca="true">IF(J$5=0,I152,MAX(0,(I152-J$4)*(1+NORMINV(RAND(),INPUTS!$B$28,INPUTS!$B$29))))</f>
        <v>1961554.89721711</v>
      </c>
      <c r="K152" s="89" t="n">
        <f aca="true">IF(K$5=0,J152,MAX(0,(J152-K$4)*(1+NORMINV(RAND(),INPUTS!$B$28,INPUTS!$B$29))))</f>
        <v>1786835.27075448</v>
      </c>
      <c r="L152" s="89" t="n">
        <f aca="true">IF(L$5=0,K152,MAX(0,(K152-L$4)*(1+NORMINV(RAND(),INPUTS!$B$28,INPUTS!$B$29))))</f>
        <v>1877783.49373762</v>
      </c>
      <c r="M152" s="89" t="n">
        <f aca="true">IF(M$5=0,L152,MAX(0,(L152-M$4)*(1+NORMINV(RAND(),INPUTS!$B$28,INPUTS!$B$29))))</f>
        <v>1854480.87313891</v>
      </c>
      <c r="N152" s="89" t="n">
        <f aca="true">IF(N$5=0,M152,MAX(0,(M152-N$4)*(1+NORMINV(RAND(),INPUTS!$B$28,INPUTS!$B$29))))</f>
        <v>2079752.18465026</v>
      </c>
      <c r="O152" s="89" t="n">
        <f aca="true">IF(O$5=0,N152,MAX(0,(N152-O$4)*(1+NORMINV(RAND(),INPUTS!$B$28,INPUTS!$B$29))))</f>
        <v>1994314.6587506</v>
      </c>
      <c r="P152" s="89" t="n">
        <f aca="true">IF(P$5=0,O152,MAX(0,(O152-P$4)*(1+NORMINV(RAND(),INPUTS!$B$28,INPUTS!$B$29))))</f>
        <v>1974900.99957042</v>
      </c>
      <c r="Q152" s="89" t="n">
        <f aca="true">IF(Q$5=0,P152,MAX(0,(P152-Q$4)*(1+NORMINV(RAND(),INPUTS!$B$28,INPUTS!$B$29))))</f>
        <v>2338561.81628947</v>
      </c>
      <c r="R152" s="89" t="n">
        <f aca="true">IF(R$5=0,Q152,MAX(0,(Q152-R$4)*(1+NORMINV(RAND(),INPUTS!$B$28,INPUTS!$B$29))))</f>
        <v>2740131.693395</v>
      </c>
      <c r="S152" s="89" t="n">
        <f aca="true">IF(S$5=0,R152,MAX(0,(R152-S$4)*(1+NORMINV(RAND(),INPUTS!$B$28,INPUTS!$B$29))))</f>
        <v>2762866.9349828</v>
      </c>
      <c r="T152" s="89" t="n">
        <f aca="true">IF(T$5=0,S152,MAX(0,(S152-T$4)*(1+NORMINV(RAND(),INPUTS!$B$28,INPUTS!$B$29))))</f>
        <v>3042973.16029047</v>
      </c>
      <c r="U152" s="89" t="n">
        <f aca="true">IF(U$5=0,T152,MAX(0,(T152-U$4)*(1+NORMINV(RAND(),INPUTS!$B$28,INPUTS!$B$29))))</f>
        <v>2993900.19691173</v>
      </c>
      <c r="V152" s="89" t="n">
        <f aca="true">IF(V$5=0,U152,MAX(0,(U152-V$4)*(1+NORMINV(RAND(),INPUTS!$B$28,INPUTS!$B$29))))</f>
        <v>3359268.80896822</v>
      </c>
      <c r="W152" s="89" t="n">
        <f aca="true">IF(W$5=0,V152,MAX(0,(V152-W$4)*(1+NORMINV(RAND(),INPUTS!$B$28,INPUTS!$B$29))))</f>
        <v>2975587.05715463</v>
      </c>
      <c r="X152" s="89" t="n">
        <f aca="true">IF(X$5=0,W152,MAX(0,(W152-X$4)*(1+NORMINV(RAND(),INPUTS!$B$28,INPUTS!$B$29))))</f>
        <v>2677399.35820491</v>
      </c>
      <c r="Y152" s="89" t="n">
        <f aca="true">IF(Y$5=0,X152,MAX(0,(X152-Y$4)*(1+NORMINV(RAND(),INPUTS!$B$28,INPUTS!$B$29))))</f>
        <v>2497910.51525298</v>
      </c>
      <c r="Z152" s="89" t="n">
        <f aca="true">IF(Z$5=0,Y152,MAX(0,(Y152-Z$4)*(1+NORMINV(RAND(),INPUTS!$B$28,INPUTS!$B$29))))</f>
        <v>2326912.80888996</v>
      </c>
      <c r="AA152" s="89" t="n">
        <f aca="true">IF(AA$5=0,Z152,MAX(0,(Z152-AA$4)*(1+NORMINV(RAND(),INPUTS!$B$28,INPUTS!$B$29))))</f>
        <v>2558178.64191335</v>
      </c>
      <c r="AB152" s="89" t="n">
        <f aca="true">IF(AB$5=0,AA152,MAX(0,(AA152-AB$4)*(1+NORMINV(RAND(),INPUTS!$B$28,INPUTS!$B$29))))</f>
        <v>3214526.00943041</v>
      </c>
      <c r="AC152" s="89" t="n">
        <f aca="true">IF(AC$5=0,AB152,MAX(0,(AB152-AC$4)*(1+NORMINV(RAND(),INPUTS!$B$28,INPUTS!$B$29))))</f>
        <v>2790349.53179767</v>
      </c>
      <c r="AD152" s="89" t="n">
        <f aca="true">IF(AD$5=0,AC152,MAX(0,(AC152-AD$4)*(1+NORMINV(RAND(),INPUTS!$B$28,INPUTS!$B$29))))</f>
        <v>2839958.3331371</v>
      </c>
      <c r="AE152" s="89" t="n">
        <f aca="true">IF(AE$5=0,AD152,MAX(0,(AD152-AE$4)*(1+NORMINV(RAND(),INPUTS!$B$28,INPUTS!$B$29))))</f>
        <v>2583407.22100828</v>
      </c>
      <c r="AF152" s="89" t="n">
        <f aca="true">IF(AF$5=0,AE152,MAX(0,(AE152-AF$4)*(1+NORMINV(RAND(),INPUTS!$B$28,INPUTS!$B$29))))</f>
        <v>2811417.93876806</v>
      </c>
      <c r="AG152" s="89" t="n">
        <f aca="true">IF(AG$5=0,AF152,MAX(0,(AF152-AG$4)*(1+NORMINV(RAND(),INPUTS!$B$28,INPUTS!$B$29))))</f>
        <v>2734490.44379799</v>
      </c>
      <c r="AH152" s="89" t="n">
        <f aca="true">IF(AH$5=0,AG152,MAX(0,(AG152-AH$4)*(1+NORMINV(RAND(),INPUTS!$B$28,INPUTS!$B$29))))</f>
        <v>2973666.3256893</v>
      </c>
      <c r="AI152" s="89" t="n">
        <f aca="true">IF(AI$5=0,AH152,MAX(0,(AH152-AI$4)*(1+NORMINV(RAND(),INPUTS!$B$28,INPUTS!$B$29))))</f>
        <v>2589904.87452072</v>
      </c>
      <c r="AJ152" s="89" t="n">
        <f aca="true">IF(AJ$5=0,AI152,MAX(0,(AI152-AJ$4)*(1+NORMINV(RAND(),INPUTS!$B$28,INPUTS!$B$29))))</f>
        <v>2701948.74866975</v>
      </c>
      <c r="AK152" s="89" t="n">
        <f aca="true">IF(AK$5=0,AJ152,MAX(0,(AJ152-AK$4)*(1+NORMINV(RAND(),INPUTS!$B$28,INPUTS!$B$29))))</f>
        <v>2856603.37411749</v>
      </c>
      <c r="AL152" s="89" t="n">
        <f aca="true">IF(AL$5=0,AK152,MAX(0,(AK152-AL$4)*(1+NORMINV(RAND(),INPUTS!$B$28,INPUTS!$B$29))))</f>
        <v>3305401.0255565</v>
      </c>
      <c r="AM152" s="89" t="n">
        <f aca="true">IF(AM$5=0,AL152,MAX(0,(AL152-AM$4)*(1+NORMINV(RAND(),INPUTS!$B$28,INPUTS!$B$29))))</f>
        <v>3305401.0255565</v>
      </c>
      <c r="AN152" s="89" t="n">
        <f aca="true">IF(AN$5=0,AM152,MAX(0,(AM152-AN$4)*(1+NORMINV(RAND(),INPUTS!$B$28,INPUTS!$B$29))))</f>
        <v>3305401.0255565</v>
      </c>
      <c r="AO152" s="89" t="n">
        <f aca="true">IF(AO$5=0,AN152,MAX(0,(AN152-AO$4)*(1+NORMINV(RAND(),INPUTS!$B$28,INPUTS!$B$29))))</f>
        <v>3305401.0255565</v>
      </c>
      <c r="AP152" s="89" t="n">
        <f aca="true">IF(AP$5=0,AO152,MAX(0,(AO152-AP$4)*(1+NORMINV(RAND(),INPUTS!$B$28,INPUTS!$B$29))))</f>
        <v>3305401.0255565</v>
      </c>
      <c r="AQ152" s="89" t="n">
        <f aca="true">IF(AQ$5=0,AP152,MAX(0,(AP152-AQ$4)*(1+NORMINV(RAND(),INPUTS!$B$28,INPUTS!$B$29))))</f>
        <v>3305401.0255565</v>
      </c>
      <c r="AR152" s="89" t="n">
        <f aca="true">IF(AR$5=0,AQ152,MAX(0,(AQ152-AR$4)*(1+NORMINV(RAND(),INPUTS!$B$28,INPUTS!$B$29))))</f>
        <v>3305401.0255565</v>
      </c>
      <c r="AS152" s="89" t="n">
        <f aca="true">IF(AS$5=0,AR152,MAX(0,(AR152-AS$4)*(1+NORMINV(RAND(),INPUTS!$B$28,INPUTS!$B$29))))</f>
        <v>3305401.0255565</v>
      </c>
      <c r="AT152" s="89" t="n">
        <f aca="true">IF(AT$5=0,AS152,MAX(0,(AS152-AT$4)*(1+NORMINV(RAND(),INPUTS!$B$28,INPUTS!$B$29))))</f>
        <v>3305401.0255565</v>
      </c>
      <c r="AU152" s="89" t="n">
        <f aca="true">IF(AU$5=0,AT152,MAX(0,(AT152-AU$4)*(1+NORMINV(RAND(),INPUTS!$B$28,INPUTS!$B$29))))</f>
        <v>3305401.0255565</v>
      </c>
      <c r="AV152" s="89" t="n">
        <f aca="true">IF(AV$5=0,AU152,MAX(0,(AU152-AV$4)*(1+NORMINV(RAND(),INPUTS!$B$28,INPUTS!$B$29))))</f>
        <v>3305401.0255565</v>
      </c>
      <c r="AW152" s="89" t="n">
        <f aca="true">IF(AW$5=0,AV152,MAX(0,(AV152-AW$4)*(1+NORMINV(RAND(),INPUTS!$B$28,INPUTS!$B$29))))</f>
        <v>3305401.0255565</v>
      </c>
      <c r="AX152" s="89" t="n">
        <f aca="true">IF(AX$5=0,AW152,MAX(0,(AW152-AX$4)*(1+NORMINV(RAND(),INPUTS!$B$28,INPUTS!$B$29))))</f>
        <v>3305401.0255565</v>
      </c>
      <c r="AY152" s="89" t="n">
        <f aca="true">IF(AY$5=0,AX152,MAX(0,(AX152-AY$4)*(1+NORMINV(RAND(),INPUTS!$B$28,INPUTS!$B$29))))</f>
        <v>3305401.0255565</v>
      </c>
      <c r="AZ152" s="89" t="n">
        <f aca="true">IF(AZ$5=0,AY152,MAX(0,(AY152-AZ$4)*(1+NORMINV(RAND(),INPUTS!$B$28,INPUTS!$B$29))))</f>
        <v>3305401.0255565</v>
      </c>
      <c r="BA152" s="89" t="n">
        <f aca="true">IF(BA$5=0,AZ152,MAX(0,(AZ152-BA$4)*(1+NORMINV(RAND(),INPUTS!$B$28,INPUTS!$B$29))))</f>
        <v>3305401.0255565</v>
      </c>
      <c r="BB152" s="89" t="n">
        <f aca="true">IF(BB$5=0,BA152,MAX(0,(BA152-BB$4)*(1+NORMINV(RAND(),INPUTS!$B$28,INPUTS!$B$29))))</f>
        <v>3305401.0255565</v>
      </c>
      <c r="BC152" s="89" t="n">
        <f aca="true">IF(BC$5=0,BB152,MAX(0,(BB152-BC$4)*(1+NORMINV(RAND(),INPUTS!$B$28,INPUTS!$B$29))))</f>
        <v>3305401.0255565</v>
      </c>
      <c r="BD152" s="89" t="n">
        <f aca="true">IF(BD$5=0,BC152,MAX(0,(BC152-BD$4)*(1+NORMINV(RAND(),INPUTS!$B$28,INPUTS!$B$29))))</f>
        <v>3305401.0255565</v>
      </c>
      <c r="BE152" s="89" t="n">
        <f aca="true">IF(BE$5=0,BD152,MAX(0,(BD152-BE$4)*(1+NORMINV(RAND(),INPUTS!$B$28,INPUTS!$B$29))))</f>
        <v>3305401.0255565</v>
      </c>
      <c r="BF152" s="89" t="n">
        <f aca="true">IF(BF$5=0,BE152,MAX(0,(BE152-BF$4)*(1+NORMINV(RAND(),INPUTS!$B$28,INPUTS!$B$29))))</f>
        <v>3305401.0255565</v>
      </c>
      <c r="BG152" s="89" t="n">
        <f aca="true">IF(BG$5=0,BF152,MAX(0,(BF152-BG$4)*(1+NORMINV(RAND(),INPUTS!$B$28,INPUTS!$B$29))))</f>
        <v>3305401.0255565</v>
      </c>
      <c r="BH152" s="89" t="n">
        <f aca="true">IF(BH$5=0,BG152,MAX(0,(BG152-BH$4)*(1+NORMINV(RAND(),INPUTS!$B$28,INPUTS!$B$29))))</f>
        <v>3305401.0255565</v>
      </c>
      <c r="BI152" s="89" t="n">
        <f aca="true">IF(BI$5=0,BH152,MAX(0,(BH152-BI$4)*(1+NORMINV(RAND(),INPUTS!$B$28,INPUTS!$B$29))))</f>
        <v>3305401.0255565</v>
      </c>
      <c r="BJ152" s="89" t="n">
        <f aca="true">IF(BJ$5=0,BI152,MAX(0,(BI152-BJ$4)*(1+NORMINV(RAND(),INPUTS!$B$28,INPUTS!$B$29))))</f>
        <v>3305401.0255565</v>
      </c>
    </row>
    <row r="153" customFormat="false" ht="15" hidden="false" customHeight="true" outlineLevel="0" collapsed="false">
      <c r="A153" s="87" t="n">
        <v>146</v>
      </c>
      <c r="B153" s="88" t="n">
        <f aca="false">LOOKUP(9.99E+307,C153:BJ153)</f>
        <v>8408306.2351929</v>
      </c>
      <c r="C153" s="89" t="n">
        <f aca="true">IF(C$5=0,INPUTS!$B$35,MAX(0,(INPUTS!$B$35-C$4)*(1+NORMINV(RAND(),INPUTS!$B$28,INPUTS!$B$29))))</f>
        <v>1565713.50034702</v>
      </c>
      <c r="D153" s="89" t="n">
        <f aca="true">IF(D$5=0,C153,MAX(0,(C153-D$4)*(1+NORMINV(RAND(),INPUTS!$B$28,INPUTS!$B$29))))</f>
        <v>1560429.01033102</v>
      </c>
      <c r="E153" s="89" t="n">
        <f aca="true">IF(E$5=0,D153,MAX(0,(D153-E$4)*(1+NORMINV(RAND(),INPUTS!$B$28,INPUTS!$B$29))))</f>
        <v>1457506.00418911</v>
      </c>
      <c r="F153" s="89" t="n">
        <f aca="true">IF(F$5=0,E153,MAX(0,(E153-F$4)*(1+NORMINV(RAND(),INPUTS!$B$28,INPUTS!$B$29))))</f>
        <v>1850855.38794903</v>
      </c>
      <c r="G153" s="89" t="n">
        <f aca="true">IF(G$5=0,F153,MAX(0,(F153-G$4)*(1+NORMINV(RAND(),INPUTS!$B$28,INPUTS!$B$29))))</f>
        <v>2084849.56203619</v>
      </c>
      <c r="H153" s="89" t="n">
        <f aca="true">IF(H$5=0,G153,MAX(0,(G153-H$4)*(1+NORMINV(RAND(),INPUTS!$B$28,INPUTS!$B$29))))</f>
        <v>2190321.88681315</v>
      </c>
      <c r="I153" s="89" t="n">
        <f aca="true">IF(I$5=0,H153,MAX(0,(H153-I$4)*(1+NORMINV(RAND(),INPUTS!$B$28,INPUTS!$B$29))))</f>
        <v>2016016.28440044</v>
      </c>
      <c r="J153" s="89" t="n">
        <f aca="true">IF(J$5=0,I153,MAX(0,(I153-J$4)*(1+NORMINV(RAND(),INPUTS!$B$28,INPUTS!$B$29))))</f>
        <v>2263092.78528233</v>
      </c>
      <c r="K153" s="89" t="n">
        <f aca="true">IF(K$5=0,J153,MAX(0,(J153-K$4)*(1+NORMINV(RAND(),INPUTS!$B$28,INPUTS!$B$29))))</f>
        <v>2503747.43635032</v>
      </c>
      <c r="L153" s="89" t="n">
        <f aca="true">IF(L$5=0,K153,MAX(0,(K153-L$4)*(1+NORMINV(RAND(),INPUTS!$B$28,INPUTS!$B$29))))</f>
        <v>2339521.30125076</v>
      </c>
      <c r="M153" s="89" t="n">
        <f aca="true">IF(M$5=0,L153,MAX(0,(L153-M$4)*(1+NORMINV(RAND(),INPUTS!$B$28,INPUTS!$B$29))))</f>
        <v>2447922.02044449</v>
      </c>
      <c r="N153" s="89" t="n">
        <f aca="true">IF(N$5=0,M153,MAX(0,(M153-N$4)*(1+NORMINV(RAND(),INPUTS!$B$28,INPUTS!$B$29))))</f>
        <v>2256119.96756784</v>
      </c>
      <c r="O153" s="89" t="n">
        <f aca="true">IF(O$5=0,N153,MAX(0,(N153-O$4)*(1+NORMINV(RAND(),INPUTS!$B$28,INPUTS!$B$29))))</f>
        <v>2351620.50486888</v>
      </c>
      <c r="P153" s="89" t="n">
        <f aca="true">IF(P$5=0,O153,MAX(0,(O153-P$4)*(1+NORMINV(RAND(),INPUTS!$B$28,INPUTS!$B$29))))</f>
        <v>2256004.93264879</v>
      </c>
      <c r="Q153" s="89" t="n">
        <f aca="true">IF(Q$5=0,P153,MAX(0,(P153-Q$4)*(1+NORMINV(RAND(),INPUTS!$B$28,INPUTS!$B$29))))</f>
        <v>2432234.43615377</v>
      </c>
      <c r="R153" s="89" t="n">
        <f aca="true">IF(R$5=0,Q153,MAX(0,(Q153-R$4)*(1+NORMINV(RAND(),INPUTS!$B$28,INPUTS!$B$29))))</f>
        <v>2325530.92433368</v>
      </c>
      <c r="S153" s="89" t="n">
        <f aca="true">IF(S$5=0,R153,MAX(0,(R153-S$4)*(1+NORMINV(RAND(),INPUTS!$B$28,INPUTS!$B$29))))</f>
        <v>2675977.41727121</v>
      </c>
      <c r="T153" s="89" t="n">
        <f aca="true">IF(T$5=0,S153,MAX(0,(S153-T$4)*(1+NORMINV(RAND(),INPUTS!$B$28,INPUTS!$B$29))))</f>
        <v>2821927.31905839</v>
      </c>
      <c r="U153" s="89" t="n">
        <f aca="true">IF(U$5=0,T153,MAX(0,(T153-U$4)*(1+NORMINV(RAND(),INPUTS!$B$28,INPUTS!$B$29))))</f>
        <v>3110739.60084378</v>
      </c>
      <c r="V153" s="89" t="n">
        <f aca="true">IF(V$5=0,U153,MAX(0,(U153-V$4)*(1+NORMINV(RAND(),INPUTS!$B$28,INPUTS!$B$29))))</f>
        <v>2988871.60628923</v>
      </c>
      <c r="W153" s="89" t="n">
        <f aca="true">IF(W$5=0,V153,MAX(0,(V153-W$4)*(1+NORMINV(RAND(),INPUTS!$B$28,INPUTS!$B$29))))</f>
        <v>3885536.52775135</v>
      </c>
      <c r="X153" s="89" t="n">
        <f aca="true">IF(X$5=0,W153,MAX(0,(W153-X$4)*(1+NORMINV(RAND(),INPUTS!$B$28,INPUTS!$B$29))))</f>
        <v>4093147.27841351</v>
      </c>
      <c r="Y153" s="89" t="n">
        <f aca="true">IF(Y$5=0,X153,MAX(0,(X153-Y$4)*(1+NORMINV(RAND(),INPUTS!$B$28,INPUTS!$B$29))))</f>
        <v>4834078.32499257</v>
      </c>
      <c r="Z153" s="89" t="n">
        <f aca="true">IF(Z$5=0,Y153,MAX(0,(Y153-Z$4)*(1+NORMINV(RAND(),INPUTS!$B$28,INPUTS!$B$29))))</f>
        <v>4716525.32730093</v>
      </c>
      <c r="AA153" s="89" t="n">
        <f aca="true">IF(AA$5=0,Z153,MAX(0,(Z153-AA$4)*(1+NORMINV(RAND(),INPUTS!$B$28,INPUTS!$B$29))))</f>
        <v>5604631.96988756</v>
      </c>
      <c r="AB153" s="89" t="n">
        <f aca="true">IF(AB$5=0,AA153,MAX(0,(AA153-AB$4)*(1+NORMINV(RAND(),INPUTS!$B$28,INPUTS!$B$29))))</f>
        <v>5314076.29683623</v>
      </c>
      <c r="AC153" s="89" t="n">
        <f aca="true">IF(AC$5=0,AB153,MAX(0,(AB153-AC$4)*(1+NORMINV(RAND(),INPUTS!$B$28,INPUTS!$B$29))))</f>
        <v>5524468.28300707</v>
      </c>
      <c r="AD153" s="89" t="n">
        <f aca="true">IF(AD$5=0,AC153,MAX(0,(AC153-AD$4)*(1+NORMINV(RAND(),INPUTS!$B$28,INPUTS!$B$29))))</f>
        <v>5924738.07326512</v>
      </c>
      <c r="AE153" s="89" t="n">
        <f aca="true">IF(AE$5=0,AD153,MAX(0,(AD153-AE$4)*(1+NORMINV(RAND(),INPUTS!$B$28,INPUTS!$B$29))))</f>
        <v>6039465.12342024</v>
      </c>
      <c r="AF153" s="89" t="n">
        <f aca="true">IF(AF$5=0,AE153,MAX(0,(AE153-AF$4)*(1+NORMINV(RAND(),INPUTS!$B$28,INPUTS!$B$29))))</f>
        <v>5787798.74781511</v>
      </c>
      <c r="AG153" s="89" t="n">
        <f aca="true">IF(AG$5=0,AF153,MAX(0,(AF153-AG$4)*(1+NORMINV(RAND(),INPUTS!$B$28,INPUTS!$B$29))))</f>
        <v>6684845.5346989</v>
      </c>
      <c r="AH153" s="89" t="n">
        <f aca="true">IF(AH$5=0,AG153,MAX(0,(AG153-AH$4)*(1+NORMINV(RAND(),INPUTS!$B$28,INPUTS!$B$29))))</f>
        <v>7736076.87870604</v>
      </c>
      <c r="AI153" s="89" t="n">
        <f aca="true">IF(AI$5=0,AH153,MAX(0,(AH153-AI$4)*(1+NORMINV(RAND(),INPUTS!$B$28,INPUTS!$B$29))))</f>
        <v>7689500.78883261</v>
      </c>
      <c r="AJ153" s="89" t="n">
        <f aca="true">IF(AJ$5=0,AI153,MAX(0,(AI153-AJ$4)*(1+NORMINV(RAND(),INPUTS!$B$28,INPUTS!$B$29))))</f>
        <v>6630869.81165815</v>
      </c>
      <c r="AK153" s="89" t="n">
        <f aca="true">IF(AK$5=0,AJ153,MAX(0,(AJ153-AK$4)*(1+NORMINV(RAND(),INPUTS!$B$28,INPUTS!$B$29))))</f>
        <v>7983892.91400679</v>
      </c>
      <c r="AL153" s="89" t="n">
        <f aca="true">IF(AL$5=0,AK153,MAX(0,(AK153-AL$4)*(1+NORMINV(RAND(),INPUTS!$B$28,INPUTS!$B$29))))</f>
        <v>8408306.2351929</v>
      </c>
      <c r="AM153" s="89" t="n">
        <f aca="true">IF(AM$5=0,AL153,MAX(0,(AL153-AM$4)*(1+NORMINV(RAND(),INPUTS!$B$28,INPUTS!$B$29))))</f>
        <v>8408306.2351929</v>
      </c>
      <c r="AN153" s="89" t="n">
        <f aca="true">IF(AN$5=0,AM153,MAX(0,(AM153-AN$4)*(1+NORMINV(RAND(),INPUTS!$B$28,INPUTS!$B$29))))</f>
        <v>8408306.2351929</v>
      </c>
      <c r="AO153" s="89" t="n">
        <f aca="true">IF(AO$5=0,AN153,MAX(0,(AN153-AO$4)*(1+NORMINV(RAND(),INPUTS!$B$28,INPUTS!$B$29))))</f>
        <v>8408306.2351929</v>
      </c>
      <c r="AP153" s="89" t="n">
        <f aca="true">IF(AP$5=0,AO153,MAX(0,(AO153-AP$4)*(1+NORMINV(RAND(),INPUTS!$B$28,INPUTS!$B$29))))</f>
        <v>8408306.2351929</v>
      </c>
      <c r="AQ153" s="89" t="n">
        <f aca="true">IF(AQ$5=0,AP153,MAX(0,(AP153-AQ$4)*(1+NORMINV(RAND(),INPUTS!$B$28,INPUTS!$B$29))))</f>
        <v>8408306.2351929</v>
      </c>
      <c r="AR153" s="89" t="n">
        <f aca="true">IF(AR$5=0,AQ153,MAX(0,(AQ153-AR$4)*(1+NORMINV(RAND(),INPUTS!$B$28,INPUTS!$B$29))))</f>
        <v>8408306.2351929</v>
      </c>
      <c r="AS153" s="89" t="n">
        <f aca="true">IF(AS$5=0,AR153,MAX(0,(AR153-AS$4)*(1+NORMINV(RAND(),INPUTS!$B$28,INPUTS!$B$29))))</f>
        <v>8408306.2351929</v>
      </c>
      <c r="AT153" s="89" t="n">
        <f aca="true">IF(AT$5=0,AS153,MAX(0,(AS153-AT$4)*(1+NORMINV(RAND(),INPUTS!$B$28,INPUTS!$B$29))))</f>
        <v>8408306.2351929</v>
      </c>
      <c r="AU153" s="89" t="n">
        <f aca="true">IF(AU$5=0,AT153,MAX(0,(AT153-AU$4)*(1+NORMINV(RAND(),INPUTS!$B$28,INPUTS!$B$29))))</f>
        <v>8408306.2351929</v>
      </c>
      <c r="AV153" s="89" t="n">
        <f aca="true">IF(AV$5=0,AU153,MAX(0,(AU153-AV$4)*(1+NORMINV(RAND(),INPUTS!$B$28,INPUTS!$B$29))))</f>
        <v>8408306.2351929</v>
      </c>
      <c r="AW153" s="89" t="n">
        <f aca="true">IF(AW$5=0,AV153,MAX(0,(AV153-AW$4)*(1+NORMINV(RAND(),INPUTS!$B$28,INPUTS!$B$29))))</f>
        <v>8408306.2351929</v>
      </c>
      <c r="AX153" s="89" t="n">
        <f aca="true">IF(AX$5=0,AW153,MAX(0,(AW153-AX$4)*(1+NORMINV(RAND(),INPUTS!$B$28,INPUTS!$B$29))))</f>
        <v>8408306.2351929</v>
      </c>
      <c r="AY153" s="89" t="n">
        <f aca="true">IF(AY$5=0,AX153,MAX(0,(AX153-AY$4)*(1+NORMINV(RAND(),INPUTS!$B$28,INPUTS!$B$29))))</f>
        <v>8408306.2351929</v>
      </c>
      <c r="AZ153" s="89" t="n">
        <f aca="true">IF(AZ$5=0,AY153,MAX(0,(AY153-AZ$4)*(1+NORMINV(RAND(),INPUTS!$B$28,INPUTS!$B$29))))</f>
        <v>8408306.2351929</v>
      </c>
      <c r="BA153" s="89" t="n">
        <f aca="true">IF(BA$5=0,AZ153,MAX(0,(AZ153-BA$4)*(1+NORMINV(RAND(),INPUTS!$B$28,INPUTS!$B$29))))</f>
        <v>8408306.2351929</v>
      </c>
      <c r="BB153" s="89" t="n">
        <f aca="true">IF(BB$5=0,BA153,MAX(0,(BA153-BB$4)*(1+NORMINV(RAND(),INPUTS!$B$28,INPUTS!$B$29))))</f>
        <v>8408306.2351929</v>
      </c>
      <c r="BC153" s="89" t="n">
        <f aca="true">IF(BC$5=0,BB153,MAX(0,(BB153-BC$4)*(1+NORMINV(RAND(),INPUTS!$B$28,INPUTS!$B$29))))</f>
        <v>8408306.2351929</v>
      </c>
      <c r="BD153" s="89" t="n">
        <f aca="true">IF(BD$5=0,BC153,MAX(0,(BC153-BD$4)*(1+NORMINV(RAND(),INPUTS!$B$28,INPUTS!$B$29))))</f>
        <v>8408306.2351929</v>
      </c>
      <c r="BE153" s="89" t="n">
        <f aca="true">IF(BE$5=0,BD153,MAX(0,(BD153-BE$4)*(1+NORMINV(RAND(),INPUTS!$B$28,INPUTS!$B$29))))</f>
        <v>8408306.2351929</v>
      </c>
      <c r="BF153" s="89" t="n">
        <f aca="true">IF(BF$5=0,BE153,MAX(0,(BE153-BF$4)*(1+NORMINV(RAND(),INPUTS!$B$28,INPUTS!$B$29))))</f>
        <v>8408306.2351929</v>
      </c>
      <c r="BG153" s="89" t="n">
        <f aca="true">IF(BG$5=0,BF153,MAX(0,(BF153-BG$4)*(1+NORMINV(RAND(),INPUTS!$B$28,INPUTS!$B$29))))</f>
        <v>8408306.2351929</v>
      </c>
      <c r="BH153" s="89" t="n">
        <f aca="true">IF(BH$5=0,BG153,MAX(0,(BG153-BH$4)*(1+NORMINV(RAND(),INPUTS!$B$28,INPUTS!$B$29))))</f>
        <v>8408306.2351929</v>
      </c>
      <c r="BI153" s="89" t="n">
        <f aca="true">IF(BI$5=0,BH153,MAX(0,(BH153-BI$4)*(1+NORMINV(RAND(),INPUTS!$B$28,INPUTS!$B$29))))</f>
        <v>8408306.2351929</v>
      </c>
      <c r="BJ153" s="89" t="n">
        <f aca="true">IF(BJ$5=0,BI153,MAX(0,(BI153-BJ$4)*(1+NORMINV(RAND(),INPUTS!$B$28,INPUTS!$B$29))))</f>
        <v>8408306.2351929</v>
      </c>
    </row>
    <row r="154" customFormat="false" ht="15" hidden="false" customHeight="true" outlineLevel="0" collapsed="false">
      <c r="A154" s="87" t="n">
        <v>147</v>
      </c>
      <c r="B154" s="88" t="n">
        <f aca="false">LOOKUP(9.99E+307,C154:BJ154)</f>
        <v>12590291.5190672</v>
      </c>
      <c r="C154" s="89" t="n">
        <f aca="true">IF(C$5=0,INPUTS!$B$35,MAX(0,(INPUTS!$B$35-C$4)*(1+NORMINV(RAND(),INPUTS!$B$28,INPUTS!$B$29))))</f>
        <v>1887584.2405573</v>
      </c>
      <c r="D154" s="89" t="n">
        <f aca="true">IF(D$5=0,C154,MAX(0,(C154-D$4)*(1+NORMINV(RAND(),INPUTS!$B$28,INPUTS!$B$29))))</f>
        <v>2144853.91094363</v>
      </c>
      <c r="E154" s="89" t="n">
        <f aca="true">IF(E$5=0,D154,MAX(0,(D154-E$4)*(1+NORMINV(RAND(),INPUTS!$B$28,INPUTS!$B$29))))</f>
        <v>2258561.59216036</v>
      </c>
      <c r="F154" s="89" t="n">
        <f aca="true">IF(F$5=0,E154,MAX(0,(E154-F$4)*(1+NORMINV(RAND(),INPUTS!$B$28,INPUTS!$B$29))))</f>
        <v>2594478.79476744</v>
      </c>
      <c r="G154" s="89" t="n">
        <f aca="true">IF(G$5=0,F154,MAX(0,(F154-G$4)*(1+NORMINV(RAND(),INPUTS!$B$28,INPUTS!$B$29))))</f>
        <v>2631085.51939916</v>
      </c>
      <c r="H154" s="89" t="n">
        <f aca="true">IF(H$5=0,G154,MAX(0,(G154-H$4)*(1+NORMINV(RAND(),INPUTS!$B$28,INPUTS!$B$29))))</f>
        <v>2843822.66389537</v>
      </c>
      <c r="I154" s="89" t="n">
        <f aca="true">IF(I$5=0,H154,MAX(0,(H154-I$4)*(1+NORMINV(RAND(),INPUTS!$B$28,INPUTS!$B$29))))</f>
        <v>2704812.64562474</v>
      </c>
      <c r="J154" s="89" t="n">
        <f aca="true">IF(J$5=0,I154,MAX(0,(I154-J$4)*(1+NORMINV(RAND(),INPUTS!$B$28,INPUTS!$B$29))))</f>
        <v>2727075.45013407</v>
      </c>
      <c r="K154" s="89" t="n">
        <f aca="true">IF(K$5=0,J154,MAX(0,(J154-K$4)*(1+NORMINV(RAND(),INPUTS!$B$28,INPUTS!$B$29))))</f>
        <v>2409585.09262833</v>
      </c>
      <c r="L154" s="89" t="n">
        <f aca="true">IF(L$5=0,K154,MAX(0,(K154-L$4)*(1+NORMINV(RAND(),INPUTS!$B$28,INPUTS!$B$29))))</f>
        <v>2656911.32701231</v>
      </c>
      <c r="M154" s="89" t="n">
        <f aca="true">IF(M$5=0,L154,MAX(0,(L154-M$4)*(1+NORMINV(RAND(),INPUTS!$B$28,INPUTS!$B$29))))</f>
        <v>2897112.24241215</v>
      </c>
      <c r="N154" s="89" t="n">
        <f aca="true">IF(N$5=0,M154,MAX(0,(M154-N$4)*(1+NORMINV(RAND(),INPUTS!$B$28,INPUTS!$B$29))))</f>
        <v>3271464.71032206</v>
      </c>
      <c r="O154" s="89" t="n">
        <f aca="true">IF(O$5=0,N154,MAX(0,(N154-O$4)*(1+NORMINV(RAND(),INPUTS!$B$28,INPUTS!$B$29))))</f>
        <v>3337315.86267413</v>
      </c>
      <c r="P154" s="89" t="n">
        <f aca="true">IF(P$5=0,O154,MAX(0,(O154-P$4)*(1+NORMINV(RAND(),INPUTS!$B$28,INPUTS!$B$29))))</f>
        <v>3792219.50125422</v>
      </c>
      <c r="Q154" s="89" t="n">
        <f aca="true">IF(Q$5=0,P154,MAX(0,(P154-Q$4)*(1+NORMINV(RAND(),INPUTS!$B$28,INPUTS!$B$29))))</f>
        <v>3665964.15342602</v>
      </c>
      <c r="R154" s="89" t="n">
        <f aca="true">IF(R$5=0,Q154,MAX(0,(Q154-R$4)*(1+NORMINV(RAND(),INPUTS!$B$28,INPUTS!$B$29))))</f>
        <v>3795372.84411159</v>
      </c>
      <c r="S154" s="89" t="n">
        <f aca="true">IF(S$5=0,R154,MAX(0,(R154-S$4)*(1+NORMINV(RAND(),INPUTS!$B$28,INPUTS!$B$29))))</f>
        <v>3908442.34622146</v>
      </c>
      <c r="T154" s="89" t="n">
        <f aca="true">IF(T$5=0,S154,MAX(0,(S154-T$4)*(1+NORMINV(RAND(),INPUTS!$B$28,INPUTS!$B$29))))</f>
        <v>4770100.15822741</v>
      </c>
      <c r="U154" s="89" t="n">
        <f aca="true">IF(U$5=0,T154,MAX(0,(T154-U$4)*(1+NORMINV(RAND(),INPUTS!$B$28,INPUTS!$B$29))))</f>
        <v>5726054.70890241</v>
      </c>
      <c r="V154" s="89" t="n">
        <f aca="true">IF(V$5=0,U154,MAX(0,(U154-V$4)*(1+NORMINV(RAND(),INPUTS!$B$28,INPUTS!$B$29))))</f>
        <v>5511180.09827503</v>
      </c>
      <c r="W154" s="89" t="n">
        <f aca="true">IF(W$5=0,V154,MAX(0,(V154-W$4)*(1+NORMINV(RAND(),INPUTS!$B$28,INPUTS!$B$29))))</f>
        <v>6325047.70015248</v>
      </c>
      <c r="X154" s="89" t="n">
        <f aca="true">IF(X$5=0,W154,MAX(0,(W154-X$4)*(1+NORMINV(RAND(),INPUTS!$B$28,INPUTS!$B$29))))</f>
        <v>6876566.20459831</v>
      </c>
      <c r="Y154" s="89" t="n">
        <f aca="true">IF(Y$5=0,X154,MAX(0,(X154-Y$4)*(1+NORMINV(RAND(),INPUTS!$B$28,INPUTS!$B$29))))</f>
        <v>6489224.18158574</v>
      </c>
      <c r="Z154" s="89" t="n">
        <f aca="true">IF(Z$5=0,Y154,MAX(0,(Y154-Z$4)*(1+NORMINV(RAND(),INPUTS!$B$28,INPUTS!$B$29))))</f>
        <v>6411066.86470914</v>
      </c>
      <c r="AA154" s="89" t="n">
        <f aca="true">IF(AA$5=0,Z154,MAX(0,(Z154-AA$4)*(1+NORMINV(RAND(),INPUTS!$B$28,INPUTS!$B$29))))</f>
        <v>8432942.81746808</v>
      </c>
      <c r="AB154" s="89" t="n">
        <f aca="true">IF(AB$5=0,AA154,MAX(0,(AA154-AB$4)*(1+NORMINV(RAND(),INPUTS!$B$28,INPUTS!$B$29))))</f>
        <v>8297379.05735703</v>
      </c>
      <c r="AC154" s="89" t="n">
        <f aca="true">IF(AC$5=0,AB154,MAX(0,(AB154-AC$4)*(1+NORMINV(RAND(),INPUTS!$B$28,INPUTS!$B$29))))</f>
        <v>9477190.51117214</v>
      </c>
      <c r="AD154" s="89" t="n">
        <f aca="true">IF(AD$5=0,AC154,MAX(0,(AC154-AD$4)*(1+NORMINV(RAND(),INPUTS!$B$28,INPUTS!$B$29))))</f>
        <v>10165055.0637114</v>
      </c>
      <c r="AE154" s="89" t="n">
        <f aca="true">IF(AE$5=0,AD154,MAX(0,(AD154-AE$4)*(1+NORMINV(RAND(),INPUTS!$B$28,INPUTS!$B$29))))</f>
        <v>11092566.0174216</v>
      </c>
      <c r="AF154" s="89" t="n">
        <f aca="true">IF(AF$5=0,AE154,MAX(0,(AE154-AF$4)*(1+NORMINV(RAND(),INPUTS!$B$28,INPUTS!$B$29))))</f>
        <v>10847219.607937</v>
      </c>
      <c r="AG154" s="89" t="n">
        <f aca="true">IF(AG$5=0,AF154,MAX(0,(AF154-AG$4)*(1+NORMINV(RAND(),INPUTS!$B$28,INPUTS!$B$29))))</f>
        <v>12112089.0165695</v>
      </c>
      <c r="AH154" s="89" t="n">
        <f aca="true">IF(AH$5=0,AG154,MAX(0,(AG154-AH$4)*(1+NORMINV(RAND(),INPUTS!$B$28,INPUTS!$B$29))))</f>
        <v>10681333.9871963</v>
      </c>
      <c r="AI154" s="89" t="n">
        <f aca="true">IF(AI$5=0,AH154,MAX(0,(AH154-AI$4)*(1+NORMINV(RAND(),INPUTS!$B$28,INPUTS!$B$29))))</f>
        <v>10496690.4358709</v>
      </c>
      <c r="AJ154" s="89" t="n">
        <f aca="true">IF(AJ$5=0,AI154,MAX(0,(AI154-AJ$4)*(1+NORMINV(RAND(),INPUTS!$B$28,INPUTS!$B$29))))</f>
        <v>10330576.7104912</v>
      </c>
      <c r="AK154" s="89" t="n">
        <f aca="true">IF(AK$5=0,AJ154,MAX(0,(AJ154-AK$4)*(1+NORMINV(RAND(),INPUTS!$B$28,INPUTS!$B$29))))</f>
        <v>12020281.0785247</v>
      </c>
      <c r="AL154" s="89" t="n">
        <f aca="true">IF(AL$5=0,AK154,MAX(0,(AK154-AL$4)*(1+NORMINV(RAND(),INPUTS!$B$28,INPUTS!$B$29))))</f>
        <v>12590291.5190672</v>
      </c>
      <c r="AM154" s="89" t="n">
        <f aca="true">IF(AM$5=0,AL154,MAX(0,(AL154-AM$4)*(1+NORMINV(RAND(),INPUTS!$B$28,INPUTS!$B$29))))</f>
        <v>12590291.5190672</v>
      </c>
      <c r="AN154" s="89" t="n">
        <f aca="true">IF(AN$5=0,AM154,MAX(0,(AM154-AN$4)*(1+NORMINV(RAND(),INPUTS!$B$28,INPUTS!$B$29))))</f>
        <v>12590291.5190672</v>
      </c>
      <c r="AO154" s="89" t="n">
        <f aca="true">IF(AO$5=0,AN154,MAX(0,(AN154-AO$4)*(1+NORMINV(RAND(),INPUTS!$B$28,INPUTS!$B$29))))</f>
        <v>12590291.5190672</v>
      </c>
      <c r="AP154" s="89" t="n">
        <f aca="true">IF(AP$5=0,AO154,MAX(0,(AO154-AP$4)*(1+NORMINV(RAND(),INPUTS!$B$28,INPUTS!$B$29))))</f>
        <v>12590291.5190672</v>
      </c>
      <c r="AQ154" s="89" t="n">
        <f aca="true">IF(AQ$5=0,AP154,MAX(0,(AP154-AQ$4)*(1+NORMINV(RAND(),INPUTS!$B$28,INPUTS!$B$29))))</f>
        <v>12590291.5190672</v>
      </c>
      <c r="AR154" s="89" t="n">
        <f aca="true">IF(AR$5=0,AQ154,MAX(0,(AQ154-AR$4)*(1+NORMINV(RAND(),INPUTS!$B$28,INPUTS!$B$29))))</f>
        <v>12590291.5190672</v>
      </c>
      <c r="AS154" s="89" t="n">
        <f aca="true">IF(AS$5=0,AR154,MAX(0,(AR154-AS$4)*(1+NORMINV(RAND(),INPUTS!$B$28,INPUTS!$B$29))))</f>
        <v>12590291.5190672</v>
      </c>
      <c r="AT154" s="89" t="n">
        <f aca="true">IF(AT$5=0,AS154,MAX(0,(AS154-AT$4)*(1+NORMINV(RAND(),INPUTS!$B$28,INPUTS!$B$29))))</f>
        <v>12590291.5190672</v>
      </c>
      <c r="AU154" s="89" t="n">
        <f aca="true">IF(AU$5=0,AT154,MAX(0,(AT154-AU$4)*(1+NORMINV(RAND(),INPUTS!$B$28,INPUTS!$B$29))))</f>
        <v>12590291.5190672</v>
      </c>
      <c r="AV154" s="89" t="n">
        <f aca="true">IF(AV$5=0,AU154,MAX(0,(AU154-AV$4)*(1+NORMINV(RAND(),INPUTS!$B$28,INPUTS!$B$29))))</f>
        <v>12590291.5190672</v>
      </c>
      <c r="AW154" s="89" t="n">
        <f aca="true">IF(AW$5=0,AV154,MAX(0,(AV154-AW$4)*(1+NORMINV(RAND(),INPUTS!$B$28,INPUTS!$B$29))))</f>
        <v>12590291.5190672</v>
      </c>
      <c r="AX154" s="89" t="n">
        <f aca="true">IF(AX$5=0,AW154,MAX(0,(AW154-AX$4)*(1+NORMINV(RAND(),INPUTS!$B$28,INPUTS!$B$29))))</f>
        <v>12590291.5190672</v>
      </c>
      <c r="AY154" s="89" t="n">
        <f aca="true">IF(AY$5=0,AX154,MAX(0,(AX154-AY$4)*(1+NORMINV(RAND(),INPUTS!$B$28,INPUTS!$B$29))))</f>
        <v>12590291.5190672</v>
      </c>
      <c r="AZ154" s="89" t="n">
        <f aca="true">IF(AZ$5=0,AY154,MAX(0,(AY154-AZ$4)*(1+NORMINV(RAND(),INPUTS!$B$28,INPUTS!$B$29))))</f>
        <v>12590291.5190672</v>
      </c>
      <c r="BA154" s="89" t="n">
        <f aca="true">IF(BA$5=0,AZ154,MAX(0,(AZ154-BA$4)*(1+NORMINV(RAND(),INPUTS!$B$28,INPUTS!$B$29))))</f>
        <v>12590291.5190672</v>
      </c>
      <c r="BB154" s="89" t="n">
        <f aca="true">IF(BB$5=0,BA154,MAX(0,(BA154-BB$4)*(1+NORMINV(RAND(),INPUTS!$B$28,INPUTS!$B$29))))</f>
        <v>12590291.5190672</v>
      </c>
      <c r="BC154" s="89" t="n">
        <f aca="true">IF(BC$5=0,BB154,MAX(0,(BB154-BC$4)*(1+NORMINV(RAND(),INPUTS!$B$28,INPUTS!$B$29))))</f>
        <v>12590291.5190672</v>
      </c>
      <c r="BD154" s="89" t="n">
        <f aca="true">IF(BD$5=0,BC154,MAX(0,(BC154-BD$4)*(1+NORMINV(RAND(),INPUTS!$B$28,INPUTS!$B$29))))</f>
        <v>12590291.5190672</v>
      </c>
      <c r="BE154" s="89" t="n">
        <f aca="true">IF(BE$5=0,BD154,MAX(0,(BD154-BE$4)*(1+NORMINV(RAND(),INPUTS!$B$28,INPUTS!$B$29))))</f>
        <v>12590291.5190672</v>
      </c>
      <c r="BF154" s="89" t="n">
        <f aca="true">IF(BF$5=0,BE154,MAX(0,(BE154-BF$4)*(1+NORMINV(RAND(),INPUTS!$B$28,INPUTS!$B$29))))</f>
        <v>12590291.5190672</v>
      </c>
      <c r="BG154" s="89" t="n">
        <f aca="true">IF(BG$5=0,BF154,MAX(0,(BF154-BG$4)*(1+NORMINV(RAND(),INPUTS!$B$28,INPUTS!$B$29))))</f>
        <v>12590291.5190672</v>
      </c>
      <c r="BH154" s="89" t="n">
        <f aca="true">IF(BH$5=0,BG154,MAX(0,(BG154-BH$4)*(1+NORMINV(RAND(),INPUTS!$B$28,INPUTS!$B$29))))</f>
        <v>12590291.5190672</v>
      </c>
      <c r="BI154" s="89" t="n">
        <f aca="true">IF(BI$5=0,BH154,MAX(0,(BH154-BI$4)*(1+NORMINV(RAND(),INPUTS!$B$28,INPUTS!$B$29))))</f>
        <v>12590291.5190672</v>
      </c>
      <c r="BJ154" s="89" t="n">
        <f aca="true">IF(BJ$5=0,BI154,MAX(0,(BI154-BJ$4)*(1+NORMINV(RAND(),INPUTS!$B$28,INPUTS!$B$29))))</f>
        <v>12590291.5190672</v>
      </c>
    </row>
    <row r="155" customFormat="false" ht="15" hidden="false" customHeight="true" outlineLevel="0" collapsed="false">
      <c r="A155" s="87" t="n">
        <v>148</v>
      </c>
      <c r="B155" s="88" t="n">
        <f aca="false">LOOKUP(9.99E+307,C155:BJ155)</f>
        <v>2021143.29895116</v>
      </c>
      <c r="C155" s="89" t="n">
        <f aca="true">IF(C$5=0,INPUTS!$B$35,MAX(0,(INPUTS!$B$35-C$4)*(1+NORMINV(RAND(),INPUTS!$B$28,INPUTS!$B$29))))</f>
        <v>1166747.59299719</v>
      </c>
      <c r="D155" s="89" t="n">
        <f aca="true">IF(D$5=0,C155,MAX(0,(C155-D$4)*(1+NORMINV(RAND(),INPUTS!$B$28,INPUTS!$B$29))))</f>
        <v>1329680.7635332</v>
      </c>
      <c r="E155" s="89" t="n">
        <f aca="true">IF(E$5=0,D155,MAX(0,(D155-E$4)*(1+NORMINV(RAND(),INPUTS!$B$28,INPUTS!$B$29))))</f>
        <v>1360946.2492614</v>
      </c>
      <c r="F155" s="89" t="n">
        <f aca="true">IF(F$5=0,E155,MAX(0,(E155-F$4)*(1+NORMINV(RAND(),INPUTS!$B$28,INPUTS!$B$29))))</f>
        <v>1400188.04318067</v>
      </c>
      <c r="G155" s="89" t="n">
        <f aca="true">IF(G$5=0,F155,MAX(0,(F155-G$4)*(1+NORMINV(RAND(),INPUTS!$B$28,INPUTS!$B$29))))</f>
        <v>1210622.02310498</v>
      </c>
      <c r="H155" s="89" t="n">
        <f aca="true">IF(H$5=0,G155,MAX(0,(G155-H$4)*(1+NORMINV(RAND(),INPUTS!$B$28,INPUTS!$B$29))))</f>
        <v>1205729.70363553</v>
      </c>
      <c r="I155" s="89" t="n">
        <f aca="true">IF(I$5=0,H155,MAX(0,(H155-I$4)*(1+NORMINV(RAND(),INPUTS!$B$28,INPUTS!$B$29))))</f>
        <v>1129963.98398064</v>
      </c>
      <c r="J155" s="89" t="n">
        <f aca="true">IF(J$5=0,I155,MAX(0,(I155-J$4)*(1+NORMINV(RAND(),INPUTS!$B$28,INPUTS!$B$29))))</f>
        <v>1338019.41445377</v>
      </c>
      <c r="K155" s="89" t="n">
        <f aca="true">IF(K$5=0,J155,MAX(0,(J155-K$4)*(1+NORMINV(RAND(),INPUTS!$B$28,INPUTS!$B$29))))</f>
        <v>1403371.31187332</v>
      </c>
      <c r="L155" s="89" t="n">
        <f aca="true">IF(L$5=0,K155,MAX(0,(K155-L$4)*(1+NORMINV(RAND(),INPUTS!$B$28,INPUTS!$B$29))))</f>
        <v>1097843.6782183</v>
      </c>
      <c r="M155" s="89" t="n">
        <f aca="true">IF(M$5=0,L155,MAX(0,(L155-M$4)*(1+NORMINV(RAND(),INPUTS!$B$28,INPUTS!$B$29))))</f>
        <v>941508.69697756</v>
      </c>
      <c r="N155" s="89" t="n">
        <f aca="true">IF(N$5=0,M155,MAX(0,(M155-N$4)*(1+NORMINV(RAND(),INPUTS!$B$28,INPUTS!$B$29))))</f>
        <v>852932.811400043</v>
      </c>
      <c r="O155" s="89" t="n">
        <f aca="true">IF(O$5=0,N155,MAX(0,(N155-O$4)*(1+NORMINV(RAND(),INPUTS!$B$28,INPUTS!$B$29))))</f>
        <v>935639.54669681</v>
      </c>
      <c r="P155" s="89" t="n">
        <f aca="true">IF(P$5=0,O155,MAX(0,(O155-P$4)*(1+NORMINV(RAND(),INPUTS!$B$28,INPUTS!$B$29))))</f>
        <v>913093.826121973</v>
      </c>
      <c r="Q155" s="89" t="n">
        <f aca="true">IF(Q$5=0,P155,MAX(0,(P155-Q$4)*(1+NORMINV(RAND(),INPUTS!$B$28,INPUTS!$B$29))))</f>
        <v>927572.821088656</v>
      </c>
      <c r="R155" s="89" t="n">
        <f aca="true">IF(R$5=0,Q155,MAX(0,(Q155-R$4)*(1+NORMINV(RAND(),INPUTS!$B$28,INPUTS!$B$29))))</f>
        <v>918179.455302541</v>
      </c>
      <c r="S155" s="89" t="n">
        <f aca="true">IF(S$5=0,R155,MAX(0,(R155-S$4)*(1+NORMINV(RAND(),INPUTS!$B$28,INPUTS!$B$29))))</f>
        <v>974578.76377614</v>
      </c>
      <c r="T155" s="89" t="n">
        <f aca="true">IF(T$5=0,S155,MAX(0,(S155-T$4)*(1+NORMINV(RAND(),INPUTS!$B$28,INPUTS!$B$29))))</f>
        <v>1028549.69918815</v>
      </c>
      <c r="U155" s="89" t="n">
        <f aca="true">IF(U$5=0,T155,MAX(0,(T155-U$4)*(1+NORMINV(RAND(),INPUTS!$B$28,INPUTS!$B$29))))</f>
        <v>1051593.97666326</v>
      </c>
      <c r="V155" s="89" t="n">
        <f aca="true">IF(V$5=0,U155,MAX(0,(U155-V$4)*(1+NORMINV(RAND(),INPUTS!$B$28,INPUTS!$B$29))))</f>
        <v>950210.689355467</v>
      </c>
      <c r="W155" s="89" t="n">
        <f aca="true">IF(W$5=0,V155,MAX(0,(V155-W$4)*(1+NORMINV(RAND(),INPUTS!$B$28,INPUTS!$B$29))))</f>
        <v>869153.768703706</v>
      </c>
      <c r="X155" s="89" t="n">
        <f aca="true">IF(X$5=0,W155,MAX(0,(W155-X$4)*(1+NORMINV(RAND(),INPUTS!$B$28,INPUTS!$B$29))))</f>
        <v>832989.754825648</v>
      </c>
      <c r="Y155" s="89" t="n">
        <f aca="true">IF(Y$5=0,X155,MAX(0,(X155-Y$4)*(1+NORMINV(RAND(),INPUTS!$B$28,INPUTS!$B$29))))</f>
        <v>842268.342226865</v>
      </c>
      <c r="Z155" s="89" t="n">
        <f aca="true">IF(Z$5=0,Y155,MAX(0,(Y155-Z$4)*(1+NORMINV(RAND(),INPUTS!$B$28,INPUTS!$B$29))))</f>
        <v>911818.094395536</v>
      </c>
      <c r="AA155" s="89" t="n">
        <f aca="true">IF(AA$5=0,Z155,MAX(0,(Z155-AA$4)*(1+NORMINV(RAND(),INPUTS!$B$28,INPUTS!$B$29))))</f>
        <v>1046920.04375397</v>
      </c>
      <c r="AB155" s="89" t="n">
        <f aca="true">IF(AB$5=0,AA155,MAX(0,(AA155-AB$4)*(1+NORMINV(RAND(),INPUTS!$B$28,INPUTS!$B$29))))</f>
        <v>1085016.89618562</v>
      </c>
      <c r="AC155" s="89" t="n">
        <f aca="true">IF(AC$5=0,AB155,MAX(0,(AB155-AC$4)*(1+NORMINV(RAND(),INPUTS!$B$28,INPUTS!$B$29))))</f>
        <v>1076485.74570103</v>
      </c>
      <c r="AD155" s="89" t="n">
        <f aca="true">IF(AD$5=0,AC155,MAX(0,(AC155-AD$4)*(1+NORMINV(RAND(),INPUTS!$B$28,INPUTS!$B$29))))</f>
        <v>1406718.84304412</v>
      </c>
      <c r="AE155" s="89" t="n">
        <f aca="true">IF(AE$5=0,AD155,MAX(0,(AD155-AE$4)*(1+NORMINV(RAND(),INPUTS!$B$28,INPUTS!$B$29))))</f>
        <v>1778214.79441064</v>
      </c>
      <c r="AF155" s="89" t="n">
        <f aca="true">IF(AF$5=0,AE155,MAX(0,(AE155-AF$4)*(1+NORMINV(RAND(),INPUTS!$B$28,INPUTS!$B$29))))</f>
        <v>1776575.51924781</v>
      </c>
      <c r="AG155" s="89" t="n">
        <f aca="true">IF(AG$5=0,AF155,MAX(0,(AF155-AG$4)*(1+NORMINV(RAND(),INPUTS!$B$28,INPUTS!$B$29))))</f>
        <v>1957195.93907692</v>
      </c>
      <c r="AH155" s="89" t="n">
        <f aca="true">IF(AH$5=0,AG155,MAX(0,(AG155-AH$4)*(1+NORMINV(RAND(),INPUTS!$B$28,INPUTS!$B$29))))</f>
        <v>1681349.78138252</v>
      </c>
      <c r="AI155" s="89" t="n">
        <f aca="true">IF(AI$5=0,AH155,MAX(0,(AH155-AI$4)*(1+NORMINV(RAND(),INPUTS!$B$28,INPUTS!$B$29))))</f>
        <v>1817899.19048062</v>
      </c>
      <c r="AJ155" s="89" t="n">
        <f aca="true">IF(AJ$5=0,AI155,MAX(0,(AI155-AJ$4)*(1+NORMINV(RAND(),INPUTS!$B$28,INPUTS!$B$29))))</f>
        <v>1828676.53194681</v>
      </c>
      <c r="AK155" s="89" t="n">
        <f aca="true">IF(AK$5=0,AJ155,MAX(0,(AJ155-AK$4)*(1+NORMINV(RAND(),INPUTS!$B$28,INPUTS!$B$29))))</f>
        <v>1934232.32748128</v>
      </c>
      <c r="AL155" s="89" t="n">
        <f aca="true">IF(AL$5=0,AK155,MAX(0,(AK155-AL$4)*(1+NORMINV(RAND(),INPUTS!$B$28,INPUTS!$B$29))))</f>
        <v>2021143.29895116</v>
      </c>
      <c r="AM155" s="89" t="n">
        <f aca="true">IF(AM$5=0,AL155,MAX(0,(AL155-AM$4)*(1+NORMINV(RAND(),INPUTS!$B$28,INPUTS!$B$29))))</f>
        <v>2021143.29895116</v>
      </c>
      <c r="AN155" s="89" t="n">
        <f aca="true">IF(AN$5=0,AM155,MAX(0,(AM155-AN$4)*(1+NORMINV(RAND(),INPUTS!$B$28,INPUTS!$B$29))))</f>
        <v>2021143.29895116</v>
      </c>
      <c r="AO155" s="89" t="n">
        <f aca="true">IF(AO$5=0,AN155,MAX(0,(AN155-AO$4)*(1+NORMINV(RAND(),INPUTS!$B$28,INPUTS!$B$29))))</f>
        <v>2021143.29895116</v>
      </c>
      <c r="AP155" s="89" t="n">
        <f aca="true">IF(AP$5=0,AO155,MAX(0,(AO155-AP$4)*(1+NORMINV(RAND(),INPUTS!$B$28,INPUTS!$B$29))))</f>
        <v>2021143.29895116</v>
      </c>
      <c r="AQ155" s="89" t="n">
        <f aca="true">IF(AQ$5=0,AP155,MAX(0,(AP155-AQ$4)*(1+NORMINV(RAND(),INPUTS!$B$28,INPUTS!$B$29))))</f>
        <v>2021143.29895116</v>
      </c>
      <c r="AR155" s="89" t="n">
        <f aca="true">IF(AR$5=0,AQ155,MAX(0,(AQ155-AR$4)*(1+NORMINV(RAND(),INPUTS!$B$28,INPUTS!$B$29))))</f>
        <v>2021143.29895116</v>
      </c>
      <c r="AS155" s="89" t="n">
        <f aca="true">IF(AS$5=0,AR155,MAX(0,(AR155-AS$4)*(1+NORMINV(RAND(),INPUTS!$B$28,INPUTS!$B$29))))</f>
        <v>2021143.29895116</v>
      </c>
      <c r="AT155" s="89" t="n">
        <f aca="true">IF(AT$5=0,AS155,MAX(0,(AS155-AT$4)*(1+NORMINV(RAND(),INPUTS!$B$28,INPUTS!$B$29))))</f>
        <v>2021143.29895116</v>
      </c>
      <c r="AU155" s="89" t="n">
        <f aca="true">IF(AU$5=0,AT155,MAX(0,(AT155-AU$4)*(1+NORMINV(RAND(),INPUTS!$B$28,INPUTS!$B$29))))</f>
        <v>2021143.29895116</v>
      </c>
      <c r="AV155" s="89" t="n">
        <f aca="true">IF(AV$5=0,AU155,MAX(0,(AU155-AV$4)*(1+NORMINV(RAND(),INPUTS!$B$28,INPUTS!$B$29))))</f>
        <v>2021143.29895116</v>
      </c>
      <c r="AW155" s="89" t="n">
        <f aca="true">IF(AW$5=0,AV155,MAX(0,(AV155-AW$4)*(1+NORMINV(RAND(),INPUTS!$B$28,INPUTS!$B$29))))</f>
        <v>2021143.29895116</v>
      </c>
      <c r="AX155" s="89" t="n">
        <f aca="true">IF(AX$5=0,AW155,MAX(0,(AW155-AX$4)*(1+NORMINV(RAND(),INPUTS!$B$28,INPUTS!$B$29))))</f>
        <v>2021143.29895116</v>
      </c>
      <c r="AY155" s="89" t="n">
        <f aca="true">IF(AY$5=0,AX155,MAX(0,(AX155-AY$4)*(1+NORMINV(RAND(),INPUTS!$B$28,INPUTS!$B$29))))</f>
        <v>2021143.29895116</v>
      </c>
      <c r="AZ155" s="89" t="n">
        <f aca="true">IF(AZ$5=0,AY155,MAX(0,(AY155-AZ$4)*(1+NORMINV(RAND(),INPUTS!$B$28,INPUTS!$B$29))))</f>
        <v>2021143.29895116</v>
      </c>
      <c r="BA155" s="89" t="n">
        <f aca="true">IF(BA$5=0,AZ155,MAX(0,(AZ155-BA$4)*(1+NORMINV(RAND(),INPUTS!$B$28,INPUTS!$B$29))))</f>
        <v>2021143.29895116</v>
      </c>
      <c r="BB155" s="89" t="n">
        <f aca="true">IF(BB$5=0,BA155,MAX(0,(BA155-BB$4)*(1+NORMINV(RAND(),INPUTS!$B$28,INPUTS!$B$29))))</f>
        <v>2021143.29895116</v>
      </c>
      <c r="BC155" s="89" t="n">
        <f aca="true">IF(BC$5=0,BB155,MAX(0,(BB155-BC$4)*(1+NORMINV(RAND(),INPUTS!$B$28,INPUTS!$B$29))))</f>
        <v>2021143.29895116</v>
      </c>
      <c r="BD155" s="89" t="n">
        <f aca="true">IF(BD$5=0,BC155,MAX(0,(BC155-BD$4)*(1+NORMINV(RAND(),INPUTS!$B$28,INPUTS!$B$29))))</f>
        <v>2021143.29895116</v>
      </c>
      <c r="BE155" s="89" t="n">
        <f aca="true">IF(BE$5=0,BD155,MAX(0,(BD155-BE$4)*(1+NORMINV(RAND(),INPUTS!$B$28,INPUTS!$B$29))))</f>
        <v>2021143.29895116</v>
      </c>
      <c r="BF155" s="89" t="n">
        <f aca="true">IF(BF$5=0,BE155,MAX(0,(BE155-BF$4)*(1+NORMINV(RAND(),INPUTS!$B$28,INPUTS!$B$29))))</f>
        <v>2021143.29895116</v>
      </c>
      <c r="BG155" s="89" t="n">
        <f aca="true">IF(BG$5=0,BF155,MAX(0,(BF155-BG$4)*(1+NORMINV(RAND(),INPUTS!$B$28,INPUTS!$B$29))))</f>
        <v>2021143.29895116</v>
      </c>
      <c r="BH155" s="89" t="n">
        <f aca="true">IF(BH$5=0,BG155,MAX(0,(BG155-BH$4)*(1+NORMINV(RAND(),INPUTS!$B$28,INPUTS!$B$29))))</f>
        <v>2021143.29895116</v>
      </c>
      <c r="BI155" s="89" t="n">
        <f aca="true">IF(BI$5=0,BH155,MAX(0,(BH155-BI$4)*(1+NORMINV(RAND(),INPUTS!$B$28,INPUTS!$B$29))))</f>
        <v>2021143.29895116</v>
      </c>
      <c r="BJ155" s="89" t="n">
        <f aca="true">IF(BJ$5=0,BI155,MAX(0,(BI155-BJ$4)*(1+NORMINV(RAND(),INPUTS!$B$28,INPUTS!$B$29))))</f>
        <v>2021143.29895116</v>
      </c>
    </row>
    <row r="156" customFormat="false" ht="15" hidden="false" customHeight="true" outlineLevel="0" collapsed="false">
      <c r="A156" s="87" t="n">
        <v>149</v>
      </c>
      <c r="B156" s="88" t="n">
        <f aca="false">LOOKUP(9.99E+307,C156:BJ156)</f>
        <v>100442.317989703</v>
      </c>
      <c r="C156" s="89" t="n">
        <f aca="true">IF(C$5=0,INPUTS!$B$35,MAX(0,(INPUTS!$B$35-C$4)*(1+NORMINV(RAND(),INPUTS!$B$28,INPUTS!$B$29))))</f>
        <v>1622611.71968483</v>
      </c>
      <c r="D156" s="89" t="n">
        <f aca="true">IF(D$5=0,C156,MAX(0,(C156-D$4)*(1+NORMINV(RAND(),INPUTS!$B$28,INPUTS!$B$29))))</f>
        <v>1513576.09528195</v>
      </c>
      <c r="E156" s="89" t="n">
        <f aca="true">IF(E$5=0,D156,MAX(0,(D156-E$4)*(1+NORMINV(RAND(),INPUTS!$B$28,INPUTS!$B$29))))</f>
        <v>1782185.54305267</v>
      </c>
      <c r="F156" s="89" t="n">
        <f aca="true">IF(F$5=0,E156,MAX(0,(E156-F$4)*(1+NORMINV(RAND(),INPUTS!$B$28,INPUTS!$B$29))))</f>
        <v>1962622.33211217</v>
      </c>
      <c r="G156" s="89" t="n">
        <f aca="true">IF(G$5=0,F156,MAX(0,(F156-G$4)*(1+NORMINV(RAND(),INPUTS!$B$28,INPUTS!$B$29))))</f>
        <v>1858798.26197303</v>
      </c>
      <c r="H156" s="89" t="n">
        <f aca="true">IF(H$5=0,G156,MAX(0,(G156-H$4)*(1+NORMINV(RAND(),INPUTS!$B$28,INPUTS!$B$29))))</f>
        <v>2250975.61993276</v>
      </c>
      <c r="I156" s="89" t="n">
        <f aca="true">IF(I$5=0,H156,MAX(0,(H156-I$4)*(1+NORMINV(RAND(),INPUTS!$B$28,INPUTS!$B$29))))</f>
        <v>1978859.94792431</v>
      </c>
      <c r="J156" s="89" t="n">
        <f aca="true">IF(J$5=0,I156,MAX(0,(I156-J$4)*(1+NORMINV(RAND(),INPUTS!$B$28,INPUTS!$B$29))))</f>
        <v>1867765.78626074</v>
      </c>
      <c r="K156" s="89" t="n">
        <f aca="true">IF(K$5=0,J156,MAX(0,(J156-K$4)*(1+NORMINV(RAND(),INPUTS!$B$28,INPUTS!$B$29))))</f>
        <v>1544842.60113125</v>
      </c>
      <c r="L156" s="89" t="n">
        <f aca="true">IF(L$5=0,K156,MAX(0,(K156-L$4)*(1+NORMINV(RAND(),INPUTS!$B$28,INPUTS!$B$29))))</f>
        <v>1592888.33754001</v>
      </c>
      <c r="M156" s="89" t="n">
        <f aca="true">IF(M$5=0,L156,MAX(0,(L156-M$4)*(1+NORMINV(RAND(),INPUTS!$B$28,INPUTS!$B$29))))</f>
        <v>1510147.52254111</v>
      </c>
      <c r="N156" s="89" t="n">
        <f aca="true">IF(N$5=0,M156,MAX(0,(M156-N$4)*(1+NORMINV(RAND(),INPUTS!$B$28,INPUTS!$B$29))))</f>
        <v>1429681.4751478</v>
      </c>
      <c r="O156" s="89" t="n">
        <f aca="true">IF(O$5=0,N156,MAX(0,(N156-O$4)*(1+NORMINV(RAND(),INPUTS!$B$28,INPUTS!$B$29))))</f>
        <v>1655621.08878237</v>
      </c>
      <c r="P156" s="89" t="n">
        <f aca="true">IF(P$5=0,O156,MAX(0,(O156-P$4)*(1+NORMINV(RAND(),INPUTS!$B$28,INPUTS!$B$29))))</f>
        <v>1556949.77912657</v>
      </c>
      <c r="Q156" s="89" t="n">
        <f aca="true">IF(Q$5=0,P156,MAX(0,(P156-Q$4)*(1+NORMINV(RAND(),INPUTS!$B$28,INPUTS!$B$29))))</f>
        <v>1389127.70463222</v>
      </c>
      <c r="R156" s="89" t="n">
        <f aca="true">IF(R$5=0,Q156,MAX(0,(Q156-R$4)*(1+NORMINV(RAND(),INPUTS!$B$28,INPUTS!$B$29))))</f>
        <v>1201088.34657671</v>
      </c>
      <c r="S156" s="89" t="n">
        <f aca="true">IF(S$5=0,R156,MAX(0,(R156-S$4)*(1+NORMINV(RAND(),INPUTS!$B$28,INPUTS!$B$29))))</f>
        <v>1327226.11949235</v>
      </c>
      <c r="T156" s="89" t="n">
        <f aca="true">IF(T$5=0,S156,MAX(0,(S156-T$4)*(1+NORMINV(RAND(),INPUTS!$B$28,INPUTS!$B$29))))</f>
        <v>1260515.43424873</v>
      </c>
      <c r="U156" s="89" t="n">
        <f aca="true">IF(U$5=0,T156,MAX(0,(T156-U$4)*(1+NORMINV(RAND(),INPUTS!$B$28,INPUTS!$B$29))))</f>
        <v>1058553.92661766</v>
      </c>
      <c r="V156" s="89" t="n">
        <f aca="true">IF(V$5=0,U156,MAX(0,(U156-V$4)*(1+NORMINV(RAND(),INPUTS!$B$28,INPUTS!$B$29))))</f>
        <v>1017766.85204153</v>
      </c>
      <c r="W156" s="89" t="n">
        <f aca="true">IF(W$5=0,V156,MAX(0,(V156-W$4)*(1+NORMINV(RAND(),INPUTS!$B$28,INPUTS!$B$29))))</f>
        <v>895916.612404796</v>
      </c>
      <c r="X156" s="89" t="n">
        <f aca="true">IF(X$5=0,W156,MAX(0,(W156-X$4)*(1+NORMINV(RAND(),INPUTS!$B$28,INPUTS!$B$29))))</f>
        <v>827335.934611507</v>
      </c>
      <c r="Y156" s="89" t="n">
        <f aca="true">IF(Y$5=0,X156,MAX(0,(X156-Y$4)*(1+NORMINV(RAND(),INPUTS!$B$28,INPUTS!$B$29))))</f>
        <v>835444.587050948</v>
      </c>
      <c r="Z156" s="89" t="n">
        <f aca="true">IF(Z$5=0,Y156,MAX(0,(Y156-Z$4)*(1+NORMINV(RAND(),INPUTS!$B$28,INPUTS!$B$29))))</f>
        <v>841352.867195765</v>
      </c>
      <c r="AA156" s="89" t="n">
        <f aca="true">IF(AA$5=0,Z156,MAX(0,(Z156-AA$4)*(1+NORMINV(RAND(),INPUTS!$B$28,INPUTS!$B$29))))</f>
        <v>798541.328664515</v>
      </c>
      <c r="AB156" s="89" t="n">
        <f aca="true">IF(AB$5=0,AA156,MAX(0,(AA156-AB$4)*(1+NORMINV(RAND(),INPUTS!$B$28,INPUTS!$B$29))))</f>
        <v>767170.427260125</v>
      </c>
      <c r="AC156" s="89" t="n">
        <f aca="true">IF(AC$5=0,AB156,MAX(0,(AB156-AC$4)*(1+NORMINV(RAND(),INPUTS!$B$28,INPUTS!$B$29))))</f>
        <v>811149.659096759</v>
      </c>
      <c r="AD156" s="89" t="n">
        <f aca="true">IF(AD$5=0,AC156,MAX(0,(AC156-AD$4)*(1+NORMINV(RAND(),INPUTS!$B$28,INPUTS!$B$29))))</f>
        <v>641256.58240683</v>
      </c>
      <c r="AE156" s="89" t="n">
        <f aca="true">IF(AE$5=0,AD156,MAX(0,(AD156-AE$4)*(1+NORMINV(RAND(),INPUTS!$B$28,INPUTS!$B$29))))</f>
        <v>511587.855649573</v>
      </c>
      <c r="AF156" s="89" t="n">
        <f aca="true">IF(AF$5=0,AE156,MAX(0,(AE156-AF$4)*(1+NORMINV(RAND(),INPUTS!$B$28,INPUTS!$B$29))))</f>
        <v>419650.439792507</v>
      </c>
      <c r="AG156" s="89" t="n">
        <f aca="true">IF(AG$5=0,AF156,MAX(0,(AF156-AG$4)*(1+NORMINV(RAND(),INPUTS!$B$28,INPUTS!$B$29))))</f>
        <v>393717.331302596</v>
      </c>
      <c r="AH156" s="89" t="n">
        <f aca="true">IF(AH$5=0,AG156,MAX(0,(AG156-AH$4)*(1+NORMINV(RAND(),INPUTS!$B$28,INPUTS!$B$29))))</f>
        <v>407215.644550155</v>
      </c>
      <c r="AI156" s="89" t="n">
        <f aca="true">IF(AI$5=0,AH156,MAX(0,(AH156-AI$4)*(1+NORMINV(RAND(),INPUTS!$B$28,INPUTS!$B$29))))</f>
        <v>309659.08290178</v>
      </c>
      <c r="AJ156" s="89" t="n">
        <f aca="true">IF(AJ$5=0,AI156,MAX(0,(AI156-AJ$4)*(1+NORMINV(RAND(),INPUTS!$B$28,INPUTS!$B$29))))</f>
        <v>236080.801577925</v>
      </c>
      <c r="AK156" s="89" t="n">
        <f aca="true">IF(AK$5=0,AJ156,MAX(0,(AJ156-AK$4)*(1+NORMINV(RAND(),INPUTS!$B$28,INPUTS!$B$29))))</f>
        <v>171103.770319686</v>
      </c>
      <c r="AL156" s="89" t="n">
        <f aca="true">IF(AL$5=0,AK156,MAX(0,(AK156-AL$4)*(1+NORMINV(RAND(),INPUTS!$B$28,INPUTS!$B$29))))</f>
        <v>100442.317989703</v>
      </c>
      <c r="AM156" s="89" t="n">
        <f aca="true">IF(AM$5=0,AL156,MAX(0,(AL156-AM$4)*(1+NORMINV(RAND(),INPUTS!$B$28,INPUTS!$B$29))))</f>
        <v>100442.317989703</v>
      </c>
      <c r="AN156" s="89" t="n">
        <f aca="true">IF(AN$5=0,AM156,MAX(0,(AM156-AN$4)*(1+NORMINV(RAND(),INPUTS!$B$28,INPUTS!$B$29))))</f>
        <v>100442.317989703</v>
      </c>
      <c r="AO156" s="89" t="n">
        <f aca="true">IF(AO$5=0,AN156,MAX(0,(AN156-AO$4)*(1+NORMINV(RAND(),INPUTS!$B$28,INPUTS!$B$29))))</f>
        <v>100442.317989703</v>
      </c>
      <c r="AP156" s="89" t="n">
        <f aca="true">IF(AP$5=0,AO156,MAX(0,(AO156-AP$4)*(1+NORMINV(RAND(),INPUTS!$B$28,INPUTS!$B$29))))</f>
        <v>100442.317989703</v>
      </c>
      <c r="AQ156" s="89" t="n">
        <f aca="true">IF(AQ$5=0,AP156,MAX(0,(AP156-AQ$4)*(1+NORMINV(RAND(),INPUTS!$B$28,INPUTS!$B$29))))</f>
        <v>100442.317989703</v>
      </c>
      <c r="AR156" s="89" t="n">
        <f aca="true">IF(AR$5=0,AQ156,MAX(0,(AQ156-AR$4)*(1+NORMINV(RAND(),INPUTS!$B$28,INPUTS!$B$29))))</f>
        <v>100442.317989703</v>
      </c>
      <c r="AS156" s="89" t="n">
        <f aca="true">IF(AS$5=0,AR156,MAX(0,(AR156-AS$4)*(1+NORMINV(RAND(),INPUTS!$B$28,INPUTS!$B$29))))</f>
        <v>100442.317989703</v>
      </c>
      <c r="AT156" s="89" t="n">
        <f aca="true">IF(AT$5=0,AS156,MAX(0,(AS156-AT$4)*(1+NORMINV(RAND(),INPUTS!$B$28,INPUTS!$B$29))))</f>
        <v>100442.317989703</v>
      </c>
      <c r="AU156" s="89" t="n">
        <f aca="true">IF(AU$5=0,AT156,MAX(0,(AT156-AU$4)*(1+NORMINV(RAND(),INPUTS!$B$28,INPUTS!$B$29))))</f>
        <v>100442.317989703</v>
      </c>
      <c r="AV156" s="89" t="n">
        <f aca="true">IF(AV$5=0,AU156,MAX(0,(AU156-AV$4)*(1+NORMINV(RAND(),INPUTS!$B$28,INPUTS!$B$29))))</f>
        <v>100442.317989703</v>
      </c>
      <c r="AW156" s="89" t="n">
        <f aca="true">IF(AW$5=0,AV156,MAX(0,(AV156-AW$4)*(1+NORMINV(RAND(),INPUTS!$B$28,INPUTS!$B$29))))</f>
        <v>100442.317989703</v>
      </c>
      <c r="AX156" s="89" t="n">
        <f aca="true">IF(AX$5=0,AW156,MAX(0,(AW156-AX$4)*(1+NORMINV(RAND(),INPUTS!$B$28,INPUTS!$B$29))))</f>
        <v>100442.317989703</v>
      </c>
      <c r="AY156" s="89" t="n">
        <f aca="true">IF(AY$5=0,AX156,MAX(0,(AX156-AY$4)*(1+NORMINV(RAND(),INPUTS!$B$28,INPUTS!$B$29))))</f>
        <v>100442.317989703</v>
      </c>
      <c r="AZ156" s="89" t="n">
        <f aca="true">IF(AZ$5=0,AY156,MAX(0,(AY156-AZ$4)*(1+NORMINV(RAND(),INPUTS!$B$28,INPUTS!$B$29))))</f>
        <v>100442.317989703</v>
      </c>
      <c r="BA156" s="89" t="n">
        <f aca="true">IF(BA$5=0,AZ156,MAX(0,(AZ156-BA$4)*(1+NORMINV(RAND(),INPUTS!$B$28,INPUTS!$B$29))))</f>
        <v>100442.317989703</v>
      </c>
      <c r="BB156" s="89" t="n">
        <f aca="true">IF(BB$5=0,BA156,MAX(0,(BA156-BB$4)*(1+NORMINV(RAND(),INPUTS!$B$28,INPUTS!$B$29))))</f>
        <v>100442.317989703</v>
      </c>
      <c r="BC156" s="89" t="n">
        <f aca="true">IF(BC$5=0,BB156,MAX(0,(BB156-BC$4)*(1+NORMINV(RAND(),INPUTS!$B$28,INPUTS!$B$29))))</f>
        <v>100442.317989703</v>
      </c>
      <c r="BD156" s="89" t="n">
        <f aca="true">IF(BD$5=0,BC156,MAX(0,(BC156-BD$4)*(1+NORMINV(RAND(),INPUTS!$B$28,INPUTS!$B$29))))</f>
        <v>100442.317989703</v>
      </c>
      <c r="BE156" s="89" t="n">
        <f aca="true">IF(BE$5=0,BD156,MAX(0,(BD156-BE$4)*(1+NORMINV(RAND(),INPUTS!$B$28,INPUTS!$B$29))))</f>
        <v>100442.317989703</v>
      </c>
      <c r="BF156" s="89" t="n">
        <f aca="true">IF(BF$5=0,BE156,MAX(0,(BE156-BF$4)*(1+NORMINV(RAND(),INPUTS!$B$28,INPUTS!$B$29))))</f>
        <v>100442.317989703</v>
      </c>
      <c r="BG156" s="89" t="n">
        <f aca="true">IF(BG$5=0,BF156,MAX(0,(BF156-BG$4)*(1+NORMINV(RAND(),INPUTS!$B$28,INPUTS!$B$29))))</f>
        <v>100442.317989703</v>
      </c>
      <c r="BH156" s="89" t="n">
        <f aca="true">IF(BH$5=0,BG156,MAX(0,(BG156-BH$4)*(1+NORMINV(RAND(),INPUTS!$B$28,INPUTS!$B$29))))</f>
        <v>100442.317989703</v>
      </c>
      <c r="BI156" s="89" t="n">
        <f aca="true">IF(BI$5=0,BH156,MAX(0,(BH156-BI$4)*(1+NORMINV(RAND(),INPUTS!$B$28,INPUTS!$B$29))))</f>
        <v>100442.317989703</v>
      </c>
      <c r="BJ156" s="89" t="n">
        <f aca="true">IF(BJ$5=0,BI156,MAX(0,(BI156-BJ$4)*(1+NORMINV(RAND(),INPUTS!$B$28,INPUTS!$B$29))))</f>
        <v>100442.317989703</v>
      </c>
    </row>
    <row r="157" customFormat="false" ht="15" hidden="false" customHeight="true" outlineLevel="0" collapsed="false">
      <c r="A157" s="87" t="n">
        <v>150</v>
      </c>
      <c r="B157" s="88" t="n">
        <f aca="false">LOOKUP(9.99E+307,C157:BJ157)</f>
        <v>0</v>
      </c>
      <c r="C157" s="89" t="n">
        <f aca="true">IF(C$5=0,INPUTS!$B$35,MAX(0,(INPUTS!$B$35-C$4)*(1+NORMINV(RAND(),INPUTS!$B$28,INPUTS!$B$29))))</f>
        <v>1501511.40747048</v>
      </c>
      <c r="D157" s="89" t="n">
        <f aca="true">IF(D$5=0,C157,MAX(0,(C157-D$4)*(1+NORMINV(RAND(),INPUTS!$B$28,INPUTS!$B$29))))</f>
        <v>1305745.93444752</v>
      </c>
      <c r="E157" s="89" t="n">
        <f aca="true">IF(E$5=0,D157,MAX(0,(D157-E$4)*(1+NORMINV(RAND(),INPUTS!$B$28,INPUTS!$B$29))))</f>
        <v>1265527.90885435</v>
      </c>
      <c r="F157" s="89" t="n">
        <f aca="true">IF(F$5=0,E157,MAX(0,(E157-F$4)*(1+NORMINV(RAND(),INPUTS!$B$28,INPUTS!$B$29))))</f>
        <v>1342979.84824286</v>
      </c>
      <c r="G157" s="89" t="n">
        <f aca="true">IF(G$5=0,F157,MAX(0,(F157-G$4)*(1+NORMINV(RAND(),INPUTS!$B$28,INPUTS!$B$29))))</f>
        <v>1384260.68060289</v>
      </c>
      <c r="H157" s="89" t="n">
        <f aca="true">IF(H$5=0,G157,MAX(0,(G157-H$4)*(1+NORMINV(RAND(),INPUTS!$B$28,INPUTS!$B$29))))</f>
        <v>1662734.15800024</v>
      </c>
      <c r="I157" s="89" t="n">
        <f aca="true">IF(I$5=0,H157,MAX(0,(H157-I$4)*(1+NORMINV(RAND(),INPUTS!$B$28,INPUTS!$B$29))))</f>
        <v>1524096.24562072</v>
      </c>
      <c r="J157" s="89" t="n">
        <f aca="true">IF(J$5=0,I157,MAX(0,(I157-J$4)*(1+NORMINV(RAND(),INPUTS!$B$28,INPUTS!$B$29))))</f>
        <v>1650327.20748003</v>
      </c>
      <c r="K157" s="89" t="n">
        <f aca="true">IF(K$5=0,J157,MAX(0,(J157-K$4)*(1+NORMINV(RAND(),INPUTS!$B$28,INPUTS!$B$29))))</f>
        <v>1286960.02662267</v>
      </c>
      <c r="L157" s="89" t="n">
        <f aca="true">IF(L$5=0,K157,MAX(0,(K157-L$4)*(1+NORMINV(RAND(),INPUTS!$B$28,INPUTS!$B$29))))</f>
        <v>1020388.15001637</v>
      </c>
      <c r="M157" s="89" t="n">
        <f aca="true">IF(M$5=0,L157,MAX(0,(L157-M$4)*(1+NORMINV(RAND(),INPUTS!$B$28,INPUTS!$B$29))))</f>
        <v>1043006.33354325</v>
      </c>
      <c r="N157" s="89" t="n">
        <f aca="true">IF(N$5=0,M157,MAX(0,(M157-N$4)*(1+NORMINV(RAND(),INPUTS!$B$28,INPUTS!$B$29))))</f>
        <v>1050501.58505211</v>
      </c>
      <c r="O157" s="89" t="n">
        <f aca="true">IF(O$5=0,N157,MAX(0,(N157-O$4)*(1+NORMINV(RAND(),INPUTS!$B$28,INPUTS!$B$29))))</f>
        <v>1071105.52341419</v>
      </c>
      <c r="P157" s="89" t="n">
        <f aca="true">IF(P$5=0,O157,MAX(0,(O157-P$4)*(1+NORMINV(RAND(),INPUTS!$B$28,INPUTS!$B$29))))</f>
        <v>963134.162456902</v>
      </c>
      <c r="Q157" s="89" t="n">
        <f aca="true">IF(Q$5=0,P157,MAX(0,(P157-Q$4)*(1+NORMINV(RAND(),INPUTS!$B$28,INPUTS!$B$29))))</f>
        <v>949614.005344742</v>
      </c>
      <c r="R157" s="89" t="n">
        <f aca="true">IF(R$5=0,Q157,MAX(0,(Q157-R$4)*(1+NORMINV(RAND(),INPUTS!$B$28,INPUTS!$B$29))))</f>
        <v>839435.756962755</v>
      </c>
      <c r="S157" s="89" t="n">
        <f aca="true">IF(S$5=0,R157,MAX(0,(R157-S$4)*(1+NORMINV(RAND(),INPUTS!$B$28,INPUTS!$B$29))))</f>
        <v>692955.717678981</v>
      </c>
      <c r="T157" s="89" t="n">
        <f aca="true">IF(T$5=0,S157,MAX(0,(S157-T$4)*(1+NORMINV(RAND(),INPUTS!$B$28,INPUTS!$B$29))))</f>
        <v>535497.704279081</v>
      </c>
      <c r="U157" s="89" t="n">
        <f aca="true">IF(U$5=0,T157,MAX(0,(T157-U$4)*(1+NORMINV(RAND(),INPUTS!$B$28,INPUTS!$B$29))))</f>
        <v>461860.477297685</v>
      </c>
      <c r="V157" s="89" t="n">
        <f aca="true">IF(V$5=0,U157,MAX(0,(U157-V$4)*(1+NORMINV(RAND(),INPUTS!$B$28,INPUTS!$B$29))))</f>
        <v>464229.82837806</v>
      </c>
      <c r="W157" s="89" t="n">
        <f aca="true">IF(W$5=0,V157,MAX(0,(V157-W$4)*(1+NORMINV(RAND(),INPUTS!$B$28,INPUTS!$B$29))))</f>
        <v>420712.297907481</v>
      </c>
      <c r="X157" s="89" t="n">
        <f aca="true">IF(X$5=0,W157,MAX(0,(W157-X$4)*(1+NORMINV(RAND(),INPUTS!$B$28,INPUTS!$B$29))))</f>
        <v>396738.979451242</v>
      </c>
      <c r="Y157" s="89" t="n">
        <f aca="true">IF(Y$5=0,X157,MAX(0,(X157-Y$4)*(1+NORMINV(RAND(),INPUTS!$B$28,INPUTS!$B$29))))</f>
        <v>379194.032234041</v>
      </c>
      <c r="Z157" s="89" t="n">
        <f aca="true">IF(Z$5=0,Y157,MAX(0,(Y157-Z$4)*(1+NORMINV(RAND(),INPUTS!$B$28,INPUTS!$B$29))))</f>
        <v>359429.461887462</v>
      </c>
      <c r="AA157" s="89" t="n">
        <f aca="true">IF(AA$5=0,Z157,MAX(0,(Z157-AA$4)*(1+NORMINV(RAND(),INPUTS!$B$28,INPUTS!$B$29))))</f>
        <v>326662.586001572</v>
      </c>
      <c r="AB157" s="89" t="n">
        <f aca="true">IF(AB$5=0,AA157,MAX(0,(AA157-AB$4)*(1+NORMINV(RAND(),INPUTS!$B$28,INPUTS!$B$29))))</f>
        <v>273173.127776932</v>
      </c>
      <c r="AC157" s="89" t="n">
        <f aca="true">IF(AC$5=0,AB157,MAX(0,(AB157-AC$4)*(1+NORMINV(RAND(),INPUTS!$B$28,INPUTS!$B$29))))</f>
        <v>222902.178725621</v>
      </c>
      <c r="AD157" s="89" t="n">
        <f aca="true">IF(AD$5=0,AC157,MAX(0,(AC157-AD$4)*(1+NORMINV(RAND(),INPUTS!$B$28,INPUTS!$B$29))))</f>
        <v>148562.380159415</v>
      </c>
      <c r="AE157" s="89" t="n">
        <f aca="true">IF(AE$5=0,AD157,MAX(0,(AD157-AE$4)*(1+NORMINV(RAND(),INPUTS!$B$28,INPUTS!$B$29))))</f>
        <v>82167.2610400107</v>
      </c>
      <c r="AF157" s="89" t="n">
        <f aca="true">IF(AF$5=0,AE157,MAX(0,(AE157-AF$4)*(1+NORMINV(RAND(),INPUTS!$B$28,INPUTS!$B$29))))</f>
        <v>12738.681754381</v>
      </c>
      <c r="AG157" s="89" t="n">
        <f aca="true">IF(AG$5=0,AF157,MAX(0,(AF157-AG$4)*(1+NORMINV(RAND(),INPUTS!$B$28,INPUTS!$B$29))))</f>
        <v>0</v>
      </c>
      <c r="AH157" s="89" t="n">
        <f aca="true">IF(AH$5=0,AG157,MAX(0,(AG157-AH$4)*(1+NORMINV(RAND(),INPUTS!$B$28,INPUTS!$B$29))))</f>
        <v>0</v>
      </c>
      <c r="AI157" s="89" t="n">
        <f aca="true">IF(AI$5=0,AH157,MAX(0,(AH157-AI$4)*(1+NORMINV(RAND(),INPUTS!$B$28,INPUTS!$B$29))))</f>
        <v>0</v>
      </c>
      <c r="AJ157" s="89" t="n">
        <f aca="true">IF(AJ$5=0,AI157,MAX(0,(AI157-AJ$4)*(1+NORMINV(RAND(),INPUTS!$B$28,INPUTS!$B$29))))</f>
        <v>0</v>
      </c>
      <c r="AK157" s="89" t="n">
        <f aca="true">IF(AK$5=0,AJ157,MAX(0,(AJ157-AK$4)*(1+NORMINV(RAND(),INPUTS!$B$28,INPUTS!$B$29))))</f>
        <v>0</v>
      </c>
      <c r="AL157" s="89" t="n">
        <f aca="true">IF(AL$5=0,AK157,MAX(0,(AK157-AL$4)*(1+NORMINV(RAND(),INPUTS!$B$28,INPUTS!$B$29))))</f>
        <v>0</v>
      </c>
      <c r="AM157" s="89" t="n">
        <f aca="true">IF(AM$5=0,AL157,MAX(0,(AL157-AM$4)*(1+NORMINV(RAND(),INPUTS!$B$28,INPUTS!$B$29))))</f>
        <v>0</v>
      </c>
      <c r="AN157" s="89" t="n">
        <f aca="true">IF(AN$5=0,AM157,MAX(0,(AM157-AN$4)*(1+NORMINV(RAND(),INPUTS!$B$28,INPUTS!$B$29))))</f>
        <v>0</v>
      </c>
      <c r="AO157" s="89" t="n">
        <f aca="true">IF(AO$5=0,AN157,MAX(0,(AN157-AO$4)*(1+NORMINV(RAND(),INPUTS!$B$28,INPUTS!$B$29))))</f>
        <v>0</v>
      </c>
      <c r="AP157" s="89" t="n">
        <f aca="true">IF(AP$5=0,AO157,MAX(0,(AO157-AP$4)*(1+NORMINV(RAND(),INPUTS!$B$28,INPUTS!$B$29))))</f>
        <v>0</v>
      </c>
      <c r="AQ157" s="89" t="n">
        <f aca="true">IF(AQ$5=0,AP157,MAX(0,(AP157-AQ$4)*(1+NORMINV(RAND(),INPUTS!$B$28,INPUTS!$B$29))))</f>
        <v>0</v>
      </c>
      <c r="AR157" s="89" t="n">
        <f aca="true">IF(AR$5=0,AQ157,MAX(0,(AQ157-AR$4)*(1+NORMINV(RAND(),INPUTS!$B$28,INPUTS!$B$29))))</f>
        <v>0</v>
      </c>
      <c r="AS157" s="89" t="n">
        <f aca="true">IF(AS$5=0,AR157,MAX(0,(AR157-AS$4)*(1+NORMINV(RAND(),INPUTS!$B$28,INPUTS!$B$29))))</f>
        <v>0</v>
      </c>
      <c r="AT157" s="89" t="n">
        <f aca="true">IF(AT$5=0,AS157,MAX(0,(AS157-AT$4)*(1+NORMINV(RAND(),INPUTS!$B$28,INPUTS!$B$29))))</f>
        <v>0</v>
      </c>
      <c r="AU157" s="89" t="n">
        <f aca="true">IF(AU$5=0,AT157,MAX(0,(AT157-AU$4)*(1+NORMINV(RAND(),INPUTS!$B$28,INPUTS!$B$29))))</f>
        <v>0</v>
      </c>
      <c r="AV157" s="89" t="n">
        <f aca="true">IF(AV$5=0,AU157,MAX(0,(AU157-AV$4)*(1+NORMINV(RAND(),INPUTS!$B$28,INPUTS!$B$29))))</f>
        <v>0</v>
      </c>
      <c r="AW157" s="89" t="n">
        <f aca="true">IF(AW$5=0,AV157,MAX(0,(AV157-AW$4)*(1+NORMINV(RAND(),INPUTS!$B$28,INPUTS!$B$29))))</f>
        <v>0</v>
      </c>
      <c r="AX157" s="89" t="n">
        <f aca="true">IF(AX$5=0,AW157,MAX(0,(AW157-AX$4)*(1+NORMINV(RAND(),INPUTS!$B$28,INPUTS!$B$29))))</f>
        <v>0</v>
      </c>
      <c r="AY157" s="89" t="n">
        <f aca="true">IF(AY$5=0,AX157,MAX(0,(AX157-AY$4)*(1+NORMINV(RAND(),INPUTS!$B$28,INPUTS!$B$29))))</f>
        <v>0</v>
      </c>
      <c r="AZ157" s="89" t="n">
        <f aca="true">IF(AZ$5=0,AY157,MAX(0,(AY157-AZ$4)*(1+NORMINV(RAND(),INPUTS!$B$28,INPUTS!$B$29))))</f>
        <v>0</v>
      </c>
      <c r="BA157" s="89" t="n">
        <f aca="true">IF(BA$5=0,AZ157,MAX(0,(AZ157-BA$4)*(1+NORMINV(RAND(),INPUTS!$B$28,INPUTS!$B$29))))</f>
        <v>0</v>
      </c>
      <c r="BB157" s="89" t="n">
        <f aca="true">IF(BB$5=0,BA157,MAX(0,(BA157-BB$4)*(1+NORMINV(RAND(),INPUTS!$B$28,INPUTS!$B$29))))</f>
        <v>0</v>
      </c>
      <c r="BC157" s="89" t="n">
        <f aca="true">IF(BC$5=0,BB157,MAX(0,(BB157-BC$4)*(1+NORMINV(RAND(),INPUTS!$B$28,INPUTS!$B$29))))</f>
        <v>0</v>
      </c>
      <c r="BD157" s="89" t="n">
        <f aca="true">IF(BD$5=0,BC157,MAX(0,(BC157-BD$4)*(1+NORMINV(RAND(),INPUTS!$B$28,INPUTS!$B$29))))</f>
        <v>0</v>
      </c>
      <c r="BE157" s="89" t="n">
        <f aca="true">IF(BE$5=0,BD157,MAX(0,(BD157-BE$4)*(1+NORMINV(RAND(),INPUTS!$B$28,INPUTS!$B$29))))</f>
        <v>0</v>
      </c>
      <c r="BF157" s="89" t="n">
        <f aca="true">IF(BF$5=0,BE157,MAX(0,(BE157-BF$4)*(1+NORMINV(RAND(),INPUTS!$B$28,INPUTS!$B$29))))</f>
        <v>0</v>
      </c>
      <c r="BG157" s="89" t="n">
        <f aca="true">IF(BG$5=0,BF157,MAX(0,(BF157-BG$4)*(1+NORMINV(RAND(),INPUTS!$B$28,INPUTS!$B$29))))</f>
        <v>0</v>
      </c>
      <c r="BH157" s="89" t="n">
        <f aca="true">IF(BH$5=0,BG157,MAX(0,(BG157-BH$4)*(1+NORMINV(RAND(),INPUTS!$B$28,INPUTS!$B$29))))</f>
        <v>0</v>
      </c>
      <c r="BI157" s="89" t="n">
        <f aca="true">IF(BI$5=0,BH157,MAX(0,(BH157-BI$4)*(1+NORMINV(RAND(),INPUTS!$B$28,INPUTS!$B$29))))</f>
        <v>0</v>
      </c>
      <c r="BJ157" s="89" t="n">
        <f aca="true">IF(BJ$5=0,BI157,MAX(0,(BI157-BJ$4)*(1+NORMINV(RAND(),INPUTS!$B$28,INPUTS!$B$29))))</f>
        <v>0</v>
      </c>
    </row>
    <row r="158" customFormat="false" ht="15" hidden="false" customHeight="true" outlineLevel="0" collapsed="false">
      <c r="A158" s="87" t="n">
        <v>151</v>
      </c>
      <c r="B158" s="88" t="n">
        <f aca="false">LOOKUP(9.99E+307,C158:BJ158)</f>
        <v>2302430.69291312</v>
      </c>
      <c r="C158" s="89" t="n">
        <f aca="true">IF(C$5=0,INPUTS!$B$35,MAX(0,(INPUTS!$B$35-C$4)*(1+NORMINV(RAND(),INPUTS!$B$28,INPUTS!$B$29))))</f>
        <v>1140518.07107776</v>
      </c>
      <c r="D158" s="89" t="n">
        <f aca="true">IF(D$5=0,C158,MAX(0,(C158-D$4)*(1+NORMINV(RAND(),INPUTS!$B$28,INPUTS!$B$29))))</f>
        <v>951287.051944761</v>
      </c>
      <c r="E158" s="89" t="n">
        <f aca="true">IF(E$5=0,D158,MAX(0,(D158-E$4)*(1+NORMINV(RAND(),INPUTS!$B$28,INPUTS!$B$29))))</f>
        <v>968809.54141708</v>
      </c>
      <c r="F158" s="89" t="n">
        <f aca="true">IF(F$5=0,E158,MAX(0,(E158-F$4)*(1+NORMINV(RAND(),INPUTS!$B$28,INPUTS!$B$29))))</f>
        <v>1102908.00478084</v>
      </c>
      <c r="G158" s="89" t="n">
        <f aca="true">IF(G$5=0,F158,MAX(0,(F158-G$4)*(1+NORMINV(RAND(),INPUTS!$B$28,INPUTS!$B$29))))</f>
        <v>867503.705819027</v>
      </c>
      <c r="H158" s="89" t="n">
        <f aca="true">IF(H$5=0,G158,MAX(0,(G158-H$4)*(1+NORMINV(RAND(),INPUTS!$B$28,INPUTS!$B$29))))</f>
        <v>914928.235241075</v>
      </c>
      <c r="I158" s="89" t="n">
        <f aca="true">IF(I$5=0,H158,MAX(0,(H158-I$4)*(1+NORMINV(RAND(),INPUTS!$B$28,INPUTS!$B$29))))</f>
        <v>1173465.96403053</v>
      </c>
      <c r="J158" s="89" t="n">
        <f aca="true">IF(J$5=0,I158,MAX(0,(I158-J$4)*(1+NORMINV(RAND(),INPUTS!$B$28,INPUTS!$B$29))))</f>
        <v>1112463.51703711</v>
      </c>
      <c r="K158" s="89" t="n">
        <f aca="true">IF(K$5=0,J158,MAX(0,(J158-K$4)*(1+NORMINV(RAND(),INPUTS!$B$28,INPUTS!$B$29))))</f>
        <v>1176895.72513468</v>
      </c>
      <c r="L158" s="89" t="n">
        <f aca="true">IF(L$5=0,K158,MAX(0,(K158-L$4)*(1+NORMINV(RAND(),INPUTS!$B$28,INPUTS!$B$29))))</f>
        <v>1203325.11167713</v>
      </c>
      <c r="M158" s="89" t="n">
        <f aca="true">IF(M$5=0,L158,MAX(0,(L158-M$4)*(1+NORMINV(RAND(),INPUTS!$B$28,INPUTS!$B$29))))</f>
        <v>1086252.9673643</v>
      </c>
      <c r="N158" s="89" t="n">
        <f aca="true">IF(N$5=0,M158,MAX(0,(M158-N$4)*(1+NORMINV(RAND(),INPUTS!$B$28,INPUTS!$B$29))))</f>
        <v>1168525.42866525</v>
      </c>
      <c r="O158" s="89" t="n">
        <f aca="true">IF(O$5=0,N158,MAX(0,(N158-O$4)*(1+NORMINV(RAND(),INPUTS!$B$28,INPUTS!$B$29))))</f>
        <v>1201406.45700279</v>
      </c>
      <c r="P158" s="89" t="n">
        <f aca="true">IF(P$5=0,O158,MAX(0,(O158-P$4)*(1+NORMINV(RAND(),INPUTS!$B$28,INPUTS!$B$29))))</f>
        <v>1151019.28748826</v>
      </c>
      <c r="Q158" s="89" t="n">
        <f aca="true">IF(Q$5=0,P158,MAX(0,(P158-Q$4)*(1+NORMINV(RAND(),INPUTS!$B$28,INPUTS!$B$29))))</f>
        <v>1160337.20589616</v>
      </c>
      <c r="R158" s="89" t="n">
        <f aca="true">IF(R$5=0,Q158,MAX(0,(Q158-R$4)*(1+NORMINV(RAND(),INPUTS!$B$28,INPUTS!$B$29))))</f>
        <v>1253498.25521547</v>
      </c>
      <c r="S158" s="89" t="n">
        <f aca="true">IF(S$5=0,R158,MAX(0,(R158-S$4)*(1+NORMINV(RAND(),INPUTS!$B$28,INPUTS!$B$29))))</f>
        <v>1173439.06478163</v>
      </c>
      <c r="T158" s="89" t="n">
        <f aca="true">IF(T$5=0,S158,MAX(0,(S158-T$4)*(1+NORMINV(RAND(),INPUTS!$B$28,INPUTS!$B$29))))</f>
        <v>1084247.52716195</v>
      </c>
      <c r="U158" s="89" t="n">
        <f aca="true">IF(U$5=0,T158,MAX(0,(T158-U$4)*(1+NORMINV(RAND(),INPUTS!$B$28,INPUTS!$B$29))))</f>
        <v>1225111.67903748</v>
      </c>
      <c r="V158" s="89" t="n">
        <f aca="true">IF(V$5=0,U158,MAX(0,(U158-V$4)*(1+NORMINV(RAND(),INPUTS!$B$28,INPUTS!$B$29))))</f>
        <v>1087511.12086375</v>
      </c>
      <c r="W158" s="89" t="n">
        <f aca="true">IF(W$5=0,V158,MAX(0,(V158-W$4)*(1+NORMINV(RAND(),INPUTS!$B$28,INPUTS!$B$29))))</f>
        <v>1096307.4129574</v>
      </c>
      <c r="X158" s="89" t="n">
        <f aca="true">IF(X$5=0,W158,MAX(0,(W158-X$4)*(1+NORMINV(RAND(),INPUTS!$B$28,INPUTS!$B$29))))</f>
        <v>979233.117167607</v>
      </c>
      <c r="Y158" s="89" t="n">
        <f aca="true">IF(Y$5=0,X158,MAX(0,(X158-Y$4)*(1+NORMINV(RAND(),INPUTS!$B$28,INPUTS!$B$29))))</f>
        <v>1095761.62701106</v>
      </c>
      <c r="Z158" s="89" t="n">
        <f aca="true">IF(Z$5=0,Y158,MAX(0,(Y158-Z$4)*(1+NORMINV(RAND(),INPUTS!$B$28,INPUTS!$B$29))))</f>
        <v>1279664.92191759</v>
      </c>
      <c r="AA158" s="89" t="n">
        <f aca="true">IF(AA$5=0,Z158,MAX(0,(Z158-AA$4)*(1+NORMINV(RAND(),INPUTS!$B$28,INPUTS!$B$29))))</f>
        <v>1495269.91047501</v>
      </c>
      <c r="AB158" s="89" t="n">
        <f aca="true">IF(AB$5=0,AA158,MAX(0,(AA158-AB$4)*(1+NORMINV(RAND(),INPUTS!$B$28,INPUTS!$B$29))))</f>
        <v>1554887.4600776</v>
      </c>
      <c r="AC158" s="89" t="n">
        <f aca="true">IF(AC$5=0,AB158,MAX(0,(AB158-AC$4)*(1+NORMINV(RAND(),INPUTS!$B$28,INPUTS!$B$29))))</f>
        <v>1702620.33781485</v>
      </c>
      <c r="AD158" s="89" t="n">
        <f aca="true">IF(AD$5=0,AC158,MAX(0,(AC158-AD$4)*(1+NORMINV(RAND(),INPUTS!$B$28,INPUTS!$B$29))))</f>
        <v>1708257.66274702</v>
      </c>
      <c r="AE158" s="89" t="n">
        <f aca="true">IF(AE$5=0,AD158,MAX(0,(AD158-AE$4)*(1+NORMINV(RAND(),INPUTS!$B$28,INPUTS!$B$29))))</f>
        <v>1835011.56289043</v>
      </c>
      <c r="AF158" s="89" t="n">
        <f aca="true">IF(AF$5=0,AE158,MAX(0,(AE158-AF$4)*(1+NORMINV(RAND(),INPUTS!$B$28,INPUTS!$B$29))))</f>
        <v>1819807.46004387</v>
      </c>
      <c r="AG158" s="89" t="n">
        <f aca="true">IF(AG$5=0,AF158,MAX(0,(AF158-AG$4)*(1+NORMINV(RAND(),INPUTS!$B$28,INPUTS!$B$29))))</f>
        <v>2075474.9940117</v>
      </c>
      <c r="AH158" s="89" t="n">
        <f aca="true">IF(AH$5=0,AG158,MAX(0,(AG158-AH$4)*(1+NORMINV(RAND(),INPUTS!$B$28,INPUTS!$B$29))))</f>
        <v>2082491.2061324</v>
      </c>
      <c r="AI158" s="89" t="n">
        <f aca="true">IF(AI$5=0,AH158,MAX(0,(AH158-AI$4)*(1+NORMINV(RAND(),INPUTS!$B$28,INPUTS!$B$29))))</f>
        <v>2406703.71672379</v>
      </c>
      <c r="AJ158" s="89" t="n">
        <f aca="true">IF(AJ$5=0,AI158,MAX(0,(AI158-AJ$4)*(1+NORMINV(RAND(),INPUTS!$B$28,INPUTS!$B$29))))</f>
        <v>2543749.16833652</v>
      </c>
      <c r="AK158" s="89" t="n">
        <f aca="true">IF(AK$5=0,AJ158,MAX(0,(AJ158-AK$4)*(1+NORMINV(RAND(),INPUTS!$B$28,INPUTS!$B$29))))</f>
        <v>2091425.35468128</v>
      </c>
      <c r="AL158" s="89" t="n">
        <f aca="true">IF(AL$5=0,AK158,MAX(0,(AK158-AL$4)*(1+NORMINV(RAND(),INPUTS!$B$28,INPUTS!$B$29))))</f>
        <v>2302430.69291312</v>
      </c>
      <c r="AM158" s="89" t="n">
        <f aca="true">IF(AM$5=0,AL158,MAX(0,(AL158-AM$4)*(1+NORMINV(RAND(),INPUTS!$B$28,INPUTS!$B$29))))</f>
        <v>2302430.69291312</v>
      </c>
      <c r="AN158" s="89" t="n">
        <f aca="true">IF(AN$5=0,AM158,MAX(0,(AM158-AN$4)*(1+NORMINV(RAND(),INPUTS!$B$28,INPUTS!$B$29))))</f>
        <v>2302430.69291312</v>
      </c>
      <c r="AO158" s="89" t="n">
        <f aca="true">IF(AO$5=0,AN158,MAX(0,(AN158-AO$4)*(1+NORMINV(RAND(),INPUTS!$B$28,INPUTS!$B$29))))</f>
        <v>2302430.69291312</v>
      </c>
      <c r="AP158" s="89" t="n">
        <f aca="true">IF(AP$5=0,AO158,MAX(0,(AO158-AP$4)*(1+NORMINV(RAND(),INPUTS!$B$28,INPUTS!$B$29))))</f>
        <v>2302430.69291312</v>
      </c>
      <c r="AQ158" s="89" t="n">
        <f aca="true">IF(AQ$5=0,AP158,MAX(0,(AP158-AQ$4)*(1+NORMINV(RAND(),INPUTS!$B$28,INPUTS!$B$29))))</f>
        <v>2302430.69291312</v>
      </c>
      <c r="AR158" s="89" t="n">
        <f aca="true">IF(AR$5=0,AQ158,MAX(0,(AQ158-AR$4)*(1+NORMINV(RAND(),INPUTS!$B$28,INPUTS!$B$29))))</f>
        <v>2302430.69291312</v>
      </c>
      <c r="AS158" s="89" t="n">
        <f aca="true">IF(AS$5=0,AR158,MAX(0,(AR158-AS$4)*(1+NORMINV(RAND(),INPUTS!$B$28,INPUTS!$B$29))))</f>
        <v>2302430.69291312</v>
      </c>
      <c r="AT158" s="89" t="n">
        <f aca="true">IF(AT$5=0,AS158,MAX(0,(AS158-AT$4)*(1+NORMINV(RAND(),INPUTS!$B$28,INPUTS!$B$29))))</f>
        <v>2302430.69291312</v>
      </c>
      <c r="AU158" s="89" t="n">
        <f aca="true">IF(AU$5=0,AT158,MAX(0,(AT158-AU$4)*(1+NORMINV(RAND(),INPUTS!$B$28,INPUTS!$B$29))))</f>
        <v>2302430.69291312</v>
      </c>
      <c r="AV158" s="89" t="n">
        <f aca="true">IF(AV$5=0,AU158,MAX(0,(AU158-AV$4)*(1+NORMINV(RAND(),INPUTS!$B$28,INPUTS!$B$29))))</f>
        <v>2302430.69291312</v>
      </c>
      <c r="AW158" s="89" t="n">
        <f aca="true">IF(AW$5=0,AV158,MAX(0,(AV158-AW$4)*(1+NORMINV(RAND(),INPUTS!$B$28,INPUTS!$B$29))))</f>
        <v>2302430.69291312</v>
      </c>
      <c r="AX158" s="89" t="n">
        <f aca="true">IF(AX$5=0,AW158,MAX(0,(AW158-AX$4)*(1+NORMINV(RAND(),INPUTS!$B$28,INPUTS!$B$29))))</f>
        <v>2302430.69291312</v>
      </c>
      <c r="AY158" s="89" t="n">
        <f aca="true">IF(AY$5=0,AX158,MAX(0,(AX158-AY$4)*(1+NORMINV(RAND(),INPUTS!$B$28,INPUTS!$B$29))))</f>
        <v>2302430.69291312</v>
      </c>
      <c r="AZ158" s="89" t="n">
        <f aca="true">IF(AZ$5=0,AY158,MAX(0,(AY158-AZ$4)*(1+NORMINV(RAND(),INPUTS!$B$28,INPUTS!$B$29))))</f>
        <v>2302430.69291312</v>
      </c>
      <c r="BA158" s="89" t="n">
        <f aca="true">IF(BA$5=0,AZ158,MAX(0,(AZ158-BA$4)*(1+NORMINV(RAND(),INPUTS!$B$28,INPUTS!$B$29))))</f>
        <v>2302430.69291312</v>
      </c>
      <c r="BB158" s="89" t="n">
        <f aca="true">IF(BB$5=0,BA158,MAX(0,(BA158-BB$4)*(1+NORMINV(RAND(),INPUTS!$B$28,INPUTS!$B$29))))</f>
        <v>2302430.69291312</v>
      </c>
      <c r="BC158" s="89" t="n">
        <f aca="true">IF(BC$5=0,BB158,MAX(0,(BB158-BC$4)*(1+NORMINV(RAND(),INPUTS!$B$28,INPUTS!$B$29))))</f>
        <v>2302430.69291312</v>
      </c>
      <c r="BD158" s="89" t="n">
        <f aca="true">IF(BD$5=0,BC158,MAX(0,(BC158-BD$4)*(1+NORMINV(RAND(),INPUTS!$B$28,INPUTS!$B$29))))</f>
        <v>2302430.69291312</v>
      </c>
      <c r="BE158" s="89" t="n">
        <f aca="true">IF(BE$5=0,BD158,MAX(0,(BD158-BE$4)*(1+NORMINV(RAND(),INPUTS!$B$28,INPUTS!$B$29))))</f>
        <v>2302430.69291312</v>
      </c>
      <c r="BF158" s="89" t="n">
        <f aca="true">IF(BF$5=0,BE158,MAX(0,(BE158-BF$4)*(1+NORMINV(RAND(),INPUTS!$B$28,INPUTS!$B$29))))</f>
        <v>2302430.69291312</v>
      </c>
      <c r="BG158" s="89" t="n">
        <f aca="true">IF(BG$5=0,BF158,MAX(0,(BF158-BG$4)*(1+NORMINV(RAND(),INPUTS!$B$28,INPUTS!$B$29))))</f>
        <v>2302430.69291312</v>
      </c>
      <c r="BH158" s="89" t="n">
        <f aca="true">IF(BH$5=0,BG158,MAX(0,(BG158-BH$4)*(1+NORMINV(RAND(),INPUTS!$B$28,INPUTS!$B$29))))</f>
        <v>2302430.69291312</v>
      </c>
      <c r="BI158" s="89" t="n">
        <f aca="true">IF(BI$5=0,BH158,MAX(0,(BH158-BI$4)*(1+NORMINV(RAND(),INPUTS!$B$28,INPUTS!$B$29))))</f>
        <v>2302430.69291312</v>
      </c>
      <c r="BJ158" s="89" t="n">
        <f aca="true">IF(BJ$5=0,BI158,MAX(0,(BI158-BJ$4)*(1+NORMINV(RAND(),INPUTS!$B$28,INPUTS!$B$29))))</f>
        <v>2302430.69291312</v>
      </c>
    </row>
    <row r="159" customFormat="false" ht="15" hidden="false" customHeight="true" outlineLevel="0" collapsed="false">
      <c r="A159" s="87" t="n">
        <v>152</v>
      </c>
      <c r="B159" s="88" t="n">
        <f aca="false">LOOKUP(9.99E+307,C159:BJ159)</f>
        <v>3119759.91883483</v>
      </c>
      <c r="C159" s="89" t="n">
        <f aca="true">IF(C$5=0,INPUTS!$B$35,MAX(0,(INPUTS!$B$35-C$4)*(1+NORMINV(RAND(),INPUTS!$B$28,INPUTS!$B$29))))</f>
        <v>1551745.53385127</v>
      </c>
      <c r="D159" s="89" t="n">
        <f aca="true">IF(D$5=0,C159,MAX(0,(C159-D$4)*(1+NORMINV(RAND(),INPUTS!$B$28,INPUTS!$B$29))))</f>
        <v>1731983.67710516</v>
      </c>
      <c r="E159" s="89" t="n">
        <f aca="true">IF(E$5=0,D159,MAX(0,(D159-E$4)*(1+NORMINV(RAND(),INPUTS!$B$28,INPUTS!$B$29))))</f>
        <v>2065294.45509544</v>
      </c>
      <c r="F159" s="89" t="n">
        <f aca="true">IF(F$5=0,E159,MAX(0,(E159-F$4)*(1+NORMINV(RAND(),INPUTS!$B$28,INPUTS!$B$29))))</f>
        <v>2266432.54036113</v>
      </c>
      <c r="G159" s="89" t="n">
        <f aca="true">IF(G$5=0,F159,MAX(0,(F159-G$4)*(1+NORMINV(RAND(),INPUTS!$B$28,INPUTS!$B$29))))</f>
        <v>1727673.24857445</v>
      </c>
      <c r="H159" s="89" t="n">
        <f aca="true">IF(H$5=0,G159,MAX(0,(G159-H$4)*(1+NORMINV(RAND(),INPUTS!$B$28,INPUTS!$B$29))))</f>
        <v>1769519.07121711</v>
      </c>
      <c r="I159" s="89" t="n">
        <f aca="true">IF(I$5=0,H159,MAX(0,(H159-I$4)*(1+NORMINV(RAND(),INPUTS!$B$28,INPUTS!$B$29))))</f>
        <v>2091166.21484683</v>
      </c>
      <c r="J159" s="89" t="n">
        <f aca="true">IF(J$5=0,I159,MAX(0,(I159-J$4)*(1+NORMINV(RAND(),INPUTS!$B$28,INPUTS!$B$29))))</f>
        <v>1936589.52163993</v>
      </c>
      <c r="K159" s="89" t="n">
        <f aca="true">IF(K$5=0,J159,MAX(0,(J159-K$4)*(1+NORMINV(RAND(),INPUTS!$B$28,INPUTS!$B$29))))</f>
        <v>2257547.72299198</v>
      </c>
      <c r="L159" s="89" t="n">
        <f aca="true">IF(L$5=0,K159,MAX(0,(K159-L$4)*(1+NORMINV(RAND(),INPUTS!$B$28,INPUTS!$B$29))))</f>
        <v>1917690.55486018</v>
      </c>
      <c r="M159" s="89" t="n">
        <f aca="true">IF(M$5=0,L159,MAX(0,(L159-M$4)*(1+NORMINV(RAND(),INPUTS!$B$28,INPUTS!$B$29))))</f>
        <v>1831253.31530123</v>
      </c>
      <c r="N159" s="89" t="n">
        <f aca="true">IF(N$5=0,M159,MAX(0,(M159-N$4)*(1+NORMINV(RAND(),INPUTS!$B$28,INPUTS!$B$29))))</f>
        <v>1740566.83193517</v>
      </c>
      <c r="O159" s="89" t="n">
        <f aca="true">IF(O$5=0,N159,MAX(0,(N159-O$4)*(1+NORMINV(RAND(),INPUTS!$B$28,INPUTS!$B$29))))</f>
        <v>1711954.15729728</v>
      </c>
      <c r="P159" s="89" t="n">
        <f aca="true">IF(P$5=0,O159,MAX(0,(O159-P$4)*(1+NORMINV(RAND(),INPUTS!$B$28,INPUTS!$B$29))))</f>
        <v>1942877.0516792</v>
      </c>
      <c r="Q159" s="89" t="n">
        <f aca="true">IF(Q$5=0,P159,MAX(0,(P159-Q$4)*(1+NORMINV(RAND(),INPUTS!$B$28,INPUTS!$B$29))))</f>
        <v>2182673.37423375</v>
      </c>
      <c r="R159" s="89" t="n">
        <f aca="true">IF(R$5=0,Q159,MAX(0,(Q159-R$4)*(1+NORMINV(RAND(),INPUTS!$B$28,INPUTS!$B$29))))</f>
        <v>2163198.93241126</v>
      </c>
      <c r="S159" s="89" t="n">
        <f aca="true">IF(S$5=0,R159,MAX(0,(R159-S$4)*(1+NORMINV(RAND(),INPUTS!$B$28,INPUTS!$B$29))))</f>
        <v>2764934.29597953</v>
      </c>
      <c r="T159" s="89" t="n">
        <f aca="true">IF(T$5=0,S159,MAX(0,(S159-T$4)*(1+NORMINV(RAND(),INPUTS!$B$28,INPUTS!$B$29))))</f>
        <v>3483329.77984826</v>
      </c>
      <c r="U159" s="89" t="n">
        <f aca="true">IF(U$5=0,T159,MAX(0,(T159-U$4)*(1+NORMINV(RAND(),INPUTS!$B$28,INPUTS!$B$29))))</f>
        <v>3485481.62043436</v>
      </c>
      <c r="V159" s="89" t="n">
        <f aca="true">IF(V$5=0,U159,MAX(0,(U159-V$4)*(1+NORMINV(RAND(),INPUTS!$B$28,INPUTS!$B$29))))</f>
        <v>2884574.10354003</v>
      </c>
      <c r="W159" s="89" t="n">
        <f aca="true">IF(W$5=0,V159,MAX(0,(V159-W$4)*(1+NORMINV(RAND(),INPUTS!$B$28,INPUTS!$B$29))))</f>
        <v>2838215.1332293</v>
      </c>
      <c r="X159" s="89" t="n">
        <f aca="true">IF(X$5=0,W159,MAX(0,(W159-X$4)*(1+NORMINV(RAND(),INPUTS!$B$28,INPUTS!$B$29))))</f>
        <v>3060122.21487508</v>
      </c>
      <c r="Y159" s="89" t="n">
        <f aca="true">IF(Y$5=0,X159,MAX(0,(X159-Y$4)*(1+NORMINV(RAND(),INPUTS!$B$28,INPUTS!$B$29))))</f>
        <v>3659537.89120538</v>
      </c>
      <c r="Z159" s="89" t="n">
        <f aca="true">IF(Z$5=0,Y159,MAX(0,(Y159-Z$4)*(1+NORMINV(RAND(),INPUTS!$B$28,INPUTS!$B$29))))</f>
        <v>3233020.21688414</v>
      </c>
      <c r="AA159" s="89" t="n">
        <f aca="true">IF(AA$5=0,Z159,MAX(0,(Z159-AA$4)*(1+NORMINV(RAND(),INPUTS!$B$28,INPUTS!$B$29))))</f>
        <v>3287781.75244881</v>
      </c>
      <c r="AB159" s="89" t="n">
        <f aca="true">IF(AB$5=0,AA159,MAX(0,(AA159-AB$4)*(1+NORMINV(RAND(),INPUTS!$B$28,INPUTS!$B$29))))</f>
        <v>2978400.77117411</v>
      </c>
      <c r="AC159" s="89" t="n">
        <f aca="true">IF(AC$5=0,AB159,MAX(0,(AB159-AC$4)*(1+NORMINV(RAND(),INPUTS!$B$28,INPUTS!$B$29))))</f>
        <v>2830856.07372318</v>
      </c>
      <c r="AD159" s="89" t="n">
        <f aca="true">IF(AD$5=0,AC159,MAX(0,(AC159-AD$4)*(1+NORMINV(RAND(),INPUTS!$B$28,INPUTS!$B$29))))</f>
        <v>2616784.67132752</v>
      </c>
      <c r="AE159" s="89" t="n">
        <f aca="true">IF(AE$5=0,AD159,MAX(0,(AD159-AE$4)*(1+NORMINV(RAND(),INPUTS!$B$28,INPUTS!$B$29))))</f>
        <v>2714045.18641902</v>
      </c>
      <c r="AF159" s="89" t="n">
        <f aca="true">IF(AF$5=0,AE159,MAX(0,(AE159-AF$4)*(1+NORMINV(RAND(),INPUTS!$B$28,INPUTS!$B$29))))</f>
        <v>3204618.89489537</v>
      </c>
      <c r="AG159" s="89" t="n">
        <f aca="true">IF(AG$5=0,AF159,MAX(0,(AF159-AG$4)*(1+NORMINV(RAND(),INPUTS!$B$28,INPUTS!$B$29))))</f>
        <v>3179893.93600681</v>
      </c>
      <c r="AH159" s="89" t="n">
        <f aca="true">IF(AH$5=0,AG159,MAX(0,(AG159-AH$4)*(1+NORMINV(RAND(),INPUTS!$B$28,INPUTS!$B$29))))</f>
        <v>3024715.81952744</v>
      </c>
      <c r="AI159" s="89" t="n">
        <f aca="true">IF(AI$5=0,AH159,MAX(0,(AH159-AI$4)*(1+NORMINV(RAND(),INPUTS!$B$28,INPUTS!$B$29))))</f>
        <v>3571116.8576178</v>
      </c>
      <c r="AJ159" s="89" t="n">
        <f aca="true">IF(AJ$5=0,AI159,MAX(0,(AI159-AJ$4)*(1+NORMINV(RAND(),INPUTS!$B$28,INPUTS!$B$29))))</f>
        <v>3094115.40437731</v>
      </c>
      <c r="AK159" s="89" t="n">
        <f aca="true">IF(AK$5=0,AJ159,MAX(0,(AJ159-AK$4)*(1+NORMINV(RAND(),INPUTS!$B$28,INPUTS!$B$29))))</f>
        <v>2835413.21359529</v>
      </c>
      <c r="AL159" s="89" t="n">
        <f aca="true">IF(AL$5=0,AK159,MAX(0,(AK159-AL$4)*(1+NORMINV(RAND(),INPUTS!$B$28,INPUTS!$B$29))))</f>
        <v>3119759.91883483</v>
      </c>
      <c r="AM159" s="89" t="n">
        <f aca="true">IF(AM$5=0,AL159,MAX(0,(AL159-AM$4)*(1+NORMINV(RAND(),INPUTS!$B$28,INPUTS!$B$29))))</f>
        <v>3119759.91883483</v>
      </c>
      <c r="AN159" s="89" t="n">
        <f aca="true">IF(AN$5=0,AM159,MAX(0,(AM159-AN$4)*(1+NORMINV(RAND(),INPUTS!$B$28,INPUTS!$B$29))))</f>
        <v>3119759.91883483</v>
      </c>
      <c r="AO159" s="89" t="n">
        <f aca="true">IF(AO$5=0,AN159,MAX(0,(AN159-AO$4)*(1+NORMINV(RAND(),INPUTS!$B$28,INPUTS!$B$29))))</f>
        <v>3119759.91883483</v>
      </c>
      <c r="AP159" s="89" t="n">
        <f aca="true">IF(AP$5=0,AO159,MAX(0,(AO159-AP$4)*(1+NORMINV(RAND(),INPUTS!$B$28,INPUTS!$B$29))))</f>
        <v>3119759.91883483</v>
      </c>
      <c r="AQ159" s="89" t="n">
        <f aca="true">IF(AQ$5=0,AP159,MAX(0,(AP159-AQ$4)*(1+NORMINV(RAND(),INPUTS!$B$28,INPUTS!$B$29))))</f>
        <v>3119759.91883483</v>
      </c>
      <c r="AR159" s="89" t="n">
        <f aca="true">IF(AR$5=0,AQ159,MAX(0,(AQ159-AR$4)*(1+NORMINV(RAND(),INPUTS!$B$28,INPUTS!$B$29))))</f>
        <v>3119759.91883483</v>
      </c>
      <c r="AS159" s="89" t="n">
        <f aca="true">IF(AS$5=0,AR159,MAX(0,(AR159-AS$4)*(1+NORMINV(RAND(),INPUTS!$B$28,INPUTS!$B$29))))</f>
        <v>3119759.91883483</v>
      </c>
      <c r="AT159" s="89" t="n">
        <f aca="true">IF(AT$5=0,AS159,MAX(0,(AS159-AT$4)*(1+NORMINV(RAND(),INPUTS!$B$28,INPUTS!$B$29))))</f>
        <v>3119759.91883483</v>
      </c>
      <c r="AU159" s="89" t="n">
        <f aca="true">IF(AU$5=0,AT159,MAX(0,(AT159-AU$4)*(1+NORMINV(RAND(),INPUTS!$B$28,INPUTS!$B$29))))</f>
        <v>3119759.91883483</v>
      </c>
      <c r="AV159" s="89" t="n">
        <f aca="true">IF(AV$5=0,AU159,MAX(0,(AU159-AV$4)*(1+NORMINV(RAND(),INPUTS!$B$28,INPUTS!$B$29))))</f>
        <v>3119759.91883483</v>
      </c>
      <c r="AW159" s="89" t="n">
        <f aca="true">IF(AW$5=0,AV159,MAX(0,(AV159-AW$4)*(1+NORMINV(RAND(),INPUTS!$B$28,INPUTS!$B$29))))</f>
        <v>3119759.91883483</v>
      </c>
      <c r="AX159" s="89" t="n">
        <f aca="true">IF(AX$5=0,AW159,MAX(0,(AW159-AX$4)*(1+NORMINV(RAND(),INPUTS!$B$28,INPUTS!$B$29))))</f>
        <v>3119759.91883483</v>
      </c>
      <c r="AY159" s="89" t="n">
        <f aca="true">IF(AY$5=0,AX159,MAX(0,(AX159-AY$4)*(1+NORMINV(RAND(),INPUTS!$B$28,INPUTS!$B$29))))</f>
        <v>3119759.91883483</v>
      </c>
      <c r="AZ159" s="89" t="n">
        <f aca="true">IF(AZ$5=0,AY159,MAX(0,(AY159-AZ$4)*(1+NORMINV(RAND(),INPUTS!$B$28,INPUTS!$B$29))))</f>
        <v>3119759.91883483</v>
      </c>
      <c r="BA159" s="89" t="n">
        <f aca="true">IF(BA$5=0,AZ159,MAX(0,(AZ159-BA$4)*(1+NORMINV(RAND(),INPUTS!$B$28,INPUTS!$B$29))))</f>
        <v>3119759.91883483</v>
      </c>
      <c r="BB159" s="89" t="n">
        <f aca="true">IF(BB$5=0,BA159,MAX(0,(BA159-BB$4)*(1+NORMINV(RAND(),INPUTS!$B$28,INPUTS!$B$29))))</f>
        <v>3119759.91883483</v>
      </c>
      <c r="BC159" s="89" t="n">
        <f aca="true">IF(BC$5=0,BB159,MAX(0,(BB159-BC$4)*(1+NORMINV(RAND(),INPUTS!$B$28,INPUTS!$B$29))))</f>
        <v>3119759.91883483</v>
      </c>
      <c r="BD159" s="89" t="n">
        <f aca="true">IF(BD$5=0,BC159,MAX(0,(BC159-BD$4)*(1+NORMINV(RAND(),INPUTS!$B$28,INPUTS!$B$29))))</f>
        <v>3119759.91883483</v>
      </c>
      <c r="BE159" s="89" t="n">
        <f aca="true">IF(BE$5=0,BD159,MAX(0,(BD159-BE$4)*(1+NORMINV(RAND(),INPUTS!$B$28,INPUTS!$B$29))))</f>
        <v>3119759.91883483</v>
      </c>
      <c r="BF159" s="89" t="n">
        <f aca="true">IF(BF$5=0,BE159,MAX(0,(BE159-BF$4)*(1+NORMINV(RAND(),INPUTS!$B$28,INPUTS!$B$29))))</f>
        <v>3119759.91883483</v>
      </c>
      <c r="BG159" s="89" t="n">
        <f aca="true">IF(BG$5=0,BF159,MAX(0,(BF159-BG$4)*(1+NORMINV(RAND(),INPUTS!$B$28,INPUTS!$B$29))))</f>
        <v>3119759.91883483</v>
      </c>
      <c r="BH159" s="89" t="n">
        <f aca="true">IF(BH$5=0,BG159,MAX(0,(BG159-BH$4)*(1+NORMINV(RAND(),INPUTS!$B$28,INPUTS!$B$29))))</f>
        <v>3119759.91883483</v>
      </c>
      <c r="BI159" s="89" t="n">
        <f aca="true">IF(BI$5=0,BH159,MAX(0,(BH159-BI$4)*(1+NORMINV(RAND(),INPUTS!$B$28,INPUTS!$B$29))))</f>
        <v>3119759.91883483</v>
      </c>
      <c r="BJ159" s="89" t="n">
        <f aca="true">IF(BJ$5=0,BI159,MAX(0,(BI159-BJ$4)*(1+NORMINV(RAND(),INPUTS!$B$28,INPUTS!$B$29))))</f>
        <v>3119759.91883483</v>
      </c>
    </row>
    <row r="160" customFormat="false" ht="15" hidden="false" customHeight="true" outlineLevel="0" collapsed="false">
      <c r="A160" s="87" t="n">
        <v>153</v>
      </c>
      <c r="B160" s="88" t="n">
        <f aca="false">LOOKUP(9.99E+307,C160:BJ160)</f>
        <v>412737.748705206</v>
      </c>
      <c r="C160" s="89" t="n">
        <f aca="true">IF(C$5=0,INPUTS!$B$35,MAX(0,(INPUTS!$B$35-C$4)*(1+NORMINV(RAND(),INPUTS!$B$28,INPUTS!$B$29))))</f>
        <v>1248125.92466985</v>
      </c>
      <c r="D160" s="89" t="n">
        <f aca="true">IF(D$5=0,C160,MAX(0,(C160-D$4)*(1+NORMINV(RAND(),INPUTS!$B$28,INPUTS!$B$29))))</f>
        <v>1116211.88357679</v>
      </c>
      <c r="E160" s="89" t="n">
        <f aca="true">IF(E$5=0,D160,MAX(0,(D160-E$4)*(1+NORMINV(RAND(),INPUTS!$B$28,INPUTS!$B$29))))</f>
        <v>1341166.23034941</v>
      </c>
      <c r="F160" s="89" t="n">
        <f aca="true">IF(F$5=0,E160,MAX(0,(E160-F$4)*(1+NORMINV(RAND(),INPUTS!$B$28,INPUTS!$B$29))))</f>
        <v>1342437.13902204</v>
      </c>
      <c r="G160" s="89" t="n">
        <f aca="true">IF(G$5=0,F160,MAX(0,(F160-G$4)*(1+NORMINV(RAND(),INPUTS!$B$28,INPUTS!$B$29))))</f>
        <v>1497253.65673688</v>
      </c>
      <c r="H160" s="89" t="n">
        <f aca="true">IF(H$5=0,G160,MAX(0,(G160-H$4)*(1+NORMINV(RAND(),INPUTS!$B$28,INPUTS!$B$29))))</f>
        <v>1482309.41747969</v>
      </c>
      <c r="I160" s="89" t="n">
        <f aca="true">IF(I$5=0,H160,MAX(0,(H160-I$4)*(1+NORMINV(RAND(),INPUTS!$B$28,INPUTS!$B$29))))</f>
        <v>1459087.56366022</v>
      </c>
      <c r="J160" s="89" t="n">
        <f aca="true">IF(J$5=0,I160,MAX(0,(I160-J$4)*(1+NORMINV(RAND(),INPUTS!$B$28,INPUTS!$B$29))))</f>
        <v>1420852.9539724</v>
      </c>
      <c r="K160" s="89" t="n">
        <f aca="true">IF(K$5=0,J160,MAX(0,(J160-K$4)*(1+NORMINV(RAND(),INPUTS!$B$28,INPUTS!$B$29))))</f>
        <v>1327542.75028186</v>
      </c>
      <c r="L160" s="89" t="n">
        <f aca="true">IF(L$5=0,K160,MAX(0,(K160-L$4)*(1+NORMINV(RAND(),INPUTS!$B$28,INPUTS!$B$29))))</f>
        <v>1145409.90319492</v>
      </c>
      <c r="M160" s="89" t="n">
        <f aca="true">IF(M$5=0,L160,MAX(0,(L160-M$4)*(1+NORMINV(RAND(),INPUTS!$B$28,INPUTS!$B$29))))</f>
        <v>951728.71739607</v>
      </c>
      <c r="N160" s="89" t="n">
        <f aca="true">IF(N$5=0,M160,MAX(0,(M160-N$4)*(1+NORMINV(RAND(),INPUTS!$B$28,INPUTS!$B$29))))</f>
        <v>945212.17729852</v>
      </c>
      <c r="O160" s="89" t="n">
        <f aca="true">IF(O$5=0,N160,MAX(0,(N160-O$4)*(1+NORMINV(RAND(),INPUTS!$B$28,INPUTS!$B$29))))</f>
        <v>871960.970083509</v>
      </c>
      <c r="P160" s="89" t="n">
        <f aca="true">IF(P$5=0,O160,MAX(0,(O160-P$4)*(1+NORMINV(RAND(),INPUTS!$B$28,INPUTS!$B$29))))</f>
        <v>976327.874338698</v>
      </c>
      <c r="Q160" s="89" t="n">
        <f aca="true">IF(Q$5=0,P160,MAX(0,(P160-Q$4)*(1+NORMINV(RAND(),INPUTS!$B$28,INPUTS!$B$29))))</f>
        <v>1040917.90019615</v>
      </c>
      <c r="R160" s="89" t="n">
        <f aca="true">IF(R$5=0,Q160,MAX(0,(Q160-R$4)*(1+NORMINV(RAND(),INPUTS!$B$28,INPUTS!$B$29))))</f>
        <v>967263.835169195</v>
      </c>
      <c r="S160" s="89" t="n">
        <f aca="true">IF(S$5=0,R160,MAX(0,(R160-S$4)*(1+NORMINV(RAND(),INPUTS!$B$28,INPUTS!$B$29))))</f>
        <v>989988.091058922</v>
      </c>
      <c r="T160" s="89" t="n">
        <f aca="true">IF(T$5=0,S160,MAX(0,(S160-T$4)*(1+NORMINV(RAND(),INPUTS!$B$28,INPUTS!$B$29))))</f>
        <v>943354.386381026</v>
      </c>
      <c r="U160" s="89" t="n">
        <f aca="true">IF(U$5=0,T160,MAX(0,(T160-U$4)*(1+NORMINV(RAND(),INPUTS!$B$28,INPUTS!$B$29))))</f>
        <v>1019460.08082304</v>
      </c>
      <c r="V160" s="89" t="n">
        <f aca="true">IF(V$5=0,U160,MAX(0,(U160-V$4)*(1+NORMINV(RAND(),INPUTS!$B$28,INPUTS!$B$29))))</f>
        <v>842648.106619814</v>
      </c>
      <c r="W160" s="89" t="n">
        <f aca="true">IF(W$5=0,V160,MAX(0,(V160-W$4)*(1+NORMINV(RAND(),INPUTS!$B$28,INPUTS!$B$29))))</f>
        <v>907887.655046403</v>
      </c>
      <c r="X160" s="89" t="n">
        <f aca="true">IF(X$5=0,W160,MAX(0,(W160-X$4)*(1+NORMINV(RAND(),INPUTS!$B$28,INPUTS!$B$29))))</f>
        <v>979319.874659986</v>
      </c>
      <c r="Y160" s="89" t="n">
        <f aca="true">IF(Y$5=0,X160,MAX(0,(X160-Y$4)*(1+NORMINV(RAND(),INPUTS!$B$28,INPUTS!$B$29))))</f>
        <v>1026800.91450183</v>
      </c>
      <c r="Z160" s="89" t="n">
        <f aca="true">IF(Z$5=0,Y160,MAX(0,(Y160-Z$4)*(1+NORMINV(RAND(),INPUTS!$B$28,INPUTS!$B$29))))</f>
        <v>1016622.80195225</v>
      </c>
      <c r="AA160" s="89" t="n">
        <f aca="true">IF(AA$5=0,Z160,MAX(0,(Z160-AA$4)*(1+NORMINV(RAND(),INPUTS!$B$28,INPUTS!$B$29))))</f>
        <v>866924.9929929</v>
      </c>
      <c r="AB160" s="89" t="n">
        <f aca="true">IF(AB$5=0,AA160,MAX(0,(AA160-AB$4)*(1+NORMINV(RAND(),INPUTS!$B$28,INPUTS!$B$29))))</f>
        <v>897907.269083791</v>
      </c>
      <c r="AC160" s="89" t="n">
        <f aca="true">IF(AC$5=0,AB160,MAX(0,(AB160-AC$4)*(1+NORMINV(RAND(),INPUTS!$B$28,INPUTS!$B$29))))</f>
        <v>803075.782726254</v>
      </c>
      <c r="AD160" s="89" t="n">
        <f aca="true">IF(AD$5=0,AC160,MAX(0,(AC160-AD$4)*(1+NORMINV(RAND(),INPUTS!$B$28,INPUTS!$B$29))))</f>
        <v>700234.837814506</v>
      </c>
      <c r="AE160" s="89" t="n">
        <f aca="true">IF(AE$5=0,AD160,MAX(0,(AD160-AE$4)*(1+NORMINV(RAND(),INPUTS!$B$28,INPUTS!$B$29))))</f>
        <v>623881.4651788</v>
      </c>
      <c r="AF160" s="89" t="n">
        <f aca="true">IF(AF$5=0,AE160,MAX(0,(AE160-AF$4)*(1+NORMINV(RAND(),INPUTS!$B$28,INPUTS!$B$29))))</f>
        <v>669974.269374175</v>
      </c>
      <c r="AG160" s="89" t="n">
        <f aca="true">IF(AG$5=0,AF160,MAX(0,(AF160-AG$4)*(1+NORMINV(RAND(),INPUTS!$B$28,INPUTS!$B$29))))</f>
        <v>684139.437169234</v>
      </c>
      <c r="AH160" s="89" t="n">
        <f aca="true">IF(AH$5=0,AG160,MAX(0,(AG160-AH$4)*(1+NORMINV(RAND(),INPUTS!$B$28,INPUTS!$B$29))))</f>
        <v>580422.45547738</v>
      </c>
      <c r="AI160" s="89" t="n">
        <f aca="true">IF(AI$5=0,AH160,MAX(0,(AH160-AI$4)*(1+NORMINV(RAND(),INPUTS!$B$28,INPUTS!$B$29))))</f>
        <v>609427.372422475</v>
      </c>
      <c r="AJ160" s="89" t="n">
        <f aca="true">IF(AJ$5=0,AI160,MAX(0,(AI160-AJ$4)*(1+NORMINV(RAND(),INPUTS!$B$28,INPUTS!$B$29))))</f>
        <v>618117.79298272</v>
      </c>
      <c r="AK160" s="89" t="n">
        <f aca="true">IF(AK$5=0,AJ160,MAX(0,(AJ160-AK$4)*(1+NORMINV(RAND(),INPUTS!$B$28,INPUTS!$B$29))))</f>
        <v>592063.186595421</v>
      </c>
      <c r="AL160" s="89" t="n">
        <f aca="true">IF(AL$5=0,AK160,MAX(0,(AK160-AL$4)*(1+NORMINV(RAND(),INPUTS!$B$28,INPUTS!$B$29))))</f>
        <v>412737.748705206</v>
      </c>
      <c r="AM160" s="89" t="n">
        <f aca="true">IF(AM$5=0,AL160,MAX(0,(AL160-AM$4)*(1+NORMINV(RAND(),INPUTS!$B$28,INPUTS!$B$29))))</f>
        <v>412737.748705206</v>
      </c>
      <c r="AN160" s="89" t="n">
        <f aca="true">IF(AN$5=0,AM160,MAX(0,(AM160-AN$4)*(1+NORMINV(RAND(),INPUTS!$B$28,INPUTS!$B$29))))</f>
        <v>412737.748705206</v>
      </c>
      <c r="AO160" s="89" t="n">
        <f aca="true">IF(AO$5=0,AN160,MAX(0,(AN160-AO$4)*(1+NORMINV(RAND(),INPUTS!$B$28,INPUTS!$B$29))))</f>
        <v>412737.748705206</v>
      </c>
      <c r="AP160" s="89" t="n">
        <f aca="true">IF(AP$5=0,AO160,MAX(0,(AO160-AP$4)*(1+NORMINV(RAND(),INPUTS!$B$28,INPUTS!$B$29))))</f>
        <v>412737.748705206</v>
      </c>
      <c r="AQ160" s="89" t="n">
        <f aca="true">IF(AQ$5=0,AP160,MAX(0,(AP160-AQ$4)*(1+NORMINV(RAND(),INPUTS!$B$28,INPUTS!$B$29))))</f>
        <v>412737.748705206</v>
      </c>
      <c r="AR160" s="89" t="n">
        <f aca="true">IF(AR$5=0,AQ160,MAX(0,(AQ160-AR$4)*(1+NORMINV(RAND(),INPUTS!$B$28,INPUTS!$B$29))))</f>
        <v>412737.748705206</v>
      </c>
      <c r="AS160" s="89" t="n">
        <f aca="true">IF(AS$5=0,AR160,MAX(0,(AR160-AS$4)*(1+NORMINV(RAND(),INPUTS!$B$28,INPUTS!$B$29))))</f>
        <v>412737.748705206</v>
      </c>
      <c r="AT160" s="89" t="n">
        <f aca="true">IF(AT$5=0,AS160,MAX(0,(AS160-AT$4)*(1+NORMINV(RAND(),INPUTS!$B$28,INPUTS!$B$29))))</f>
        <v>412737.748705206</v>
      </c>
      <c r="AU160" s="89" t="n">
        <f aca="true">IF(AU$5=0,AT160,MAX(0,(AT160-AU$4)*(1+NORMINV(RAND(),INPUTS!$B$28,INPUTS!$B$29))))</f>
        <v>412737.748705206</v>
      </c>
      <c r="AV160" s="89" t="n">
        <f aca="true">IF(AV$5=0,AU160,MAX(0,(AU160-AV$4)*(1+NORMINV(RAND(),INPUTS!$B$28,INPUTS!$B$29))))</f>
        <v>412737.748705206</v>
      </c>
      <c r="AW160" s="89" t="n">
        <f aca="true">IF(AW$5=0,AV160,MAX(0,(AV160-AW$4)*(1+NORMINV(RAND(),INPUTS!$B$28,INPUTS!$B$29))))</f>
        <v>412737.748705206</v>
      </c>
      <c r="AX160" s="89" t="n">
        <f aca="true">IF(AX$5=0,AW160,MAX(0,(AW160-AX$4)*(1+NORMINV(RAND(),INPUTS!$B$28,INPUTS!$B$29))))</f>
        <v>412737.748705206</v>
      </c>
      <c r="AY160" s="89" t="n">
        <f aca="true">IF(AY$5=0,AX160,MAX(0,(AX160-AY$4)*(1+NORMINV(RAND(),INPUTS!$B$28,INPUTS!$B$29))))</f>
        <v>412737.748705206</v>
      </c>
      <c r="AZ160" s="89" t="n">
        <f aca="true">IF(AZ$5=0,AY160,MAX(0,(AY160-AZ$4)*(1+NORMINV(RAND(),INPUTS!$B$28,INPUTS!$B$29))))</f>
        <v>412737.748705206</v>
      </c>
      <c r="BA160" s="89" t="n">
        <f aca="true">IF(BA$5=0,AZ160,MAX(0,(AZ160-BA$4)*(1+NORMINV(RAND(),INPUTS!$B$28,INPUTS!$B$29))))</f>
        <v>412737.748705206</v>
      </c>
      <c r="BB160" s="89" t="n">
        <f aca="true">IF(BB$5=0,BA160,MAX(0,(BA160-BB$4)*(1+NORMINV(RAND(),INPUTS!$B$28,INPUTS!$B$29))))</f>
        <v>412737.748705206</v>
      </c>
      <c r="BC160" s="89" t="n">
        <f aca="true">IF(BC$5=0,BB160,MAX(0,(BB160-BC$4)*(1+NORMINV(RAND(),INPUTS!$B$28,INPUTS!$B$29))))</f>
        <v>412737.748705206</v>
      </c>
      <c r="BD160" s="89" t="n">
        <f aca="true">IF(BD$5=0,BC160,MAX(0,(BC160-BD$4)*(1+NORMINV(RAND(),INPUTS!$B$28,INPUTS!$B$29))))</f>
        <v>412737.748705206</v>
      </c>
      <c r="BE160" s="89" t="n">
        <f aca="true">IF(BE$5=0,BD160,MAX(0,(BD160-BE$4)*(1+NORMINV(RAND(),INPUTS!$B$28,INPUTS!$B$29))))</f>
        <v>412737.748705206</v>
      </c>
      <c r="BF160" s="89" t="n">
        <f aca="true">IF(BF$5=0,BE160,MAX(0,(BE160-BF$4)*(1+NORMINV(RAND(),INPUTS!$B$28,INPUTS!$B$29))))</f>
        <v>412737.748705206</v>
      </c>
      <c r="BG160" s="89" t="n">
        <f aca="true">IF(BG$5=0,BF160,MAX(0,(BF160-BG$4)*(1+NORMINV(RAND(),INPUTS!$B$28,INPUTS!$B$29))))</f>
        <v>412737.748705206</v>
      </c>
      <c r="BH160" s="89" t="n">
        <f aca="true">IF(BH$5=0,BG160,MAX(0,(BG160-BH$4)*(1+NORMINV(RAND(),INPUTS!$B$28,INPUTS!$B$29))))</f>
        <v>412737.748705206</v>
      </c>
      <c r="BI160" s="89" t="n">
        <f aca="true">IF(BI$5=0,BH160,MAX(0,(BH160-BI$4)*(1+NORMINV(RAND(),INPUTS!$B$28,INPUTS!$B$29))))</f>
        <v>412737.748705206</v>
      </c>
      <c r="BJ160" s="89" t="n">
        <f aca="true">IF(BJ$5=0,BI160,MAX(0,(BI160-BJ$4)*(1+NORMINV(RAND(),INPUTS!$B$28,INPUTS!$B$29))))</f>
        <v>412737.748705206</v>
      </c>
    </row>
    <row r="161" customFormat="false" ht="15" hidden="false" customHeight="true" outlineLevel="0" collapsed="false">
      <c r="A161" s="87" t="n">
        <v>154</v>
      </c>
      <c r="B161" s="88" t="n">
        <f aca="false">LOOKUP(9.99E+307,C161:BJ161)</f>
        <v>6347990.09236939</v>
      </c>
      <c r="C161" s="89" t="n">
        <f aca="true">IF(C$5=0,INPUTS!$B$35,MAX(0,(INPUTS!$B$35-C$4)*(1+NORMINV(RAND(),INPUTS!$B$28,INPUTS!$B$29))))</f>
        <v>1325228.89268691</v>
      </c>
      <c r="D161" s="89" t="n">
        <f aca="true">IF(D$5=0,C161,MAX(0,(C161-D$4)*(1+NORMINV(RAND(),INPUTS!$B$28,INPUTS!$B$29))))</f>
        <v>1513626.71687197</v>
      </c>
      <c r="E161" s="89" t="n">
        <f aca="true">IF(E$5=0,D161,MAX(0,(D161-E$4)*(1+NORMINV(RAND(),INPUTS!$B$28,INPUTS!$B$29))))</f>
        <v>1506863.6931213</v>
      </c>
      <c r="F161" s="89" t="n">
        <f aca="true">IF(F$5=0,E161,MAX(0,(E161-F$4)*(1+NORMINV(RAND(),INPUTS!$B$28,INPUTS!$B$29))))</f>
        <v>1358780.26154816</v>
      </c>
      <c r="G161" s="89" t="n">
        <f aca="true">IF(G$5=0,F161,MAX(0,(F161-G$4)*(1+NORMINV(RAND(),INPUTS!$B$28,INPUTS!$B$29))))</f>
        <v>1752002.70561269</v>
      </c>
      <c r="H161" s="89" t="n">
        <f aca="true">IF(H$5=0,G161,MAX(0,(G161-H$4)*(1+NORMINV(RAND(),INPUTS!$B$28,INPUTS!$B$29))))</f>
        <v>1936037.8996245</v>
      </c>
      <c r="I161" s="89" t="n">
        <f aca="true">IF(I$5=0,H161,MAX(0,(H161-I$4)*(1+NORMINV(RAND(),INPUTS!$B$28,INPUTS!$B$29))))</f>
        <v>2380655.69176262</v>
      </c>
      <c r="J161" s="89" t="n">
        <f aca="true">IF(J$5=0,I161,MAX(0,(I161-J$4)*(1+NORMINV(RAND(),INPUTS!$B$28,INPUTS!$B$29))))</f>
        <v>2488674.79117771</v>
      </c>
      <c r="K161" s="89" t="n">
        <f aca="true">IF(K$5=0,J161,MAX(0,(J161-K$4)*(1+NORMINV(RAND(),INPUTS!$B$28,INPUTS!$B$29))))</f>
        <v>2609199.13107867</v>
      </c>
      <c r="L161" s="89" t="n">
        <f aca="true">IF(L$5=0,K161,MAX(0,(K161-L$4)*(1+NORMINV(RAND(),INPUTS!$B$28,INPUTS!$B$29))))</f>
        <v>2142459.27516848</v>
      </c>
      <c r="M161" s="89" t="n">
        <f aca="true">IF(M$5=0,L161,MAX(0,(L161-M$4)*(1+NORMINV(RAND(),INPUTS!$B$28,INPUTS!$B$29))))</f>
        <v>2275999.9226624</v>
      </c>
      <c r="N161" s="89" t="n">
        <f aca="true">IF(N$5=0,M161,MAX(0,(M161-N$4)*(1+NORMINV(RAND(),INPUTS!$B$28,INPUTS!$B$29))))</f>
        <v>2596271.35806538</v>
      </c>
      <c r="O161" s="89" t="n">
        <f aca="true">IF(O$5=0,N161,MAX(0,(N161-O$4)*(1+NORMINV(RAND(),INPUTS!$B$28,INPUTS!$B$29))))</f>
        <v>2540005.34033045</v>
      </c>
      <c r="P161" s="89" t="n">
        <f aca="true">IF(P$5=0,O161,MAX(0,(O161-P$4)*(1+NORMINV(RAND(),INPUTS!$B$28,INPUTS!$B$29))))</f>
        <v>3338339.27395709</v>
      </c>
      <c r="Q161" s="89" t="n">
        <f aca="true">IF(Q$5=0,P161,MAX(0,(P161-Q$4)*(1+NORMINV(RAND(),INPUTS!$B$28,INPUTS!$B$29))))</f>
        <v>2983950.68226735</v>
      </c>
      <c r="R161" s="89" t="n">
        <f aca="true">IF(R$5=0,Q161,MAX(0,(Q161-R$4)*(1+NORMINV(RAND(),INPUTS!$B$28,INPUTS!$B$29))))</f>
        <v>2768930.01434774</v>
      </c>
      <c r="S161" s="89" t="n">
        <f aca="true">IF(S$5=0,R161,MAX(0,(R161-S$4)*(1+NORMINV(RAND(),INPUTS!$B$28,INPUTS!$B$29))))</f>
        <v>2804362.45068946</v>
      </c>
      <c r="T161" s="89" t="n">
        <f aca="true">IF(T$5=0,S161,MAX(0,(S161-T$4)*(1+NORMINV(RAND(),INPUTS!$B$28,INPUTS!$B$29))))</f>
        <v>2761160.56443667</v>
      </c>
      <c r="U161" s="89" t="n">
        <f aca="true">IF(U$5=0,T161,MAX(0,(T161-U$4)*(1+NORMINV(RAND(),INPUTS!$B$28,INPUTS!$B$29))))</f>
        <v>3177058.16648646</v>
      </c>
      <c r="V161" s="89" t="n">
        <f aca="true">IF(V$5=0,U161,MAX(0,(U161-V$4)*(1+NORMINV(RAND(),INPUTS!$B$28,INPUTS!$B$29))))</f>
        <v>3357933.1811893</v>
      </c>
      <c r="W161" s="89" t="n">
        <f aca="true">IF(W$5=0,V161,MAX(0,(V161-W$4)*(1+NORMINV(RAND(),INPUTS!$B$28,INPUTS!$B$29))))</f>
        <v>3398565.76428658</v>
      </c>
      <c r="X161" s="89" t="n">
        <f aca="true">IF(X$5=0,W161,MAX(0,(W161-X$4)*(1+NORMINV(RAND(),INPUTS!$B$28,INPUTS!$B$29))))</f>
        <v>4136132.77244608</v>
      </c>
      <c r="Y161" s="89" t="n">
        <f aca="true">IF(Y$5=0,X161,MAX(0,(X161-Y$4)*(1+NORMINV(RAND(),INPUTS!$B$28,INPUTS!$B$29))))</f>
        <v>4547660.47583446</v>
      </c>
      <c r="Z161" s="89" t="n">
        <f aca="true">IF(Z$5=0,Y161,MAX(0,(Y161-Z$4)*(1+NORMINV(RAND(),INPUTS!$B$28,INPUTS!$B$29))))</f>
        <v>5023258.72312168</v>
      </c>
      <c r="AA161" s="89" t="n">
        <f aca="true">IF(AA$5=0,Z161,MAX(0,(Z161-AA$4)*(1+NORMINV(RAND(),INPUTS!$B$28,INPUTS!$B$29))))</f>
        <v>5754812.29540129</v>
      </c>
      <c r="AB161" s="89" t="n">
        <f aca="true">IF(AB$5=0,AA161,MAX(0,(AA161-AB$4)*(1+NORMINV(RAND(),INPUTS!$B$28,INPUTS!$B$29))))</f>
        <v>5401515.39915071</v>
      </c>
      <c r="AC161" s="89" t="n">
        <f aca="true">IF(AC$5=0,AB161,MAX(0,(AB161-AC$4)*(1+NORMINV(RAND(),INPUTS!$B$28,INPUTS!$B$29))))</f>
        <v>5658702.6362605</v>
      </c>
      <c r="AD161" s="89" t="n">
        <f aca="true">IF(AD$5=0,AC161,MAX(0,(AC161-AD$4)*(1+NORMINV(RAND(),INPUTS!$B$28,INPUTS!$B$29))))</f>
        <v>5480655.82288418</v>
      </c>
      <c r="AE161" s="89" t="n">
        <f aca="true">IF(AE$5=0,AD161,MAX(0,(AD161-AE$4)*(1+NORMINV(RAND(),INPUTS!$B$28,INPUTS!$B$29))))</f>
        <v>4667792.05593001</v>
      </c>
      <c r="AF161" s="89" t="n">
        <f aca="true">IF(AF$5=0,AE161,MAX(0,(AE161-AF$4)*(1+NORMINV(RAND(),INPUTS!$B$28,INPUTS!$B$29))))</f>
        <v>5101594.10224705</v>
      </c>
      <c r="AG161" s="89" t="n">
        <f aca="true">IF(AG$5=0,AF161,MAX(0,(AF161-AG$4)*(1+NORMINV(RAND(),INPUTS!$B$28,INPUTS!$B$29))))</f>
        <v>5722625.71812616</v>
      </c>
      <c r="AH161" s="89" t="n">
        <f aca="true">IF(AH$5=0,AG161,MAX(0,(AG161-AH$4)*(1+NORMINV(RAND(),INPUTS!$B$28,INPUTS!$B$29))))</f>
        <v>5534216.8197069</v>
      </c>
      <c r="AI161" s="89" t="n">
        <f aca="true">IF(AI$5=0,AH161,MAX(0,(AH161-AI$4)*(1+NORMINV(RAND(),INPUTS!$B$28,INPUTS!$B$29))))</f>
        <v>6015375.62181938</v>
      </c>
      <c r="AJ161" s="89" t="n">
        <f aca="true">IF(AJ$5=0,AI161,MAX(0,(AI161-AJ$4)*(1+NORMINV(RAND(),INPUTS!$B$28,INPUTS!$B$29))))</f>
        <v>6187839.80743893</v>
      </c>
      <c r="AK161" s="89" t="n">
        <f aca="true">IF(AK$5=0,AJ161,MAX(0,(AJ161-AK$4)*(1+NORMINV(RAND(),INPUTS!$B$28,INPUTS!$B$29))))</f>
        <v>6787227.96512198</v>
      </c>
      <c r="AL161" s="89" t="n">
        <f aca="true">IF(AL$5=0,AK161,MAX(0,(AK161-AL$4)*(1+NORMINV(RAND(),INPUTS!$B$28,INPUTS!$B$29))))</f>
        <v>6347990.09236939</v>
      </c>
      <c r="AM161" s="89" t="n">
        <f aca="true">IF(AM$5=0,AL161,MAX(0,(AL161-AM$4)*(1+NORMINV(RAND(),INPUTS!$B$28,INPUTS!$B$29))))</f>
        <v>6347990.09236939</v>
      </c>
      <c r="AN161" s="89" t="n">
        <f aca="true">IF(AN$5=0,AM161,MAX(0,(AM161-AN$4)*(1+NORMINV(RAND(),INPUTS!$B$28,INPUTS!$B$29))))</f>
        <v>6347990.09236939</v>
      </c>
      <c r="AO161" s="89" t="n">
        <f aca="true">IF(AO$5=0,AN161,MAX(0,(AN161-AO$4)*(1+NORMINV(RAND(),INPUTS!$B$28,INPUTS!$B$29))))</f>
        <v>6347990.09236939</v>
      </c>
      <c r="AP161" s="89" t="n">
        <f aca="true">IF(AP$5=0,AO161,MAX(0,(AO161-AP$4)*(1+NORMINV(RAND(),INPUTS!$B$28,INPUTS!$B$29))))</f>
        <v>6347990.09236939</v>
      </c>
      <c r="AQ161" s="89" t="n">
        <f aca="true">IF(AQ$5=0,AP161,MAX(0,(AP161-AQ$4)*(1+NORMINV(RAND(),INPUTS!$B$28,INPUTS!$B$29))))</f>
        <v>6347990.09236939</v>
      </c>
      <c r="AR161" s="89" t="n">
        <f aca="true">IF(AR$5=0,AQ161,MAX(0,(AQ161-AR$4)*(1+NORMINV(RAND(),INPUTS!$B$28,INPUTS!$B$29))))</f>
        <v>6347990.09236939</v>
      </c>
      <c r="AS161" s="89" t="n">
        <f aca="true">IF(AS$5=0,AR161,MAX(0,(AR161-AS$4)*(1+NORMINV(RAND(),INPUTS!$B$28,INPUTS!$B$29))))</f>
        <v>6347990.09236939</v>
      </c>
      <c r="AT161" s="89" t="n">
        <f aca="true">IF(AT$5=0,AS161,MAX(0,(AS161-AT$4)*(1+NORMINV(RAND(),INPUTS!$B$28,INPUTS!$B$29))))</f>
        <v>6347990.09236939</v>
      </c>
      <c r="AU161" s="89" t="n">
        <f aca="true">IF(AU$5=0,AT161,MAX(0,(AT161-AU$4)*(1+NORMINV(RAND(),INPUTS!$B$28,INPUTS!$B$29))))</f>
        <v>6347990.09236939</v>
      </c>
      <c r="AV161" s="89" t="n">
        <f aca="true">IF(AV$5=0,AU161,MAX(0,(AU161-AV$4)*(1+NORMINV(RAND(),INPUTS!$B$28,INPUTS!$B$29))))</f>
        <v>6347990.09236939</v>
      </c>
      <c r="AW161" s="89" t="n">
        <f aca="true">IF(AW$5=0,AV161,MAX(0,(AV161-AW$4)*(1+NORMINV(RAND(),INPUTS!$B$28,INPUTS!$B$29))))</f>
        <v>6347990.09236939</v>
      </c>
      <c r="AX161" s="89" t="n">
        <f aca="true">IF(AX$5=0,AW161,MAX(0,(AW161-AX$4)*(1+NORMINV(RAND(),INPUTS!$B$28,INPUTS!$B$29))))</f>
        <v>6347990.09236939</v>
      </c>
      <c r="AY161" s="89" t="n">
        <f aca="true">IF(AY$5=0,AX161,MAX(0,(AX161-AY$4)*(1+NORMINV(RAND(),INPUTS!$B$28,INPUTS!$B$29))))</f>
        <v>6347990.09236939</v>
      </c>
      <c r="AZ161" s="89" t="n">
        <f aca="true">IF(AZ$5=0,AY161,MAX(0,(AY161-AZ$4)*(1+NORMINV(RAND(),INPUTS!$B$28,INPUTS!$B$29))))</f>
        <v>6347990.09236939</v>
      </c>
      <c r="BA161" s="89" t="n">
        <f aca="true">IF(BA$5=0,AZ161,MAX(0,(AZ161-BA$4)*(1+NORMINV(RAND(),INPUTS!$B$28,INPUTS!$B$29))))</f>
        <v>6347990.09236939</v>
      </c>
      <c r="BB161" s="89" t="n">
        <f aca="true">IF(BB$5=0,BA161,MAX(0,(BA161-BB$4)*(1+NORMINV(RAND(),INPUTS!$B$28,INPUTS!$B$29))))</f>
        <v>6347990.09236939</v>
      </c>
      <c r="BC161" s="89" t="n">
        <f aca="true">IF(BC$5=0,BB161,MAX(0,(BB161-BC$4)*(1+NORMINV(RAND(),INPUTS!$B$28,INPUTS!$B$29))))</f>
        <v>6347990.09236939</v>
      </c>
      <c r="BD161" s="89" t="n">
        <f aca="true">IF(BD$5=0,BC161,MAX(0,(BC161-BD$4)*(1+NORMINV(RAND(),INPUTS!$B$28,INPUTS!$B$29))))</f>
        <v>6347990.09236939</v>
      </c>
      <c r="BE161" s="89" t="n">
        <f aca="true">IF(BE$5=0,BD161,MAX(0,(BD161-BE$4)*(1+NORMINV(RAND(),INPUTS!$B$28,INPUTS!$B$29))))</f>
        <v>6347990.09236939</v>
      </c>
      <c r="BF161" s="89" t="n">
        <f aca="true">IF(BF$5=0,BE161,MAX(0,(BE161-BF$4)*(1+NORMINV(RAND(),INPUTS!$B$28,INPUTS!$B$29))))</f>
        <v>6347990.09236939</v>
      </c>
      <c r="BG161" s="89" t="n">
        <f aca="true">IF(BG$5=0,BF161,MAX(0,(BF161-BG$4)*(1+NORMINV(RAND(),INPUTS!$B$28,INPUTS!$B$29))))</f>
        <v>6347990.09236939</v>
      </c>
      <c r="BH161" s="89" t="n">
        <f aca="true">IF(BH$5=0,BG161,MAX(0,(BG161-BH$4)*(1+NORMINV(RAND(),INPUTS!$B$28,INPUTS!$B$29))))</f>
        <v>6347990.09236939</v>
      </c>
      <c r="BI161" s="89" t="n">
        <f aca="true">IF(BI$5=0,BH161,MAX(0,(BH161-BI$4)*(1+NORMINV(RAND(),INPUTS!$B$28,INPUTS!$B$29))))</f>
        <v>6347990.09236939</v>
      </c>
      <c r="BJ161" s="89" t="n">
        <f aca="true">IF(BJ$5=0,BI161,MAX(0,(BI161-BJ$4)*(1+NORMINV(RAND(),INPUTS!$B$28,INPUTS!$B$29))))</f>
        <v>6347990.09236939</v>
      </c>
    </row>
    <row r="162" customFormat="false" ht="15" hidden="false" customHeight="true" outlineLevel="0" collapsed="false">
      <c r="A162" s="87" t="n">
        <v>155</v>
      </c>
      <c r="B162" s="88" t="n">
        <f aca="false">LOOKUP(9.99E+307,C162:BJ162)</f>
        <v>7754147.23490358</v>
      </c>
      <c r="C162" s="89" t="n">
        <f aca="true">IF(C$5=0,INPUTS!$B$35,MAX(0,(INPUTS!$B$35-C$4)*(1+NORMINV(RAND(),INPUTS!$B$28,INPUTS!$B$29))))</f>
        <v>1492788.26501063</v>
      </c>
      <c r="D162" s="89" t="n">
        <f aca="true">IF(D$5=0,C162,MAX(0,(C162-D$4)*(1+NORMINV(RAND(),INPUTS!$B$28,INPUTS!$B$29))))</f>
        <v>1592099.18883873</v>
      </c>
      <c r="E162" s="89" t="n">
        <f aca="true">IF(E$5=0,D162,MAX(0,(D162-E$4)*(1+NORMINV(RAND(),INPUTS!$B$28,INPUTS!$B$29))))</f>
        <v>1587189.54173533</v>
      </c>
      <c r="F162" s="89" t="n">
        <f aca="true">IF(F$5=0,E162,MAX(0,(E162-F$4)*(1+NORMINV(RAND(),INPUTS!$B$28,INPUTS!$B$29))))</f>
        <v>1526829.43910969</v>
      </c>
      <c r="G162" s="89" t="n">
        <f aca="true">IF(G$5=0,F162,MAX(0,(F162-G$4)*(1+NORMINV(RAND(),INPUTS!$B$28,INPUTS!$B$29))))</f>
        <v>1573853.56016553</v>
      </c>
      <c r="H162" s="89" t="n">
        <f aca="true">IF(H$5=0,G162,MAX(0,(G162-H$4)*(1+NORMINV(RAND(),INPUTS!$B$28,INPUTS!$B$29))))</f>
        <v>1768052.08265104</v>
      </c>
      <c r="I162" s="89" t="n">
        <f aca="true">IF(I$5=0,H162,MAX(0,(H162-I$4)*(1+NORMINV(RAND(),INPUTS!$B$28,INPUTS!$B$29))))</f>
        <v>1953150.09292627</v>
      </c>
      <c r="J162" s="89" t="n">
        <f aca="true">IF(J$5=0,I162,MAX(0,(I162-J$4)*(1+NORMINV(RAND(),INPUTS!$B$28,INPUTS!$B$29))))</f>
        <v>2003858.05175288</v>
      </c>
      <c r="K162" s="89" t="n">
        <f aca="true">IF(K$5=0,J162,MAX(0,(J162-K$4)*(1+NORMINV(RAND(),INPUTS!$B$28,INPUTS!$B$29))))</f>
        <v>1919545.09484393</v>
      </c>
      <c r="L162" s="89" t="n">
        <f aca="true">IF(L$5=0,K162,MAX(0,(K162-L$4)*(1+NORMINV(RAND(),INPUTS!$B$28,INPUTS!$B$29))))</f>
        <v>1944102.38809778</v>
      </c>
      <c r="M162" s="89" t="n">
        <f aca="true">IF(M$5=0,L162,MAX(0,(L162-M$4)*(1+NORMINV(RAND(),INPUTS!$B$28,INPUTS!$B$29))))</f>
        <v>2079311.25660499</v>
      </c>
      <c r="N162" s="89" t="n">
        <f aca="true">IF(N$5=0,M162,MAX(0,(M162-N$4)*(1+NORMINV(RAND(),INPUTS!$B$28,INPUTS!$B$29))))</f>
        <v>2127664.05796088</v>
      </c>
      <c r="O162" s="89" t="n">
        <f aca="true">IF(O$5=0,N162,MAX(0,(N162-O$4)*(1+NORMINV(RAND(),INPUTS!$B$28,INPUTS!$B$29))))</f>
        <v>2214212.99828804</v>
      </c>
      <c r="P162" s="89" t="n">
        <f aca="true">IF(P$5=0,O162,MAX(0,(O162-P$4)*(1+NORMINV(RAND(),INPUTS!$B$28,INPUTS!$B$29))))</f>
        <v>2415681.07944238</v>
      </c>
      <c r="Q162" s="89" t="n">
        <f aca="true">IF(Q$5=0,P162,MAX(0,(P162-Q$4)*(1+NORMINV(RAND(),INPUTS!$B$28,INPUTS!$B$29))))</f>
        <v>2732601.29494793</v>
      </c>
      <c r="R162" s="89" t="n">
        <f aca="true">IF(R$5=0,Q162,MAX(0,(Q162-R$4)*(1+NORMINV(RAND(),INPUTS!$B$28,INPUTS!$B$29))))</f>
        <v>2337510.85900891</v>
      </c>
      <c r="S162" s="89" t="n">
        <f aca="true">IF(S$5=0,R162,MAX(0,(R162-S$4)*(1+NORMINV(RAND(),INPUTS!$B$28,INPUTS!$B$29))))</f>
        <v>2886239.85003629</v>
      </c>
      <c r="T162" s="89" t="n">
        <f aca="true">IF(T$5=0,S162,MAX(0,(S162-T$4)*(1+NORMINV(RAND(),INPUTS!$B$28,INPUTS!$B$29))))</f>
        <v>2937274.92073469</v>
      </c>
      <c r="U162" s="89" t="n">
        <f aca="true">IF(U$5=0,T162,MAX(0,(T162-U$4)*(1+NORMINV(RAND(),INPUTS!$B$28,INPUTS!$B$29))))</f>
        <v>2762739.54172463</v>
      </c>
      <c r="V162" s="89" t="n">
        <f aca="true">IF(V$5=0,U162,MAX(0,(U162-V$4)*(1+NORMINV(RAND(),INPUTS!$B$28,INPUTS!$B$29))))</f>
        <v>3285986.24122077</v>
      </c>
      <c r="W162" s="89" t="n">
        <f aca="true">IF(W$5=0,V162,MAX(0,(V162-W$4)*(1+NORMINV(RAND(),INPUTS!$B$28,INPUTS!$B$29))))</f>
        <v>3908104.50604034</v>
      </c>
      <c r="X162" s="89" t="n">
        <f aca="true">IF(X$5=0,W162,MAX(0,(W162-X$4)*(1+NORMINV(RAND(),INPUTS!$B$28,INPUTS!$B$29))))</f>
        <v>4113807.37895481</v>
      </c>
      <c r="Y162" s="89" t="n">
        <f aca="true">IF(Y$5=0,X162,MAX(0,(X162-Y$4)*(1+NORMINV(RAND(),INPUTS!$B$28,INPUTS!$B$29))))</f>
        <v>4095491.69327138</v>
      </c>
      <c r="Z162" s="89" t="n">
        <f aca="true">IF(Z$5=0,Y162,MAX(0,(Y162-Z$4)*(1+NORMINV(RAND(),INPUTS!$B$28,INPUTS!$B$29))))</f>
        <v>4944751.15451895</v>
      </c>
      <c r="AA162" s="89" t="n">
        <f aca="true">IF(AA$5=0,Z162,MAX(0,(Z162-AA$4)*(1+NORMINV(RAND(),INPUTS!$B$28,INPUTS!$B$29))))</f>
        <v>4379929.43615038</v>
      </c>
      <c r="AB162" s="89" t="n">
        <f aca="true">IF(AB$5=0,AA162,MAX(0,(AA162-AB$4)*(1+NORMINV(RAND(),INPUTS!$B$28,INPUTS!$B$29))))</f>
        <v>4224420.72144176</v>
      </c>
      <c r="AC162" s="89" t="n">
        <f aca="true">IF(AC$5=0,AB162,MAX(0,(AB162-AC$4)*(1+NORMINV(RAND(),INPUTS!$B$28,INPUTS!$B$29))))</f>
        <v>4714410.18144014</v>
      </c>
      <c r="AD162" s="89" t="n">
        <f aca="true">IF(AD$5=0,AC162,MAX(0,(AC162-AD$4)*(1+NORMINV(RAND(),INPUTS!$B$28,INPUTS!$B$29))))</f>
        <v>4577994.33559335</v>
      </c>
      <c r="AE162" s="89" t="n">
        <f aca="true">IF(AE$5=0,AD162,MAX(0,(AD162-AE$4)*(1+NORMINV(RAND(),INPUTS!$B$28,INPUTS!$B$29))))</f>
        <v>5312591.05687456</v>
      </c>
      <c r="AF162" s="89" t="n">
        <f aca="true">IF(AF$5=0,AE162,MAX(0,(AE162-AF$4)*(1+NORMINV(RAND(),INPUTS!$B$28,INPUTS!$B$29))))</f>
        <v>6508164.79336532</v>
      </c>
      <c r="AG162" s="89" t="n">
        <f aca="true">IF(AG$5=0,AF162,MAX(0,(AF162-AG$4)*(1+NORMINV(RAND(),INPUTS!$B$28,INPUTS!$B$29))))</f>
        <v>5743508.70092452</v>
      </c>
      <c r="AH162" s="89" t="n">
        <f aca="true">IF(AH$5=0,AG162,MAX(0,(AG162-AH$4)*(1+NORMINV(RAND(),INPUTS!$B$28,INPUTS!$B$29))))</f>
        <v>6558215.88706506</v>
      </c>
      <c r="AI162" s="89" t="n">
        <f aca="true">IF(AI$5=0,AH162,MAX(0,(AH162-AI$4)*(1+NORMINV(RAND(),INPUTS!$B$28,INPUTS!$B$29))))</f>
        <v>5866736.63598935</v>
      </c>
      <c r="AJ162" s="89" t="n">
        <f aca="true">IF(AJ$5=0,AI162,MAX(0,(AI162-AJ$4)*(1+NORMINV(RAND(),INPUTS!$B$28,INPUTS!$B$29))))</f>
        <v>6333919.13518692</v>
      </c>
      <c r="AK162" s="89" t="n">
        <f aca="true">IF(AK$5=0,AJ162,MAX(0,(AJ162-AK$4)*(1+NORMINV(RAND(),INPUTS!$B$28,INPUTS!$B$29))))</f>
        <v>7307981.49439858</v>
      </c>
      <c r="AL162" s="89" t="n">
        <f aca="true">IF(AL$5=0,AK162,MAX(0,(AK162-AL$4)*(1+NORMINV(RAND(),INPUTS!$B$28,INPUTS!$B$29))))</f>
        <v>7754147.23490358</v>
      </c>
      <c r="AM162" s="89" t="n">
        <f aca="true">IF(AM$5=0,AL162,MAX(0,(AL162-AM$4)*(1+NORMINV(RAND(),INPUTS!$B$28,INPUTS!$B$29))))</f>
        <v>7754147.23490358</v>
      </c>
      <c r="AN162" s="89" t="n">
        <f aca="true">IF(AN$5=0,AM162,MAX(0,(AM162-AN$4)*(1+NORMINV(RAND(),INPUTS!$B$28,INPUTS!$B$29))))</f>
        <v>7754147.23490358</v>
      </c>
      <c r="AO162" s="89" t="n">
        <f aca="true">IF(AO$5=0,AN162,MAX(0,(AN162-AO$4)*(1+NORMINV(RAND(),INPUTS!$B$28,INPUTS!$B$29))))</f>
        <v>7754147.23490358</v>
      </c>
      <c r="AP162" s="89" t="n">
        <f aca="true">IF(AP$5=0,AO162,MAX(0,(AO162-AP$4)*(1+NORMINV(RAND(),INPUTS!$B$28,INPUTS!$B$29))))</f>
        <v>7754147.23490358</v>
      </c>
      <c r="AQ162" s="89" t="n">
        <f aca="true">IF(AQ$5=0,AP162,MAX(0,(AP162-AQ$4)*(1+NORMINV(RAND(),INPUTS!$B$28,INPUTS!$B$29))))</f>
        <v>7754147.23490358</v>
      </c>
      <c r="AR162" s="89" t="n">
        <f aca="true">IF(AR$5=0,AQ162,MAX(0,(AQ162-AR$4)*(1+NORMINV(RAND(),INPUTS!$B$28,INPUTS!$B$29))))</f>
        <v>7754147.23490358</v>
      </c>
      <c r="AS162" s="89" t="n">
        <f aca="true">IF(AS$5=0,AR162,MAX(0,(AR162-AS$4)*(1+NORMINV(RAND(),INPUTS!$B$28,INPUTS!$B$29))))</f>
        <v>7754147.23490358</v>
      </c>
      <c r="AT162" s="89" t="n">
        <f aca="true">IF(AT$5=0,AS162,MAX(0,(AS162-AT$4)*(1+NORMINV(RAND(),INPUTS!$B$28,INPUTS!$B$29))))</f>
        <v>7754147.23490358</v>
      </c>
      <c r="AU162" s="89" t="n">
        <f aca="true">IF(AU$5=0,AT162,MAX(0,(AT162-AU$4)*(1+NORMINV(RAND(),INPUTS!$B$28,INPUTS!$B$29))))</f>
        <v>7754147.23490358</v>
      </c>
      <c r="AV162" s="89" t="n">
        <f aca="true">IF(AV$5=0,AU162,MAX(0,(AU162-AV$4)*(1+NORMINV(RAND(),INPUTS!$B$28,INPUTS!$B$29))))</f>
        <v>7754147.23490358</v>
      </c>
      <c r="AW162" s="89" t="n">
        <f aca="true">IF(AW$5=0,AV162,MAX(0,(AV162-AW$4)*(1+NORMINV(RAND(),INPUTS!$B$28,INPUTS!$B$29))))</f>
        <v>7754147.23490358</v>
      </c>
      <c r="AX162" s="89" t="n">
        <f aca="true">IF(AX$5=0,AW162,MAX(0,(AW162-AX$4)*(1+NORMINV(RAND(),INPUTS!$B$28,INPUTS!$B$29))))</f>
        <v>7754147.23490358</v>
      </c>
      <c r="AY162" s="89" t="n">
        <f aca="true">IF(AY$5=0,AX162,MAX(0,(AX162-AY$4)*(1+NORMINV(RAND(),INPUTS!$B$28,INPUTS!$B$29))))</f>
        <v>7754147.23490358</v>
      </c>
      <c r="AZ162" s="89" t="n">
        <f aca="true">IF(AZ$5=0,AY162,MAX(0,(AY162-AZ$4)*(1+NORMINV(RAND(),INPUTS!$B$28,INPUTS!$B$29))))</f>
        <v>7754147.23490358</v>
      </c>
      <c r="BA162" s="89" t="n">
        <f aca="true">IF(BA$5=0,AZ162,MAX(0,(AZ162-BA$4)*(1+NORMINV(RAND(),INPUTS!$B$28,INPUTS!$B$29))))</f>
        <v>7754147.23490358</v>
      </c>
      <c r="BB162" s="89" t="n">
        <f aca="true">IF(BB$5=0,BA162,MAX(0,(BA162-BB$4)*(1+NORMINV(RAND(),INPUTS!$B$28,INPUTS!$B$29))))</f>
        <v>7754147.23490358</v>
      </c>
      <c r="BC162" s="89" t="n">
        <f aca="true">IF(BC$5=0,BB162,MAX(0,(BB162-BC$4)*(1+NORMINV(RAND(),INPUTS!$B$28,INPUTS!$B$29))))</f>
        <v>7754147.23490358</v>
      </c>
      <c r="BD162" s="89" t="n">
        <f aca="true">IF(BD$5=0,BC162,MAX(0,(BC162-BD$4)*(1+NORMINV(RAND(),INPUTS!$B$28,INPUTS!$B$29))))</f>
        <v>7754147.23490358</v>
      </c>
      <c r="BE162" s="89" t="n">
        <f aca="true">IF(BE$5=0,BD162,MAX(0,(BD162-BE$4)*(1+NORMINV(RAND(),INPUTS!$B$28,INPUTS!$B$29))))</f>
        <v>7754147.23490358</v>
      </c>
      <c r="BF162" s="89" t="n">
        <f aca="true">IF(BF$5=0,BE162,MAX(0,(BE162-BF$4)*(1+NORMINV(RAND(),INPUTS!$B$28,INPUTS!$B$29))))</f>
        <v>7754147.23490358</v>
      </c>
      <c r="BG162" s="89" t="n">
        <f aca="true">IF(BG$5=0,BF162,MAX(0,(BF162-BG$4)*(1+NORMINV(RAND(),INPUTS!$B$28,INPUTS!$B$29))))</f>
        <v>7754147.23490358</v>
      </c>
      <c r="BH162" s="89" t="n">
        <f aca="true">IF(BH$5=0,BG162,MAX(0,(BG162-BH$4)*(1+NORMINV(RAND(),INPUTS!$B$28,INPUTS!$B$29))))</f>
        <v>7754147.23490358</v>
      </c>
      <c r="BI162" s="89" t="n">
        <f aca="true">IF(BI$5=0,BH162,MAX(0,(BH162-BI$4)*(1+NORMINV(RAND(),INPUTS!$B$28,INPUTS!$B$29))))</f>
        <v>7754147.23490358</v>
      </c>
      <c r="BJ162" s="89" t="n">
        <f aca="true">IF(BJ$5=0,BI162,MAX(0,(BI162-BJ$4)*(1+NORMINV(RAND(),INPUTS!$B$28,INPUTS!$B$29))))</f>
        <v>7754147.23490358</v>
      </c>
    </row>
    <row r="163" customFormat="false" ht="15" hidden="false" customHeight="true" outlineLevel="0" collapsed="false">
      <c r="A163" s="87" t="n">
        <v>156</v>
      </c>
      <c r="B163" s="88" t="n">
        <f aca="false">LOOKUP(9.99E+307,C163:BJ163)</f>
        <v>1096380.68666331</v>
      </c>
      <c r="C163" s="89" t="n">
        <f aca="true">IF(C$5=0,INPUTS!$B$35,MAX(0,(INPUTS!$B$35-C$4)*(1+NORMINV(RAND(),INPUTS!$B$28,INPUTS!$B$29))))</f>
        <v>1435001.36526326</v>
      </c>
      <c r="D163" s="89" t="n">
        <f aca="true">IF(D$5=0,C163,MAX(0,(C163-D$4)*(1+NORMINV(RAND(),INPUTS!$B$28,INPUTS!$B$29))))</f>
        <v>1656281.5767247</v>
      </c>
      <c r="E163" s="89" t="n">
        <f aca="true">IF(E$5=0,D163,MAX(0,(D163-E$4)*(1+NORMINV(RAND(),INPUTS!$B$28,INPUTS!$B$29))))</f>
        <v>1589134.92635694</v>
      </c>
      <c r="F163" s="89" t="n">
        <f aca="true">IF(F$5=0,E163,MAX(0,(E163-F$4)*(1+NORMINV(RAND(),INPUTS!$B$28,INPUTS!$B$29))))</f>
        <v>1616349.12472884</v>
      </c>
      <c r="G163" s="89" t="n">
        <f aca="true">IF(G$5=0,F163,MAX(0,(F163-G$4)*(1+NORMINV(RAND(),INPUTS!$B$28,INPUTS!$B$29))))</f>
        <v>1623722.94527977</v>
      </c>
      <c r="H163" s="89" t="n">
        <f aca="true">IF(H$5=0,G163,MAX(0,(G163-H$4)*(1+NORMINV(RAND(),INPUTS!$B$28,INPUTS!$B$29))))</f>
        <v>1603632.93186733</v>
      </c>
      <c r="I163" s="89" t="n">
        <f aca="true">IF(I$5=0,H163,MAX(0,(H163-I$4)*(1+NORMINV(RAND(),INPUTS!$B$28,INPUTS!$B$29))))</f>
        <v>1775732.59448251</v>
      </c>
      <c r="J163" s="89" t="n">
        <f aca="true">IF(J$5=0,I163,MAX(0,(I163-J$4)*(1+NORMINV(RAND(),INPUTS!$B$28,INPUTS!$B$29))))</f>
        <v>1766396.82170991</v>
      </c>
      <c r="K163" s="89" t="n">
        <f aca="true">IF(K$5=0,J163,MAX(0,(J163-K$4)*(1+NORMINV(RAND(),INPUTS!$B$28,INPUTS!$B$29))))</f>
        <v>2215549.95124844</v>
      </c>
      <c r="L163" s="89" t="n">
        <f aca="true">IF(L$5=0,K163,MAX(0,(K163-L$4)*(1+NORMINV(RAND(),INPUTS!$B$28,INPUTS!$B$29))))</f>
        <v>2021173.37375324</v>
      </c>
      <c r="M163" s="89" t="n">
        <f aca="true">IF(M$5=0,L163,MAX(0,(L163-M$4)*(1+NORMINV(RAND(),INPUTS!$B$28,INPUTS!$B$29))))</f>
        <v>2231274.66539372</v>
      </c>
      <c r="N163" s="89" t="n">
        <f aca="true">IF(N$5=0,M163,MAX(0,(M163-N$4)*(1+NORMINV(RAND(),INPUTS!$B$28,INPUTS!$B$29))))</f>
        <v>2675590.86229501</v>
      </c>
      <c r="O163" s="89" t="n">
        <f aca="true">IF(O$5=0,N163,MAX(0,(N163-O$4)*(1+NORMINV(RAND(),INPUTS!$B$28,INPUTS!$B$29))))</f>
        <v>2322843.45699171</v>
      </c>
      <c r="P163" s="89" t="n">
        <f aca="true">IF(P$5=0,O163,MAX(0,(O163-P$4)*(1+NORMINV(RAND(),INPUTS!$B$28,INPUTS!$B$29))))</f>
        <v>2717856.94667138</v>
      </c>
      <c r="Q163" s="89" t="n">
        <f aca="true">IF(Q$5=0,P163,MAX(0,(P163-Q$4)*(1+NORMINV(RAND(),INPUTS!$B$28,INPUTS!$B$29))))</f>
        <v>2962648.49922184</v>
      </c>
      <c r="R163" s="89" t="n">
        <f aca="true">IF(R$5=0,Q163,MAX(0,(Q163-R$4)*(1+NORMINV(RAND(),INPUTS!$B$28,INPUTS!$B$29))))</f>
        <v>2388540.39503128</v>
      </c>
      <c r="S163" s="89" t="n">
        <f aca="true">IF(S$5=0,R163,MAX(0,(R163-S$4)*(1+NORMINV(RAND(),INPUTS!$B$28,INPUTS!$B$29))))</f>
        <v>2369553.88920763</v>
      </c>
      <c r="T163" s="89" t="n">
        <f aca="true">IF(T$5=0,S163,MAX(0,(S163-T$4)*(1+NORMINV(RAND(),INPUTS!$B$28,INPUTS!$B$29))))</f>
        <v>2377744.44694672</v>
      </c>
      <c r="U163" s="89" t="n">
        <f aca="true">IF(U$5=0,T163,MAX(0,(T163-U$4)*(1+NORMINV(RAND(),INPUTS!$B$28,INPUTS!$B$29))))</f>
        <v>2562826.30733551</v>
      </c>
      <c r="V163" s="89" t="n">
        <f aca="true">IF(V$5=0,U163,MAX(0,(U163-V$4)*(1+NORMINV(RAND(),INPUTS!$B$28,INPUTS!$B$29))))</f>
        <v>2464357.91063068</v>
      </c>
      <c r="W163" s="89" t="n">
        <f aca="true">IF(W$5=0,V163,MAX(0,(V163-W$4)*(1+NORMINV(RAND(),INPUTS!$B$28,INPUTS!$B$29))))</f>
        <v>2302868.47998712</v>
      </c>
      <c r="X163" s="89" t="n">
        <f aca="true">IF(X$5=0,W163,MAX(0,(W163-X$4)*(1+NORMINV(RAND(),INPUTS!$B$28,INPUTS!$B$29))))</f>
        <v>1784233.38527997</v>
      </c>
      <c r="Y163" s="89" t="n">
        <f aca="true">IF(Y$5=0,X163,MAX(0,(X163-Y$4)*(1+NORMINV(RAND(),INPUTS!$B$28,INPUTS!$B$29))))</f>
        <v>1791176.48519596</v>
      </c>
      <c r="Z163" s="89" t="n">
        <f aca="true">IF(Z$5=0,Y163,MAX(0,(Y163-Z$4)*(1+NORMINV(RAND(),INPUTS!$B$28,INPUTS!$B$29))))</f>
        <v>1822168.63590238</v>
      </c>
      <c r="AA163" s="89" t="n">
        <f aca="true">IF(AA$5=0,Z163,MAX(0,(Z163-AA$4)*(1+NORMINV(RAND(),INPUTS!$B$28,INPUTS!$B$29))))</f>
        <v>1483165.51096695</v>
      </c>
      <c r="AB163" s="89" t="n">
        <f aca="true">IF(AB$5=0,AA163,MAX(0,(AA163-AB$4)*(1+NORMINV(RAND(),INPUTS!$B$28,INPUTS!$B$29))))</f>
        <v>1505185.99126599</v>
      </c>
      <c r="AC163" s="89" t="n">
        <f aca="true">IF(AC$5=0,AB163,MAX(0,(AB163-AC$4)*(1+NORMINV(RAND(),INPUTS!$B$28,INPUTS!$B$29))))</f>
        <v>1485037.85303894</v>
      </c>
      <c r="AD163" s="89" t="n">
        <f aca="true">IF(AD$5=0,AC163,MAX(0,(AC163-AD$4)*(1+NORMINV(RAND(),INPUTS!$B$28,INPUTS!$B$29))))</f>
        <v>1444863.82557997</v>
      </c>
      <c r="AE163" s="89" t="n">
        <f aca="true">IF(AE$5=0,AD163,MAX(0,(AD163-AE$4)*(1+NORMINV(RAND(),INPUTS!$B$28,INPUTS!$B$29))))</f>
        <v>1394255.44978248</v>
      </c>
      <c r="AF163" s="89" t="n">
        <f aca="true">IF(AF$5=0,AE163,MAX(0,(AE163-AF$4)*(1+NORMINV(RAND(),INPUTS!$B$28,INPUTS!$B$29))))</f>
        <v>1294495.93471323</v>
      </c>
      <c r="AG163" s="89" t="n">
        <f aca="true">IF(AG$5=0,AF163,MAX(0,(AF163-AG$4)*(1+NORMINV(RAND(),INPUTS!$B$28,INPUTS!$B$29))))</f>
        <v>1073121.47110224</v>
      </c>
      <c r="AH163" s="89" t="n">
        <f aca="true">IF(AH$5=0,AG163,MAX(0,(AG163-AH$4)*(1+NORMINV(RAND(),INPUTS!$B$28,INPUTS!$B$29))))</f>
        <v>1082510.65643662</v>
      </c>
      <c r="AI163" s="89" t="n">
        <f aca="true">IF(AI$5=0,AH163,MAX(0,(AH163-AI$4)*(1+NORMINV(RAND(),INPUTS!$B$28,INPUTS!$B$29))))</f>
        <v>928675.704187139</v>
      </c>
      <c r="AJ163" s="89" t="n">
        <f aca="true">IF(AJ$5=0,AI163,MAX(0,(AI163-AJ$4)*(1+NORMINV(RAND(),INPUTS!$B$28,INPUTS!$B$29))))</f>
        <v>1081612.77538516</v>
      </c>
      <c r="AK163" s="89" t="n">
        <f aca="true">IF(AK$5=0,AJ163,MAX(0,(AJ163-AK$4)*(1+NORMINV(RAND(),INPUTS!$B$28,INPUTS!$B$29))))</f>
        <v>1006694.27408902</v>
      </c>
      <c r="AL163" s="89" t="n">
        <f aca="true">IF(AL$5=0,AK163,MAX(0,(AK163-AL$4)*(1+NORMINV(RAND(),INPUTS!$B$28,INPUTS!$B$29))))</f>
        <v>1096380.68666331</v>
      </c>
      <c r="AM163" s="89" t="n">
        <f aca="true">IF(AM$5=0,AL163,MAX(0,(AL163-AM$4)*(1+NORMINV(RAND(),INPUTS!$B$28,INPUTS!$B$29))))</f>
        <v>1096380.68666331</v>
      </c>
      <c r="AN163" s="89" t="n">
        <f aca="true">IF(AN$5=0,AM163,MAX(0,(AM163-AN$4)*(1+NORMINV(RAND(),INPUTS!$B$28,INPUTS!$B$29))))</f>
        <v>1096380.68666331</v>
      </c>
      <c r="AO163" s="89" t="n">
        <f aca="true">IF(AO$5=0,AN163,MAX(0,(AN163-AO$4)*(1+NORMINV(RAND(),INPUTS!$B$28,INPUTS!$B$29))))</f>
        <v>1096380.68666331</v>
      </c>
      <c r="AP163" s="89" t="n">
        <f aca="true">IF(AP$5=0,AO163,MAX(0,(AO163-AP$4)*(1+NORMINV(RAND(),INPUTS!$B$28,INPUTS!$B$29))))</f>
        <v>1096380.68666331</v>
      </c>
      <c r="AQ163" s="89" t="n">
        <f aca="true">IF(AQ$5=0,AP163,MAX(0,(AP163-AQ$4)*(1+NORMINV(RAND(),INPUTS!$B$28,INPUTS!$B$29))))</f>
        <v>1096380.68666331</v>
      </c>
      <c r="AR163" s="89" t="n">
        <f aca="true">IF(AR$5=0,AQ163,MAX(0,(AQ163-AR$4)*(1+NORMINV(RAND(),INPUTS!$B$28,INPUTS!$B$29))))</f>
        <v>1096380.68666331</v>
      </c>
      <c r="AS163" s="89" t="n">
        <f aca="true">IF(AS$5=0,AR163,MAX(0,(AR163-AS$4)*(1+NORMINV(RAND(),INPUTS!$B$28,INPUTS!$B$29))))</f>
        <v>1096380.68666331</v>
      </c>
      <c r="AT163" s="89" t="n">
        <f aca="true">IF(AT$5=0,AS163,MAX(0,(AS163-AT$4)*(1+NORMINV(RAND(),INPUTS!$B$28,INPUTS!$B$29))))</f>
        <v>1096380.68666331</v>
      </c>
      <c r="AU163" s="89" t="n">
        <f aca="true">IF(AU$5=0,AT163,MAX(0,(AT163-AU$4)*(1+NORMINV(RAND(),INPUTS!$B$28,INPUTS!$B$29))))</f>
        <v>1096380.68666331</v>
      </c>
      <c r="AV163" s="89" t="n">
        <f aca="true">IF(AV$5=0,AU163,MAX(0,(AU163-AV$4)*(1+NORMINV(RAND(),INPUTS!$B$28,INPUTS!$B$29))))</f>
        <v>1096380.68666331</v>
      </c>
      <c r="AW163" s="89" t="n">
        <f aca="true">IF(AW$5=0,AV163,MAX(0,(AV163-AW$4)*(1+NORMINV(RAND(),INPUTS!$B$28,INPUTS!$B$29))))</f>
        <v>1096380.68666331</v>
      </c>
      <c r="AX163" s="89" t="n">
        <f aca="true">IF(AX$5=0,AW163,MAX(0,(AW163-AX$4)*(1+NORMINV(RAND(),INPUTS!$B$28,INPUTS!$B$29))))</f>
        <v>1096380.68666331</v>
      </c>
      <c r="AY163" s="89" t="n">
        <f aca="true">IF(AY$5=0,AX163,MAX(0,(AX163-AY$4)*(1+NORMINV(RAND(),INPUTS!$B$28,INPUTS!$B$29))))</f>
        <v>1096380.68666331</v>
      </c>
      <c r="AZ163" s="89" t="n">
        <f aca="true">IF(AZ$5=0,AY163,MAX(0,(AY163-AZ$4)*(1+NORMINV(RAND(),INPUTS!$B$28,INPUTS!$B$29))))</f>
        <v>1096380.68666331</v>
      </c>
      <c r="BA163" s="89" t="n">
        <f aca="true">IF(BA$5=0,AZ163,MAX(0,(AZ163-BA$4)*(1+NORMINV(RAND(),INPUTS!$B$28,INPUTS!$B$29))))</f>
        <v>1096380.68666331</v>
      </c>
      <c r="BB163" s="89" t="n">
        <f aca="true">IF(BB$5=0,BA163,MAX(0,(BA163-BB$4)*(1+NORMINV(RAND(),INPUTS!$B$28,INPUTS!$B$29))))</f>
        <v>1096380.68666331</v>
      </c>
      <c r="BC163" s="89" t="n">
        <f aca="true">IF(BC$5=0,BB163,MAX(0,(BB163-BC$4)*(1+NORMINV(RAND(),INPUTS!$B$28,INPUTS!$B$29))))</f>
        <v>1096380.68666331</v>
      </c>
      <c r="BD163" s="89" t="n">
        <f aca="true">IF(BD$5=0,BC163,MAX(0,(BC163-BD$4)*(1+NORMINV(RAND(),INPUTS!$B$28,INPUTS!$B$29))))</f>
        <v>1096380.68666331</v>
      </c>
      <c r="BE163" s="89" t="n">
        <f aca="true">IF(BE$5=0,BD163,MAX(0,(BD163-BE$4)*(1+NORMINV(RAND(),INPUTS!$B$28,INPUTS!$B$29))))</f>
        <v>1096380.68666331</v>
      </c>
      <c r="BF163" s="89" t="n">
        <f aca="true">IF(BF$5=0,BE163,MAX(0,(BE163-BF$4)*(1+NORMINV(RAND(),INPUTS!$B$28,INPUTS!$B$29))))</f>
        <v>1096380.68666331</v>
      </c>
      <c r="BG163" s="89" t="n">
        <f aca="true">IF(BG$5=0,BF163,MAX(0,(BF163-BG$4)*(1+NORMINV(RAND(),INPUTS!$B$28,INPUTS!$B$29))))</f>
        <v>1096380.68666331</v>
      </c>
      <c r="BH163" s="89" t="n">
        <f aca="true">IF(BH$5=0,BG163,MAX(0,(BG163-BH$4)*(1+NORMINV(RAND(),INPUTS!$B$28,INPUTS!$B$29))))</f>
        <v>1096380.68666331</v>
      </c>
      <c r="BI163" s="89" t="n">
        <f aca="true">IF(BI$5=0,BH163,MAX(0,(BH163-BI$4)*(1+NORMINV(RAND(),INPUTS!$B$28,INPUTS!$B$29))))</f>
        <v>1096380.68666331</v>
      </c>
      <c r="BJ163" s="89" t="n">
        <f aca="true">IF(BJ$5=0,BI163,MAX(0,(BI163-BJ$4)*(1+NORMINV(RAND(),INPUTS!$B$28,INPUTS!$B$29))))</f>
        <v>1096380.68666331</v>
      </c>
    </row>
    <row r="164" customFormat="false" ht="15" hidden="false" customHeight="true" outlineLevel="0" collapsed="false">
      <c r="A164" s="87" t="n">
        <v>157</v>
      </c>
      <c r="B164" s="88" t="n">
        <f aca="false">LOOKUP(9.99E+307,C164:BJ164)</f>
        <v>1977017.42897018</v>
      </c>
      <c r="C164" s="89" t="n">
        <f aca="true">IF(C$5=0,INPUTS!$B$35,MAX(0,(INPUTS!$B$35-C$4)*(1+NORMINV(RAND(),INPUTS!$B$28,INPUTS!$B$29))))</f>
        <v>1582354.29111626</v>
      </c>
      <c r="D164" s="89" t="n">
        <f aca="true">IF(D$5=0,C164,MAX(0,(C164-D$4)*(1+NORMINV(RAND(),INPUTS!$B$28,INPUTS!$B$29))))</f>
        <v>1646628.86990639</v>
      </c>
      <c r="E164" s="89" t="n">
        <f aca="true">IF(E$5=0,D164,MAX(0,(D164-E$4)*(1+NORMINV(RAND(),INPUTS!$B$28,INPUTS!$B$29))))</f>
        <v>1416367.9916805</v>
      </c>
      <c r="F164" s="89" t="n">
        <f aca="true">IF(F$5=0,E164,MAX(0,(E164-F$4)*(1+NORMINV(RAND(),INPUTS!$B$28,INPUTS!$B$29))))</f>
        <v>1582313.08321983</v>
      </c>
      <c r="G164" s="89" t="n">
        <f aca="true">IF(G$5=0,F164,MAX(0,(F164-G$4)*(1+NORMINV(RAND(),INPUTS!$B$28,INPUTS!$B$29))))</f>
        <v>1638315.77110812</v>
      </c>
      <c r="H164" s="89" t="n">
        <f aca="true">IF(H$5=0,G164,MAX(0,(G164-H$4)*(1+NORMINV(RAND(),INPUTS!$B$28,INPUTS!$B$29))))</f>
        <v>1750188.90990523</v>
      </c>
      <c r="I164" s="89" t="n">
        <f aca="true">IF(I$5=0,H164,MAX(0,(H164-I$4)*(1+NORMINV(RAND(),INPUTS!$B$28,INPUTS!$B$29))))</f>
        <v>1846535.93527495</v>
      </c>
      <c r="J164" s="89" t="n">
        <f aca="true">IF(J$5=0,I164,MAX(0,(I164-J$4)*(1+NORMINV(RAND(),INPUTS!$B$28,INPUTS!$B$29))))</f>
        <v>1770377.74384738</v>
      </c>
      <c r="K164" s="89" t="n">
        <f aca="true">IF(K$5=0,J164,MAX(0,(J164-K$4)*(1+NORMINV(RAND(),INPUTS!$B$28,INPUTS!$B$29))))</f>
        <v>2234308.14420587</v>
      </c>
      <c r="L164" s="89" t="n">
        <f aca="true">IF(L$5=0,K164,MAX(0,(K164-L$4)*(1+NORMINV(RAND(),INPUTS!$B$28,INPUTS!$B$29))))</f>
        <v>2265330.31451185</v>
      </c>
      <c r="M164" s="89" t="n">
        <f aca="true">IF(M$5=0,L164,MAX(0,(L164-M$4)*(1+NORMINV(RAND(),INPUTS!$B$28,INPUTS!$B$29))))</f>
        <v>2177226.67080586</v>
      </c>
      <c r="N164" s="89" t="n">
        <f aca="true">IF(N$5=0,M164,MAX(0,(M164-N$4)*(1+NORMINV(RAND(),INPUTS!$B$28,INPUTS!$B$29))))</f>
        <v>1787450.36316857</v>
      </c>
      <c r="O164" s="89" t="n">
        <f aca="true">IF(O$5=0,N164,MAX(0,(N164-O$4)*(1+NORMINV(RAND(),INPUTS!$B$28,INPUTS!$B$29))))</f>
        <v>1682818.61089256</v>
      </c>
      <c r="P164" s="89" t="n">
        <f aca="true">IF(P$5=0,O164,MAX(0,(O164-P$4)*(1+NORMINV(RAND(),INPUTS!$B$28,INPUTS!$B$29))))</f>
        <v>1693075.54828123</v>
      </c>
      <c r="Q164" s="89" t="n">
        <f aca="true">IF(Q$5=0,P164,MAX(0,(P164-Q$4)*(1+NORMINV(RAND(),INPUTS!$B$28,INPUTS!$B$29))))</f>
        <v>1737436.39091481</v>
      </c>
      <c r="R164" s="89" t="n">
        <f aca="true">IF(R$5=0,Q164,MAX(0,(Q164-R$4)*(1+NORMINV(RAND(),INPUTS!$B$28,INPUTS!$B$29))))</f>
        <v>1662062.14085312</v>
      </c>
      <c r="S164" s="89" t="n">
        <f aca="true">IF(S$5=0,R164,MAX(0,(R164-S$4)*(1+NORMINV(RAND(),INPUTS!$B$28,INPUTS!$B$29))))</f>
        <v>1595640.87324653</v>
      </c>
      <c r="T164" s="89" t="n">
        <f aca="true">IF(T$5=0,S164,MAX(0,(S164-T$4)*(1+NORMINV(RAND(),INPUTS!$B$28,INPUTS!$B$29))))</f>
        <v>1638249.38853164</v>
      </c>
      <c r="U164" s="89" t="n">
        <f aca="true">IF(U$5=0,T164,MAX(0,(T164-U$4)*(1+NORMINV(RAND(),INPUTS!$B$28,INPUTS!$B$29))))</f>
        <v>1609932.41889311</v>
      </c>
      <c r="V164" s="89" t="n">
        <f aca="true">IF(V$5=0,U164,MAX(0,(U164-V$4)*(1+NORMINV(RAND(),INPUTS!$B$28,INPUTS!$B$29))))</f>
        <v>1538878.89250787</v>
      </c>
      <c r="W164" s="89" t="n">
        <f aca="true">IF(W$5=0,V164,MAX(0,(V164-W$4)*(1+NORMINV(RAND(),INPUTS!$B$28,INPUTS!$B$29))))</f>
        <v>1777688.58990489</v>
      </c>
      <c r="X164" s="89" t="n">
        <f aca="true">IF(X$5=0,W164,MAX(0,(W164-X$4)*(1+NORMINV(RAND(),INPUTS!$B$28,INPUTS!$B$29))))</f>
        <v>1889357.93869442</v>
      </c>
      <c r="Y164" s="89" t="n">
        <f aca="true">IF(Y$5=0,X164,MAX(0,(X164-Y$4)*(1+NORMINV(RAND(),INPUTS!$B$28,INPUTS!$B$29))))</f>
        <v>2200583.60882035</v>
      </c>
      <c r="Z164" s="89" t="n">
        <f aca="true">IF(Z$5=0,Y164,MAX(0,(Y164-Z$4)*(1+NORMINV(RAND(),INPUTS!$B$28,INPUTS!$B$29))))</f>
        <v>1926388.75439959</v>
      </c>
      <c r="AA164" s="89" t="n">
        <f aca="true">IF(AA$5=0,Z164,MAX(0,(Z164-AA$4)*(1+NORMINV(RAND(),INPUTS!$B$28,INPUTS!$B$29))))</f>
        <v>1998556.28051977</v>
      </c>
      <c r="AB164" s="89" t="n">
        <f aca="true">IF(AB$5=0,AA164,MAX(0,(AA164-AB$4)*(1+NORMINV(RAND(),INPUTS!$B$28,INPUTS!$B$29))))</f>
        <v>2030855.84271467</v>
      </c>
      <c r="AC164" s="89" t="n">
        <f aca="true">IF(AC$5=0,AB164,MAX(0,(AB164-AC$4)*(1+NORMINV(RAND(),INPUTS!$B$28,INPUTS!$B$29))))</f>
        <v>2190970.43894302</v>
      </c>
      <c r="AD164" s="89" t="n">
        <f aca="true">IF(AD$5=0,AC164,MAX(0,(AC164-AD$4)*(1+NORMINV(RAND(),INPUTS!$B$28,INPUTS!$B$29))))</f>
        <v>2388303.20263012</v>
      </c>
      <c r="AE164" s="89" t="n">
        <f aca="true">IF(AE$5=0,AD164,MAX(0,(AD164-AE$4)*(1+NORMINV(RAND(),INPUTS!$B$28,INPUTS!$B$29))))</f>
        <v>2298014.7067909</v>
      </c>
      <c r="AF164" s="89" t="n">
        <f aca="true">IF(AF$5=0,AE164,MAX(0,(AE164-AF$4)*(1+NORMINV(RAND(),INPUTS!$B$28,INPUTS!$B$29))))</f>
        <v>2614331.54450183</v>
      </c>
      <c r="AG164" s="89" t="n">
        <f aca="true">IF(AG$5=0,AF164,MAX(0,(AF164-AG$4)*(1+NORMINV(RAND(),INPUTS!$B$28,INPUTS!$B$29))))</f>
        <v>2619390.6239569</v>
      </c>
      <c r="AH164" s="89" t="n">
        <f aca="true">IF(AH$5=0,AG164,MAX(0,(AG164-AH$4)*(1+NORMINV(RAND(),INPUTS!$B$28,INPUTS!$B$29))))</f>
        <v>2434596.56656525</v>
      </c>
      <c r="AI164" s="89" t="n">
        <f aca="true">IF(AI$5=0,AH164,MAX(0,(AH164-AI$4)*(1+NORMINV(RAND(),INPUTS!$B$28,INPUTS!$B$29))))</f>
        <v>2535737.33461473</v>
      </c>
      <c r="AJ164" s="89" t="n">
        <f aca="true">IF(AJ$5=0,AI164,MAX(0,(AI164-AJ$4)*(1+NORMINV(RAND(),INPUTS!$B$28,INPUTS!$B$29))))</f>
        <v>2695223.38926418</v>
      </c>
      <c r="AK164" s="89" t="n">
        <f aca="true">IF(AK$5=0,AJ164,MAX(0,(AJ164-AK$4)*(1+NORMINV(RAND(),INPUTS!$B$28,INPUTS!$B$29))))</f>
        <v>2240618.83588683</v>
      </c>
      <c r="AL164" s="89" t="n">
        <f aca="true">IF(AL$5=0,AK164,MAX(0,(AK164-AL$4)*(1+NORMINV(RAND(),INPUTS!$B$28,INPUTS!$B$29))))</f>
        <v>1977017.42897018</v>
      </c>
      <c r="AM164" s="89" t="n">
        <f aca="true">IF(AM$5=0,AL164,MAX(0,(AL164-AM$4)*(1+NORMINV(RAND(),INPUTS!$B$28,INPUTS!$B$29))))</f>
        <v>1977017.42897018</v>
      </c>
      <c r="AN164" s="89" t="n">
        <f aca="true">IF(AN$5=0,AM164,MAX(0,(AM164-AN$4)*(1+NORMINV(RAND(),INPUTS!$B$28,INPUTS!$B$29))))</f>
        <v>1977017.42897018</v>
      </c>
      <c r="AO164" s="89" t="n">
        <f aca="true">IF(AO$5=0,AN164,MAX(0,(AN164-AO$4)*(1+NORMINV(RAND(),INPUTS!$B$28,INPUTS!$B$29))))</f>
        <v>1977017.42897018</v>
      </c>
      <c r="AP164" s="89" t="n">
        <f aca="true">IF(AP$5=0,AO164,MAX(0,(AO164-AP$4)*(1+NORMINV(RAND(),INPUTS!$B$28,INPUTS!$B$29))))</f>
        <v>1977017.42897018</v>
      </c>
      <c r="AQ164" s="89" t="n">
        <f aca="true">IF(AQ$5=0,AP164,MAX(0,(AP164-AQ$4)*(1+NORMINV(RAND(),INPUTS!$B$28,INPUTS!$B$29))))</f>
        <v>1977017.42897018</v>
      </c>
      <c r="AR164" s="89" t="n">
        <f aca="true">IF(AR$5=0,AQ164,MAX(0,(AQ164-AR$4)*(1+NORMINV(RAND(),INPUTS!$B$28,INPUTS!$B$29))))</f>
        <v>1977017.42897018</v>
      </c>
      <c r="AS164" s="89" t="n">
        <f aca="true">IF(AS$5=0,AR164,MAX(0,(AR164-AS$4)*(1+NORMINV(RAND(),INPUTS!$B$28,INPUTS!$B$29))))</f>
        <v>1977017.42897018</v>
      </c>
      <c r="AT164" s="89" t="n">
        <f aca="true">IF(AT$5=0,AS164,MAX(0,(AS164-AT$4)*(1+NORMINV(RAND(),INPUTS!$B$28,INPUTS!$B$29))))</f>
        <v>1977017.42897018</v>
      </c>
      <c r="AU164" s="89" t="n">
        <f aca="true">IF(AU$5=0,AT164,MAX(0,(AT164-AU$4)*(1+NORMINV(RAND(),INPUTS!$B$28,INPUTS!$B$29))))</f>
        <v>1977017.42897018</v>
      </c>
      <c r="AV164" s="89" t="n">
        <f aca="true">IF(AV$5=0,AU164,MAX(0,(AU164-AV$4)*(1+NORMINV(RAND(),INPUTS!$B$28,INPUTS!$B$29))))</f>
        <v>1977017.42897018</v>
      </c>
      <c r="AW164" s="89" t="n">
        <f aca="true">IF(AW$5=0,AV164,MAX(0,(AV164-AW$4)*(1+NORMINV(RAND(),INPUTS!$B$28,INPUTS!$B$29))))</f>
        <v>1977017.42897018</v>
      </c>
      <c r="AX164" s="89" t="n">
        <f aca="true">IF(AX$5=0,AW164,MAX(0,(AW164-AX$4)*(1+NORMINV(RAND(),INPUTS!$B$28,INPUTS!$B$29))))</f>
        <v>1977017.42897018</v>
      </c>
      <c r="AY164" s="89" t="n">
        <f aca="true">IF(AY$5=0,AX164,MAX(0,(AX164-AY$4)*(1+NORMINV(RAND(),INPUTS!$B$28,INPUTS!$B$29))))</f>
        <v>1977017.42897018</v>
      </c>
      <c r="AZ164" s="89" t="n">
        <f aca="true">IF(AZ$5=0,AY164,MAX(0,(AY164-AZ$4)*(1+NORMINV(RAND(),INPUTS!$B$28,INPUTS!$B$29))))</f>
        <v>1977017.42897018</v>
      </c>
      <c r="BA164" s="89" t="n">
        <f aca="true">IF(BA$5=0,AZ164,MAX(0,(AZ164-BA$4)*(1+NORMINV(RAND(),INPUTS!$B$28,INPUTS!$B$29))))</f>
        <v>1977017.42897018</v>
      </c>
      <c r="BB164" s="89" t="n">
        <f aca="true">IF(BB$5=0,BA164,MAX(0,(BA164-BB$4)*(1+NORMINV(RAND(),INPUTS!$B$28,INPUTS!$B$29))))</f>
        <v>1977017.42897018</v>
      </c>
      <c r="BC164" s="89" t="n">
        <f aca="true">IF(BC$5=0,BB164,MAX(0,(BB164-BC$4)*(1+NORMINV(RAND(),INPUTS!$B$28,INPUTS!$B$29))))</f>
        <v>1977017.42897018</v>
      </c>
      <c r="BD164" s="89" t="n">
        <f aca="true">IF(BD$5=0,BC164,MAX(0,(BC164-BD$4)*(1+NORMINV(RAND(),INPUTS!$B$28,INPUTS!$B$29))))</f>
        <v>1977017.42897018</v>
      </c>
      <c r="BE164" s="89" t="n">
        <f aca="true">IF(BE$5=0,BD164,MAX(0,(BD164-BE$4)*(1+NORMINV(RAND(),INPUTS!$B$28,INPUTS!$B$29))))</f>
        <v>1977017.42897018</v>
      </c>
      <c r="BF164" s="89" t="n">
        <f aca="true">IF(BF$5=0,BE164,MAX(0,(BE164-BF$4)*(1+NORMINV(RAND(),INPUTS!$B$28,INPUTS!$B$29))))</f>
        <v>1977017.42897018</v>
      </c>
      <c r="BG164" s="89" t="n">
        <f aca="true">IF(BG$5=0,BF164,MAX(0,(BF164-BG$4)*(1+NORMINV(RAND(),INPUTS!$B$28,INPUTS!$B$29))))</f>
        <v>1977017.42897018</v>
      </c>
      <c r="BH164" s="89" t="n">
        <f aca="true">IF(BH$5=0,BG164,MAX(0,(BG164-BH$4)*(1+NORMINV(RAND(),INPUTS!$B$28,INPUTS!$B$29))))</f>
        <v>1977017.42897018</v>
      </c>
      <c r="BI164" s="89" t="n">
        <f aca="true">IF(BI$5=0,BH164,MAX(0,(BH164-BI$4)*(1+NORMINV(RAND(),INPUTS!$B$28,INPUTS!$B$29))))</f>
        <v>1977017.42897018</v>
      </c>
      <c r="BJ164" s="89" t="n">
        <f aca="true">IF(BJ$5=0,BI164,MAX(0,(BI164-BJ$4)*(1+NORMINV(RAND(),INPUTS!$B$28,INPUTS!$B$29))))</f>
        <v>1977017.42897018</v>
      </c>
    </row>
    <row r="165" customFormat="false" ht="15" hidden="false" customHeight="true" outlineLevel="0" collapsed="false">
      <c r="A165" s="87" t="n">
        <v>158</v>
      </c>
      <c r="B165" s="88" t="n">
        <f aca="false">LOOKUP(9.99E+307,C165:BJ165)</f>
        <v>0</v>
      </c>
      <c r="C165" s="89" t="n">
        <f aca="true">IF(C$5=0,INPUTS!$B$35,MAX(0,(INPUTS!$B$35-C$4)*(1+NORMINV(RAND(),INPUTS!$B$28,INPUTS!$B$29))))</f>
        <v>1563764.15108815</v>
      </c>
      <c r="D165" s="89" t="n">
        <f aca="true">IF(D$5=0,C165,MAX(0,(C165-D$4)*(1+NORMINV(RAND(),INPUTS!$B$28,INPUTS!$B$29))))</f>
        <v>1671869.6994534</v>
      </c>
      <c r="E165" s="89" t="n">
        <f aca="true">IF(E$5=0,D165,MAX(0,(D165-E$4)*(1+NORMINV(RAND(),INPUTS!$B$28,INPUTS!$B$29))))</f>
        <v>1534198.05218872</v>
      </c>
      <c r="F165" s="89" t="n">
        <f aca="true">IF(F$5=0,E165,MAX(0,(E165-F$4)*(1+NORMINV(RAND(),INPUTS!$B$28,INPUTS!$B$29))))</f>
        <v>1310200.63793454</v>
      </c>
      <c r="G165" s="89" t="n">
        <f aca="true">IF(G$5=0,F165,MAX(0,(F165-G$4)*(1+NORMINV(RAND(),INPUTS!$B$28,INPUTS!$B$29))))</f>
        <v>1292170.88149804</v>
      </c>
      <c r="H165" s="89" t="n">
        <f aca="true">IF(H$5=0,G165,MAX(0,(G165-H$4)*(1+NORMINV(RAND(),INPUTS!$B$28,INPUTS!$B$29))))</f>
        <v>1035182.61250955</v>
      </c>
      <c r="I165" s="89" t="n">
        <f aca="true">IF(I$5=0,H165,MAX(0,(H165-I$4)*(1+NORMINV(RAND(),INPUTS!$B$28,INPUTS!$B$29))))</f>
        <v>855247.841994796</v>
      </c>
      <c r="J165" s="89" t="n">
        <f aca="true">IF(J$5=0,I165,MAX(0,(I165-J$4)*(1+NORMINV(RAND(),INPUTS!$B$28,INPUTS!$B$29))))</f>
        <v>792241.691053457</v>
      </c>
      <c r="K165" s="89" t="n">
        <f aca="true">IF(K$5=0,J165,MAX(0,(J165-K$4)*(1+NORMINV(RAND(),INPUTS!$B$28,INPUTS!$B$29))))</f>
        <v>683134.075993607</v>
      </c>
      <c r="L165" s="89" t="n">
        <f aca="true">IF(L$5=0,K165,MAX(0,(K165-L$4)*(1+NORMINV(RAND(),INPUTS!$B$28,INPUTS!$B$29))))</f>
        <v>540984.220302338</v>
      </c>
      <c r="M165" s="89" t="n">
        <f aca="true">IF(M$5=0,L165,MAX(0,(L165-M$4)*(1+NORMINV(RAND(),INPUTS!$B$28,INPUTS!$B$29))))</f>
        <v>407636.72480415</v>
      </c>
      <c r="N165" s="89" t="n">
        <f aca="true">IF(N$5=0,M165,MAX(0,(M165-N$4)*(1+NORMINV(RAND(),INPUTS!$B$28,INPUTS!$B$29))))</f>
        <v>340347.017847988</v>
      </c>
      <c r="O165" s="89" t="n">
        <f aca="true">IF(O$5=0,N165,MAX(0,(N165-O$4)*(1+NORMINV(RAND(),INPUTS!$B$28,INPUTS!$B$29))))</f>
        <v>257884.686928371</v>
      </c>
      <c r="P165" s="89" t="n">
        <f aca="true">IF(P$5=0,O165,MAX(0,(O165-P$4)*(1+NORMINV(RAND(),INPUTS!$B$28,INPUTS!$B$29))))</f>
        <v>241745.438540679</v>
      </c>
      <c r="Q165" s="89" t="n">
        <f aca="true">IF(Q$5=0,P165,MAX(0,(P165-Q$4)*(1+NORMINV(RAND(),INPUTS!$B$28,INPUTS!$B$29))))</f>
        <v>205866.068355667</v>
      </c>
      <c r="R165" s="89" t="n">
        <f aca="true">IF(R$5=0,Q165,MAX(0,(Q165-R$4)*(1+NORMINV(RAND(),INPUTS!$B$28,INPUTS!$B$29))))</f>
        <v>150091.4738217</v>
      </c>
      <c r="S165" s="89" t="n">
        <f aca="true">IF(S$5=0,R165,MAX(0,(R165-S$4)*(1+NORMINV(RAND(),INPUTS!$B$28,INPUTS!$B$29))))</f>
        <v>112627.577093972</v>
      </c>
      <c r="T165" s="89" t="n">
        <f aca="true">IF(T$5=0,S165,MAX(0,(S165-T$4)*(1+NORMINV(RAND(),INPUTS!$B$28,INPUTS!$B$29))))</f>
        <v>64094.9814653266</v>
      </c>
      <c r="U165" s="89" t="n">
        <f aca="true">IF(U$5=0,T165,MAX(0,(T165-U$4)*(1+NORMINV(RAND(),INPUTS!$B$28,INPUTS!$B$29))))</f>
        <v>14171.403581462</v>
      </c>
      <c r="V165" s="89" t="n">
        <f aca="true">IF(V$5=0,U165,MAX(0,(U165-V$4)*(1+NORMINV(RAND(),INPUTS!$B$28,INPUTS!$B$29))))</f>
        <v>0</v>
      </c>
      <c r="W165" s="89" t="n">
        <f aca="true">IF(W$5=0,V165,MAX(0,(V165-W$4)*(1+NORMINV(RAND(),INPUTS!$B$28,INPUTS!$B$29))))</f>
        <v>0</v>
      </c>
      <c r="X165" s="89" t="n">
        <f aca="true">IF(X$5=0,W165,MAX(0,(W165-X$4)*(1+NORMINV(RAND(),INPUTS!$B$28,INPUTS!$B$29))))</f>
        <v>0</v>
      </c>
      <c r="Y165" s="89" t="n">
        <f aca="true">IF(Y$5=0,X165,MAX(0,(X165-Y$4)*(1+NORMINV(RAND(),INPUTS!$B$28,INPUTS!$B$29))))</f>
        <v>0</v>
      </c>
      <c r="Z165" s="89" t="n">
        <f aca="true">IF(Z$5=0,Y165,MAX(0,(Y165-Z$4)*(1+NORMINV(RAND(),INPUTS!$B$28,INPUTS!$B$29))))</f>
        <v>0</v>
      </c>
      <c r="AA165" s="89" t="n">
        <f aca="true">IF(AA$5=0,Z165,MAX(0,(Z165-AA$4)*(1+NORMINV(RAND(),INPUTS!$B$28,INPUTS!$B$29))))</f>
        <v>0</v>
      </c>
      <c r="AB165" s="89" t="n">
        <f aca="true">IF(AB$5=0,AA165,MAX(0,(AA165-AB$4)*(1+NORMINV(RAND(),INPUTS!$B$28,INPUTS!$B$29))))</f>
        <v>0</v>
      </c>
      <c r="AC165" s="89" t="n">
        <f aca="true">IF(AC$5=0,AB165,MAX(0,(AB165-AC$4)*(1+NORMINV(RAND(),INPUTS!$B$28,INPUTS!$B$29))))</f>
        <v>0</v>
      </c>
      <c r="AD165" s="89" t="n">
        <f aca="true">IF(AD$5=0,AC165,MAX(0,(AC165-AD$4)*(1+NORMINV(RAND(),INPUTS!$B$28,INPUTS!$B$29))))</f>
        <v>0</v>
      </c>
      <c r="AE165" s="89" t="n">
        <f aca="true">IF(AE$5=0,AD165,MAX(0,(AD165-AE$4)*(1+NORMINV(RAND(),INPUTS!$B$28,INPUTS!$B$29))))</f>
        <v>0</v>
      </c>
      <c r="AF165" s="89" t="n">
        <f aca="true">IF(AF$5=0,AE165,MAX(0,(AE165-AF$4)*(1+NORMINV(RAND(),INPUTS!$B$28,INPUTS!$B$29))))</f>
        <v>0</v>
      </c>
      <c r="AG165" s="89" t="n">
        <f aca="true">IF(AG$5=0,AF165,MAX(0,(AF165-AG$4)*(1+NORMINV(RAND(),INPUTS!$B$28,INPUTS!$B$29))))</f>
        <v>0</v>
      </c>
      <c r="AH165" s="89" t="n">
        <f aca="true">IF(AH$5=0,AG165,MAX(0,(AG165-AH$4)*(1+NORMINV(RAND(),INPUTS!$B$28,INPUTS!$B$29))))</f>
        <v>0</v>
      </c>
      <c r="AI165" s="89" t="n">
        <f aca="true">IF(AI$5=0,AH165,MAX(0,(AH165-AI$4)*(1+NORMINV(RAND(),INPUTS!$B$28,INPUTS!$B$29))))</f>
        <v>0</v>
      </c>
      <c r="AJ165" s="89" t="n">
        <f aca="true">IF(AJ$5=0,AI165,MAX(0,(AI165-AJ$4)*(1+NORMINV(RAND(),INPUTS!$B$28,INPUTS!$B$29))))</f>
        <v>0</v>
      </c>
      <c r="AK165" s="89" t="n">
        <f aca="true">IF(AK$5=0,AJ165,MAX(0,(AJ165-AK$4)*(1+NORMINV(RAND(),INPUTS!$B$28,INPUTS!$B$29))))</f>
        <v>0</v>
      </c>
      <c r="AL165" s="89" t="n">
        <f aca="true">IF(AL$5=0,AK165,MAX(0,(AK165-AL$4)*(1+NORMINV(RAND(),INPUTS!$B$28,INPUTS!$B$29))))</f>
        <v>0</v>
      </c>
      <c r="AM165" s="89" t="n">
        <f aca="true">IF(AM$5=0,AL165,MAX(0,(AL165-AM$4)*(1+NORMINV(RAND(),INPUTS!$B$28,INPUTS!$B$29))))</f>
        <v>0</v>
      </c>
      <c r="AN165" s="89" t="n">
        <f aca="true">IF(AN$5=0,AM165,MAX(0,(AM165-AN$4)*(1+NORMINV(RAND(),INPUTS!$B$28,INPUTS!$B$29))))</f>
        <v>0</v>
      </c>
      <c r="AO165" s="89" t="n">
        <f aca="true">IF(AO$5=0,AN165,MAX(0,(AN165-AO$4)*(1+NORMINV(RAND(),INPUTS!$B$28,INPUTS!$B$29))))</f>
        <v>0</v>
      </c>
      <c r="AP165" s="89" t="n">
        <f aca="true">IF(AP$5=0,AO165,MAX(0,(AO165-AP$4)*(1+NORMINV(RAND(),INPUTS!$B$28,INPUTS!$B$29))))</f>
        <v>0</v>
      </c>
      <c r="AQ165" s="89" t="n">
        <f aca="true">IF(AQ$5=0,AP165,MAX(0,(AP165-AQ$4)*(1+NORMINV(RAND(),INPUTS!$B$28,INPUTS!$B$29))))</f>
        <v>0</v>
      </c>
      <c r="AR165" s="89" t="n">
        <f aca="true">IF(AR$5=0,AQ165,MAX(0,(AQ165-AR$4)*(1+NORMINV(RAND(),INPUTS!$B$28,INPUTS!$B$29))))</f>
        <v>0</v>
      </c>
      <c r="AS165" s="89" t="n">
        <f aca="true">IF(AS$5=0,AR165,MAX(0,(AR165-AS$4)*(1+NORMINV(RAND(),INPUTS!$B$28,INPUTS!$B$29))))</f>
        <v>0</v>
      </c>
      <c r="AT165" s="89" t="n">
        <f aca="true">IF(AT$5=0,AS165,MAX(0,(AS165-AT$4)*(1+NORMINV(RAND(),INPUTS!$B$28,INPUTS!$B$29))))</f>
        <v>0</v>
      </c>
      <c r="AU165" s="89" t="n">
        <f aca="true">IF(AU$5=0,AT165,MAX(0,(AT165-AU$4)*(1+NORMINV(RAND(),INPUTS!$B$28,INPUTS!$B$29))))</f>
        <v>0</v>
      </c>
      <c r="AV165" s="89" t="n">
        <f aca="true">IF(AV$5=0,AU165,MAX(0,(AU165-AV$4)*(1+NORMINV(RAND(),INPUTS!$B$28,INPUTS!$B$29))))</f>
        <v>0</v>
      </c>
      <c r="AW165" s="89" t="n">
        <f aca="true">IF(AW$5=0,AV165,MAX(0,(AV165-AW$4)*(1+NORMINV(RAND(),INPUTS!$B$28,INPUTS!$B$29))))</f>
        <v>0</v>
      </c>
      <c r="AX165" s="89" t="n">
        <f aca="true">IF(AX$5=0,AW165,MAX(0,(AW165-AX$4)*(1+NORMINV(RAND(),INPUTS!$B$28,INPUTS!$B$29))))</f>
        <v>0</v>
      </c>
      <c r="AY165" s="89" t="n">
        <f aca="true">IF(AY$5=0,AX165,MAX(0,(AX165-AY$4)*(1+NORMINV(RAND(),INPUTS!$B$28,INPUTS!$B$29))))</f>
        <v>0</v>
      </c>
      <c r="AZ165" s="89" t="n">
        <f aca="true">IF(AZ$5=0,AY165,MAX(0,(AY165-AZ$4)*(1+NORMINV(RAND(),INPUTS!$B$28,INPUTS!$B$29))))</f>
        <v>0</v>
      </c>
      <c r="BA165" s="89" t="n">
        <f aca="true">IF(BA$5=0,AZ165,MAX(0,(AZ165-BA$4)*(1+NORMINV(RAND(),INPUTS!$B$28,INPUTS!$B$29))))</f>
        <v>0</v>
      </c>
      <c r="BB165" s="89" t="n">
        <f aca="true">IF(BB$5=0,BA165,MAX(0,(BA165-BB$4)*(1+NORMINV(RAND(),INPUTS!$B$28,INPUTS!$B$29))))</f>
        <v>0</v>
      </c>
      <c r="BC165" s="89" t="n">
        <f aca="true">IF(BC$5=0,BB165,MAX(0,(BB165-BC$4)*(1+NORMINV(RAND(),INPUTS!$B$28,INPUTS!$B$29))))</f>
        <v>0</v>
      </c>
      <c r="BD165" s="89" t="n">
        <f aca="true">IF(BD$5=0,BC165,MAX(0,(BC165-BD$4)*(1+NORMINV(RAND(),INPUTS!$B$28,INPUTS!$B$29))))</f>
        <v>0</v>
      </c>
      <c r="BE165" s="89" t="n">
        <f aca="true">IF(BE$5=0,BD165,MAX(0,(BD165-BE$4)*(1+NORMINV(RAND(),INPUTS!$B$28,INPUTS!$B$29))))</f>
        <v>0</v>
      </c>
      <c r="BF165" s="89" t="n">
        <f aca="true">IF(BF$5=0,BE165,MAX(0,(BE165-BF$4)*(1+NORMINV(RAND(),INPUTS!$B$28,INPUTS!$B$29))))</f>
        <v>0</v>
      </c>
      <c r="BG165" s="89" t="n">
        <f aca="true">IF(BG$5=0,BF165,MAX(0,(BF165-BG$4)*(1+NORMINV(RAND(),INPUTS!$B$28,INPUTS!$B$29))))</f>
        <v>0</v>
      </c>
      <c r="BH165" s="89" t="n">
        <f aca="true">IF(BH$5=0,BG165,MAX(0,(BG165-BH$4)*(1+NORMINV(RAND(),INPUTS!$B$28,INPUTS!$B$29))))</f>
        <v>0</v>
      </c>
      <c r="BI165" s="89" t="n">
        <f aca="true">IF(BI$5=0,BH165,MAX(0,(BH165-BI$4)*(1+NORMINV(RAND(),INPUTS!$B$28,INPUTS!$B$29))))</f>
        <v>0</v>
      </c>
      <c r="BJ165" s="89" t="n">
        <f aca="true">IF(BJ$5=0,BI165,MAX(0,(BI165-BJ$4)*(1+NORMINV(RAND(),INPUTS!$B$28,INPUTS!$B$29))))</f>
        <v>0</v>
      </c>
    </row>
    <row r="166" customFormat="false" ht="15" hidden="false" customHeight="true" outlineLevel="0" collapsed="false">
      <c r="A166" s="87" t="n">
        <v>159</v>
      </c>
      <c r="B166" s="88" t="n">
        <f aca="false">LOOKUP(9.99E+307,C166:BJ166)</f>
        <v>3632805.7009513</v>
      </c>
      <c r="C166" s="89" t="n">
        <f aca="true">IF(C$5=0,INPUTS!$B$35,MAX(0,(INPUTS!$B$35-C$4)*(1+NORMINV(RAND(),INPUTS!$B$28,INPUTS!$B$29))))</f>
        <v>1370640.34923403</v>
      </c>
      <c r="D166" s="89" t="n">
        <f aca="true">IF(D$5=0,C166,MAX(0,(C166-D$4)*(1+NORMINV(RAND(),INPUTS!$B$28,INPUTS!$B$29))))</f>
        <v>1389611.13116903</v>
      </c>
      <c r="E166" s="89" t="n">
        <f aca="true">IF(E$5=0,D166,MAX(0,(D166-E$4)*(1+NORMINV(RAND(),INPUTS!$B$28,INPUTS!$B$29))))</f>
        <v>1313228.13518095</v>
      </c>
      <c r="F166" s="89" t="n">
        <f aca="true">IF(F$5=0,E166,MAX(0,(E166-F$4)*(1+NORMINV(RAND(),INPUTS!$B$28,INPUTS!$B$29))))</f>
        <v>1160069.8640863</v>
      </c>
      <c r="G166" s="89" t="n">
        <f aca="true">IF(G$5=0,F166,MAX(0,(F166-G$4)*(1+NORMINV(RAND(),INPUTS!$B$28,INPUTS!$B$29))))</f>
        <v>1157897.82439448</v>
      </c>
      <c r="H166" s="89" t="n">
        <f aca="true">IF(H$5=0,G166,MAX(0,(G166-H$4)*(1+NORMINV(RAND(),INPUTS!$B$28,INPUTS!$B$29))))</f>
        <v>1194807.33672523</v>
      </c>
      <c r="I166" s="89" t="n">
        <f aca="true">IF(I$5=0,H166,MAX(0,(H166-I$4)*(1+NORMINV(RAND(),INPUTS!$B$28,INPUTS!$B$29))))</f>
        <v>1339827.57838615</v>
      </c>
      <c r="J166" s="89" t="n">
        <f aca="true">IF(J$5=0,I166,MAX(0,(I166-J$4)*(1+NORMINV(RAND(),INPUTS!$B$28,INPUTS!$B$29))))</f>
        <v>1300022.3388978</v>
      </c>
      <c r="K166" s="89" t="n">
        <f aca="true">IF(K$5=0,J166,MAX(0,(J166-K$4)*(1+NORMINV(RAND(),INPUTS!$B$28,INPUTS!$B$29))))</f>
        <v>1451872.90004667</v>
      </c>
      <c r="L166" s="89" t="n">
        <f aca="true">IF(L$5=0,K166,MAX(0,(K166-L$4)*(1+NORMINV(RAND(),INPUTS!$B$28,INPUTS!$B$29))))</f>
        <v>1459163.74235097</v>
      </c>
      <c r="M166" s="89" t="n">
        <f aca="true">IF(M$5=0,L166,MAX(0,(L166-M$4)*(1+NORMINV(RAND(),INPUTS!$B$28,INPUTS!$B$29))))</f>
        <v>1325758.606919</v>
      </c>
      <c r="N166" s="89" t="n">
        <f aca="true">IF(N$5=0,M166,MAX(0,(M166-N$4)*(1+NORMINV(RAND(),INPUTS!$B$28,INPUTS!$B$29))))</f>
        <v>1502763.40222056</v>
      </c>
      <c r="O166" s="89" t="n">
        <f aca="true">IF(O$5=0,N166,MAX(0,(N166-O$4)*(1+NORMINV(RAND(),INPUTS!$B$28,INPUTS!$B$29))))</f>
        <v>1552832.29726141</v>
      </c>
      <c r="P166" s="89" t="n">
        <f aca="true">IF(P$5=0,O166,MAX(0,(O166-P$4)*(1+NORMINV(RAND(),INPUTS!$B$28,INPUTS!$B$29))))</f>
        <v>1403335.35667476</v>
      </c>
      <c r="Q166" s="89" t="n">
        <f aca="true">IF(Q$5=0,P166,MAX(0,(P166-Q$4)*(1+NORMINV(RAND(),INPUTS!$B$28,INPUTS!$B$29))))</f>
        <v>1397393.02838625</v>
      </c>
      <c r="R166" s="89" t="n">
        <f aca="true">IF(R$5=0,Q166,MAX(0,(Q166-R$4)*(1+NORMINV(RAND(),INPUTS!$B$28,INPUTS!$B$29))))</f>
        <v>1548503.2314827</v>
      </c>
      <c r="S166" s="89" t="n">
        <f aca="true">IF(S$5=0,R166,MAX(0,(R166-S$4)*(1+NORMINV(RAND(),INPUTS!$B$28,INPUTS!$B$29))))</f>
        <v>1686916.8300236</v>
      </c>
      <c r="T166" s="89" t="n">
        <f aca="true">IF(T$5=0,S166,MAX(0,(S166-T$4)*(1+NORMINV(RAND(),INPUTS!$B$28,INPUTS!$B$29))))</f>
        <v>1679396.75597685</v>
      </c>
      <c r="U166" s="89" t="n">
        <f aca="true">IF(U$5=0,T166,MAX(0,(T166-U$4)*(1+NORMINV(RAND(),INPUTS!$B$28,INPUTS!$B$29))))</f>
        <v>2002955.28765034</v>
      </c>
      <c r="V166" s="89" t="n">
        <f aca="true">IF(V$5=0,U166,MAX(0,(U166-V$4)*(1+NORMINV(RAND(),INPUTS!$B$28,INPUTS!$B$29))))</f>
        <v>1884610.80878197</v>
      </c>
      <c r="W166" s="89" t="n">
        <f aca="true">IF(W$5=0,V166,MAX(0,(V166-W$4)*(1+NORMINV(RAND(),INPUTS!$B$28,INPUTS!$B$29))))</f>
        <v>2078722.82019667</v>
      </c>
      <c r="X166" s="89" t="n">
        <f aca="true">IF(X$5=0,W166,MAX(0,(W166-X$4)*(1+NORMINV(RAND(),INPUTS!$B$28,INPUTS!$B$29))))</f>
        <v>2095249.88353783</v>
      </c>
      <c r="Y166" s="89" t="n">
        <f aca="true">IF(Y$5=0,X166,MAX(0,(X166-Y$4)*(1+NORMINV(RAND(),INPUTS!$B$28,INPUTS!$B$29))))</f>
        <v>2315146.54945814</v>
      </c>
      <c r="Z166" s="89" t="n">
        <f aca="true">IF(Z$5=0,Y166,MAX(0,(Y166-Z$4)*(1+NORMINV(RAND(),INPUTS!$B$28,INPUTS!$B$29))))</f>
        <v>1871677.50499219</v>
      </c>
      <c r="AA166" s="89" t="n">
        <f aca="true">IF(AA$5=0,Z166,MAX(0,(Z166-AA$4)*(1+NORMINV(RAND(),INPUTS!$B$28,INPUTS!$B$29))))</f>
        <v>1652566.47152139</v>
      </c>
      <c r="AB166" s="89" t="n">
        <f aca="true">IF(AB$5=0,AA166,MAX(0,(AA166-AB$4)*(1+NORMINV(RAND(),INPUTS!$B$28,INPUTS!$B$29))))</f>
        <v>1675239.3203837</v>
      </c>
      <c r="AC166" s="89" t="n">
        <f aca="true">IF(AC$5=0,AB166,MAX(0,(AB166-AC$4)*(1+NORMINV(RAND(),INPUTS!$B$28,INPUTS!$B$29))))</f>
        <v>1642993.5024936</v>
      </c>
      <c r="AD166" s="89" t="n">
        <f aca="true">IF(AD$5=0,AC166,MAX(0,(AC166-AD$4)*(1+NORMINV(RAND(),INPUTS!$B$28,INPUTS!$B$29))))</f>
        <v>1798096.98896061</v>
      </c>
      <c r="AE166" s="89" t="n">
        <f aca="true">IF(AE$5=0,AD166,MAX(0,(AD166-AE$4)*(1+NORMINV(RAND(),INPUTS!$B$28,INPUTS!$B$29))))</f>
        <v>1858212.32193314</v>
      </c>
      <c r="AF166" s="89" t="n">
        <f aca="true">IF(AF$5=0,AE166,MAX(0,(AE166-AF$4)*(1+NORMINV(RAND(),INPUTS!$B$28,INPUTS!$B$29))))</f>
        <v>1985220.75131205</v>
      </c>
      <c r="AG166" s="89" t="n">
        <f aca="true">IF(AG$5=0,AF166,MAX(0,(AF166-AG$4)*(1+NORMINV(RAND(),INPUTS!$B$28,INPUTS!$B$29))))</f>
        <v>2040980.70092857</v>
      </c>
      <c r="AH166" s="89" t="n">
        <f aca="true">IF(AH$5=0,AG166,MAX(0,(AG166-AH$4)*(1+NORMINV(RAND(),INPUTS!$B$28,INPUTS!$B$29))))</f>
        <v>2446617.02492508</v>
      </c>
      <c r="AI166" s="89" t="n">
        <f aca="true">IF(AI$5=0,AH166,MAX(0,(AH166-AI$4)*(1+NORMINV(RAND(),INPUTS!$B$28,INPUTS!$B$29))))</f>
        <v>3068185.37662564</v>
      </c>
      <c r="AJ166" s="89" t="n">
        <f aca="true">IF(AJ$5=0,AI166,MAX(0,(AI166-AJ$4)*(1+NORMINV(RAND(),INPUTS!$B$28,INPUTS!$B$29))))</f>
        <v>3320988.55104133</v>
      </c>
      <c r="AK166" s="89" t="n">
        <f aca="true">IF(AK$5=0,AJ166,MAX(0,(AJ166-AK$4)*(1+NORMINV(RAND(),INPUTS!$B$28,INPUTS!$B$29))))</f>
        <v>3299351.58125458</v>
      </c>
      <c r="AL166" s="89" t="n">
        <f aca="true">IF(AL$5=0,AK166,MAX(0,(AK166-AL$4)*(1+NORMINV(RAND(),INPUTS!$B$28,INPUTS!$B$29))))</f>
        <v>3632805.7009513</v>
      </c>
      <c r="AM166" s="89" t="n">
        <f aca="true">IF(AM$5=0,AL166,MAX(0,(AL166-AM$4)*(1+NORMINV(RAND(),INPUTS!$B$28,INPUTS!$B$29))))</f>
        <v>3632805.7009513</v>
      </c>
      <c r="AN166" s="89" t="n">
        <f aca="true">IF(AN$5=0,AM166,MAX(0,(AM166-AN$4)*(1+NORMINV(RAND(),INPUTS!$B$28,INPUTS!$B$29))))</f>
        <v>3632805.7009513</v>
      </c>
      <c r="AO166" s="89" t="n">
        <f aca="true">IF(AO$5=0,AN166,MAX(0,(AN166-AO$4)*(1+NORMINV(RAND(),INPUTS!$B$28,INPUTS!$B$29))))</f>
        <v>3632805.7009513</v>
      </c>
      <c r="AP166" s="89" t="n">
        <f aca="true">IF(AP$5=0,AO166,MAX(0,(AO166-AP$4)*(1+NORMINV(RAND(),INPUTS!$B$28,INPUTS!$B$29))))</f>
        <v>3632805.7009513</v>
      </c>
      <c r="AQ166" s="89" t="n">
        <f aca="true">IF(AQ$5=0,AP166,MAX(0,(AP166-AQ$4)*(1+NORMINV(RAND(),INPUTS!$B$28,INPUTS!$B$29))))</f>
        <v>3632805.7009513</v>
      </c>
      <c r="AR166" s="89" t="n">
        <f aca="true">IF(AR$5=0,AQ166,MAX(0,(AQ166-AR$4)*(1+NORMINV(RAND(),INPUTS!$B$28,INPUTS!$B$29))))</f>
        <v>3632805.7009513</v>
      </c>
      <c r="AS166" s="89" t="n">
        <f aca="true">IF(AS$5=0,AR166,MAX(0,(AR166-AS$4)*(1+NORMINV(RAND(),INPUTS!$B$28,INPUTS!$B$29))))</f>
        <v>3632805.7009513</v>
      </c>
      <c r="AT166" s="89" t="n">
        <f aca="true">IF(AT$5=0,AS166,MAX(0,(AS166-AT$4)*(1+NORMINV(RAND(),INPUTS!$B$28,INPUTS!$B$29))))</f>
        <v>3632805.7009513</v>
      </c>
      <c r="AU166" s="89" t="n">
        <f aca="true">IF(AU$5=0,AT166,MAX(0,(AT166-AU$4)*(1+NORMINV(RAND(),INPUTS!$B$28,INPUTS!$B$29))))</f>
        <v>3632805.7009513</v>
      </c>
      <c r="AV166" s="89" t="n">
        <f aca="true">IF(AV$5=0,AU166,MAX(0,(AU166-AV$4)*(1+NORMINV(RAND(),INPUTS!$B$28,INPUTS!$B$29))))</f>
        <v>3632805.7009513</v>
      </c>
      <c r="AW166" s="89" t="n">
        <f aca="true">IF(AW$5=0,AV166,MAX(0,(AV166-AW$4)*(1+NORMINV(RAND(),INPUTS!$B$28,INPUTS!$B$29))))</f>
        <v>3632805.7009513</v>
      </c>
      <c r="AX166" s="89" t="n">
        <f aca="true">IF(AX$5=0,AW166,MAX(0,(AW166-AX$4)*(1+NORMINV(RAND(),INPUTS!$B$28,INPUTS!$B$29))))</f>
        <v>3632805.7009513</v>
      </c>
      <c r="AY166" s="89" t="n">
        <f aca="true">IF(AY$5=0,AX166,MAX(0,(AX166-AY$4)*(1+NORMINV(RAND(),INPUTS!$B$28,INPUTS!$B$29))))</f>
        <v>3632805.7009513</v>
      </c>
      <c r="AZ166" s="89" t="n">
        <f aca="true">IF(AZ$5=0,AY166,MAX(0,(AY166-AZ$4)*(1+NORMINV(RAND(),INPUTS!$B$28,INPUTS!$B$29))))</f>
        <v>3632805.7009513</v>
      </c>
      <c r="BA166" s="89" t="n">
        <f aca="true">IF(BA$5=0,AZ166,MAX(0,(AZ166-BA$4)*(1+NORMINV(RAND(),INPUTS!$B$28,INPUTS!$B$29))))</f>
        <v>3632805.7009513</v>
      </c>
      <c r="BB166" s="89" t="n">
        <f aca="true">IF(BB$5=0,BA166,MAX(0,(BA166-BB$4)*(1+NORMINV(RAND(),INPUTS!$B$28,INPUTS!$B$29))))</f>
        <v>3632805.7009513</v>
      </c>
      <c r="BC166" s="89" t="n">
        <f aca="true">IF(BC$5=0,BB166,MAX(0,(BB166-BC$4)*(1+NORMINV(RAND(),INPUTS!$B$28,INPUTS!$B$29))))</f>
        <v>3632805.7009513</v>
      </c>
      <c r="BD166" s="89" t="n">
        <f aca="true">IF(BD$5=0,BC166,MAX(0,(BC166-BD$4)*(1+NORMINV(RAND(),INPUTS!$B$28,INPUTS!$B$29))))</f>
        <v>3632805.7009513</v>
      </c>
      <c r="BE166" s="89" t="n">
        <f aca="true">IF(BE$5=0,BD166,MAX(0,(BD166-BE$4)*(1+NORMINV(RAND(),INPUTS!$B$28,INPUTS!$B$29))))</f>
        <v>3632805.7009513</v>
      </c>
      <c r="BF166" s="89" t="n">
        <f aca="true">IF(BF$5=0,BE166,MAX(0,(BE166-BF$4)*(1+NORMINV(RAND(),INPUTS!$B$28,INPUTS!$B$29))))</f>
        <v>3632805.7009513</v>
      </c>
      <c r="BG166" s="89" t="n">
        <f aca="true">IF(BG$5=0,BF166,MAX(0,(BF166-BG$4)*(1+NORMINV(RAND(),INPUTS!$B$28,INPUTS!$B$29))))</f>
        <v>3632805.7009513</v>
      </c>
      <c r="BH166" s="89" t="n">
        <f aca="true">IF(BH$5=0,BG166,MAX(0,(BG166-BH$4)*(1+NORMINV(RAND(),INPUTS!$B$28,INPUTS!$B$29))))</f>
        <v>3632805.7009513</v>
      </c>
      <c r="BI166" s="89" t="n">
        <f aca="true">IF(BI$5=0,BH166,MAX(0,(BH166-BI$4)*(1+NORMINV(RAND(),INPUTS!$B$28,INPUTS!$B$29))))</f>
        <v>3632805.7009513</v>
      </c>
      <c r="BJ166" s="89" t="n">
        <f aca="true">IF(BJ$5=0,BI166,MAX(0,(BI166-BJ$4)*(1+NORMINV(RAND(),INPUTS!$B$28,INPUTS!$B$29))))</f>
        <v>3632805.7009513</v>
      </c>
    </row>
    <row r="167" customFormat="false" ht="15" hidden="false" customHeight="true" outlineLevel="0" collapsed="false">
      <c r="A167" s="87" t="n">
        <v>160</v>
      </c>
      <c r="B167" s="88" t="n">
        <f aca="false">LOOKUP(9.99E+307,C167:BJ167)</f>
        <v>0</v>
      </c>
      <c r="C167" s="89" t="n">
        <f aca="true">IF(C$5=0,INPUTS!$B$35,MAX(0,(INPUTS!$B$35-C$4)*(1+NORMINV(RAND(),INPUTS!$B$28,INPUTS!$B$29))))</f>
        <v>1472187.56644702</v>
      </c>
      <c r="D167" s="89" t="n">
        <f aca="true">IF(D$5=0,C167,MAX(0,(C167-D$4)*(1+NORMINV(RAND(),INPUTS!$B$28,INPUTS!$B$29))))</f>
        <v>1418256.95571609</v>
      </c>
      <c r="E167" s="89" t="n">
        <f aca="true">IF(E$5=0,D167,MAX(0,(D167-E$4)*(1+NORMINV(RAND(),INPUTS!$B$28,INPUTS!$B$29))))</f>
        <v>1664597.8110472</v>
      </c>
      <c r="F167" s="89" t="n">
        <f aca="true">IF(F$5=0,E167,MAX(0,(E167-F$4)*(1+NORMINV(RAND(),INPUTS!$B$28,INPUTS!$B$29))))</f>
        <v>1454405.67457153</v>
      </c>
      <c r="G167" s="89" t="n">
        <f aca="true">IF(G$5=0,F167,MAX(0,(F167-G$4)*(1+NORMINV(RAND(),INPUTS!$B$28,INPUTS!$B$29))))</f>
        <v>1553065.76115525</v>
      </c>
      <c r="H167" s="89" t="n">
        <f aca="true">IF(H$5=0,G167,MAX(0,(G167-H$4)*(1+NORMINV(RAND(),INPUTS!$B$28,INPUTS!$B$29))))</f>
        <v>1657204.3696507</v>
      </c>
      <c r="I167" s="89" t="n">
        <f aca="true">IF(I$5=0,H167,MAX(0,(H167-I$4)*(1+NORMINV(RAND(),INPUTS!$B$28,INPUTS!$B$29))))</f>
        <v>1941702.22282182</v>
      </c>
      <c r="J167" s="89" t="n">
        <f aca="true">IF(J$5=0,I167,MAX(0,(I167-J$4)*(1+NORMINV(RAND(),INPUTS!$B$28,INPUTS!$B$29))))</f>
        <v>2058628.24377162</v>
      </c>
      <c r="K167" s="89" t="n">
        <f aca="true">IF(K$5=0,J167,MAX(0,(J167-K$4)*(1+NORMINV(RAND(),INPUTS!$B$28,INPUTS!$B$29))))</f>
        <v>1760060.08509296</v>
      </c>
      <c r="L167" s="89" t="n">
        <f aca="true">IF(L$5=0,K167,MAX(0,(K167-L$4)*(1+NORMINV(RAND(),INPUTS!$B$28,INPUTS!$B$29))))</f>
        <v>1402176.59389506</v>
      </c>
      <c r="M167" s="89" t="n">
        <f aca="true">IF(M$5=0,L167,MAX(0,(L167-M$4)*(1+NORMINV(RAND(),INPUTS!$B$28,INPUTS!$B$29))))</f>
        <v>1044124.03177159</v>
      </c>
      <c r="N167" s="89" t="n">
        <f aca="true">IF(N$5=0,M167,MAX(0,(M167-N$4)*(1+NORMINV(RAND(),INPUTS!$B$28,INPUTS!$B$29))))</f>
        <v>1007112.22535512</v>
      </c>
      <c r="O167" s="89" t="n">
        <f aca="true">IF(O$5=0,N167,MAX(0,(N167-O$4)*(1+NORMINV(RAND(),INPUTS!$B$28,INPUTS!$B$29))))</f>
        <v>1088497.53241137</v>
      </c>
      <c r="P167" s="89" t="n">
        <f aca="true">IF(P$5=0,O167,MAX(0,(O167-P$4)*(1+NORMINV(RAND(),INPUTS!$B$28,INPUTS!$B$29))))</f>
        <v>1107057.41136985</v>
      </c>
      <c r="Q167" s="89" t="n">
        <f aca="true">IF(Q$5=0,P167,MAX(0,(P167-Q$4)*(1+NORMINV(RAND(),INPUTS!$B$28,INPUTS!$B$29))))</f>
        <v>1268779.20312538</v>
      </c>
      <c r="R167" s="89" t="n">
        <f aca="true">IF(R$5=0,Q167,MAX(0,(Q167-R$4)*(1+NORMINV(RAND(),INPUTS!$B$28,INPUTS!$B$29))))</f>
        <v>1314831.36127693</v>
      </c>
      <c r="S167" s="89" t="n">
        <f aca="true">IF(S$5=0,R167,MAX(0,(R167-S$4)*(1+NORMINV(RAND(),INPUTS!$B$28,INPUTS!$B$29))))</f>
        <v>1016619.79930799</v>
      </c>
      <c r="T167" s="89" t="n">
        <f aca="true">IF(T$5=0,S167,MAX(0,(S167-T$4)*(1+NORMINV(RAND(),INPUTS!$B$28,INPUTS!$B$29))))</f>
        <v>935458.917930348</v>
      </c>
      <c r="U167" s="89" t="n">
        <f aca="true">IF(U$5=0,T167,MAX(0,(T167-U$4)*(1+NORMINV(RAND(),INPUTS!$B$28,INPUTS!$B$29))))</f>
        <v>922742.391806437</v>
      </c>
      <c r="V167" s="89" t="n">
        <f aca="true">IF(V$5=0,U167,MAX(0,(U167-V$4)*(1+NORMINV(RAND(),INPUTS!$B$28,INPUTS!$B$29))))</f>
        <v>1040681.16819063</v>
      </c>
      <c r="W167" s="89" t="n">
        <f aca="true">IF(W$5=0,V167,MAX(0,(V167-W$4)*(1+NORMINV(RAND(),INPUTS!$B$28,INPUTS!$B$29))))</f>
        <v>931209.41715063</v>
      </c>
      <c r="X167" s="89" t="n">
        <f aca="true">IF(X$5=0,W167,MAX(0,(W167-X$4)*(1+NORMINV(RAND(),INPUTS!$B$28,INPUTS!$B$29))))</f>
        <v>643175.961244271</v>
      </c>
      <c r="Y167" s="89" t="n">
        <f aca="true">IF(Y$5=0,X167,MAX(0,(X167-Y$4)*(1+NORMINV(RAND(),INPUTS!$B$28,INPUTS!$B$29))))</f>
        <v>508460.497610431</v>
      </c>
      <c r="Z167" s="89" t="n">
        <f aca="true">IF(Z$5=0,Y167,MAX(0,(Y167-Z$4)*(1+NORMINV(RAND(),INPUTS!$B$28,INPUTS!$B$29))))</f>
        <v>555046.322595042</v>
      </c>
      <c r="AA167" s="89" t="n">
        <f aca="true">IF(AA$5=0,Z167,MAX(0,(Z167-AA$4)*(1+NORMINV(RAND(),INPUTS!$B$28,INPUTS!$B$29))))</f>
        <v>474562.56288685</v>
      </c>
      <c r="AB167" s="89" t="n">
        <f aca="true">IF(AB$5=0,AA167,MAX(0,(AA167-AB$4)*(1+NORMINV(RAND(),INPUTS!$B$28,INPUTS!$B$29))))</f>
        <v>402590.371941236</v>
      </c>
      <c r="AC167" s="89" t="n">
        <f aca="true">IF(AC$5=0,AB167,MAX(0,(AB167-AC$4)*(1+NORMINV(RAND(),INPUTS!$B$28,INPUTS!$B$29))))</f>
        <v>307260.902205143</v>
      </c>
      <c r="AD167" s="89" t="n">
        <f aca="true">IF(AD$5=0,AC167,MAX(0,(AC167-AD$4)*(1+NORMINV(RAND(),INPUTS!$B$28,INPUTS!$B$29))))</f>
        <v>225297.241970122</v>
      </c>
      <c r="AE167" s="89" t="n">
        <f aca="true">IF(AE$5=0,AD167,MAX(0,(AD167-AE$4)*(1+NORMINV(RAND(),INPUTS!$B$28,INPUTS!$B$29))))</f>
        <v>155117.686461885</v>
      </c>
      <c r="AF167" s="89" t="n">
        <f aca="true">IF(AF$5=0,AE167,MAX(0,(AE167-AF$4)*(1+NORMINV(RAND(),INPUTS!$B$28,INPUTS!$B$29))))</f>
        <v>88546.8652397971</v>
      </c>
      <c r="AG167" s="89" t="n">
        <f aca="true">IF(AG$5=0,AF167,MAX(0,(AF167-AG$4)*(1+NORMINV(RAND(),INPUTS!$B$28,INPUTS!$B$29))))</f>
        <v>21360.4453811992</v>
      </c>
      <c r="AH167" s="89" t="n">
        <f aca="true">IF(AH$5=0,AG167,MAX(0,(AG167-AH$4)*(1+NORMINV(RAND(),INPUTS!$B$28,INPUTS!$B$29))))</f>
        <v>0</v>
      </c>
      <c r="AI167" s="89" t="n">
        <f aca="true">IF(AI$5=0,AH167,MAX(0,(AH167-AI$4)*(1+NORMINV(RAND(),INPUTS!$B$28,INPUTS!$B$29))))</f>
        <v>0</v>
      </c>
      <c r="AJ167" s="89" t="n">
        <f aca="true">IF(AJ$5=0,AI167,MAX(0,(AI167-AJ$4)*(1+NORMINV(RAND(),INPUTS!$B$28,INPUTS!$B$29))))</f>
        <v>0</v>
      </c>
      <c r="AK167" s="89" t="n">
        <f aca="true">IF(AK$5=0,AJ167,MAX(0,(AJ167-AK$4)*(1+NORMINV(RAND(),INPUTS!$B$28,INPUTS!$B$29))))</f>
        <v>0</v>
      </c>
      <c r="AL167" s="89" t="n">
        <f aca="true">IF(AL$5=0,AK167,MAX(0,(AK167-AL$4)*(1+NORMINV(RAND(),INPUTS!$B$28,INPUTS!$B$29))))</f>
        <v>0</v>
      </c>
      <c r="AM167" s="89" t="n">
        <f aca="true">IF(AM$5=0,AL167,MAX(0,(AL167-AM$4)*(1+NORMINV(RAND(),INPUTS!$B$28,INPUTS!$B$29))))</f>
        <v>0</v>
      </c>
      <c r="AN167" s="89" t="n">
        <f aca="true">IF(AN$5=0,AM167,MAX(0,(AM167-AN$4)*(1+NORMINV(RAND(),INPUTS!$B$28,INPUTS!$B$29))))</f>
        <v>0</v>
      </c>
      <c r="AO167" s="89" t="n">
        <f aca="true">IF(AO$5=0,AN167,MAX(0,(AN167-AO$4)*(1+NORMINV(RAND(),INPUTS!$B$28,INPUTS!$B$29))))</f>
        <v>0</v>
      </c>
      <c r="AP167" s="89" t="n">
        <f aca="true">IF(AP$5=0,AO167,MAX(0,(AO167-AP$4)*(1+NORMINV(RAND(),INPUTS!$B$28,INPUTS!$B$29))))</f>
        <v>0</v>
      </c>
      <c r="AQ167" s="89" t="n">
        <f aca="true">IF(AQ$5=0,AP167,MAX(0,(AP167-AQ$4)*(1+NORMINV(RAND(),INPUTS!$B$28,INPUTS!$B$29))))</f>
        <v>0</v>
      </c>
      <c r="AR167" s="89" t="n">
        <f aca="true">IF(AR$5=0,AQ167,MAX(0,(AQ167-AR$4)*(1+NORMINV(RAND(),INPUTS!$B$28,INPUTS!$B$29))))</f>
        <v>0</v>
      </c>
      <c r="AS167" s="89" t="n">
        <f aca="true">IF(AS$5=0,AR167,MAX(0,(AR167-AS$4)*(1+NORMINV(RAND(),INPUTS!$B$28,INPUTS!$B$29))))</f>
        <v>0</v>
      </c>
      <c r="AT167" s="89" t="n">
        <f aca="true">IF(AT$5=0,AS167,MAX(0,(AS167-AT$4)*(1+NORMINV(RAND(),INPUTS!$B$28,INPUTS!$B$29))))</f>
        <v>0</v>
      </c>
      <c r="AU167" s="89" t="n">
        <f aca="true">IF(AU$5=0,AT167,MAX(0,(AT167-AU$4)*(1+NORMINV(RAND(),INPUTS!$B$28,INPUTS!$B$29))))</f>
        <v>0</v>
      </c>
      <c r="AV167" s="89" t="n">
        <f aca="true">IF(AV$5=0,AU167,MAX(0,(AU167-AV$4)*(1+NORMINV(RAND(),INPUTS!$B$28,INPUTS!$B$29))))</f>
        <v>0</v>
      </c>
      <c r="AW167" s="89" t="n">
        <f aca="true">IF(AW$5=0,AV167,MAX(0,(AV167-AW$4)*(1+NORMINV(RAND(),INPUTS!$B$28,INPUTS!$B$29))))</f>
        <v>0</v>
      </c>
      <c r="AX167" s="89" t="n">
        <f aca="true">IF(AX$5=0,AW167,MAX(0,(AW167-AX$4)*(1+NORMINV(RAND(),INPUTS!$B$28,INPUTS!$B$29))))</f>
        <v>0</v>
      </c>
      <c r="AY167" s="89" t="n">
        <f aca="true">IF(AY$5=0,AX167,MAX(0,(AX167-AY$4)*(1+NORMINV(RAND(),INPUTS!$B$28,INPUTS!$B$29))))</f>
        <v>0</v>
      </c>
      <c r="AZ167" s="89" t="n">
        <f aca="true">IF(AZ$5=0,AY167,MAX(0,(AY167-AZ$4)*(1+NORMINV(RAND(),INPUTS!$B$28,INPUTS!$B$29))))</f>
        <v>0</v>
      </c>
      <c r="BA167" s="89" t="n">
        <f aca="true">IF(BA$5=0,AZ167,MAX(0,(AZ167-BA$4)*(1+NORMINV(RAND(),INPUTS!$B$28,INPUTS!$B$29))))</f>
        <v>0</v>
      </c>
      <c r="BB167" s="89" t="n">
        <f aca="true">IF(BB$5=0,BA167,MAX(0,(BA167-BB$4)*(1+NORMINV(RAND(),INPUTS!$B$28,INPUTS!$B$29))))</f>
        <v>0</v>
      </c>
      <c r="BC167" s="89" t="n">
        <f aca="true">IF(BC$5=0,BB167,MAX(0,(BB167-BC$4)*(1+NORMINV(RAND(),INPUTS!$B$28,INPUTS!$B$29))))</f>
        <v>0</v>
      </c>
      <c r="BD167" s="89" t="n">
        <f aca="true">IF(BD$5=0,BC167,MAX(0,(BC167-BD$4)*(1+NORMINV(RAND(),INPUTS!$B$28,INPUTS!$B$29))))</f>
        <v>0</v>
      </c>
      <c r="BE167" s="89" t="n">
        <f aca="true">IF(BE$5=0,BD167,MAX(0,(BD167-BE$4)*(1+NORMINV(RAND(),INPUTS!$B$28,INPUTS!$B$29))))</f>
        <v>0</v>
      </c>
      <c r="BF167" s="89" t="n">
        <f aca="true">IF(BF$5=0,BE167,MAX(0,(BE167-BF$4)*(1+NORMINV(RAND(),INPUTS!$B$28,INPUTS!$B$29))))</f>
        <v>0</v>
      </c>
      <c r="BG167" s="89" t="n">
        <f aca="true">IF(BG$5=0,BF167,MAX(0,(BF167-BG$4)*(1+NORMINV(RAND(),INPUTS!$B$28,INPUTS!$B$29))))</f>
        <v>0</v>
      </c>
      <c r="BH167" s="89" t="n">
        <f aca="true">IF(BH$5=0,BG167,MAX(0,(BG167-BH$4)*(1+NORMINV(RAND(),INPUTS!$B$28,INPUTS!$B$29))))</f>
        <v>0</v>
      </c>
      <c r="BI167" s="89" t="n">
        <f aca="true">IF(BI$5=0,BH167,MAX(0,(BH167-BI$4)*(1+NORMINV(RAND(),INPUTS!$B$28,INPUTS!$B$29))))</f>
        <v>0</v>
      </c>
      <c r="BJ167" s="89" t="n">
        <f aca="true">IF(BJ$5=0,BI167,MAX(0,(BI167-BJ$4)*(1+NORMINV(RAND(),INPUTS!$B$28,INPUTS!$B$29))))</f>
        <v>0</v>
      </c>
    </row>
    <row r="168" customFormat="false" ht="15" hidden="false" customHeight="true" outlineLevel="0" collapsed="false">
      <c r="A168" s="87" t="n">
        <v>161</v>
      </c>
      <c r="B168" s="88" t="n">
        <f aca="false">LOOKUP(9.99E+307,C168:BJ168)</f>
        <v>18290.7468264135</v>
      </c>
      <c r="C168" s="89" t="n">
        <f aca="true">IF(C$5=0,INPUTS!$B$35,MAX(0,(INPUTS!$B$35-C$4)*(1+NORMINV(RAND(),INPUTS!$B$28,INPUTS!$B$29))))</f>
        <v>1454364.73186708</v>
      </c>
      <c r="D168" s="89" t="n">
        <f aca="true">IF(D$5=0,C168,MAX(0,(C168-D$4)*(1+NORMINV(RAND(),INPUTS!$B$28,INPUTS!$B$29))))</f>
        <v>1267718.72033879</v>
      </c>
      <c r="E168" s="89" t="n">
        <f aca="true">IF(E$5=0,D168,MAX(0,(D168-E$4)*(1+NORMINV(RAND(),INPUTS!$B$28,INPUTS!$B$29))))</f>
        <v>1320396.08179776</v>
      </c>
      <c r="F168" s="89" t="n">
        <f aca="true">IF(F$5=0,E168,MAX(0,(E168-F$4)*(1+NORMINV(RAND(),INPUTS!$B$28,INPUTS!$B$29))))</f>
        <v>1417619.03074029</v>
      </c>
      <c r="G168" s="89" t="n">
        <f aca="true">IF(G$5=0,F168,MAX(0,(F168-G$4)*(1+NORMINV(RAND(),INPUTS!$B$28,INPUTS!$B$29))))</f>
        <v>1561790.52200126</v>
      </c>
      <c r="H168" s="89" t="n">
        <f aca="true">IF(H$5=0,G168,MAX(0,(G168-H$4)*(1+NORMINV(RAND(),INPUTS!$B$28,INPUTS!$B$29))))</f>
        <v>1677352.3638229</v>
      </c>
      <c r="I168" s="89" t="n">
        <f aca="true">IF(I$5=0,H168,MAX(0,(H168-I$4)*(1+NORMINV(RAND(),INPUTS!$B$28,INPUTS!$B$29))))</f>
        <v>1270093.88214429</v>
      </c>
      <c r="J168" s="89" t="n">
        <f aca="true">IF(J$5=0,I168,MAX(0,(I168-J$4)*(1+NORMINV(RAND(),INPUTS!$B$28,INPUTS!$B$29))))</f>
        <v>1243557.34876986</v>
      </c>
      <c r="K168" s="89" t="n">
        <f aca="true">IF(K$5=0,J168,MAX(0,(J168-K$4)*(1+NORMINV(RAND(),INPUTS!$B$28,INPUTS!$B$29))))</f>
        <v>1158701.14901143</v>
      </c>
      <c r="L168" s="89" t="n">
        <f aca="true">IF(L$5=0,K168,MAX(0,(K168-L$4)*(1+NORMINV(RAND(),INPUTS!$B$28,INPUTS!$B$29))))</f>
        <v>1104414.94351683</v>
      </c>
      <c r="M168" s="89" t="n">
        <f aca="true">IF(M$5=0,L168,MAX(0,(L168-M$4)*(1+NORMINV(RAND(),INPUTS!$B$28,INPUTS!$B$29))))</f>
        <v>891299.088526066</v>
      </c>
      <c r="N168" s="89" t="n">
        <f aca="true">IF(N$5=0,M168,MAX(0,(M168-N$4)*(1+NORMINV(RAND(),INPUTS!$B$28,INPUTS!$B$29))))</f>
        <v>861627.155970593</v>
      </c>
      <c r="O168" s="89" t="n">
        <f aca="true">IF(O$5=0,N168,MAX(0,(N168-O$4)*(1+NORMINV(RAND(),INPUTS!$B$28,INPUTS!$B$29))))</f>
        <v>808433.386387166</v>
      </c>
      <c r="P168" s="89" t="n">
        <f aca="true">IF(P$5=0,O168,MAX(0,(O168-P$4)*(1+NORMINV(RAND(),INPUTS!$B$28,INPUTS!$B$29))))</f>
        <v>829778.044650592</v>
      </c>
      <c r="Q168" s="89" t="n">
        <f aca="true">IF(Q$5=0,P168,MAX(0,(P168-Q$4)*(1+NORMINV(RAND(),INPUTS!$B$28,INPUTS!$B$29))))</f>
        <v>825910.791171581</v>
      </c>
      <c r="R168" s="89" t="n">
        <f aca="true">IF(R$5=0,Q168,MAX(0,(Q168-R$4)*(1+NORMINV(RAND(),INPUTS!$B$28,INPUTS!$B$29))))</f>
        <v>672979.9621808</v>
      </c>
      <c r="S168" s="89" t="n">
        <f aca="true">IF(S$5=0,R168,MAX(0,(R168-S$4)*(1+NORMINV(RAND(),INPUTS!$B$28,INPUTS!$B$29))))</f>
        <v>690164.225038051</v>
      </c>
      <c r="T168" s="89" t="n">
        <f aca="true">IF(T$5=0,S168,MAX(0,(S168-T$4)*(1+NORMINV(RAND(),INPUTS!$B$28,INPUTS!$B$29))))</f>
        <v>670644.861465485</v>
      </c>
      <c r="U168" s="89" t="n">
        <f aca="true">IF(U$5=0,T168,MAX(0,(T168-U$4)*(1+NORMINV(RAND(),INPUTS!$B$28,INPUTS!$B$29))))</f>
        <v>762722.182214533</v>
      </c>
      <c r="V168" s="89" t="n">
        <f aca="true">IF(V$5=0,U168,MAX(0,(U168-V$4)*(1+NORMINV(RAND(),INPUTS!$B$28,INPUTS!$B$29))))</f>
        <v>685776.128390169</v>
      </c>
      <c r="W168" s="89" t="n">
        <f aca="true">IF(W$5=0,V168,MAX(0,(V168-W$4)*(1+NORMINV(RAND(),INPUTS!$B$28,INPUTS!$B$29))))</f>
        <v>767953.306651063</v>
      </c>
      <c r="X168" s="89" t="n">
        <f aca="true">IF(X$5=0,W168,MAX(0,(W168-X$4)*(1+NORMINV(RAND(),INPUTS!$B$28,INPUTS!$B$29))))</f>
        <v>712231.181388158</v>
      </c>
      <c r="Y168" s="89" t="n">
        <f aca="true">IF(Y$5=0,X168,MAX(0,(X168-Y$4)*(1+NORMINV(RAND(),INPUTS!$B$28,INPUTS!$B$29))))</f>
        <v>694949.740466942</v>
      </c>
      <c r="Z168" s="89" t="n">
        <f aca="true">IF(Z$5=0,Y168,MAX(0,(Y168-Z$4)*(1+NORMINV(RAND(),INPUTS!$B$28,INPUTS!$B$29))))</f>
        <v>732812.041534875</v>
      </c>
      <c r="AA168" s="89" t="n">
        <f aca="true">IF(AA$5=0,Z168,MAX(0,(Z168-AA$4)*(1+NORMINV(RAND(),INPUTS!$B$28,INPUTS!$B$29))))</f>
        <v>594858.520898941</v>
      </c>
      <c r="AB168" s="89" t="n">
        <f aca="true">IF(AB$5=0,AA168,MAX(0,(AA168-AB$4)*(1+NORMINV(RAND(),INPUTS!$B$28,INPUTS!$B$29))))</f>
        <v>592710.172094906</v>
      </c>
      <c r="AC168" s="89" t="n">
        <f aca="true">IF(AC$5=0,AB168,MAX(0,(AB168-AC$4)*(1+NORMINV(RAND(),INPUTS!$B$28,INPUTS!$B$29))))</f>
        <v>533074.031034037</v>
      </c>
      <c r="AD168" s="89" t="n">
        <f aca="true">IF(AD$5=0,AC168,MAX(0,(AC168-AD$4)*(1+NORMINV(RAND(),INPUTS!$B$28,INPUTS!$B$29))))</f>
        <v>429484.75265522</v>
      </c>
      <c r="AE168" s="89" t="n">
        <f aca="true">IF(AE$5=0,AD168,MAX(0,(AD168-AE$4)*(1+NORMINV(RAND(),INPUTS!$B$28,INPUTS!$B$29))))</f>
        <v>388006.277854718</v>
      </c>
      <c r="AF168" s="89" t="n">
        <f aca="true">IF(AF$5=0,AE168,MAX(0,(AE168-AF$4)*(1+NORMINV(RAND(),INPUTS!$B$28,INPUTS!$B$29))))</f>
        <v>378653.897764857</v>
      </c>
      <c r="AG168" s="89" t="n">
        <f aca="true">IF(AG$5=0,AF168,MAX(0,(AF168-AG$4)*(1+NORMINV(RAND(),INPUTS!$B$28,INPUTS!$B$29))))</f>
        <v>313627.800999246</v>
      </c>
      <c r="AH168" s="89" t="n">
        <f aca="true">IF(AH$5=0,AG168,MAX(0,(AG168-AH$4)*(1+NORMINV(RAND(),INPUTS!$B$28,INPUTS!$B$29))))</f>
        <v>320981.729661923</v>
      </c>
      <c r="AI168" s="89" t="n">
        <f aca="true">IF(AI$5=0,AH168,MAX(0,(AH168-AI$4)*(1+NORMINV(RAND(),INPUTS!$B$28,INPUTS!$B$29))))</f>
        <v>269693.316336999</v>
      </c>
      <c r="AJ168" s="89" t="n">
        <f aca="true">IF(AJ$5=0,AI168,MAX(0,(AI168-AJ$4)*(1+NORMINV(RAND(),INPUTS!$B$28,INPUTS!$B$29))))</f>
        <v>171533.745767489</v>
      </c>
      <c r="AK168" s="89" t="n">
        <f aca="true">IF(AK$5=0,AJ168,MAX(0,(AJ168-AK$4)*(1+NORMINV(RAND(),INPUTS!$B$28,INPUTS!$B$29))))</f>
        <v>96885.4948000253</v>
      </c>
      <c r="AL168" s="89" t="n">
        <f aca="true">IF(AL$5=0,AK168,MAX(0,(AK168-AL$4)*(1+NORMINV(RAND(),INPUTS!$B$28,INPUTS!$B$29))))</f>
        <v>18290.7468264135</v>
      </c>
      <c r="AM168" s="89" t="n">
        <f aca="true">IF(AM$5=0,AL168,MAX(0,(AL168-AM$4)*(1+NORMINV(RAND(),INPUTS!$B$28,INPUTS!$B$29))))</f>
        <v>18290.7468264135</v>
      </c>
      <c r="AN168" s="89" t="n">
        <f aca="true">IF(AN$5=0,AM168,MAX(0,(AM168-AN$4)*(1+NORMINV(RAND(),INPUTS!$B$28,INPUTS!$B$29))))</f>
        <v>18290.7468264135</v>
      </c>
      <c r="AO168" s="89" t="n">
        <f aca="true">IF(AO$5=0,AN168,MAX(0,(AN168-AO$4)*(1+NORMINV(RAND(),INPUTS!$B$28,INPUTS!$B$29))))</f>
        <v>18290.7468264135</v>
      </c>
      <c r="AP168" s="89" t="n">
        <f aca="true">IF(AP$5=0,AO168,MAX(0,(AO168-AP$4)*(1+NORMINV(RAND(),INPUTS!$B$28,INPUTS!$B$29))))</f>
        <v>18290.7468264135</v>
      </c>
      <c r="AQ168" s="89" t="n">
        <f aca="true">IF(AQ$5=0,AP168,MAX(0,(AP168-AQ$4)*(1+NORMINV(RAND(),INPUTS!$B$28,INPUTS!$B$29))))</f>
        <v>18290.7468264135</v>
      </c>
      <c r="AR168" s="89" t="n">
        <f aca="true">IF(AR$5=0,AQ168,MAX(0,(AQ168-AR$4)*(1+NORMINV(RAND(),INPUTS!$B$28,INPUTS!$B$29))))</f>
        <v>18290.7468264135</v>
      </c>
      <c r="AS168" s="89" t="n">
        <f aca="true">IF(AS$5=0,AR168,MAX(0,(AR168-AS$4)*(1+NORMINV(RAND(),INPUTS!$B$28,INPUTS!$B$29))))</f>
        <v>18290.7468264135</v>
      </c>
      <c r="AT168" s="89" t="n">
        <f aca="true">IF(AT$5=0,AS168,MAX(0,(AS168-AT$4)*(1+NORMINV(RAND(),INPUTS!$B$28,INPUTS!$B$29))))</f>
        <v>18290.7468264135</v>
      </c>
      <c r="AU168" s="89" t="n">
        <f aca="true">IF(AU$5=0,AT168,MAX(0,(AT168-AU$4)*(1+NORMINV(RAND(),INPUTS!$B$28,INPUTS!$B$29))))</f>
        <v>18290.7468264135</v>
      </c>
      <c r="AV168" s="89" t="n">
        <f aca="true">IF(AV$5=0,AU168,MAX(0,(AU168-AV$4)*(1+NORMINV(RAND(),INPUTS!$B$28,INPUTS!$B$29))))</f>
        <v>18290.7468264135</v>
      </c>
      <c r="AW168" s="89" t="n">
        <f aca="true">IF(AW$5=0,AV168,MAX(0,(AV168-AW$4)*(1+NORMINV(RAND(),INPUTS!$B$28,INPUTS!$B$29))))</f>
        <v>18290.7468264135</v>
      </c>
      <c r="AX168" s="89" t="n">
        <f aca="true">IF(AX$5=0,AW168,MAX(0,(AW168-AX$4)*(1+NORMINV(RAND(),INPUTS!$B$28,INPUTS!$B$29))))</f>
        <v>18290.7468264135</v>
      </c>
      <c r="AY168" s="89" t="n">
        <f aca="true">IF(AY$5=0,AX168,MAX(0,(AX168-AY$4)*(1+NORMINV(RAND(),INPUTS!$B$28,INPUTS!$B$29))))</f>
        <v>18290.7468264135</v>
      </c>
      <c r="AZ168" s="89" t="n">
        <f aca="true">IF(AZ$5=0,AY168,MAX(0,(AY168-AZ$4)*(1+NORMINV(RAND(),INPUTS!$B$28,INPUTS!$B$29))))</f>
        <v>18290.7468264135</v>
      </c>
      <c r="BA168" s="89" t="n">
        <f aca="true">IF(BA$5=0,AZ168,MAX(0,(AZ168-BA$4)*(1+NORMINV(RAND(),INPUTS!$B$28,INPUTS!$B$29))))</f>
        <v>18290.7468264135</v>
      </c>
      <c r="BB168" s="89" t="n">
        <f aca="true">IF(BB$5=0,BA168,MAX(0,(BA168-BB$4)*(1+NORMINV(RAND(),INPUTS!$B$28,INPUTS!$B$29))))</f>
        <v>18290.7468264135</v>
      </c>
      <c r="BC168" s="89" t="n">
        <f aca="true">IF(BC$5=0,BB168,MAX(0,(BB168-BC$4)*(1+NORMINV(RAND(),INPUTS!$B$28,INPUTS!$B$29))))</f>
        <v>18290.7468264135</v>
      </c>
      <c r="BD168" s="89" t="n">
        <f aca="true">IF(BD$5=0,BC168,MAX(0,(BC168-BD$4)*(1+NORMINV(RAND(),INPUTS!$B$28,INPUTS!$B$29))))</f>
        <v>18290.7468264135</v>
      </c>
      <c r="BE168" s="89" t="n">
        <f aca="true">IF(BE$5=0,BD168,MAX(0,(BD168-BE$4)*(1+NORMINV(RAND(),INPUTS!$B$28,INPUTS!$B$29))))</f>
        <v>18290.7468264135</v>
      </c>
      <c r="BF168" s="89" t="n">
        <f aca="true">IF(BF$5=0,BE168,MAX(0,(BE168-BF$4)*(1+NORMINV(RAND(),INPUTS!$B$28,INPUTS!$B$29))))</f>
        <v>18290.7468264135</v>
      </c>
      <c r="BG168" s="89" t="n">
        <f aca="true">IF(BG$5=0,BF168,MAX(0,(BF168-BG$4)*(1+NORMINV(RAND(),INPUTS!$B$28,INPUTS!$B$29))))</f>
        <v>18290.7468264135</v>
      </c>
      <c r="BH168" s="89" t="n">
        <f aca="true">IF(BH$5=0,BG168,MAX(0,(BG168-BH$4)*(1+NORMINV(RAND(),INPUTS!$B$28,INPUTS!$B$29))))</f>
        <v>18290.7468264135</v>
      </c>
      <c r="BI168" s="89" t="n">
        <f aca="true">IF(BI$5=0,BH168,MAX(0,(BH168-BI$4)*(1+NORMINV(RAND(),INPUTS!$B$28,INPUTS!$B$29))))</f>
        <v>18290.7468264135</v>
      </c>
      <c r="BJ168" s="89" t="n">
        <f aca="true">IF(BJ$5=0,BI168,MAX(0,(BI168-BJ$4)*(1+NORMINV(RAND(),INPUTS!$B$28,INPUTS!$B$29))))</f>
        <v>18290.7468264135</v>
      </c>
    </row>
    <row r="169" customFormat="false" ht="15" hidden="false" customHeight="true" outlineLevel="0" collapsed="false">
      <c r="A169" s="87" t="n">
        <v>162</v>
      </c>
      <c r="B169" s="88" t="n">
        <f aca="false">LOOKUP(9.99E+307,C169:BJ169)</f>
        <v>3081546.48353288</v>
      </c>
      <c r="C169" s="89" t="n">
        <f aca="true">IF(C$5=0,INPUTS!$B$35,MAX(0,(INPUTS!$B$35-C$4)*(1+NORMINV(RAND(),INPUTS!$B$28,INPUTS!$B$29))))</f>
        <v>1685934.15657193</v>
      </c>
      <c r="D169" s="89" t="n">
        <f aca="true">IF(D$5=0,C169,MAX(0,(C169-D$4)*(1+NORMINV(RAND(),INPUTS!$B$28,INPUTS!$B$29))))</f>
        <v>1598707.97372435</v>
      </c>
      <c r="E169" s="89" t="n">
        <f aca="true">IF(E$5=0,D169,MAX(0,(D169-E$4)*(1+NORMINV(RAND(),INPUTS!$B$28,INPUTS!$B$29))))</f>
        <v>1442438.04688658</v>
      </c>
      <c r="F169" s="89" t="n">
        <f aca="true">IF(F$5=0,E169,MAX(0,(E169-F$4)*(1+NORMINV(RAND(),INPUTS!$B$28,INPUTS!$B$29))))</f>
        <v>1414916.98949546</v>
      </c>
      <c r="G169" s="89" t="n">
        <f aca="true">IF(G$5=0,F169,MAX(0,(F169-G$4)*(1+NORMINV(RAND(),INPUTS!$B$28,INPUTS!$B$29))))</f>
        <v>1350393.43830966</v>
      </c>
      <c r="H169" s="89" t="n">
        <f aca="true">IF(H$5=0,G169,MAX(0,(G169-H$4)*(1+NORMINV(RAND(),INPUTS!$B$28,INPUTS!$B$29))))</f>
        <v>1331076.95145018</v>
      </c>
      <c r="I169" s="89" t="n">
        <f aca="true">IF(I$5=0,H169,MAX(0,(H169-I$4)*(1+NORMINV(RAND(),INPUTS!$B$28,INPUTS!$B$29))))</f>
        <v>1441662.07426262</v>
      </c>
      <c r="J169" s="89" t="n">
        <f aca="true">IF(J$5=0,I169,MAX(0,(I169-J$4)*(1+NORMINV(RAND(),INPUTS!$B$28,INPUTS!$B$29))))</f>
        <v>1443327.90894766</v>
      </c>
      <c r="K169" s="89" t="n">
        <f aca="true">IF(K$5=0,J169,MAX(0,(J169-K$4)*(1+NORMINV(RAND(),INPUTS!$B$28,INPUTS!$B$29))))</f>
        <v>1276300.15034689</v>
      </c>
      <c r="L169" s="89" t="n">
        <f aca="true">IF(L$5=0,K169,MAX(0,(K169-L$4)*(1+NORMINV(RAND(),INPUTS!$B$28,INPUTS!$B$29))))</f>
        <v>1645328.69766783</v>
      </c>
      <c r="M169" s="89" t="n">
        <f aca="true">IF(M$5=0,L169,MAX(0,(L169-M$4)*(1+NORMINV(RAND(),INPUTS!$B$28,INPUTS!$B$29))))</f>
        <v>1604544.14317453</v>
      </c>
      <c r="N169" s="89" t="n">
        <f aca="true">IF(N$5=0,M169,MAX(0,(M169-N$4)*(1+NORMINV(RAND(),INPUTS!$B$28,INPUTS!$B$29))))</f>
        <v>1666264.62453059</v>
      </c>
      <c r="O169" s="89" t="n">
        <f aca="true">IF(O$5=0,N169,MAX(0,(N169-O$4)*(1+NORMINV(RAND(),INPUTS!$B$28,INPUTS!$B$29))))</f>
        <v>1718477.95273589</v>
      </c>
      <c r="P169" s="89" t="n">
        <f aca="true">IF(P$5=0,O169,MAX(0,(O169-P$4)*(1+NORMINV(RAND(),INPUTS!$B$28,INPUTS!$B$29))))</f>
        <v>2058083.45008934</v>
      </c>
      <c r="Q169" s="89" t="n">
        <f aca="true">IF(Q$5=0,P169,MAX(0,(P169-Q$4)*(1+NORMINV(RAND(),INPUTS!$B$28,INPUTS!$B$29))))</f>
        <v>2186348.37370894</v>
      </c>
      <c r="R169" s="89" t="n">
        <f aca="true">IF(R$5=0,Q169,MAX(0,(Q169-R$4)*(1+NORMINV(RAND(),INPUTS!$B$28,INPUTS!$B$29))))</f>
        <v>2373917.29112449</v>
      </c>
      <c r="S169" s="89" t="n">
        <f aca="true">IF(S$5=0,R169,MAX(0,(R169-S$4)*(1+NORMINV(RAND(),INPUTS!$B$28,INPUTS!$B$29))))</f>
        <v>2120606.39063114</v>
      </c>
      <c r="T169" s="89" t="n">
        <f aca="true">IF(T$5=0,S169,MAX(0,(S169-T$4)*(1+NORMINV(RAND(),INPUTS!$B$28,INPUTS!$B$29))))</f>
        <v>2042309.52869064</v>
      </c>
      <c r="U169" s="89" t="n">
        <f aca="true">IF(U$5=0,T169,MAX(0,(T169-U$4)*(1+NORMINV(RAND(),INPUTS!$B$28,INPUTS!$B$29))))</f>
        <v>2555160.16384062</v>
      </c>
      <c r="V169" s="89" t="n">
        <f aca="true">IF(V$5=0,U169,MAX(0,(U169-V$4)*(1+NORMINV(RAND(),INPUTS!$B$28,INPUTS!$B$29))))</f>
        <v>2884963.42163442</v>
      </c>
      <c r="W169" s="89" t="n">
        <f aca="true">IF(W$5=0,V169,MAX(0,(V169-W$4)*(1+NORMINV(RAND(),INPUTS!$B$28,INPUTS!$B$29))))</f>
        <v>2740234.8607583</v>
      </c>
      <c r="X169" s="89" t="n">
        <f aca="true">IF(X$5=0,W169,MAX(0,(W169-X$4)*(1+NORMINV(RAND(),INPUTS!$B$28,INPUTS!$B$29))))</f>
        <v>3079457.37527315</v>
      </c>
      <c r="Y169" s="89" t="n">
        <f aca="true">IF(Y$5=0,X169,MAX(0,(X169-Y$4)*(1+NORMINV(RAND(),INPUTS!$B$28,INPUTS!$B$29))))</f>
        <v>3154433.28129754</v>
      </c>
      <c r="Z169" s="89" t="n">
        <f aca="true">IF(Z$5=0,Y169,MAX(0,(Y169-Z$4)*(1+NORMINV(RAND(),INPUTS!$B$28,INPUTS!$B$29))))</f>
        <v>2941731.45129642</v>
      </c>
      <c r="AA169" s="89" t="n">
        <f aca="true">IF(AA$5=0,Z169,MAX(0,(Z169-AA$4)*(1+NORMINV(RAND(),INPUTS!$B$28,INPUTS!$B$29))))</f>
        <v>2782079.47764506</v>
      </c>
      <c r="AB169" s="89" t="n">
        <f aca="true">IF(AB$5=0,AA169,MAX(0,(AA169-AB$4)*(1+NORMINV(RAND(),INPUTS!$B$28,INPUTS!$B$29))))</f>
        <v>3017136.7424563</v>
      </c>
      <c r="AC169" s="89" t="n">
        <f aca="true">IF(AC$5=0,AB169,MAX(0,(AB169-AC$4)*(1+NORMINV(RAND(),INPUTS!$B$28,INPUTS!$B$29))))</f>
        <v>3360702.79036832</v>
      </c>
      <c r="AD169" s="89" t="n">
        <f aca="true">IF(AD$5=0,AC169,MAX(0,(AC169-AD$4)*(1+NORMINV(RAND(),INPUTS!$B$28,INPUTS!$B$29))))</f>
        <v>3314890.52630015</v>
      </c>
      <c r="AE169" s="89" t="n">
        <f aca="true">IF(AE$5=0,AD169,MAX(0,(AD169-AE$4)*(1+NORMINV(RAND(),INPUTS!$B$28,INPUTS!$B$29))))</f>
        <v>3185541.21435349</v>
      </c>
      <c r="AF169" s="89" t="n">
        <f aca="true">IF(AF$5=0,AE169,MAX(0,(AE169-AF$4)*(1+NORMINV(RAND(),INPUTS!$B$28,INPUTS!$B$29))))</f>
        <v>3525480.02816537</v>
      </c>
      <c r="AG169" s="89" t="n">
        <f aca="true">IF(AG$5=0,AF169,MAX(0,(AF169-AG$4)*(1+NORMINV(RAND(),INPUTS!$B$28,INPUTS!$B$29))))</f>
        <v>3077040.61439653</v>
      </c>
      <c r="AH169" s="89" t="n">
        <f aca="true">IF(AH$5=0,AG169,MAX(0,(AG169-AH$4)*(1+NORMINV(RAND(),INPUTS!$B$28,INPUTS!$B$29))))</f>
        <v>3348174.27295537</v>
      </c>
      <c r="AI169" s="89" t="n">
        <f aca="true">IF(AI$5=0,AH169,MAX(0,(AH169-AI$4)*(1+NORMINV(RAND(),INPUTS!$B$28,INPUTS!$B$29))))</f>
        <v>3992191.57916009</v>
      </c>
      <c r="AJ169" s="89" t="n">
        <f aca="true">IF(AJ$5=0,AI169,MAX(0,(AI169-AJ$4)*(1+NORMINV(RAND(),INPUTS!$B$28,INPUTS!$B$29))))</f>
        <v>3608937.81302929</v>
      </c>
      <c r="AK169" s="89" t="n">
        <f aca="true">IF(AK$5=0,AJ169,MAX(0,(AJ169-AK$4)*(1+NORMINV(RAND(),INPUTS!$B$28,INPUTS!$B$29))))</f>
        <v>3112033.31817793</v>
      </c>
      <c r="AL169" s="89" t="n">
        <f aca="true">IF(AL$5=0,AK169,MAX(0,(AK169-AL$4)*(1+NORMINV(RAND(),INPUTS!$B$28,INPUTS!$B$29))))</f>
        <v>3081546.48353288</v>
      </c>
      <c r="AM169" s="89" t="n">
        <f aca="true">IF(AM$5=0,AL169,MAX(0,(AL169-AM$4)*(1+NORMINV(RAND(),INPUTS!$B$28,INPUTS!$B$29))))</f>
        <v>3081546.48353288</v>
      </c>
      <c r="AN169" s="89" t="n">
        <f aca="true">IF(AN$5=0,AM169,MAX(0,(AM169-AN$4)*(1+NORMINV(RAND(),INPUTS!$B$28,INPUTS!$B$29))))</f>
        <v>3081546.48353288</v>
      </c>
      <c r="AO169" s="89" t="n">
        <f aca="true">IF(AO$5=0,AN169,MAX(0,(AN169-AO$4)*(1+NORMINV(RAND(),INPUTS!$B$28,INPUTS!$B$29))))</f>
        <v>3081546.48353288</v>
      </c>
      <c r="AP169" s="89" t="n">
        <f aca="true">IF(AP$5=0,AO169,MAX(0,(AO169-AP$4)*(1+NORMINV(RAND(),INPUTS!$B$28,INPUTS!$B$29))))</f>
        <v>3081546.48353288</v>
      </c>
      <c r="AQ169" s="89" t="n">
        <f aca="true">IF(AQ$5=0,AP169,MAX(0,(AP169-AQ$4)*(1+NORMINV(RAND(),INPUTS!$B$28,INPUTS!$B$29))))</f>
        <v>3081546.48353288</v>
      </c>
      <c r="AR169" s="89" t="n">
        <f aca="true">IF(AR$5=0,AQ169,MAX(0,(AQ169-AR$4)*(1+NORMINV(RAND(),INPUTS!$B$28,INPUTS!$B$29))))</f>
        <v>3081546.48353288</v>
      </c>
      <c r="AS169" s="89" t="n">
        <f aca="true">IF(AS$5=0,AR169,MAX(0,(AR169-AS$4)*(1+NORMINV(RAND(),INPUTS!$B$28,INPUTS!$B$29))))</f>
        <v>3081546.48353288</v>
      </c>
      <c r="AT169" s="89" t="n">
        <f aca="true">IF(AT$5=0,AS169,MAX(0,(AS169-AT$4)*(1+NORMINV(RAND(),INPUTS!$B$28,INPUTS!$B$29))))</f>
        <v>3081546.48353288</v>
      </c>
      <c r="AU169" s="89" t="n">
        <f aca="true">IF(AU$5=0,AT169,MAX(0,(AT169-AU$4)*(1+NORMINV(RAND(),INPUTS!$B$28,INPUTS!$B$29))))</f>
        <v>3081546.48353288</v>
      </c>
      <c r="AV169" s="89" t="n">
        <f aca="true">IF(AV$5=0,AU169,MAX(0,(AU169-AV$4)*(1+NORMINV(RAND(),INPUTS!$B$28,INPUTS!$B$29))))</f>
        <v>3081546.48353288</v>
      </c>
      <c r="AW169" s="89" t="n">
        <f aca="true">IF(AW$5=0,AV169,MAX(0,(AV169-AW$4)*(1+NORMINV(RAND(),INPUTS!$B$28,INPUTS!$B$29))))</f>
        <v>3081546.48353288</v>
      </c>
      <c r="AX169" s="89" t="n">
        <f aca="true">IF(AX$5=0,AW169,MAX(0,(AW169-AX$4)*(1+NORMINV(RAND(),INPUTS!$B$28,INPUTS!$B$29))))</f>
        <v>3081546.48353288</v>
      </c>
      <c r="AY169" s="89" t="n">
        <f aca="true">IF(AY$5=0,AX169,MAX(0,(AX169-AY$4)*(1+NORMINV(RAND(),INPUTS!$B$28,INPUTS!$B$29))))</f>
        <v>3081546.48353288</v>
      </c>
      <c r="AZ169" s="89" t="n">
        <f aca="true">IF(AZ$5=0,AY169,MAX(0,(AY169-AZ$4)*(1+NORMINV(RAND(),INPUTS!$B$28,INPUTS!$B$29))))</f>
        <v>3081546.48353288</v>
      </c>
      <c r="BA169" s="89" t="n">
        <f aca="true">IF(BA$5=0,AZ169,MAX(0,(AZ169-BA$4)*(1+NORMINV(RAND(),INPUTS!$B$28,INPUTS!$B$29))))</f>
        <v>3081546.48353288</v>
      </c>
      <c r="BB169" s="89" t="n">
        <f aca="true">IF(BB$5=0,BA169,MAX(0,(BA169-BB$4)*(1+NORMINV(RAND(),INPUTS!$B$28,INPUTS!$B$29))))</f>
        <v>3081546.48353288</v>
      </c>
      <c r="BC169" s="89" t="n">
        <f aca="true">IF(BC$5=0,BB169,MAX(0,(BB169-BC$4)*(1+NORMINV(RAND(),INPUTS!$B$28,INPUTS!$B$29))))</f>
        <v>3081546.48353288</v>
      </c>
      <c r="BD169" s="89" t="n">
        <f aca="true">IF(BD$5=0,BC169,MAX(0,(BC169-BD$4)*(1+NORMINV(RAND(),INPUTS!$B$28,INPUTS!$B$29))))</f>
        <v>3081546.48353288</v>
      </c>
      <c r="BE169" s="89" t="n">
        <f aca="true">IF(BE$5=0,BD169,MAX(0,(BD169-BE$4)*(1+NORMINV(RAND(),INPUTS!$B$28,INPUTS!$B$29))))</f>
        <v>3081546.48353288</v>
      </c>
      <c r="BF169" s="89" t="n">
        <f aca="true">IF(BF$5=0,BE169,MAX(0,(BE169-BF$4)*(1+NORMINV(RAND(),INPUTS!$B$28,INPUTS!$B$29))))</f>
        <v>3081546.48353288</v>
      </c>
      <c r="BG169" s="89" t="n">
        <f aca="true">IF(BG$5=0,BF169,MAX(0,(BF169-BG$4)*(1+NORMINV(RAND(),INPUTS!$B$28,INPUTS!$B$29))))</f>
        <v>3081546.48353288</v>
      </c>
      <c r="BH169" s="89" t="n">
        <f aca="true">IF(BH$5=0,BG169,MAX(0,(BG169-BH$4)*(1+NORMINV(RAND(),INPUTS!$B$28,INPUTS!$B$29))))</f>
        <v>3081546.48353288</v>
      </c>
      <c r="BI169" s="89" t="n">
        <f aca="true">IF(BI$5=0,BH169,MAX(0,(BH169-BI$4)*(1+NORMINV(RAND(),INPUTS!$B$28,INPUTS!$B$29))))</f>
        <v>3081546.48353288</v>
      </c>
      <c r="BJ169" s="89" t="n">
        <f aca="true">IF(BJ$5=0,BI169,MAX(0,(BI169-BJ$4)*(1+NORMINV(RAND(),INPUTS!$B$28,INPUTS!$B$29))))</f>
        <v>3081546.48353288</v>
      </c>
    </row>
    <row r="170" customFormat="false" ht="15" hidden="false" customHeight="true" outlineLevel="0" collapsed="false">
      <c r="A170" s="87" t="n">
        <v>163</v>
      </c>
      <c r="B170" s="88" t="n">
        <f aca="false">LOOKUP(9.99E+307,C170:BJ170)</f>
        <v>2723852.5277451</v>
      </c>
      <c r="C170" s="89" t="n">
        <f aca="true">IF(C$5=0,INPUTS!$B$35,MAX(0,(INPUTS!$B$35-C$4)*(1+NORMINV(RAND(),INPUTS!$B$28,INPUTS!$B$29))))</f>
        <v>1446863.31608325</v>
      </c>
      <c r="D170" s="89" t="n">
        <f aca="true">IF(D$5=0,C170,MAX(0,(C170-D$4)*(1+NORMINV(RAND(),INPUTS!$B$28,INPUTS!$B$29))))</f>
        <v>1377450.79836233</v>
      </c>
      <c r="E170" s="89" t="n">
        <f aca="true">IF(E$5=0,D170,MAX(0,(D170-E$4)*(1+NORMINV(RAND(),INPUTS!$B$28,INPUTS!$B$29))))</f>
        <v>1257906.19506086</v>
      </c>
      <c r="F170" s="89" t="n">
        <f aca="true">IF(F$5=0,E170,MAX(0,(E170-F$4)*(1+NORMINV(RAND(),INPUTS!$B$28,INPUTS!$B$29))))</f>
        <v>966689.960825523</v>
      </c>
      <c r="G170" s="89" t="n">
        <f aca="true">IF(G$5=0,F170,MAX(0,(F170-G$4)*(1+NORMINV(RAND(),INPUTS!$B$28,INPUTS!$B$29))))</f>
        <v>1058992.59192967</v>
      </c>
      <c r="H170" s="89" t="n">
        <f aca="true">IF(H$5=0,G170,MAX(0,(G170-H$4)*(1+NORMINV(RAND(),INPUTS!$B$28,INPUTS!$B$29))))</f>
        <v>925283.990509697</v>
      </c>
      <c r="I170" s="89" t="n">
        <f aca="true">IF(I$5=0,H170,MAX(0,(H170-I$4)*(1+NORMINV(RAND(),INPUTS!$B$28,INPUTS!$B$29))))</f>
        <v>881478.404048764</v>
      </c>
      <c r="J170" s="89" t="n">
        <f aca="true">IF(J$5=0,I170,MAX(0,(I170-J$4)*(1+NORMINV(RAND(),INPUTS!$B$28,INPUTS!$B$29))))</f>
        <v>909180.729262372</v>
      </c>
      <c r="K170" s="89" t="n">
        <f aca="true">IF(K$5=0,J170,MAX(0,(J170-K$4)*(1+NORMINV(RAND(),INPUTS!$B$28,INPUTS!$B$29))))</f>
        <v>758308.123863171</v>
      </c>
      <c r="L170" s="89" t="n">
        <f aca="true">IF(L$5=0,K170,MAX(0,(K170-L$4)*(1+NORMINV(RAND(),INPUTS!$B$28,INPUTS!$B$29))))</f>
        <v>587138.001254125</v>
      </c>
      <c r="M170" s="89" t="n">
        <f aca="true">IF(M$5=0,L170,MAX(0,(L170-M$4)*(1+NORMINV(RAND(),INPUTS!$B$28,INPUTS!$B$29))))</f>
        <v>674073.842777262</v>
      </c>
      <c r="N170" s="89" t="n">
        <f aca="true">IF(N$5=0,M170,MAX(0,(M170-N$4)*(1+NORMINV(RAND(),INPUTS!$B$28,INPUTS!$B$29))))</f>
        <v>641006.132111172</v>
      </c>
      <c r="O170" s="89" t="n">
        <f aca="true">IF(O$5=0,N170,MAX(0,(N170-O$4)*(1+NORMINV(RAND(),INPUTS!$B$28,INPUTS!$B$29))))</f>
        <v>641620.71366511</v>
      </c>
      <c r="P170" s="89" t="n">
        <f aca="true">IF(P$5=0,O170,MAX(0,(O170-P$4)*(1+NORMINV(RAND(),INPUTS!$B$28,INPUTS!$B$29))))</f>
        <v>556668.335563503</v>
      </c>
      <c r="Q170" s="89" t="n">
        <f aca="true">IF(Q$5=0,P170,MAX(0,(P170-Q$4)*(1+NORMINV(RAND(),INPUTS!$B$28,INPUTS!$B$29))))</f>
        <v>592193.54141477</v>
      </c>
      <c r="R170" s="89" t="n">
        <f aca="true">IF(R$5=0,Q170,MAX(0,(Q170-R$4)*(1+NORMINV(RAND(),INPUTS!$B$28,INPUTS!$B$29))))</f>
        <v>604532.921513491</v>
      </c>
      <c r="S170" s="89" t="n">
        <f aca="true">IF(S$5=0,R170,MAX(0,(R170-S$4)*(1+NORMINV(RAND(),INPUTS!$B$28,INPUTS!$B$29))))</f>
        <v>686269.901963037</v>
      </c>
      <c r="T170" s="89" t="n">
        <f aca="true">IF(T$5=0,S170,MAX(0,(S170-T$4)*(1+NORMINV(RAND(),INPUTS!$B$28,INPUTS!$B$29))))</f>
        <v>704001.669010232</v>
      </c>
      <c r="U170" s="89" t="n">
        <f aca="true">IF(U$5=0,T170,MAX(0,(T170-U$4)*(1+NORMINV(RAND(),INPUTS!$B$28,INPUTS!$B$29))))</f>
        <v>863996.712645099</v>
      </c>
      <c r="V170" s="89" t="n">
        <f aca="true">IF(V$5=0,U170,MAX(0,(U170-V$4)*(1+NORMINV(RAND(),INPUTS!$B$28,INPUTS!$B$29))))</f>
        <v>931083.055619268</v>
      </c>
      <c r="W170" s="89" t="n">
        <f aca="true">IF(W$5=0,V170,MAX(0,(V170-W$4)*(1+NORMINV(RAND(),INPUTS!$B$28,INPUTS!$B$29))))</f>
        <v>1093743.55916539</v>
      </c>
      <c r="X170" s="89" t="n">
        <f aca="true">IF(X$5=0,W170,MAX(0,(W170-X$4)*(1+NORMINV(RAND(),INPUTS!$B$28,INPUTS!$B$29))))</f>
        <v>1178299.76646184</v>
      </c>
      <c r="Y170" s="89" t="n">
        <f aca="true">IF(Y$5=0,X170,MAX(0,(X170-Y$4)*(1+NORMINV(RAND(),INPUTS!$B$28,INPUTS!$B$29))))</f>
        <v>1145998.92233264</v>
      </c>
      <c r="Z170" s="89" t="n">
        <f aca="true">IF(Z$5=0,Y170,MAX(0,(Y170-Z$4)*(1+NORMINV(RAND(),INPUTS!$B$28,INPUTS!$B$29))))</f>
        <v>1291756.35447626</v>
      </c>
      <c r="AA170" s="89" t="n">
        <f aca="true">IF(AA$5=0,Z170,MAX(0,(Z170-AA$4)*(1+NORMINV(RAND(),INPUTS!$B$28,INPUTS!$B$29))))</f>
        <v>1216251.32853891</v>
      </c>
      <c r="AB170" s="89" t="n">
        <f aca="true">IF(AB$5=0,AA170,MAX(0,(AA170-AB$4)*(1+NORMINV(RAND(),INPUTS!$B$28,INPUTS!$B$29))))</f>
        <v>1394188.80115454</v>
      </c>
      <c r="AC170" s="89" t="n">
        <f aca="true">IF(AC$5=0,AB170,MAX(0,(AB170-AC$4)*(1+NORMINV(RAND(),INPUTS!$B$28,INPUTS!$B$29))))</f>
        <v>1462226.39866516</v>
      </c>
      <c r="AD170" s="89" t="n">
        <f aca="true">IF(AD$5=0,AC170,MAX(0,(AC170-AD$4)*(1+NORMINV(RAND(),INPUTS!$B$28,INPUTS!$B$29))))</f>
        <v>1262258.25503893</v>
      </c>
      <c r="AE170" s="89" t="n">
        <f aca="true">IF(AE$5=0,AD170,MAX(0,(AD170-AE$4)*(1+NORMINV(RAND(),INPUTS!$B$28,INPUTS!$B$29))))</f>
        <v>1351142.81738538</v>
      </c>
      <c r="AF170" s="89" t="n">
        <f aca="true">IF(AF$5=0,AE170,MAX(0,(AE170-AF$4)*(1+NORMINV(RAND(),INPUTS!$B$28,INPUTS!$B$29))))</f>
        <v>1444814.97552429</v>
      </c>
      <c r="AG170" s="89" t="n">
        <f aca="true">IF(AG$5=0,AF170,MAX(0,(AF170-AG$4)*(1+NORMINV(RAND(),INPUTS!$B$28,INPUTS!$B$29))))</f>
        <v>1577523.98013157</v>
      </c>
      <c r="AH170" s="89" t="n">
        <f aca="true">IF(AH$5=0,AG170,MAX(0,(AG170-AH$4)*(1+NORMINV(RAND(),INPUTS!$B$28,INPUTS!$B$29))))</f>
        <v>1794368.48653323</v>
      </c>
      <c r="AI170" s="89" t="n">
        <f aca="true">IF(AI$5=0,AH170,MAX(0,(AH170-AI$4)*(1+NORMINV(RAND(),INPUTS!$B$28,INPUTS!$B$29))))</f>
        <v>2305581.97237589</v>
      </c>
      <c r="AJ170" s="89" t="n">
        <f aca="true">IF(AJ$5=0,AI170,MAX(0,(AI170-AJ$4)*(1+NORMINV(RAND(),INPUTS!$B$28,INPUTS!$B$29))))</f>
        <v>2249658.83956576</v>
      </c>
      <c r="AK170" s="89" t="n">
        <f aca="true">IF(AK$5=0,AJ170,MAX(0,(AJ170-AK$4)*(1+NORMINV(RAND(),INPUTS!$B$28,INPUTS!$B$29))))</f>
        <v>2306945.74246725</v>
      </c>
      <c r="AL170" s="89" t="n">
        <f aca="true">IF(AL$5=0,AK170,MAX(0,(AK170-AL$4)*(1+NORMINV(RAND(),INPUTS!$B$28,INPUTS!$B$29))))</f>
        <v>2723852.5277451</v>
      </c>
      <c r="AM170" s="89" t="n">
        <f aca="true">IF(AM$5=0,AL170,MAX(0,(AL170-AM$4)*(1+NORMINV(RAND(),INPUTS!$B$28,INPUTS!$B$29))))</f>
        <v>2723852.5277451</v>
      </c>
      <c r="AN170" s="89" t="n">
        <f aca="true">IF(AN$5=0,AM170,MAX(0,(AM170-AN$4)*(1+NORMINV(RAND(),INPUTS!$B$28,INPUTS!$B$29))))</f>
        <v>2723852.5277451</v>
      </c>
      <c r="AO170" s="89" t="n">
        <f aca="true">IF(AO$5=0,AN170,MAX(0,(AN170-AO$4)*(1+NORMINV(RAND(),INPUTS!$B$28,INPUTS!$B$29))))</f>
        <v>2723852.5277451</v>
      </c>
      <c r="AP170" s="89" t="n">
        <f aca="true">IF(AP$5=0,AO170,MAX(0,(AO170-AP$4)*(1+NORMINV(RAND(),INPUTS!$B$28,INPUTS!$B$29))))</f>
        <v>2723852.5277451</v>
      </c>
      <c r="AQ170" s="89" t="n">
        <f aca="true">IF(AQ$5=0,AP170,MAX(0,(AP170-AQ$4)*(1+NORMINV(RAND(),INPUTS!$B$28,INPUTS!$B$29))))</f>
        <v>2723852.5277451</v>
      </c>
      <c r="AR170" s="89" t="n">
        <f aca="true">IF(AR$5=0,AQ170,MAX(0,(AQ170-AR$4)*(1+NORMINV(RAND(),INPUTS!$B$28,INPUTS!$B$29))))</f>
        <v>2723852.5277451</v>
      </c>
      <c r="AS170" s="89" t="n">
        <f aca="true">IF(AS$5=0,AR170,MAX(0,(AR170-AS$4)*(1+NORMINV(RAND(),INPUTS!$B$28,INPUTS!$B$29))))</f>
        <v>2723852.5277451</v>
      </c>
      <c r="AT170" s="89" t="n">
        <f aca="true">IF(AT$5=0,AS170,MAX(0,(AS170-AT$4)*(1+NORMINV(RAND(),INPUTS!$B$28,INPUTS!$B$29))))</f>
        <v>2723852.5277451</v>
      </c>
      <c r="AU170" s="89" t="n">
        <f aca="true">IF(AU$5=0,AT170,MAX(0,(AT170-AU$4)*(1+NORMINV(RAND(),INPUTS!$B$28,INPUTS!$B$29))))</f>
        <v>2723852.5277451</v>
      </c>
      <c r="AV170" s="89" t="n">
        <f aca="true">IF(AV$5=0,AU170,MAX(0,(AU170-AV$4)*(1+NORMINV(RAND(),INPUTS!$B$28,INPUTS!$B$29))))</f>
        <v>2723852.5277451</v>
      </c>
      <c r="AW170" s="89" t="n">
        <f aca="true">IF(AW$5=0,AV170,MAX(0,(AV170-AW$4)*(1+NORMINV(RAND(),INPUTS!$B$28,INPUTS!$B$29))))</f>
        <v>2723852.5277451</v>
      </c>
      <c r="AX170" s="89" t="n">
        <f aca="true">IF(AX$5=0,AW170,MAX(0,(AW170-AX$4)*(1+NORMINV(RAND(),INPUTS!$B$28,INPUTS!$B$29))))</f>
        <v>2723852.5277451</v>
      </c>
      <c r="AY170" s="89" t="n">
        <f aca="true">IF(AY$5=0,AX170,MAX(0,(AX170-AY$4)*(1+NORMINV(RAND(),INPUTS!$B$28,INPUTS!$B$29))))</f>
        <v>2723852.5277451</v>
      </c>
      <c r="AZ170" s="89" t="n">
        <f aca="true">IF(AZ$5=0,AY170,MAX(0,(AY170-AZ$4)*(1+NORMINV(RAND(),INPUTS!$B$28,INPUTS!$B$29))))</f>
        <v>2723852.5277451</v>
      </c>
      <c r="BA170" s="89" t="n">
        <f aca="true">IF(BA$5=0,AZ170,MAX(0,(AZ170-BA$4)*(1+NORMINV(RAND(),INPUTS!$B$28,INPUTS!$B$29))))</f>
        <v>2723852.5277451</v>
      </c>
      <c r="BB170" s="89" t="n">
        <f aca="true">IF(BB$5=0,BA170,MAX(0,(BA170-BB$4)*(1+NORMINV(RAND(),INPUTS!$B$28,INPUTS!$B$29))))</f>
        <v>2723852.5277451</v>
      </c>
      <c r="BC170" s="89" t="n">
        <f aca="true">IF(BC$5=0,BB170,MAX(0,(BB170-BC$4)*(1+NORMINV(RAND(),INPUTS!$B$28,INPUTS!$B$29))))</f>
        <v>2723852.5277451</v>
      </c>
      <c r="BD170" s="89" t="n">
        <f aca="true">IF(BD$5=0,BC170,MAX(0,(BC170-BD$4)*(1+NORMINV(RAND(),INPUTS!$B$28,INPUTS!$B$29))))</f>
        <v>2723852.5277451</v>
      </c>
      <c r="BE170" s="89" t="n">
        <f aca="true">IF(BE$5=0,BD170,MAX(0,(BD170-BE$4)*(1+NORMINV(RAND(),INPUTS!$B$28,INPUTS!$B$29))))</f>
        <v>2723852.5277451</v>
      </c>
      <c r="BF170" s="89" t="n">
        <f aca="true">IF(BF$5=0,BE170,MAX(0,(BE170-BF$4)*(1+NORMINV(RAND(),INPUTS!$B$28,INPUTS!$B$29))))</f>
        <v>2723852.5277451</v>
      </c>
      <c r="BG170" s="89" t="n">
        <f aca="true">IF(BG$5=0,BF170,MAX(0,(BF170-BG$4)*(1+NORMINV(RAND(),INPUTS!$B$28,INPUTS!$B$29))))</f>
        <v>2723852.5277451</v>
      </c>
      <c r="BH170" s="89" t="n">
        <f aca="true">IF(BH$5=0,BG170,MAX(0,(BG170-BH$4)*(1+NORMINV(RAND(),INPUTS!$B$28,INPUTS!$B$29))))</f>
        <v>2723852.5277451</v>
      </c>
      <c r="BI170" s="89" t="n">
        <f aca="true">IF(BI$5=0,BH170,MAX(0,(BH170-BI$4)*(1+NORMINV(RAND(),INPUTS!$B$28,INPUTS!$B$29))))</f>
        <v>2723852.5277451</v>
      </c>
      <c r="BJ170" s="89" t="n">
        <f aca="true">IF(BJ$5=0,BI170,MAX(0,(BI170-BJ$4)*(1+NORMINV(RAND(),INPUTS!$B$28,INPUTS!$B$29))))</f>
        <v>2723852.5277451</v>
      </c>
    </row>
    <row r="171" customFormat="false" ht="15" hidden="false" customHeight="true" outlineLevel="0" collapsed="false">
      <c r="A171" s="87" t="n">
        <v>164</v>
      </c>
      <c r="B171" s="88" t="n">
        <f aca="false">LOOKUP(9.99E+307,C171:BJ171)</f>
        <v>4844669.03672774</v>
      </c>
      <c r="C171" s="89" t="n">
        <f aca="true">IF(C$5=0,INPUTS!$B$35,MAX(0,(INPUTS!$B$35-C$4)*(1+NORMINV(RAND(),INPUTS!$B$28,INPUTS!$B$29))))</f>
        <v>1376771.94190717</v>
      </c>
      <c r="D171" s="89" t="n">
        <f aca="true">IF(D$5=0,C171,MAX(0,(C171-D$4)*(1+NORMINV(RAND(),INPUTS!$B$28,INPUTS!$B$29))))</f>
        <v>1483165.55634655</v>
      </c>
      <c r="E171" s="89" t="n">
        <f aca="true">IF(E$5=0,D171,MAX(0,(D171-E$4)*(1+NORMINV(RAND(),INPUTS!$B$28,INPUTS!$B$29))))</f>
        <v>1666358.07180356</v>
      </c>
      <c r="F171" s="89" t="n">
        <f aca="true">IF(F$5=0,E171,MAX(0,(E171-F$4)*(1+NORMINV(RAND(),INPUTS!$B$28,INPUTS!$B$29))))</f>
        <v>1811161.41307279</v>
      </c>
      <c r="G171" s="89" t="n">
        <f aca="true">IF(G$5=0,F171,MAX(0,(F171-G$4)*(1+NORMINV(RAND(),INPUTS!$B$28,INPUTS!$B$29))))</f>
        <v>1923509.3109347</v>
      </c>
      <c r="H171" s="89" t="n">
        <f aca="true">IF(H$5=0,G171,MAX(0,(G171-H$4)*(1+NORMINV(RAND(),INPUTS!$B$28,INPUTS!$B$29))))</f>
        <v>1936876.59026504</v>
      </c>
      <c r="I171" s="89" t="n">
        <f aca="true">IF(I$5=0,H171,MAX(0,(H171-I$4)*(1+NORMINV(RAND(),INPUTS!$B$28,INPUTS!$B$29))))</f>
        <v>2131365.24205073</v>
      </c>
      <c r="J171" s="89" t="n">
        <f aca="true">IF(J$5=0,I171,MAX(0,(I171-J$4)*(1+NORMINV(RAND(),INPUTS!$B$28,INPUTS!$B$29))))</f>
        <v>2247223.5179553</v>
      </c>
      <c r="K171" s="89" t="n">
        <f aca="true">IF(K$5=0,J171,MAX(0,(J171-K$4)*(1+NORMINV(RAND(),INPUTS!$B$28,INPUTS!$B$29))))</f>
        <v>2477048.77707025</v>
      </c>
      <c r="L171" s="89" t="n">
        <f aca="true">IF(L$5=0,K171,MAX(0,(K171-L$4)*(1+NORMINV(RAND(),INPUTS!$B$28,INPUTS!$B$29))))</f>
        <v>2361743.27752216</v>
      </c>
      <c r="M171" s="89" t="n">
        <f aca="true">IF(M$5=0,L171,MAX(0,(L171-M$4)*(1+NORMINV(RAND(),INPUTS!$B$28,INPUTS!$B$29))))</f>
        <v>2577620.83533682</v>
      </c>
      <c r="N171" s="89" t="n">
        <f aca="true">IF(N$5=0,M171,MAX(0,(M171-N$4)*(1+NORMINV(RAND(),INPUTS!$B$28,INPUTS!$B$29))))</f>
        <v>2861837.54231062</v>
      </c>
      <c r="O171" s="89" t="n">
        <f aca="true">IF(O$5=0,N171,MAX(0,(N171-O$4)*(1+NORMINV(RAND(),INPUTS!$B$28,INPUTS!$B$29))))</f>
        <v>3165877.17555579</v>
      </c>
      <c r="P171" s="89" t="n">
        <f aca="true">IF(P$5=0,O171,MAX(0,(O171-P$4)*(1+NORMINV(RAND(),INPUTS!$B$28,INPUTS!$B$29))))</f>
        <v>2790589.21396252</v>
      </c>
      <c r="Q171" s="89" t="n">
        <f aca="true">IF(Q$5=0,P171,MAX(0,(P171-Q$4)*(1+NORMINV(RAND(),INPUTS!$B$28,INPUTS!$B$29))))</f>
        <v>2894173.64185261</v>
      </c>
      <c r="R171" s="89" t="n">
        <f aca="true">IF(R$5=0,Q171,MAX(0,(Q171-R$4)*(1+NORMINV(RAND(),INPUTS!$B$28,INPUTS!$B$29))))</f>
        <v>3169975.1145777</v>
      </c>
      <c r="S171" s="89" t="n">
        <f aca="true">IF(S$5=0,R171,MAX(0,(R171-S$4)*(1+NORMINV(RAND(),INPUTS!$B$28,INPUTS!$B$29))))</f>
        <v>2607812.26450502</v>
      </c>
      <c r="T171" s="89" t="n">
        <f aca="true">IF(T$5=0,S171,MAX(0,(S171-T$4)*(1+NORMINV(RAND(),INPUTS!$B$28,INPUTS!$B$29))))</f>
        <v>2472002.44593409</v>
      </c>
      <c r="U171" s="89" t="n">
        <f aca="true">IF(U$5=0,T171,MAX(0,(T171-U$4)*(1+NORMINV(RAND(),INPUTS!$B$28,INPUTS!$B$29))))</f>
        <v>2472704.57010414</v>
      </c>
      <c r="V171" s="89" t="n">
        <f aca="true">IF(V$5=0,U171,MAX(0,(U171-V$4)*(1+NORMINV(RAND(),INPUTS!$B$28,INPUTS!$B$29))))</f>
        <v>2203376.89432865</v>
      </c>
      <c r="W171" s="89" t="n">
        <f aca="true">IF(W$5=0,V171,MAX(0,(V171-W$4)*(1+NORMINV(RAND(),INPUTS!$B$28,INPUTS!$B$29))))</f>
        <v>2437715.61574684</v>
      </c>
      <c r="X171" s="89" t="n">
        <f aca="true">IF(X$5=0,W171,MAX(0,(W171-X$4)*(1+NORMINV(RAND(),INPUTS!$B$28,INPUTS!$B$29))))</f>
        <v>2588965.9564158</v>
      </c>
      <c r="Y171" s="89" t="n">
        <f aca="true">IF(Y$5=0,X171,MAX(0,(X171-Y$4)*(1+NORMINV(RAND(),INPUTS!$B$28,INPUTS!$B$29))))</f>
        <v>2512168.42823823</v>
      </c>
      <c r="Z171" s="89" t="n">
        <f aca="true">IF(Z$5=0,Y171,MAX(0,(Y171-Z$4)*(1+NORMINV(RAND(),INPUTS!$B$28,INPUTS!$B$29))))</f>
        <v>2359338.46242369</v>
      </c>
      <c r="AA171" s="89" t="n">
        <f aca="true">IF(AA$5=0,Z171,MAX(0,(Z171-AA$4)*(1+NORMINV(RAND(),INPUTS!$B$28,INPUTS!$B$29))))</f>
        <v>2379050.61019996</v>
      </c>
      <c r="AB171" s="89" t="n">
        <f aca="true">IF(AB$5=0,AA171,MAX(0,(AA171-AB$4)*(1+NORMINV(RAND(),INPUTS!$B$28,INPUTS!$B$29))))</f>
        <v>2910920.96062642</v>
      </c>
      <c r="AC171" s="89" t="n">
        <f aca="true">IF(AC$5=0,AB171,MAX(0,(AB171-AC$4)*(1+NORMINV(RAND(),INPUTS!$B$28,INPUTS!$B$29))))</f>
        <v>3297148.16389795</v>
      </c>
      <c r="AD171" s="89" t="n">
        <f aca="true">IF(AD$5=0,AC171,MAX(0,(AC171-AD$4)*(1+NORMINV(RAND(),INPUTS!$B$28,INPUTS!$B$29))))</f>
        <v>3884710.05431096</v>
      </c>
      <c r="AE171" s="89" t="n">
        <f aca="true">IF(AE$5=0,AD171,MAX(0,(AD171-AE$4)*(1+NORMINV(RAND(),INPUTS!$B$28,INPUTS!$B$29))))</f>
        <v>4033562.6153961</v>
      </c>
      <c r="AF171" s="89" t="n">
        <f aca="true">IF(AF$5=0,AE171,MAX(0,(AE171-AF$4)*(1+NORMINV(RAND(),INPUTS!$B$28,INPUTS!$B$29))))</f>
        <v>3776960.1857091</v>
      </c>
      <c r="AG171" s="89" t="n">
        <f aca="true">IF(AG$5=0,AF171,MAX(0,(AF171-AG$4)*(1+NORMINV(RAND(),INPUTS!$B$28,INPUTS!$B$29))))</f>
        <v>4446155.28413703</v>
      </c>
      <c r="AH171" s="89" t="n">
        <f aca="true">IF(AH$5=0,AG171,MAX(0,(AG171-AH$4)*(1+NORMINV(RAND(),INPUTS!$B$28,INPUTS!$B$29))))</f>
        <v>3871230.94428616</v>
      </c>
      <c r="AI171" s="89" t="n">
        <f aca="true">IF(AI$5=0,AH171,MAX(0,(AH171-AI$4)*(1+NORMINV(RAND(),INPUTS!$B$28,INPUTS!$B$29))))</f>
        <v>4026809.81546389</v>
      </c>
      <c r="AJ171" s="89" t="n">
        <f aca="true">IF(AJ$5=0,AI171,MAX(0,(AI171-AJ$4)*(1+NORMINV(RAND(),INPUTS!$B$28,INPUTS!$B$29))))</f>
        <v>4723722.90741506</v>
      </c>
      <c r="AK171" s="89" t="n">
        <f aca="true">IF(AK$5=0,AJ171,MAX(0,(AJ171-AK$4)*(1+NORMINV(RAND(),INPUTS!$B$28,INPUTS!$B$29))))</f>
        <v>4711095.26646012</v>
      </c>
      <c r="AL171" s="89" t="n">
        <f aca="true">IF(AL$5=0,AK171,MAX(0,(AK171-AL$4)*(1+NORMINV(RAND(),INPUTS!$B$28,INPUTS!$B$29))))</f>
        <v>4844669.03672774</v>
      </c>
      <c r="AM171" s="89" t="n">
        <f aca="true">IF(AM$5=0,AL171,MAX(0,(AL171-AM$4)*(1+NORMINV(RAND(),INPUTS!$B$28,INPUTS!$B$29))))</f>
        <v>4844669.03672774</v>
      </c>
      <c r="AN171" s="89" t="n">
        <f aca="true">IF(AN$5=0,AM171,MAX(0,(AM171-AN$4)*(1+NORMINV(RAND(),INPUTS!$B$28,INPUTS!$B$29))))</f>
        <v>4844669.03672774</v>
      </c>
      <c r="AO171" s="89" t="n">
        <f aca="true">IF(AO$5=0,AN171,MAX(0,(AN171-AO$4)*(1+NORMINV(RAND(),INPUTS!$B$28,INPUTS!$B$29))))</f>
        <v>4844669.03672774</v>
      </c>
      <c r="AP171" s="89" t="n">
        <f aca="true">IF(AP$5=0,AO171,MAX(0,(AO171-AP$4)*(1+NORMINV(RAND(),INPUTS!$B$28,INPUTS!$B$29))))</f>
        <v>4844669.03672774</v>
      </c>
      <c r="AQ171" s="89" t="n">
        <f aca="true">IF(AQ$5=0,AP171,MAX(0,(AP171-AQ$4)*(1+NORMINV(RAND(),INPUTS!$B$28,INPUTS!$B$29))))</f>
        <v>4844669.03672774</v>
      </c>
      <c r="AR171" s="89" t="n">
        <f aca="true">IF(AR$5=0,AQ171,MAX(0,(AQ171-AR$4)*(1+NORMINV(RAND(),INPUTS!$B$28,INPUTS!$B$29))))</f>
        <v>4844669.03672774</v>
      </c>
      <c r="AS171" s="89" t="n">
        <f aca="true">IF(AS$5=0,AR171,MAX(0,(AR171-AS$4)*(1+NORMINV(RAND(),INPUTS!$B$28,INPUTS!$B$29))))</f>
        <v>4844669.03672774</v>
      </c>
      <c r="AT171" s="89" t="n">
        <f aca="true">IF(AT$5=0,AS171,MAX(0,(AS171-AT$4)*(1+NORMINV(RAND(),INPUTS!$B$28,INPUTS!$B$29))))</f>
        <v>4844669.03672774</v>
      </c>
      <c r="AU171" s="89" t="n">
        <f aca="true">IF(AU$5=0,AT171,MAX(0,(AT171-AU$4)*(1+NORMINV(RAND(),INPUTS!$B$28,INPUTS!$B$29))))</f>
        <v>4844669.03672774</v>
      </c>
      <c r="AV171" s="89" t="n">
        <f aca="true">IF(AV$5=0,AU171,MAX(0,(AU171-AV$4)*(1+NORMINV(RAND(),INPUTS!$B$28,INPUTS!$B$29))))</f>
        <v>4844669.03672774</v>
      </c>
      <c r="AW171" s="89" t="n">
        <f aca="true">IF(AW$5=0,AV171,MAX(0,(AV171-AW$4)*(1+NORMINV(RAND(),INPUTS!$B$28,INPUTS!$B$29))))</f>
        <v>4844669.03672774</v>
      </c>
      <c r="AX171" s="89" t="n">
        <f aca="true">IF(AX$5=0,AW171,MAX(0,(AW171-AX$4)*(1+NORMINV(RAND(),INPUTS!$B$28,INPUTS!$B$29))))</f>
        <v>4844669.03672774</v>
      </c>
      <c r="AY171" s="89" t="n">
        <f aca="true">IF(AY$5=0,AX171,MAX(0,(AX171-AY$4)*(1+NORMINV(RAND(),INPUTS!$B$28,INPUTS!$B$29))))</f>
        <v>4844669.03672774</v>
      </c>
      <c r="AZ171" s="89" t="n">
        <f aca="true">IF(AZ$5=0,AY171,MAX(0,(AY171-AZ$4)*(1+NORMINV(RAND(),INPUTS!$B$28,INPUTS!$B$29))))</f>
        <v>4844669.03672774</v>
      </c>
      <c r="BA171" s="89" t="n">
        <f aca="true">IF(BA$5=0,AZ171,MAX(0,(AZ171-BA$4)*(1+NORMINV(RAND(),INPUTS!$B$28,INPUTS!$B$29))))</f>
        <v>4844669.03672774</v>
      </c>
      <c r="BB171" s="89" t="n">
        <f aca="true">IF(BB$5=0,BA171,MAX(0,(BA171-BB$4)*(1+NORMINV(RAND(),INPUTS!$B$28,INPUTS!$B$29))))</f>
        <v>4844669.03672774</v>
      </c>
      <c r="BC171" s="89" t="n">
        <f aca="true">IF(BC$5=0,BB171,MAX(0,(BB171-BC$4)*(1+NORMINV(RAND(),INPUTS!$B$28,INPUTS!$B$29))))</f>
        <v>4844669.03672774</v>
      </c>
      <c r="BD171" s="89" t="n">
        <f aca="true">IF(BD$5=0,BC171,MAX(0,(BC171-BD$4)*(1+NORMINV(RAND(),INPUTS!$B$28,INPUTS!$B$29))))</f>
        <v>4844669.03672774</v>
      </c>
      <c r="BE171" s="89" t="n">
        <f aca="true">IF(BE$5=0,BD171,MAX(0,(BD171-BE$4)*(1+NORMINV(RAND(),INPUTS!$B$28,INPUTS!$B$29))))</f>
        <v>4844669.03672774</v>
      </c>
      <c r="BF171" s="89" t="n">
        <f aca="true">IF(BF$5=0,BE171,MAX(0,(BE171-BF$4)*(1+NORMINV(RAND(),INPUTS!$B$28,INPUTS!$B$29))))</f>
        <v>4844669.03672774</v>
      </c>
      <c r="BG171" s="89" t="n">
        <f aca="true">IF(BG$5=0,BF171,MAX(0,(BF171-BG$4)*(1+NORMINV(RAND(),INPUTS!$B$28,INPUTS!$B$29))))</f>
        <v>4844669.03672774</v>
      </c>
      <c r="BH171" s="89" t="n">
        <f aca="true">IF(BH$5=0,BG171,MAX(0,(BG171-BH$4)*(1+NORMINV(RAND(),INPUTS!$B$28,INPUTS!$B$29))))</f>
        <v>4844669.03672774</v>
      </c>
      <c r="BI171" s="89" t="n">
        <f aca="true">IF(BI$5=0,BH171,MAX(0,(BH171-BI$4)*(1+NORMINV(RAND(),INPUTS!$B$28,INPUTS!$B$29))))</f>
        <v>4844669.03672774</v>
      </c>
      <c r="BJ171" s="89" t="n">
        <f aca="true">IF(BJ$5=0,BI171,MAX(0,(BI171-BJ$4)*(1+NORMINV(RAND(),INPUTS!$B$28,INPUTS!$B$29))))</f>
        <v>4844669.03672774</v>
      </c>
    </row>
    <row r="172" customFormat="false" ht="15" hidden="false" customHeight="true" outlineLevel="0" collapsed="false">
      <c r="A172" s="87" t="n">
        <v>165</v>
      </c>
      <c r="B172" s="88" t="n">
        <f aca="false">LOOKUP(9.99E+307,C172:BJ172)</f>
        <v>5805259.23673244</v>
      </c>
      <c r="C172" s="89" t="n">
        <f aca="true">IF(C$5=0,INPUTS!$B$35,MAX(0,(INPUTS!$B$35-C$4)*(1+NORMINV(RAND(),INPUTS!$B$28,INPUTS!$B$29))))</f>
        <v>1577393.28004456</v>
      </c>
      <c r="D172" s="89" t="n">
        <f aca="true">IF(D$5=0,C172,MAX(0,(C172-D$4)*(1+NORMINV(RAND(),INPUTS!$B$28,INPUTS!$B$29))))</f>
        <v>1640046.55055118</v>
      </c>
      <c r="E172" s="89" t="n">
        <f aca="true">IF(E$5=0,D172,MAX(0,(D172-E$4)*(1+NORMINV(RAND(),INPUTS!$B$28,INPUTS!$B$29))))</f>
        <v>1711771.9476781</v>
      </c>
      <c r="F172" s="89" t="n">
        <f aca="true">IF(F$5=0,E172,MAX(0,(E172-F$4)*(1+NORMINV(RAND(),INPUTS!$B$28,INPUTS!$B$29))))</f>
        <v>1809253.88503169</v>
      </c>
      <c r="G172" s="89" t="n">
        <f aca="true">IF(G$5=0,F172,MAX(0,(F172-G$4)*(1+NORMINV(RAND(),INPUTS!$B$28,INPUTS!$B$29))))</f>
        <v>2216499.32720863</v>
      </c>
      <c r="H172" s="89" t="n">
        <f aca="true">IF(H$5=0,G172,MAX(0,(G172-H$4)*(1+NORMINV(RAND(),INPUTS!$B$28,INPUTS!$B$29))))</f>
        <v>2195953.76473948</v>
      </c>
      <c r="I172" s="89" t="n">
        <f aca="true">IF(I$5=0,H172,MAX(0,(H172-I$4)*(1+NORMINV(RAND(),INPUTS!$B$28,INPUTS!$B$29))))</f>
        <v>2005363.43733279</v>
      </c>
      <c r="J172" s="89" t="n">
        <f aca="true">IF(J$5=0,I172,MAX(0,(I172-J$4)*(1+NORMINV(RAND(),INPUTS!$B$28,INPUTS!$B$29))))</f>
        <v>2170131.90917047</v>
      </c>
      <c r="K172" s="89" t="n">
        <f aca="true">IF(K$5=0,J172,MAX(0,(J172-K$4)*(1+NORMINV(RAND(),INPUTS!$B$28,INPUTS!$B$29))))</f>
        <v>1681941.6883632</v>
      </c>
      <c r="L172" s="89" t="n">
        <f aca="true">IF(L$5=0,K172,MAX(0,(K172-L$4)*(1+NORMINV(RAND(),INPUTS!$B$28,INPUTS!$B$29))))</f>
        <v>1989808.2661158</v>
      </c>
      <c r="M172" s="89" t="n">
        <f aca="true">IF(M$5=0,L172,MAX(0,(L172-M$4)*(1+NORMINV(RAND(),INPUTS!$B$28,INPUTS!$B$29))))</f>
        <v>2034780.58020502</v>
      </c>
      <c r="N172" s="89" t="n">
        <f aca="true">IF(N$5=0,M172,MAX(0,(M172-N$4)*(1+NORMINV(RAND(),INPUTS!$B$28,INPUTS!$B$29))))</f>
        <v>1736740.61406869</v>
      </c>
      <c r="O172" s="89" t="n">
        <f aca="true">IF(O$5=0,N172,MAX(0,(N172-O$4)*(1+NORMINV(RAND(),INPUTS!$B$28,INPUTS!$B$29))))</f>
        <v>1605863.9086946</v>
      </c>
      <c r="P172" s="89" t="n">
        <f aca="true">IF(P$5=0,O172,MAX(0,(O172-P$4)*(1+NORMINV(RAND(),INPUTS!$B$28,INPUTS!$B$29))))</f>
        <v>1744178.96729583</v>
      </c>
      <c r="Q172" s="89" t="n">
        <f aca="true">IF(Q$5=0,P172,MAX(0,(P172-Q$4)*(1+NORMINV(RAND(),INPUTS!$B$28,INPUTS!$B$29))))</f>
        <v>2020537.74039248</v>
      </c>
      <c r="R172" s="89" t="n">
        <f aca="true">IF(R$5=0,Q172,MAX(0,(Q172-R$4)*(1+NORMINV(RAND(),INPUTS!$B$28,INPUTS!$B$29))))</f>
        <v>1983009.01850477</v>
      </c>
      <c r="S172" s="89" t="n">
        <f aca="true">IF(S$5=0,R172,MAX(0,(R172-S$4)*(1+NORMINV(RAND(),INPUTS!$B$28,INPUTS!$B$29))))</f>
        <v>2125604.41536221</v>
      </c>
      <c r="T172" s="89" t="n">
        <f aca="true">IF(T$5=0,S172,MAX(0,(S172-T$4)*(1+NORMINV(RAND(),INPUTS!$B$28,INPUTS!$B$29))))</f>
        <v>2404544.92779066</v>
      </c>
      <c r="U172" s="89" t="n">
        <f aca="true">IF(U$5=0,T172,MAX(0,(T172-U$4)*(1+NORMINV(RAND(),INPUTS!$B$28,INPUTS!$B$29))))</f>
        <v>2740931.08214202</v>
      </c>
      <c r="V172" s="89" t="n">
        <f aca="true">IF(V$5=0,U172,MAX(0,(U172-V$4)*(1+NORMINV(RAND(),INPUTS!$B$28,INPUTS!$B$29))))</f>
        <v>3016843.47283924</v>
      </c>
      <c r="W172" s="89" t="n">
        <f aca="true">IF(W$5=0,V172,MAX(0,(V172-W$4)*(1+NORMINV(RAND(),INPUTS!$B$28,INPUTS!$B$29))))</f>
        <v>3142730.14609979</v>
      </c>
      <c r="X172" s="89" t="n">
        <f aca="true">IF(X$5=0,W172,MAX(0,(W172-X$4)*(1+NORMINV(RAND(),INPUTS!$B$28,INPUTS!$B$29))))</f>
        <v>2781989.73432017</v>
      </c>
      <c r="Y172" s="89" t="n">
        <f aca="true">IF(Y$5=0,X172,MAX(0,(X172-Y$4)*(1+NORMINV(RAND(),INPUTS!$B$28,INPUTS!$B$29))))</f>
        <v>2772431.51912012</v>
      </c>
      <c r="Z172" s="89" t="n">
        <f aca="true">IF(Z$5=0,Y172,MAX(0,(Y172-Z$4)*(1+NORMINV(RAND(),INPUTS!$B$28,INPUTS!$B$29))))</f>
        <v>2682006.47374502</v>
      </c>
      <c r="AA172" s="89" t="n">
        <f aca="true">IF(AA$5=0,Z172,MAX(0,(Z172-AA$4)*(1+NORMINV(RAND(),INPUTS!$B$28,INPUTS!$B$29))))</f>
        <v>2806149.28365244</v>
      </c>
      <c r="AB172" s="89" t="n">
        <f aca="true">IF(AB$5=0,AA172,MAX(0,(AA172-AB$4)*(1+NORMINV(RAND(),INPUTS!$B$28,INPUTS!$B$29))))</f>
        <v>2922224.5196775</v>
      </c>
      <c r="AC172" s="89" t="n">
        <f aca="true">IF(AC$5=0,AB172,MAX(0,(AB172-AC$4)*(1+NORMINV(RAND(),INPUTS!$B$28,INPUTS!$B$29))))</f>
        <v>2406303.31407577</v>
      </c>
      <c r="AD172" s="89" t="n">
        <f aca="true">IF(AD$5=0,AC172,MAX(0,(AC172-AD$4)*(1+NORMINV(RAND(),INPUTS!$B$28,INPUTS!$B$29))))</f>
        <v>2785935.97197688</v>
      </c>
      <c r="AE172" s="89" t="n">
        <f aca="true">IF(AE$5=0,AD172,MAX(0,(AD172-AE$4)*(1+NORMINV(RAND(),INPUTS!$B$28,INPUTS!$B$29))))</f>
        <v>2682688.48614119</v>
      </c>
      <c r="AF172" s="89" t="n">
        <f aca="true">IF(AF$5=0,AE172,MAX(0,(AE172-AF$4)*(1+NORMINV(RAND(),INPUTS!$B$28,INPUTS!$B$29))))</f>
        <v>3193442.92870177</v>
      </c>
      <c r="AG172" s="89" t="n">
        <f aca="true">IF(AG$5=0,AF172,MAX(0,(AF172-AG$4)*(1+NORMINV(RAND(),INPUTS!$B$28,INPUTS!$B$29))))</f>
        <v>3383377.23630284</v>
      </c>
      <c r="AH172" s="89" t="n">
        <f aca="true">IF(AH$5=0,AG172,MAX(0,(AG172-AH$4)*(1+NORMINV(RAND(),INPUTS!$B$28,INPUTS!$B$29))))</f>
        <v>3492215.76061687</v>
      </c>
      <c r="AI172" s="89" t="n">
        <f aca="true">IF(AI$5=0,AH172,MAX(0,(AH172-AI$4)*(1+NORMINV(RAND(),INPUTS!$B$28,INPUTS!$B$29))))</f>
        <v>4151535.38982144</v>
      </c>
      <c r="AJ172" s="89" t="n">
        <f aca="true">IF(AJ$5=0,AI172,MAX(0,(AI172-AJ$4)*(1+NORMINV(RAND(),INPUTS!$B$28,INPUTS!$B$29))))</f>
        <v>5466223.21388956</v>
      </c>
      <c r="AK172" s="89" t="n">
        <f aca="true">IF(AK$5=0,AJ172,MAX(0,(AJ172-AK$4)*(1+NORMINV(RAND(),INPUTS!$B$28,INPUTS!$B$29))))</f>
        <v>5372610.08495601</v>
      </c>
      <c r="AL172" s="89" t="n">
        <f aca="true">IF(AL$5=0,AK172,MAX(0,(AK172-AL$4)*(1+NORMINV(RAND(),INPUTS!$B$28,INPUTS!$B$29))))</f>
        <v>5805259.23673244</v>
      </c>
      <c r="AM172" s="89" t="n">
        <f aca="true">IF(AM$5=0,AL172,MAX(0,(AL172-AM$4)*(1+NORMINV(RAND(),INPUTS!$B$28,INPUTS!$B$29))))</f>
        <v>5805259.23673244</v>
      </c>
      <c r="AN172" s="89" t="n">
        <f aca="true">IF(AN$5=0,AM172,MAX(0,(AM172-AN$4)*(1+NORMINV(RAND(),INPUTS!$B$28,INPUTS!$B$29))))</f>
        <v>5805259.23673244</v>
      </c>
      <c r="AO172" s="89" t="n">
        <f aca="true">IF(AO$5=0,AN172,MAX(0,(AN172-AO$4)*(1+NORMINV(RAND(),INPUTS!$B$28,INPUTS!$B$29))))</f>
        <v>5805259.23673244</v>
      </c>
      <c r="AP172" s="89" t="n">
        <f aca="true">IF(AP$5=0,AO172,MAX(0,(AO172-AP$4)*(1+NORMINV(RAND(),INPUTS!$B$28,INPUTS!$B$29))))</f>
        <v>5805259.23673244</v>
      </c>
      <c r="AQ172" s="89" t="n">
        <f aca="true">IF(AQ$5=0,AP172,MAX(0,(AP172-AQ$4)*(1+NORMINV(RAND(),INPUTS!$B$28,INPUTS!$B$29))))</f>
        <v>5805259.23673244</v>
      </c>
      <c r="AR172" s="89" t="n">
        <f aca="true">IF(AR$5=0,AQ172,MAX(0,(AQ172-AR$4)*(1+NORMINV(RAND(),INPUTS!$B$28,INPUTS!$B$29))))</f>
        <v>5805259.23673244</v>
      </c>
      <c r="AS172" s="89" t="n">
        <f aca="true">IF(AS$5=0,AR172,MAX(0,(AR172-AS$4)*(1+NORMINV(RAND(),INPUTS!$B$28,INPUTS!$B$29))))</f>
        <v>5805259.23673244</v>
      </c>
      <c r="AT172" s="89" t="n">
        <f aca="true">IF(AT$5=0,AS172,MAX(0,(AS172-AT$4)*(1+NORMINV(RAND(),INPUTS!$B$28,INPUTS!$B$29))))</f>
        <v>5805259.23673244</v>
      </c>
      <c r="AU172" s="89" t="n">
        <f aca="true">IF(AU$5=0,AT172,MAX(0,(AT172-AU$4)*(1+NORMINV(RAND(),INPUTS!$B$28,INPUTS!$B$29))))</f>
        <v>5805259.23673244</v>
      </c>
      <c r="AV172" s="89" t="n">
        <f aca="true">IF(AV$5=0,AU172,MAX(0,(AU172-AV$4)*(1+NORMINV(RAND(),INPUTS!$B$28,INPUTS!$B$29))))</f>
        <v>5805259.23673244</v>
      </c>
      <c r="AW172" s="89" t="n">
        <f aca="true">IF(AW$5=0,AV172,MAX(0,(AV172-AW$4)*(1+NORMINV(RAND(),INPUTS!$B$28,INPUTS!$B$29))))</f>
        <v>5805259.23673244</v>
      </c>
      <c r="AX172" s="89" t="n">
        <f aca="true">IF(AX$5=0,AW172,MAX(0,(AW172-AX$4)*(1+NORMINV(RAND(),INPUTS!$B$28,INPUTS!$B$29))))</f>
        <v>5805259.23673244</v>
      </c>
      <c r="AY172" s="89" t="n">
        <f aca="true">IF(AY$5=0,AX172,MAX(0,(AX172-AY$4)*(1+NORMINV(RAND(),INPUTS!$B$28,INPUTS!$B$29))))</f>
        <v>5805259.23673244</v>
      </c>
      <c r="AZ172" s="89" t="n">
        <f aca="true">IF(AZ$5=0,AY172,MAX(0,(AY172-AZ$4)*(1+NORMINV(RAND(),INPUTS!$B$28,INPUTS!$B$29))))</f>
        <v>5805259.23673244</v>
      </c>
      <c r="BA172" s="89" t="n">
        <f aca="true">IF(BA$5=0,AZ172,MAX(0,(AZ172-BA$4)*(1+NORMINV(RAND(),INPUTS!$B$28,INPUTS!$B$29))))</f>
        <v>5805259.23673244</v>
      </c>
      <c r="BB172" s="89" t="n">
        <f aca="true">IF(BB$5=0,BA172,MAX(0,(BA172-BB$4)*(1+NORMINV(RAND(),INPUTS!$B$28,INPUTS!$B$29))))</f>
        <v>5805259.23673244</v>
      </c>
      <c r="BC172" s="89" t="n">
        <f aca="true">IF(BC$5=0,BB172,MAX(0,(BB172-BC$4)*(1+NORMINV(RAND(),INPUTS!$B$28,INPUTS!$B$29))))</f>
        <v>5805259.23673244</v>
      </c>
      <c r="BD172" s="89" t="n">
        <f aca="true">IF(BD$5=0,BC172,MAX(0,(BC172-BD$4)*(1+NORMINV(RAND(),INPUTS!$B$28,INPUTS!$B$29))))</f>
        <v>5805259.23673244</v>
      </c>
      <c r="BE172" s="89" t="n">
        <f aca="true">IF(BE$5=0,BD172,MAX(0,(BD172-BE$4)*(1+NORMINV(RAND(),INPUTS!$B$28,INPUTS!$B$29))))</f>
        <v>5805259.23673244</v>
      </c>
      <c r="BF172" s="89" t="n">
        <f aca="true">IF(BF$5=0,BE172,MAX(0,(BE172-BF$4)*(1+NORMINV(RAND(),INPUTS!$B$28,INPUTS!$B$29))))</f>
        <v>5805259.23673244</v>
      </c>
      <c r="BG172" s="89" t="n">
        <f aca="true">IF(BG$5=0,BF172,MAX(0,(BF172-BG$4)*(1+NORMINV(RAND(),INPUTS!$B$28,INPUTS!$B$29))))</f>
        <v>5805259.23673244</v>
      </c>
      <c r="BH172" s="89" t="n">
        <f aca="true">IF(BH$5=0,BG172,MAX(0,(BG172-BH$4)*(1+NORMINV(RAND(),INPUTS!$B$28,INPUTS!$B$29))))</f>
        <v>5805259.23673244</v>
      </c>
      <c r="BI172" s="89" t="n">
        <f aca="true">IF(BI$5=0,BH172,MAX(0,(BH172-BI$4)*(1+NORMINV(RAND(),INPUTS!$B$28,INPUTS!$B$29))))</f>
        <v>5805259.23673244</v>
      </c>
      <c r="BJ172" s="89" t="n">
        <f aca="true">IF(BJ$5=0,BI172,MAX(0,(BI172-BJ$4)*(1+NORMINV(RAND(),INPUTS!$B$28,INPUTS!$B$29))))</f>
        <v>5805259.23673244</v>
      </c>
    </row>
    <row r="173" customFormat="false" ht="15" hidden="false" customHeight="true" outlineLevel="0" collapsed="false">
      <c r="A173" s="87" t="n">
        <v>166</v>
      </c>
      <c r="B173" s="88" t="n">
        <f aca="false">LOOKUP(9.99E+307,C173:BJ173)</f>
        <v>372034.138381272</v>
      </c>
      <c r="C173" s="89" t="n">
        <f aca="true">IF(C$5=0,INPUTS!$B$35,MAX(0,(INPUTS!$B$35-C$4)*(1+NORMINV(RAND(),INPUTS!$B$28,INPUTS!$B$29))))</f>
        <v>1139503.72018352</v>
      </c>
      <c r="D173" s="89" t="n">
        <f aca="true">IF(D$5=0,C173,MAX(0,(C173-D$4)*(1+NORMINV(RAND(),INPUTS!$B$28,INPUTS!$B$29))))</f>
        <v>1364365.39027965</v>
      </c>
      <c r="E173" s="89" t="n">
        <f aca="true">IF(E$5=0,D173,MAX(0,(D173-E$4)*(1+NORMINV(RAND(),INPUTS!$B$28,INPUTS!$B$29))))</f>
        <v>1295398.5437087</v>
      </c>
      <c r="F173" s="89" t="n">
        <f aca="true">IF(F$5=0,E173,MAX(0,(E173-F$4)*(1+NORMINV(RAND(),INPUTS!$B$28,INPUTS!$B$29))))</f>
        <v>1139933.08747075</v>
      </c>
      <c r="G173" s="89" t="n">
        <f aca="true">IF(G$5=0,F173,MAX(0,(F173-G$4)*(1+NORMINV(RAND(),INPUTS!$B$28,INPUTS!$B$29))))</f>
        <v>998727.726747592</v>
      </c>
      <c r="H173" s="89" t="n">
        <f aca="true">IF(H$5=0,G173,MAX(0,(G173-H$4)*(1+NORMINV(RAND(),INPUTS!$B$28,INPUTS!$B$29))))</f>
        <v>1111100.09135701</v>
      </c>
      <c r="I173" s="89" t="n">
        <f aca="true">IF(I$5=0,H173,MAX(0,(H173-I$4)*(1+NORMINV(RAND(),INPUTS!$B$28,INPUTS!$B$29))))</f>
        <v>1208650.04319335</v>
      </c>
      <c r="J173" s="89" t="n">
        <f aca="true">IF(J$5=0,I173,MAX(0,(I173-J$4)*(1+NORMINV(RAND(),INPUTS!$B$28,INPUTS!$B$29))))</f>
        <v>1311280.33337296</v>
      </c>
      <c r="K173" s="89" t="n">
        <f aca="true">IF(K$5=0,J173,MAX(0,(J173-K$4)*(1+NORMINV(RAND(),INPUTS!$B$28,INPUTS!$B$29))))</f>
        <v>1437398.46556416</v>
      </c>
      <c r="L173" s="89" t="n">
        <f aca="true">IF(L$5=0,K173,MAX(0,(K173-L$4)*(1+NORMINV(RAND(),INPUTS!$B$28,INPUTS!$B$29))))</f>
        <v>1449686.87505831</v>
      </c>
      <c r="M173" s="89" t="n">
        <f aca="true">IF(M$5=0,L173,MAX(0,(L173-M$4)*(1+NORMINV(RAND(),INPUTS!$B$28,INPUTS!$B$29))))</f>
        <v>1426588.25256037</v>
      </c>
      <c r="N173" s="89" t="n">
        <f aca="true">IF(N$5=0,M173,MAX(0,(M173-N$4)*(1+NORMINV(RAND(),INPUTS!$B$28,INPUTS!$B$29))))</f>
        <v>1485220.20417967</v>
      </c>
      <c r="O173" s="89" t="n">
        <f aca="true">IF(O$5=0,N173,MAX(0,(N173-O$4)*(1+NORMINV(RAND(),INPUTS!$B$28,INPUTS!$B$29))))</f>
        <v>1393165.71230423</v>
      </c>
      <c r="P173" s="89" t="n">
        <f aca="true">IF(P$5=0,O173,MAX(0,(O173-P$4)*(1+NORMINV(RAND(),INPUTS!$B$28,INPUTS!$B$29))))</f>
        <v>1258079.56874613</v>
      </c>
      <c r="Q173" s="89" t="n">
        <f aca="true">IF(Q$5=0,P173,MAX(0,(P173-Q$4)*(1+NORMINV(RAND(),INPUTS!$B$28,INPUTS!$B$29))))</f>
        <v>1075713.7343091</v>
      </c>
      <c r="R173" s="89" t="n">
        <f aca="true">IF(R$5=0,Q173,MAX(0,(Q173-R$4)*(1+NORMINV(RAND(),INPUTS!$B$28,INPUTS!$B$29))))</f>
        <v>979837.98362307</v>
      </c>
      <c r="S173" s="89" t="n">
        <f aca="true">IF(S$5=0,R173,MAX(0,(R173-S$4)*(1+NORMINV(RAND(),INPUTS!$B$28,INPUTS!$B$29))))</f>
        <v>1009192.6399592</v>
      </c>
      <c r="T173" s="89" t="n">
        <f aca="true">IF(T$5=0,S173,MAX(0,(S173-T$4)*(1+NORMINV(RAND(),INPUTS!$B$28,INPUTS!$B$29))))</f>
        <v>925038.427731049</v>
      </c>
      <c r="U173" s="89" t="n">
        <f aca="true">IF(U$5=0,T173,MAX(0,(T173-U$4)*(1+NORMINV(RAND(),INPUTS!$B$28,INPUTS!$B$29))))</f>
        <v>1005499.08777192</v>
      </c>
      <c r="V173" s="89" t="n">
        <f aca="true">IF(V$5=0,U173,MAX(0,(U173-V$4)*(1+NORMINV(RAND(),INPUTS!$B$28,INPUTS!$B$29))))</f>
        <v>921366.16079712</v>
      </c>
      <c r="W173" s="89" t="n">
        <f aca="true">IF(W$5=0,V173,MAX(0,(V173-W$4)*(1+NORMINV(RAND(),INPUTS!$B$28,INPUTS!$B$29))))</f>
        <v>839292.217814055</v>
      </c>
      <c r="X173" s="89" t="n">
        <f aca="true">IF(X$5=0,W173,MAX(0,(W173-X$4)*(1+NORMINV(RAND(),INPUTS!$B$28,INPUTS!$B$29))))</f>
        <v>706025.713484395</v>
      </c>
      <c r="Y173" s="89" t="n">
        <f aca="true">IF(Y$5=0,X173,MAX(0,(X173-Y$4)*(1+NORMINV(RAND(),INPUTS!$B$28,INPUTS!$B$29))))</f>
        <v>750762.020366586</v>
      </c>
      <c r="Z173" s="89" t="n">
        <f aca="true">IF(Z$5=0,Y173,MAX(0,(Y173-Z$4)*(1+NORMINV(RAND(),INPUTS!$B$28,INPUTS!$B$29))))</f>
        <v>787906.415357009</v>
      </c>
      <c r="AA173" s="89" t="n">
        <f aca="true">IF(AA$5=0,Z173,MAX(0,(Z173-AA$4)*(1+NORMINV(RAND(),INPUTS!$B$28,INPUTS!$B$29))))</f>
        <v>790051.236501013</v>
      </c>
      <c r="AB173" s="89" t="n">
        <f aca="true">IF(AB$5=0,AA173,MAX(0,(AA173-AB$4)*(1+NORMINV(RAND(),INPUTS!$B$28,INPUTS!$B$29))))</f>
        <v>711794.236404836</v>
      </c>
      <c r="AC173" s="89" t="n">
        <f aca="true">IF(AC$5=0,AB173,MAX(0,(AB173-AC$4)*(1+NORMINV(RAND(),INPUTS!$B$28,INPUTS!$B$29))))</f>
        <v>667529.055915612</v>
      </c>
      <c r="AD173" s="89" t="n">
        <f aca="true">IF(AD$5=0,AC173,MAX(0,(AC173-AD$4)*(1+NORMINV(RAND(),INPUTS!$B$28,INPUTS!$B$29))))</f>
        <v>682345.824657149</v>
      </c>
      <c r="AE173" s="89" t="n">
        <f aca="true">IF(AE$5=0,AD173,MAX(0,(AD173-AE$4)*(1+NORMINV(RAND(),INPUTS!$B$28,INPUTS!$B$29))))</f>
        <v>489466.415434561</v>
      </c>
      <c r="AF173" s="89" t="n">
        <f aca="true">IF(AF$5=0,AE173,MAX(0,(AE173-AF$4)*(1+NORMINV(RAND(),INPUTS!$B$28,INPUTS!$B$29))))</f>
        <v>451961.849040429</v>
      </c>
      <c r="AG173" s="89" t="n">
        <f aca="true">IF(AG$5=0,AF173,MAX(0,(AF173-AG$4)*(1+NORMINV(RAND(),INPUTS!$B$28,INPUTS!$B$29))))</f>
        <v>476756.742113922</v>
      </c>
      <c r="AH173" s="89" t="n">
        <f aca="true">IF(AH$5=0,AG173,MAX(0,(AG173-AH$4)*(1+NORMINV(RAND(),INPUTS!$B$28,INPUTS!$B$29))))</f>
        <v>425171.757109506</v>
      </c>
      <c r="AI173" s="89" t="n">
        <f aca="true">IF(AI$5=0,AH173,MAX(0,(AH173-AI$4)*(1+NORMINV(RAND(),INPUTS!$B$28,INPUTS!$B$29))))</f>
        <v>404595.008435521</v>
      </c>
      <c r="AJ173" s="89" t="n">
        <f aca="true">IF(AJ$5=0,AI173,MAX(0,(AI173-AJ$4)*(1+NORMINV(RAND(),INPUTS!$B$28,INPUTS!$B$29))))</f>
        <v>408795.097111369</v>
      </c>
      <c r="AK173" s="89" t="n">
        <f aca="true">IF(AK$5=0,AJ173,MAX(0,(AJ173-AK$4)*(1+NORMINV(RAND(),INPUTS!$B$28,INPUTS!$B$29))))</f>
        <v>376578.387108115</v>
      </c>
      <c r="AL173" s="89" t="n">
        <f aca="true">IF(AL$5=0,AK173,MAX(0,(AK173-AL$4)*(1+NORMINV(RAND(),INPUTS!$B$28,INPUTS!$B$29))))</f>
        <v>372034.138381272</v>
      </c>
      <c r="AM173" s="89" t="n">
        <f aca="true">IF(AM$5=0,AL173,MAX(0,(AL173-AM$4)*(1+NORMINV(RAND(),INPUTS!$B$28,INPUTS!$B$29))))</f>
        <v>372034.138381272</v>
      </c>
      <c r="AN173" s="89" t="n">
        <f aca="true">IF(AN$5=0,AM173,MAX(0,(AM173-AN$4)*(1+NORMINV(RAND(),INPUTS!$B$28,INPUTS!$B$29))))</f>
        <v>372034.138381272</v>
      </c>
      <c r="AO173" s="89" t="n">
        <f aca="true">IF(AO$5=0,AN173,MAX(0,(AN173-AO$4)*(1+NORMINV(RAND(),INPUTS!$B$28,INPUTS!$B$29))))</f>
        <v>372034.138381272</v>
      </c>
      <c r="AP173" s="89" t="n">
        <f aca="true">IF(AP$5=0,AO173,MAX(0,(AO173-AP$4)*(1+NORMINV(RAND(),INPUTS!$B$28,INPUTS!$B$29))))</f>
        <v>372034.138381272</v>
      </c>
      <c r="AQ173" s="89" t="n">
        <f aca="true">IF(AQ$5=0,AP173,MAX(0,(AP173-AQ$4)*(1+NORMINV(RAND(),INPUTS!$B$28,INPUTS!$B$29))))</f>
        <v>372034.138381272</v>
      </c>
      <c r="AR173" s="89" t="n">
        <f aca="true">IF(AR$5=0,AQ173,MAX(0,(AQ173-AR$4)*(1+NORMINV(RAND(),INPUTS!$B$28,INPUTS!$B$29))))</f>
        <v>372034.138381272</v>
      </c>
      <c r="AS173" s="89" t="n">
        <f aca="true">IF(AS$5=0,AR173,MAX(0,(AR173-AS$4)*(1+NORMINV(RAND(),INPUTS!$B$28,INPUTS!$B$29))))</f>
        <v>372034.138381272</v>
      </c>
      <c r="AT173" s="89" t="n">
        <f aca="true">IF(AT$5=0,AS173,MAX(0,(AS173-AT$4)*(1+NORMINV(RAND(),INPUTS!$B$28,INPUTS!$B$29))))</f>
        <v>372034.138381272</v>
      </c>
      <c r="AU173" s="89" t="n">
        <f aca="true">IF(AU$5=0,AT173,MAX(0,(AT173-AU$4)*(1+NORMINV(RAND(),INPUTS!$B$28,INPUTS!$B$29))))</f>
        <v>372034.138381272</v>
      </c>
      <c r="AV173" s="89" t="n">
        <f aca="true">IF(AV$5=0,AU173,MAX(0,(AU173-AV$4)*(1+NORMINV(RAND(),INPUTS!$B$28,INPUTS!$B$29))))</f>
        <v>372034.138381272</v>
      </c>
      <c r="AW173" s="89" t="n">
        <f aca="true">IF(AW$5=0,AV173,MAX(0,(AV173-AW$4)*(1+NORMINV(RAND(),INPUTS!$B$28,INPUTS!$B$29))))</f>
        <v>372034.138381272</v>
      </c>
      <c r="AX173" s="89" t="n">
        <f aca="true">IF(AX$5=0,AW173,MAX(0,(AW173-AX$4)*(1+NORMINV(RAND(),INPUTS!$B$28,INPUTS!$B$29))))</f>
        <v>372034.138381272</v>
      </c>
      <c r="AY173" s="89" t="n">
        <f aca="true">IF(AY$5=0,AX173,MAX(0,(AX173-AY$4)*(1+NORMINV(RAND(),INPUTS!$B$28,INPUTS!$B$29))))</f>
        <v>372034.138381272</v>
      </c>
      <c r="AZ173" s="89" t="n">
        <f aca="true">IF(AZ$5=0,AY173,MAX(0,(AY173-AZ$4)*(1+NORMINV(RAND(),INPUTS!$B$28,INPUTS!$B$29))))</f>
        <v>372034.138381272</v>
      </c>
      <c r="BA173" s="89" t="n">
        <f aca="true">IF(BA$5=0,AZ173,MAX(0,(AZ173-BA$4)*(1+NORMINV(RAND(),INPUTS!$B$28,INPUTS!$B$29))))</f>
        <v>372034.138381272</v>
      </c>
      <c r="BB173" s="89" t="n">
        <f aca="true">IF(BB$5=0,BA173,MAX(0,(BA173-BB$4)*(1+NORMINV(RAND(),INPUTS!$B$28,INPUTS!$B$29))))</f>
        <v>372034.138381272</v>
      </c>
      <c r="BC173" s="89" t="n">
        <f aca="true">IF(BC$5=0,BB173,MAX(0,(BB173-BC$4)*(1+NORMINV(RAND(),INPUTS!$B$28,INPUTS!$B$29))))</f>
        <v>372034.138381272</v>
      </c>
      <c r="BD173" s="89" t="n">
        <f aca="true">IF(BD$5=0,BC173,MAX(0,(BC173-BD$4)*(1+NORMINV(RAND(),INPUTS!$B$28,INPUTS!$B$29))))</f>
        <v>372034.138381272</v>
      </c>
      <c r="BE173" s="89" t="n">
        <f aca="true">IF(BE$5=0,BD173,MAX(0,(BD173-BE$4)*(1+NORMINV(RAND(),INPUTS!$B$28,INPUTS!$B$29))))</f>
        <v>372034.138381272</v>
      </c>
      <c r="BF173" s="89" t="n">
        <f aca="true">IF(BF$5=0,BE173,MAX(0,(BE173-BF$4)*(1+NORMINV(RAND(),INPUTS!$B$28,INPUTS!$B$29))))</f>
        <v>372034.138381272</v>
      </c>
      <c r="BG173" s="89" t="n">
        <f aca="true">IF(BG$5=0,BF173,MAX(0,(BF173-BG$4)*(1+NORMINV(RAND(),INPUTS!$B$28,INPUTS!$B$29))))</f>
        <v>372034.138381272</v>
      </c>
      <c r="BH173" s="89" t="n">
        <f aca="true">IF(BH$5=0,BG173,MAX(0,(BG173-BH$4)*(1+NORMINV(RAND(),INPUTS!$B$28,INPUTS!$B$29))))</f>
        <v>372034.138381272</v>
      </c>
      <c r="BI173" s="89" t="n">
        <f aca="true">IF(BI$5=0,BH173,MAX(0,(BH173-BI$4)*(1+NORMINV(RAND(),INPUTS!$B$28,INPUTS!$B$29))))</f>
        <v>372034.138381272</v>
      </c>
      <c r="BJ173" s="89" t="n">
        <f aca="true">IF(BJ$5=0,BI173,MAX(0,(BI173-BJ$4)*(1+NORMINV(RAND(),INPUTS!$B$28,INPUTS!$B$29))))</f>
        <v>372034.138381272</v>
      </c>
    </row>
    <row r="174" customFormat="false" ht="15" hidden="false" customHeight="true" outlineLevel="0" collapsed="false">
      <c r="A174" s="87" t="n">
        <v>167</v>
      </c>
      <c r="B174" s="88" t="n">
        <f aca="false">LOOKUP(9.99E+307,C174:BJ174)</f>
        <v>4618991.46648779</v>
      </c>
      <c r="C174" s="89" t="n">
        <f aca="true">IF(C$5=0,INPUTS!$B$35,MAX(0,(INPUTS!$B$35-C$4)*(1+NORMINV(RAND(),INPUTS!$B$28,INPUTS!$B$29))))</f>
        <v>1580369.7955849</v>
      </c>
      <c r="D174" s="89" t="n">
        <f aca="true">IF(D$5=0,C174,MAX(0,(C174-D$4)*(1+NORMINV(RAND(),INPUTS!$B$28,INPUTS!$B$29))))</f>
        <v>1198520.25493946</v>
      </c>
      <c r="E174" s="89" t="n">
        <f aca="true">IF(E$5=0,D174,MAX(0,(D174-E$4)*(1+NORMINV(RAND(),INPUTS!$B$28,INPUTS!$B$29))))</f>
        <v>1108681.3384704</v>
      </c>
      <c r="F174" s="89" t="n">
        <f aca="true">IF(F$5=0,E174,MAX(0,(E174-F$4)*(1+NORMINV(RAND(),INPUTS!$B$28,INPUTS!$B$29))))</f>
        <v>1150065.13912023</v>
      </c>
      <c r="G174" s="89" t="n">
        <f aca="true">IF(G$5=0,F174,MAX(0,(F174-G$4)*(1+NORMINV(RAND(),INPUTS!$B$28,INPUTS!$B$29))))</f>
        <v>1126871.55697658</v>
      </c>
      <c r="H174" s="89" t="n">
        <f aca="true">IF(H$5=0,G174,MAX(0,(G174-H$4)*(1+NORMINV(RAND(),INPUTS!$B$28,INPUTS!$B$29))))</f>
        <v>1033373.56930366</v>
      </c>
      <c r="I174" s="89" t="n">
        <f aca="true">IF(I$5=0,H174,MAX(0,(H174-I$4)*(1+NORMINV(RAND(),INPUTS!$B$28,INPUTS!$B$29))))</f>
        <v>1140865.32899329</v>
      </c>
      <c r="J174" s="89" t="n">
        <f aca="true">IF(J$5=0,I174,MAX(0,(I174-J$4)*(1+NORMINV(RAND(),INPUTS!$B$28,INPUTS!$B$29))))</f>
        <v>1094257.82798949</v>
      </c>
      <c r="K174" s="89" t="n">
        <f aca="true">IF(K$5=0,J174,MAX(0,(J174-K$4)*(1+NORMINV(RAND(),INPUTS!$B$28,INPUTS!$B$29))))</f>
        <v>1390847.22744088</v>
      </c>
      <c r="L174" s="89" t="n">
        <f aca="true">IF(L$5=0,K174,MAX(0,(K174-L$4)*(1+NORMINV(RAND(),INPUTS!$B$28,INPUTS!$B$29))))</f>
        <v>1351743.70426937</v>
      </c>
      <c r="M174" s="89" t="n">
        <f aca="true">IF(M$5=0,L174,MAX(0,(L174-M$4)*(1+NORMINV(RAND(),INPUTS!$B$28,INPUTS!$B$29))))</f>
        <v>1466715.10242898</v>
      </c>
      <c r="N174" s="89" t="n">
        <f aca="true">IF(N$5=0,M174,MAX(0,(M174-N$4)*(1+NORMINV(RAND(),INPUTS!$B$28,INPUTS!$B$29))))</f>
        <v>1487805.41276121</v>
      </c>
      <c r="O174" s="89" t="n">
        <f aca="true">IF(O$5=0,N174,MAX(0,(N174-O$4)*(1+NORMINV(RAND(),INPUTS!$B$28,INPUTS!$B$29))))</f>
        <v>1668054.48804385</v>
      </c>
      <c r="P174" s="89" t="n">
        <f aca="true">IF(P$5=0,O174,MAX(0,(O174-P$4)*(1+NORMINV(RAND(),INPUTS!$B$28,INPUTS!$B$29))))</f>
        <v>1659415.60255561</v>
      </c>
      <c r="Q174" s="89" t="n">
        <f aca="true">IF(Q$5=0,P174,MAX(0,(P174-Q$4)*(1+NORMINV(RAND(),INPUTS!$B$28,INPUTS!$B$29))))</f>
        <v>1507920.37972046</v>
      </c>
      <c r="R174" s="89" t="n">
        <f aca="true">IF(R$5=0,Q174,MAX(0,(Q174-R$4)*(1+NORMINV(RAND(),INPUTS!$B$28,INPUTS!$B$29))))</f>
        <v>1766723.50317395</v>
      </c>
      <c r="S174" s="89" t="n">
        <f aca="true">IF(S$5=0,R174,MAX(0,(R174-S$4)*(1+NORMINV(RAND(),INPUTS!$B$28,INPUTS!$B$29))))</f>
        <v>2053301.82109768</v>
      </c>
      <c r="T174" s="89" t="n">
        <f aca="true">IF(T$5=0,S174,MAX(0,(S174-T$4)*(1+NORMINV(RAND(),INPUTS!$B$28,INPUTS!$B$29))))</f>
        <v>2136588.71599064</v>
      </c>
      <c r="U174" s="89" t="n">
        <f aca="true">IF(U$5=0,T174,MAX(0,(T174-U$4)*(1+NORMINV(RAND(),INPUTS!$B$28,INPUTS!$B$29))))</f>
        <v>2531695.11551951</v>
      </c>
      <c r="V174" s="89" t="n">
        <f aca="true">IF(V$5=0,U174,MAX(0,(U174-V$4)*(1+NORMINV(RAND(),INPUTS!$B$28,INPUTS!$B$29))))</f>
        <v>2579121.16961396</v>
      </c>
      <c r="W174" s="89" t="n">
        <f aca="true">IF(W$5=0,V174,MAX(0,(V174-W$4)*(1+NORMINV(RAND(),INPUTS!$B$28,INPUTS!$B$29))))</f>
        <v>2674264.45183705</v>
      </c>
      <c r="X174" s="89" t="n">
        <f aca="true">IF(X$5=0,W174,MAX(0,(W174-X$4)*(1+NORMINV(RAND(),INPUTS!$B$28,INPUTS!$B$29))))</f>
        <v>3058894.58668093</v>
      </c>
      <c r="Y174" s="89" t="n">
        <f aca="true">IF(Y$5=0,X174,MAX(0,(X174-Y$4)*(1+NORMINV(RAND(),INPUTS!$B$28,INPUTS!$B$29))))</f>
        <v>2867677.52171805</v>
      </c>
      <c r="Z174" s="89" t="n">
        <f aca="true">IF(Z$5=0,Y174,MAX(0,(Y174-Z$4)*(1+NORMINV(RAND(),INPUTS!$B$28,INPUTS!$B$29))))</f>
        <v>2852060.60278163</v>
      </c>
      <c r="AA174" s="89" t="n">
        <f aca="true">IF(AA$5=0,Z174,MAX(0,(Z174-AA$4)*(1+NORMINV(RAND(),INPUTS!$B$28,INPUTS!$B$29))))</f>
        <v>3406302.26019149</v>
      </c>
      <c r="AB174" s="89" t="n">
        <f aca="true">IF(AB$5=0,AA174,MAX(0,(AA174-AB$4)*(1+NORMINV(RAND(),INPUTS!$B$28,INPUTS!$B$29))))</f>
        <v>3873421.55085548</v>
      </c>
      <c r="AC174" s="89" t="n">
        <f aca="true">IF(AC$5=0,AB174,MAX(0,(AB174-AC$4)*(1+NORMINV(RAND(),INPUTS!$B$28,INPUTS!$B$29))))</f>
        <v>4705625.38258838</v>
      </c>
      <c r="AD174" s="89" t="n">
        <f aca="true">IF(AD$5=0,AC174,MAX(0,(AC174-AD$4)*(1+NORMINV(RAND(),INPUTS!$B$28,INPUTS!$B$29))))</f>
        <v>4860888.6906946</v>
      </c>
      <c r="AE174" s="89" t="n">
        <f aca="true">IF(AE$5=0,AD174,MAX(0,(AD174-AE$4)*(1+NORMINV(RAND(),INPUTS!$B$28,INPUTS!$B$29))))</f>
        <v>3673668.74936126</v>
      </c>
      <c r="AF174" s="89" t="n">
        <f aca="true">IF(AF$5=0,AE174,MAX(0,(AE174-AF$4)*(1+NORMINV(RAND(),INPUTS!$B$28,INPUTS!$B$29))))</f>
        <v>4665694.09303271</v>
      </c>
      <c r="AG174" s="89" t="n">
        <f aca="true">IF(AG$5=0,AF174,MAX(0,(AF174-AG$4)*(1+NORMINV(RAND(),INPUTS!$B$28,INPUTS!$B$29))))</f>
        <v>5028177.62804805</v>
      </c>
      <c r="AH174" s="89" t="n">
        <f aca="true">IF(AH$5=0,AG174,MAX(0,(AG174-AH$4)*(1+NORMINV(RAND(),INPUTS!$B$28,INPUTS!$B$29))))</f>
        <v>5298105.22660972</v>
      </c>
      <c r="AI174" s="89" t="n">
        <f aca="true">IF(AI$5=0,AH174,MAX(0,(AH174-AI$4)*(1+NORMINV(RAND(),INPUTS!$B$28,INPUTS!$B$29))))</f>
        <v>4499527.9704396</v>
      </c>
      <c r="AJ174" s="89" t="n">
        <f aca="true">IF(AJ$5=0,AI174,MAX(0,(AI174-AJ$4)*(1+NORMINV(RAND(),INPUTS!$B$28,INPUTS!$B$29))))</f>
        <v>4365510.04785485</v>
      </c>
      <c r="AK174" s="89" t="n">
        <f aca="true">IF(AK$5=0,AJ174,MAX(0,(AJ174-AK$4)*(1+NORMINV(RAND(),INPUTS!$B$28,INPUTS!$B$29))))</f>
        <v>4427069.00706839</v>
      </c>
      <c r="AL174" s="89" t="n">
        <f aca="true">IF(AL$5=0,AK174,MAX(0,(AK174-AL$4)*(1+NORMINV(RAND(),INPUTS!$B$28,INPUTS!$B$29))))</f>
        <v>4618991.46648779</v>
      </c>
      <c r="AM174" s="89" t="n">
        <f aca="true">IF(AM$5=0,AL174,MAX(0,(AL174-AM$4)*(1+NORMINV(RAND(),INPUTS!$B$28,INPUTS!$B$29))))</f>
        <v>4618991.46648779</v>
      </c>
      <c r="AN174" s="89" t="n">
        <f aca="true">IF(AN$5=0,AM174,MAX(0,(AM174-AN$4)*(1+NORMINV(RAND(),INPUTS!$B$28,INPUTS!$B$29))))</f>
        <v>4618991.46648779</v>
      </c>
      <c r="AO174" s="89" t="n">
        <f aca="true">IF(AO$5=0,AN174,MAX(0,(AN174-AO$4)*(1+NORMINV(RAND(),INPUTS!$B$28,INPUTS!$B$29))))</f>
        <v>4618991.46648779</v>
      </c>
      <c r="AP174" s="89" t="n">
        <f aca="true">IF(AP$5=0,AO174,MAX(0,(AO174-AP$4)*(1+NORMINV(RAND(),INPUTS!$B$28,INPUTS!$B$29))))</f>
        <v>4618991.46648779</v>
      </c>
      <c r="AQ174" s="89" t="n">
        <f aca="true">IF(AQ$5=0,AP174,MAX(0,(AP174-AQ$4)*(1+NORMINV(RAND(),INPUTS!$B$28,INPUTS!$B$29))))</f>
        <v>4618991.46648779</v>
      </c>
      <c r="AR174" s="89" t="n">
        <f aca="true">IF(AR$5=0,AQ174,MAX(0,(AQ174-AR$4)*(1+NORMINV(RAND(),INPUTS!$B$28,INPUTS!$B$29))))</f>
        <v>4618991.46648779</v>
      </c>
      <c r="AS174" s="89" t="n">
        <f aca="true">IF(AS$5=0,AR174,MAX(0,(AR174-AS$4)*(1+NORMINV(RAND(),INPUTS!$B$28,INPUTS!$B$29))))</f>
        <v>4618991.46648779</v>
      </c>
      <c r="AT174" s="89" t="n">
        <f aca="true">IF(AT$5=0,AS174,MAX(0,(AS174-AT$4)*(1+NORMINV(RAND(),INPUTS!$B$28,INPUTS!$B$29))))</f>
        <v>4618991.46648779</v>
      </c>
      <c r="AU174" s="89" t="n">
        <f aca="true">IF(AU$5=0,AT174,MAX(0,(AT174-AU$4)*(1+NORMINV(RAND(),INPUTS!$B$28,INPUTS!$B$29))))</f>
        <v>4618991.46648779</v>
      </c>
      <c r="AV174" s="89" t="n">
        <f aca="true">IF(AV$5=0,AU174,MAX(0,(AU174-AV$4)*(1+NORMINV(RAND(),INPUTS!$B$28,INPUTS!$B$29))))</f>
        <v>4618991.46648779</v>
      </c>
      <c r="AW174" s="89" t="n">
        <f aca="true">IF(AW$5=0,AV174,MAX(0,(AV174-AW$4)*(1+NORMINV(RAND(),INPUTS!$B$28,INPUTS!$B$29))))</f>
        <v>4618991.46648779</v>
      </c>
      <c r="AX174" s="89" t="n">
        <f aca="true">IF(AX$5=0,AW174,MAX(0,(AW174-AX$4)*(1+NORMINV(RAND(),INPUTS!$B$28,INPUTS!$B$29))))</f>
        <v>4618991.46648779</v>
      </c>
      <c r="AY174" s="89" t="n">
        <f aca="true">IF(AY$5=0,AX174,MAX(0,(AX174-AY$4)*(1+NORMINV(RAND(),INPUTS!$B$28,INPUTS!$B$29))))</f>
        <v>4618991.46648779</v>
      </c>
      <c r="AZ174" s="89" t="n">
        <f aca="true">IF(AZ$5=0,AY174,MAX(0,(AY174-AZ$4)*(1+NORMINV(RAND(),INPUTS!$B$28,INPUTS!$B$29))))</f>
        <v>4618991.46648779</v>
      </c>
      <c r="BA174" s="89" t="n">
        <f aca="true">IF(BA$5=0,AZ174,MAX(0,(AZ174-BA$4)*(1+NORMINV(RAND(),INPUTS!$B$28,INPUTS!$B$29))))</f>
        <v>4618991.46648779</v>
      </c>
      <c r="BB174" s="89" t="n">
        <f aca="true">IF(BB$5=0,BA174,MAX(0,(BA174-BB$4)*(1+NORMINV(RAND(),INPUTS!$B$28,INPUTS!$B$29))))</f>
        <v>4618991.46648779</v>
      </c>
      <c r="BC174" s="89" t="n">
        <f aca="true">IF(BC$5=0,BB174,MAX(0,(BB174-BC$4)*(1+NORMINV(RAND(),INPUTS!$B$28,INPUTS!$B$29))))</f>
        <v>4618991.46648779</v>
      </c>
      <c r="BD174" s="89" t="n">
        <f aca="true">IF(BD$5=0,BC174,MAX(0,(BC174-BD$4)*(1+NORMINV(RAND(),INPUTS!$B$28,INPUTS!$B$29))))</f>
        <v>4618991.46648779</v>
      </c>
      <c r="BE174" s="89" t="n">
        <f aca="true">IF(BE$5=0,BD174,MAX(0,(BD174-BE$4)*(1+NORMINV(RAND(),INPUTS!$B$28,INPUTS!$B$29))))</f>
        <v>4618991.46648779</v>
      </c>
      <c r="BF174" s="89" t="n">
        <f aca="true">IF(BF$5=0,BE174,MAX(0,(BE174-BF$4)*(1+NORMINV(RAND(),INPUTS!$B$28,INPUTS!$B$29))))</f>
        <v>4618991.46648779</v>
      </c>
      <c r="BG174" s="89" t="n">
        <f aca="true">IF(BG$5=0,BF174,MAX(0,(BF174-BG$4)*(1+NORMINV(RAND(),INPUTS!$B$28,INPUTS!$B$29))))</f>
        <v>4618991.46648779</v>
      </c>
      <c r="BH174" s="89" t="n">
        <f aca="true">IF(BH$5=0,BG174,MAX(0,(BG174-BH$4)*(1+NORMINV(RAND(),INPUTS!$B$28,INPUTS!$B$29))))</f>
        <v>4618991.46648779</v>
      </c>
      <c r="BI174" s="89" t="n">
        <f aca="true">IF(BI$5=0,BH174,MAX(0,(BH174-BI$4)*(1+NORMINV(RAND(),INPUTS!$B$28,INPUTS!$B$29))))</f>
        <v>4618991.46648779</v>
      </c>
      <c r="BJ174" s="89" t="n">
        <f aca="true">IF(BJ$5=0,BI174,MAX(0,(BI174-BJ$4)*(1+NORMINV(RAND(),INPUTS!$B$28,INPUTS!$B$29))))</f>
        <v>4618991.46648779</v>
      </c>
    </row>
    <row r="175" customFormat="false" ht="15" hidden="false" customHeight="true" outlineLevel="0" collapsed="false">
      <c r="A175" s="87" t="n">
        <v>168</v>
      </c>
      <c r="B175" s="88" t="n">
        <f aca="false">LOOKUP(9.99E+307,C175:BJ175)</f>
        <v>1790398.85323268</v>
      </c>
      <c r="C175" s="89" t="n">
        <f aca="true">IF(C$5=0,INPUTS!$B$35,MAX(0,(INPUTS!$B$35-C$4)*(1+NORMINV(RAND(),INPUTS!$B$28,INPUTS!$B$29))))</f>
        <v>1534809.23838372</v>
      </c>
      <c r="D175" s="89" t="n">
        <f aca="true">IF(D$5=0,C175,MAX(0,(C175-D$4)*(1+NORMINV(RAND(),INPUTS!$B$28,INPUTS!$B$29))))</f>
        <v>1196520.43659855</v>
      </c>
      <c r="E175" s="89" t="n">
        <f aca="true">IF(E$5=0,D175,MAX(0,(D175-E$4)*(1+NORMINV(RAND(),INPUTS!$B$28,INPUTS!$B$29))))</f>
        <v>1362951.89496874</v>
      </c>
      <c r="F175" s="89" t="n">
        <f aca="true">IF(F$5=0,E175,MAX(0,(E175-F$4)*(1+NORMINV(RAND(),INPUTS!$B$28,INPUTS!$B$29))))</f>
        <v>1387669.9673091</v>
      </c>
      <c r="G175" s="89" t="n">
        <f aca="true">IF(G$5=0,F175,MAX(0,(F175-G$4)*(1+NORMINV(RAND(),INPUTS!$B$28,INPUTS!$B$29))))</f>
        <v>1313302.63153357</v>
      </c>
      <c r="H175" s="89" t="n">
        <f aca="true">IF(H$5=0,G175,MAX(0,(G175-H$4)*(1+NORMINV(RAND(),INPUTS!$B$28,INPUTS!$B$29))))</f>
        <v>1190515.33361541</v>
      </c>
      <c r="I175" s="89" t="n">
        <f aca="true">IF(I$5=0,H175,MAX(0,(H175-I$4)*(1+NORMINV(RAND(),INPUTS!$B$28,INPUTS!$B$29))))</f>
        <v>998972.332980859</v>
      </c>
      <c r="J175" s="89" t="n">
        <f aca="true">IF(J$5=0,I175,MAX(0,(I175-J$4)*(1+NORMINV(RAND(),INPUTS!$B$28,INPUTS!$B$29))))</f>
        <v>910976.288088701</v>
      </c>
      <c r="K175" s="89" t="n">
        <f aca="true">IF(K$5=0,J175,MAX(0,(J175-K$4)*(1+NORMINV(RAND(),INPUTS!$B$28,INPUTS!$B$29))))</f>
        <v>874145.203413703</v>
      </c>
      <c r="L175" s="89" t="n">
        <f aca="true">IF(L$5=0,K175,MAX(0,(K175-L$4)*(1+NORMINV(RAND(),INPUTS!$B$28,INPUTS!$B$29))))</f>
        <v>936008.24171701</v>
      </c>
      <c r="M175" s="89" t="n">
        <f aca="true">IF(M$5=0,L175,MAX(0,(L175-M$4)*(1+NORMINV(RAND(),INPUTS!$B$28,INPUTS!$B$29))))</f>
        <v>965153.689009306</v>
      </c>
      <c r="N175" s="89" t="n">
        <f aca="true">IF(N$5=0,M175,MAX(0,(M175-N$4)*(1+NORMINV(RAND(),INPUTS!$B$28,INPUTS!$B$29))))</f>
        <v>884486.811909394</v>
      </c>
      <c r="O175" s="89" t="n">
        <f aca="true">IF(O$5=0,N175,MAX(0,(N175-O$4)*(1+NORMINV(RAND(),INPUTS!$B$28,INPUTS!$B$29))))</f>
        <v>970338.880714043</v>
      </c>
      <c r="P175" s="89" t="n">
        <f aca="true">IF(P$5=0,O175,MAX(0,(O175-P$4)*(1+NORMINV(RAND(),INPUTS!$B$28,INPUTS!$B$29))))</f>
        <v>822915.233567261</v>
      </c>
      <c r="Q175" s="89" t="n">
        <f aca="true">IF(Q$5=0,P175,MAX(0,(P175-Q$4)*(1+NORMINV(RAND(),INPUTS!$B$28,INPUTS!$B$29))))</f>
        <v>1049788.9983061</v>
      </c>
      <c r="R175" s="89" t="n">
        <f aca="true">IF(R$5=0,Q175,MAX(0,(Q175-R$4)*(1+NORMINV(RAND(),INPUTS!$B$28,INPUTS!$B$29))))</f>
        <v>1375653.53192639</v>
      </c>
      <c r="S175" s="89" t="n">
        <f aca="true">IF(S$5=0,R175,MAX(0,(R175-S$4)*(1+NORMINV(RAND(),INPUTS!$B$28,INPUTS!$B$29))))</f>
        <v>1509388.29712008</v>
      </c>
      <c r="T175" s="89" t="n">
        <f aca="true">IF(T$5=0,S175,MAX(0,(S175-T$4)*(1+NORMINV(RAND(),INPUTS!$B$28,INPUTS!$B$29))))</f>
        <v>1312147.95949851</v>
      </c>
      <c r="U175" s="89" t="n">
        <f aca="true">IF(U$5=0,T175,MAX(0,(T175-U$4)*(1+NORMINV(RAND(),INPUTS!$B$28,INPUTS!$B$29))))</f>
        <v>1227902.58565653</v>
      </c>
      <c r="V175" s="89" t="n">
        <f aca="true">IF(V$5=0,U175,MAX(0,(U175-V$4)*(1+NORMINV(RAND(),INPUTS!$B$28,INPUTS!$B$29))))</f>
        <v>1040824.0255538</v>
      </c>
      <c r="W175" s="89" t="n">
        <f aca="true">IF(W$5=0,V175,MAX(0,(V175-W$4)*(1+NORMINV(RAND(),INPUTS!$B$28,INPUTS!$B$29))))</f>
        <v>1116408.96796926</v>
      </c>
      <c r="X175" s="89" t="n">
        <f aca="true">IF(X$5=0,W175,MAX(0,(W175-X$4)*(1+NORMINV(RAND(),INPUTS!$B$28,INPUTS!$B$29))))</f>
        <v>1251665.71997141</v>
      </c>
      <c r="Y175" s="89" t="n">
        <f aca="true">IF(Y$5=0,X175,MAX(0,(X175-Y$4)*(1+NORMINV(RAND(),INPUTS!$B$28,INPUTS!$B$29))))</f>
        <v>1198988.50863357</v>
      </c>
      <c r="Z175" s="89" t="n">
        <f aca="true">IF(Z$5=0,Y175,MAX(0,(Y175-Z$4)*(1+NORMINV(RAND(),INPUTS!$B$28,INPUTS!$B$29))))</f>
        <v>1342404.58966456</v>
      </c>
      <c r="AA175" s="89" t="n">
        <f aca="true">IF(AA$5=0,Z175,MAX(0,(Z175-AA$4)*(1+NORMINV(RAND(),INPUTS!$B$28,INPUTS!$B$29))))</f>
        <v>1351096.92836469</v>
      </c>
      <c r="AB175" s="89" t="n">
        <f aca="true">IF(AB$5=0,AA175,MAX(0,(AA175-AB$4)*(1+NORMINV(RAND(),INPUTS!$B$28,INPUTS!$B$29))))</f>
        <v>1235010.2805373</v>
      </c>
      <c r="AC175" s="89" t="n">
        <f aca="true">IF(AC$5=0,AB175,MAX(0,(AB175-AC$4)*(1+NORMINV(RAND(),INPUTS!$B$28,INPUTS!$B$29))))</f>
        <v>1257105.02707368</v>
      </c>
      <c r="AD175" s="89" t="n">
        <f aca="true">IF(AD$5=0,AC175,MAX(0,(AC175-AD$4)*(1+NORMINV(RAND(),INPUTS!$B$28,INPUTS!$B$29))))</f>
        <v>1192356.4160627</v>
      </c>
      <c r="AE175" s="89" t="n">
        <f aca="true">IF(AE$5=0,AD175,MAX(0,(AD175-AE$4)*(1+NORMINV(RAND(),INPUTS!$B$28,INPUTS!$B$29))))</f>
        <v>1290677.07965556</v>
      </c>
      <c r="AF175" s="89" t="n">
        <f aca="true">IF(AF$5=0,AE175,MAX(0,(AE175-AF$4)*(1+NORMINV(RAND(),INPUTS!$B$28,INPUTS!$B$29))))</f>
        <v>1554191.26786619</v>
      </c>
      <c r="AG175" s="89" t="n">
        <f aca="true">IF(AG$5=0,AF175,MAX(0,(AF175-AG$4)*(1+NORMINV(RAND(),INPUTS!$B$28,INPUTS!$B$29))))</f>
        <v>1478880.40576696</v>
      </c>
      <c r="AH175" s="89" t="n">
        <f aca="true">IF(AH$5=0,AG175,MAX(0,(AG175-AH$4)*(1+NORMINV(RAND(),INPUTS!$B$28,INPUTS!$B$29))))</f>
        <v>1552957.82742515</v>
      </c>
      <c r="AI175" s="89" t="n">
        <f aca="true">IF(AI$5=0,AH175,MAX(0,(AH175-AI$4)*(1+NORMINV(RAND(),INPUTS!$B$28,INPUTS!$B$29))))</f>
        <v>1739758.20939742</v>
      </c>
      <c r="AJ175" s="89" t="n">
        <f aca="true">IF(AJ$5=0,AI175,MAX(0,(AI175-AJ$4)*(1+NORMINV(RAND(),INPUTS!$B$28,INPUTS!$B$29))))</f>
        <v>1677061.71759214</v>
      </c>
      <c r="AK175" s="89" t="n">
        <f aca="true">IF(AK$5=0,AJ175,MAX(0,(AJ175-AK$4)*(1+NORMINV(RAND(),INPUTS!$B$28,INPUTS!$B$29))))</f>
        <v>1899197.20120179</v>
      </c>
      <c r="AL175" s="89" t="n">
        <f aca="true">IF(AL$5=0,AK175,MAX(0,(AK175-AL$4)*(1+NORMINV(RAND(),INPUTS!$B$28,INPUTS!$B$29))))</f>
        <v>1790398.85323268</v>
      </c>
      <c r="AM175" s="89" t="n">
        <f aca="true">IF(AM$5=0,AL175,MAX(0,(AL175-AM$4)*(1+NORMINV(RAND(),INPUTS!$B$28,INPUTS!$B$29))))</f>
        <v>1790398.85323268</v>
      </c>
      <c r="AN175" s="89" t="n">
        <f aca="true">IF(AN$5=0,AM175,MAX(0,(AM175-AN$4)*(1+NORMINV(RAND(),INPUTS!$B$28,INPUTS!$B$29))))</f>
        <v>1790398.85323268</v>
      </c>
      <c r="AO175" s="89" t="n">
        <f aca="true">IF(AO$5=0,AN175,MAX(0,(AN175-AO$4)*(1+NORMINV(RAND(),INPUTS!$B$28,INPUTS!$B$29))))</f>
        <v>1790398.85323268</v>
      </c>
      <c r="AP175" s="89" t="n">
        <f aca="true">IF(AP$5=0,AO175,MAX(0,(AO175-AP$4)*(1+NORMINV(RAND(),INPUTS!$B$28,INPUTS!$B$29))))</f>
        <v>1790398.85323268</v>
      </c>
      <c r="AQ175" s="89" t="n">
        <f aca="true">IF(AQ$5=0,AP175,MAX(0,(AP175-AQ$4)*(1+NORMINV(RAND(),INPUTS!$B$28,INPUTS!$B$29))))</f>
        <v>1790398.85323268</v>
      </c>
      <c r="AR175" s="89" t="n">
        <f aca="true">IF(AR$5=0,AQ175,MAX(0,(AQ175-AR$4)*(1+NORMINV(RAND(),INPUTS!$B$28,INPUTS!$B$29))))</f>
        <v>1790398.85323268</v>
      </c>
      <c r="AS175" s="89" t="n">
        <f aca="true">IF(AS$5=0,AR175,MAX(0,(AR175-AS$4)*(1+NORMINV(RAND(),INPUTS!$B$28,INPUTS!$B$29))))</f>
        <v>1790398.85323268</v>
      </c>
      <c r="AT175" s="89" t="n">
        <f aca="true">IF(AT$5=0,AS175,MAX(0,(AS175-AT$4)*(1+NORMINV(RAND(),INPUTS!$B$28,INPUTS!$B$29))))</f>
        <v>1790398.85323268</v>
      </c>
      <c r="AU175" s="89" t="n">
        <f aca="true">IF(AU$5=0,AT175,MAX(0,(AT175-AU$4)*(1+NORMINV(RAND(),INPUTS!$B$28,INPUTS!$B$29))))</f>
        <v>1790398.85323268</v>
      </c>
      <c r="AV175" s="89" t="n">
        <f aca="true">IF(AV$5=0,AU175,MAX(0,(AU175-AV$4)*(1+NORMINV(RAND(),INPUTS!$B$28,INPUTS!$B$29))))</f>
        <v>1790398.85323268</v>
      </c>
      <c r="AW175" s="89" t="n">
        <f aca="true">IF(AW$5=0,AV175,MAX(0,(AV175-AW$4)*(1+NORMINV(RAND(),INPUTS!$B$28,INPUTS!$B$29))))</f>
        <v>1790398.85323268</v>
      </c>
      <c r="AX175" s="89" t="n">
        <f aca="true">IF(AX$5=0,AW175,MAX(0,(AW175-AX$4)*(1+NORMINV(RAND(),INPUTS!$B$28,INPUTS!$B$29))))</f>
        <v>1790398.85323268</v>
      </c>
      <c r="AY175" s="89" t="n">
        <f aca="true">IF(AY$5=0,AX175,MAX(0,(AX175-AY$4)*(1+NORMINV(RAND(),INPUTS!$B$28,INPUTS!$B$29))))</f>
        <v>1790398.85323268</v>
      </c>
      <c r="AZ175" s="89" t="n">
        <f aca="true">IF(AZ$5=0,AY175,MAX(0,(AY175-AZ$4)*(1+NORMINV(RAND(),INPUTS!$B$28,INPUTS!$B$29))))</f>
        <v>1790398.85323268</v>
      </c>
      <c r="BA175" s="89" t="n">
        <f aca="true">IF(BA$5=0,AZ175,MAX(0,(AZ175-BA$4)*(1+NORMINV(RAND(),INPUTS!$B$28,INPUTS!$B$29))))</f>
        <v>1790398.85323268</v>
      </c>
      <c r="BB175" s="89" t="n">
        <f aca="true">IF(BB$5=0,BA175,MAX(0,(BA175-BB$4)*(1+NORMINV(RAND(),INPUTS!$B$28,INPUTS!$B$29))))</f>
        <v>1790398.85323268</v>
      </c>
      <c r="BC175" s="89" t="n">
        <f aca="true">IF(BC$5=0,BB175,MAX(0,(BB175-BC$4)*(1+NORMINV(RAND(),INPUTS!$B$28,INPUTS!$B$29))))</f>
        <v>1790398.85323268</v>
      </c>
      <c r="BD175" s="89" t="n">
        <f aca="true">IF(BD$5=0,BC175,MAX(0,(BC175-BD$4)*(1+NORMINV(RAND(),INPUTS!$B$28,INPUTS!$B$29))))</f>
        <v>1790398.85323268</v>
      </c>
      <c r="BE175" s="89" t="n">
        <f aca="true">IF(BE$5=0,BD175,MAX(0,(BD175-BE$4)*(1+NORMINV(RAND(),INPUTS!$B$28,INPUTS!$B$29))))</f>
        <v>1790398.85323268</v>
      </c>
      <c r="BF175" s="89" t="n">
        <f aca="true">IF(BF$5=0,BE175,MAX(0,(BE175-BF$4)*(1+NORMINV(RAND(),INPUTS!$B$28,INPUTS!$B$29))))</f>
        <v>1790398.85323268</v>
      </c>
      <c r="BG175" s="89" t="n">
        <f aca="true">IF(BG$5=0,BF175,MAX(0,(BF175-BG$4)*(1+NORMINV(RAND(),INPUTS!$B$28,INPUTS!$B$29))))</f>
        <v>1790398.85323268</v>
      </c>
      <c r="BH175" s="89" t="n">
        <f aca="true">IF(BH$5=0,BG175,MAX(0,(BG175-BH$4)*(1+NORMINV(RAND(),INPUTS!$B$28,INPUTS!$B$29))))</f>
        <v>1790398.85323268</v>
      </c>
      <c r="BI175" s="89" t="n">
        <f aca="true">IF(BI$5=0,BH175,MAX(0,(BH175-BI$4)*(1+NORMINV(RAND(),INPUTS!$B$28,INPUTS!$B$29))))</f>
        <v>1790398.85323268</v>
      </c>
      <c r="BJ175" s="89" t="n">
        <f aca="true">IF(BJ$5=0,BI175,MAX(0,(BI175-BJ$4)*(1+NORMINV(RAND(),INPUTS!$B$28,INPUTS!$B$29))))</f>
        <v>1790398.85323268</v>
      </c>
    </row>
    <row r="176" customFormat="false" ht="15" hidden="false" customHeight="true" outlineLevel="0" collapsed="false">
      <c r="A176" s="87" t="n">
        <v>169</v>
      </c>
      <c r="B176" s="88" t="n">
        <f aca="false">LOOKUP(9.99E+307,C176:BJ176)</f>
        <v>2545704.27321442</v>
      </c>
      <c r="C176" s="89" t="n">
        <f aca="true">IF(C$5=0,INPUTS!$B$35,MAX(0,(INPUTS!$B$35-C$4)*(1+NORMINV(RAND(),INPUTS!$B$28,INPUTS!$B$29))))</f>
        <v>1559594.84648382</v>
      </c>
      <c r="D176" s="89" t="n">
        <f aca="true">IF(D$5=0,C176,MAX(0,(C176-D$4)*(1+NORMINV(RAND(),INPUTS!$B$28,INPUTS!$B$29))))</f>
        <v>1593897.0814571</v>
      </c>
      <c r="E176" s="89" t="n">
        <f aca="true">IF(E$5=0,D176,MAX(0,(D176-E$4)*(1+NORMINV(RAND(),INPUTS!$B$28,INPUTS!$B$29))))</f>
        <v>1825113.81993215</v>
      </c>
      <c r="F176" s="89" t="n">
        <f aca="true">IF(F$5=0,E176,MAX(0,(E176-F$4)*(1+NORMINV(RAND(),INPUTS!$B$28,INPUTS!$B$29))))</f>
        <v>2040038.69440972</v>
      </c>
      <c r="G176" s="89" t="n">
        <f aca="true">IF(G$5=0,F176,MAX(0,(F176-G$4)*(1+NORMINV(RAND(),INPUTS!$B$28,INPUTS!$B$29))))</f>
        <v>2581081.24200305</v>
      </c>
      <c r="H176" s="89" t="n">
        <f aca="true">IF(H$5=0,G176,MAX(0,(G176-H$4)*(1+NORMINV(RAND(),INPUTS!$B$28,INPUTS!$B$29))))</f>
        <v>2223882.98737283</v>
      </c>
      <c r="I176" s="89" t="n">
        <f aca="true">IF(I$5=0,H176,MAX(0,(H176-I$4)*(1+NORMINV(RAND(),INPUTS!$B$28,INPUTS!$B$29))))</f>
        <v>2401519.67270927</v>
      </c>
      <c r="J176" s="89" t="n">
        <f aca="true">IF(J$5=0,I176,MAX(0,(I176-J$4)*(1+NORMINV(RAND(),INPUTS!$B$28,INPUTS!$B$29))))</f>
        <v>2361543.71331076</v>
      </c>
      <c r="K176" s="89" t="n">
        <f aca="true">IF(K$5=0,J176,MAX(0,(J176-K$4)*(1+NORMINV(RAND(),INPUTS!$B$28,INPUTS!$B$29))))</f>
        <v>2506531.25542724</v>
      </c>
      <c r="L176" s="89" t="n">
        <f aca="true">IF(L$5=0,K176,MAX(0,(K176-L$4)*(1+NORMINV(RAND(),INPUTS!$B$28,INPUTS!$B$29))))</f>
        <v>2775677.0786675</v>
      </c>
      <c r="M176" s="89" t="n">
        <f aca="true">IF(M$5=0,L176,MAX(0,(L176-M$4)*(1+NORMINV(RAND(),INPUTS!$B$28,INPUTS!$B$29))))</f>
        <v>2133675.49552412</v>
      </c>
      <c r="N176" s="89" t="n">
        <f aca="true">IF(N$5=0,M176,MAX(0,(M176-N$4)*(1+NORMINV(RAND(),INPUTS!$B$28,INPUTS!$B$29))))</f>
        <v>2653719.3446941</v>
      </c>
      <c r="O176" s="89" t="n">
        <f aca="true">IF(O$5=0,N176,MAX(0,(N176-O$4)*(1+NORMINV(RAND(),INPUTS!$B$28,INPUTS!$B$29))))</f>
        <v>2779892.98176171</v>
      </c>
      <c r="P176" s="89" t="n">
        <f aca="true">IF(P$5=0,O176,MAX(0,(O176-P$4)*(1+NORMINV(RAND(),INPUTS!$B$28,INPUTS!$B$29))))</f>
        <v>2238059.451115</v>
      </c>
      <c r="Q176" s="89" t="n">
        <f aca="true">IF(Q$5=0,P176,MAX(0,(P176-Q$4)*(1+NORMINV(RAND(),INPUTS!$B$28,INPUTS!$B$29))))</f>
        <v>1756181.31283777</v>
      </c>
      <c r="R176" s="89" t="n">
        <f aca="true">IF(R$5=0,Q176,MAX(0,(Q176-R$4)*(1+NORMINV(RAND(),INPUTS!$B$28,INPUTS!$B$29))))</f>
        <v>1669590.70969208</v>
      </c>
      <c r="S176" s="89" t="n">
        <f aca="true">IF(S$5=0,R176,MAX(0,(R176-S$4)*(1+NORMINV(RAND(),INPUTS!$B$28,INPUTS!$B$29))))</f>
        <v>1918797.31851666</v>
      </c>
      <c r="T176" s="89" t="n">
        <f aca="true">IF(T$5=0,S176,MAX(0,(S176-T$4)*(1+NORMINV(RAND(),INPUTS!$B$28,INPUTS!$B$29))))</f>
        <v>1993526.52796215</v>
      </c>
      <c r="U176" s="89" t="n">
        <f aca="true">IF(U$5=0,T176,MAX(0,(T176-U$4)*(1+NORMINV(RAND(),INPUTS!$B$28,INPUTS!$B$29))))</f>
        <v>1973463.78939903</v>
      </c>
      <c r="V176" s="89" t="n">
        <f aca="true">IF(V$5=0,U176,MAX(0,(U176-V$4)*(1+NORMINV(RAND(),INPUTS!$B$28,INPUTS!$B$29))))</f>
        <v>2485866.42644612</v>
      </c>
      <c r="W176" s="89" t="n">
        <f aca="true">IF(W$5=0,V176,MAX(0,(V176-W$4)*(1+NORMINV(RAND(),INPUTS!$B$28,INPUTS!$B$29))))</f>
        <v>2508654.40399696</v>
      </c>
      <c r="X176" s="89" t="n">
        <f aca="true">IF(X$5=0,W176,MAX(0,(W176-X$4)*(1+NORMINV(RAND(),INPUTS!$B$28,INPUTS!$B$29))))</f>
        <v>2901793.26055584</v>
      </c>
      <c r="Y176" s="89" t="n">
        <f aca="true">IF(Y$5=0,X176,MAX(0,(X176-Y$4)*(1+NORMINV(RAND(),INPUTS!$B$28,INPUTS!$B$29))))</f>
        <v>2411857.64927184</v>
      </c>
      <c r="Z176" s="89" t="n">
        <f aca="true">IF(Z$5=0,Y176,MAX(0,(Y176-Z$4)*(1+NORMINV(RAND(),INPUTS!$B$28,INPUTS!$B$29))))</f>
        <v>2197690.31324813</v>
      </c>
      <c r="AA176" s="89" t="n">
        <f aca="true">IF(AA$5=0,Z176,MAX(0,(Z176-AA$4)*(1+NORMINV(RAND(),INPUTS!$B$28,INPUTS!$B$29))))</f>
        <v>1872371.35847773</v>
      </c>
      <c r="AB176" s="89" t="n">
        <f aca="true">IF(AB$5=0,AA176,MAX(0,(AA176-AB$4)*(1+NORMINV(RAND(),INPUTS!$B$28,INPUTS!$B$29))))</f>
        <v>1877066.31916937</v>
      </c>
      <c r="AC176" s="89" t="n">
        <f aca="true">IF(AC$5=0,AB176,MAX(0,(AB176-AC$4)*(1+NORMINV(RAND(),INPUTS!$B$28,INPUTS!$B$29))))</f>
        <v>2208720.78456133</v>
      </c>
      <c r="AD176" s="89" t="n">
        <f aca="true">IF(AD$5=0,AC176,MAX(0,(AC176-AD$4)*(1+NORMINV(RAND(),INPUTS!$B$28,INPUTS!$B$29))))</f>
        <v>2190627.88460593</v>
      </c>
      <c r="AE176" s="89" t="n">
        <f aca="true">IF(AE$5=0,AD176,MAX(0,(AD176-AE$4)*(1+NORMINV(RAND(),INPUTS!$B$28,INPUTS!$B$29))))</f>
        <v>2040571.41117617</v>
      </c>
      <c r="AF176" s="89" t="n">
        <f aca="true">IF(AF$5=0,AE176,MAX(0,(AE176-AF$4)*(1+NORMINV(RAND(),INPUTS!$B$28,INPUTS!$B$29))))</f>
        <v>1795013.86206717</v>
      </c>
      <c r="AG176" s="89" t="n">
        <f aca="true">IF(AG$5=0,AF176,MAX(0,(AF176-AG$4)*(1+NORMINV(RAND(),INPUTS!$B$28,INPUTS!$B$29))))</f>
        <v>1796919.32750948</v>
      </c>
      <c r="AH176" s="89" t="n">
        <f aca="true">IF(AH$5=0,AG176,MAX(0,(AG176-AH$4)*(1+NORMINV(RAND(),INPUTS!$B$28,INPUTS!$B$29))))</f>
        <v>1966326.08460882</v>
      </c>
      <c r="AI176" s="89" t="n">
        <f aca="true">IF(AI$5=0,AH176,MAX(0,(AH176-AI$4)*(1+NORMINV(RAND(),INPUTS!$B$28,INPUTS!$B$29))))</f>
        <v>1948312.52572452</v>
      </c>
      <c r="AJ176" s="89" t="n">
        <f aca="true">IF(AJ$5=0,AI176,MAX(0,(AI176-AJ$4)*(1+NORMINV(RAND(),INPUTS!$B$28,INPUTS!$B$29))))</f>
        <v>2114399.87473103</v>
      </c>
      <c r="AK176" s="89" t="n">
        <f aca="true">IF(AK$5=0,AJ176,MAX(0,(AJ176-AK$4)*(1+NORMINV(RAND(),INPUTS!$B$28,INPUTS!$B$29))))</f>
        <v>2412637.92757312</v>
      </c>
      <c r="AL176" s="89" t="n">
        <f aca="true">IF(AL$5=0,AK176,MAX(0,(AK176-AL$4)*(1+NORMINV(RAND(),INPUTS!$B$28,INPUTS!$B$29))))</f>
        <v>2545704.27321442</v>
      </c>
      <c r="AM176" s="89" t="n">
        <f aca="true">IF(AM$5=0,AL176,MAX(0,(AL176-AM$4)*(1+NORMINV(RAND(),INPUTS!$B$28,INPUTS!$B$29))))</f>
        <v>2545704.27321442</v>
      </c>
      <c r="AN176" s="89" t="n">
        <f aca="true">IF(AN$5=0,AM176,MAX(0,(AM176-AN$4)*(1+NORMINV(RAND(),INPUTS!$B$28,INPUTS!$B$29))))</f>
        <v>2545704.27321442</v>
      </c>
      <c r="AO176" s="89" t="n">
        <f aca="true">IF(AO$5=0,AN176,MAX(0,(AN176-AO$4)*(1+NORMINV(RAND(),INPUTS!$B$28,INPUTS!$B$29))))</f>
        <v>2545704.27321442</v>
      </c>
      <c r="AP176" s="89" t="n">
        <f aca="true">IF(AP$5=0,AO176,MAX(0,(AO176-AP$4)*(1+NORMINV(RAND(),INPUTS!$B$28,INPUTS!$B$29))))</f>
        <v>2545704.27321442</v>
      </c>
      <c r="AQ176" s="89" t="n">
        <f aca="true">IF(AQ$5=0,AP176,MAX(0,(AP176-AQ$4)*(1+NORMINV(RAND(),INPUTS!$B$28,INPUTS!$B$29))))</f>
        <v>2545704.27321442</v>
      </c>
      <c r="AR176" s="89" t="n">
        <f aca="true">IF(AR$5=0,AQ176,MAX(0,(AQ176-AR$4)*(1+NORMINV(RAND(),INPUTS!$B$28,INPUTS!$B$29))))</f>
        <v>2545704.27321442</v>
      </c>
      <c r="AS176" s="89" t="n">
        <f aca="true">IF(AS$5=0,AR176,MAX(0,(AR176-AS$4)*(1+NORMINV(RAND(),INPUTS!$B$28,INPUTS!$B$29))))</f>
        <v>2545704.27321442</v>
      </c>
      <c r="AT176" s="89" t="n">
        <f aca="true">IF(AT$5=0,AS176,MAX(0,(AS176-AT$4)*(1+NORMINV(RAND(),INPUTS!$B$28,INPUTS!$B$29))))</f>
        <v>2545704.27321442</v>
      </c>
      <c r="AU176" s="89" t="n">
        <f aca="true">IF(AU$5=0,AT176,MAX(0,(AT176-AU$4)*(1+NORMINV(RAND(),INPUTS!$B$28,INPUTS!$B$29))))</f>
        <v>2545704.27321442</v>
      </c>
      <c r="AV176" s="89" t="n">
        <f aca="true">IF(AV$5=0,AU176,MAX(0,(AU176-AV$4)*(1+NORMINV(RAND(),INPUTS!$B$28,INPUTS!$B$29))))</f>
        <v>2545704.27321442</v>
      </c>
      <c r="AW176" s="89" t="n">
        <f aca="true">IF(AW$5=0,AV176,MAX(0,(AV176-AW$4)*(1+NORMINV(RAND(),INPUTS!$B$28,INPUTS!$B$29))))</f>
        <v>2545704.27321442</v>
      </c>
      <c r="AX176" s="89" t="n">
        <f aca="true">IF(AX$5=0,AW176,MAX(0,(AW176-AX$4)*(1+NORMINV(RAND(),INPUTS!$B$28,INPUTS!$B$29))))</f>
        <v>2545704.27321442</v>
      </c>
      <c r="AY176" s="89" t="n">
        <f aca="true">IF(AY$5=0,AX176,MAX(0,(AX176-AY$4)*(1+NORMINV(RAND(),INPUTS!$B$28,INPUTS!$B$29))))</f>
        <v>2545704.27321442</v>
      </c>
      <c r="AZ176" s="89" t="n">
        <f aca="true">IF(AZ$5=0,AY176,MAX(0,(AY176-AZ$4)*(1+NORMINV(RAND(),INPUTS!$B$28,INPUTS!$B$29))))</f>
        <v>2545704.27321442</v>
      </c>
      <c r="BA176" s="89" t="n">
        <f aca="true">IF(BA$5=0,AZ176,MAX(0,(AZ176-BA$4)*(1+NORMINV(RAND(),INPUTS!$B$28,INPUTS!$B$29))))</f>
        <v>2545704.27321442</v>
      </c>
      <c r="BB176" s="89" t="n">
        <f aca="true">IF(BB$5=0,BA176,MAX(0,(BA176-BB$4)*(1+NORMINV(RAND(),INPUTS!$B$28,INPUTS!$B$29))))</f>
        <v>2545704.27321442</v>
      </c>
      <c r="BC176" s="89" t="n">
        <f aca="true">IF(BC$5=0,BB176,MAX(0,(BB176-BC$4)*(1+NORMINV(RAND(),INPUTS!$B$28,INPUTS!$B$29))))</f>
        <v>2545704.27321442</v>
      </c>
      <c r="BD176" s="89" t="n">
        <f aca="true">IF(BD$5=0,BC176,MAX(0,(BC176-BD$4)*(1+NORMINV(RAND(),INPUTS!$B$28,INPUTS!$B$29))))</f>
        <v>2545704.27321442</v>
      </c>
      <c r="BE176" s="89" t="n">
        <f aca="true">IF(BE$5=0,BD176,MAX(0,(BD176-BE$4)*(1+NORMINV(RAND(),INPUTS!$B$28,INPUTS!$B$29))))</f>
        <v>2545704.27321442</v>
      </c>
      <c r="BF176" s="89" t="n">
        <f aca="true">IF(BF$5=0,BE176,MAX(0,(BE176-BF$4)*(1+NORMINV(RAND(),INPUTS!$B$28,INPUTS!$B$29))))</f>
        <v>2545704.27321442</v>
      </c>
      <c r="BG176" s="89" t="n">
        <f aca="true">IF(BG$5=0,BF176,MAX(0,(BF176-BG$4)*(1+NORMINV(RAND(),INPUTS!$B$28,INPUTS!$B$29))))</f>
        <v>2545704.27321442</v>
      </c>
      <c r="BH176" s="89" t="n">
        <f aca="true">IF(BH$5=0,BG176,MAX(0,(BG176-BH$4)*(1+NORMINV(RAND(),INPUTS!$B$28,INPUTS!$B$29))))</f>
        <v>2545704.27321442</v>
      </c>
      <c r="BI176" s="89" t="n">
        <f aca="true">IF(BI$5=0,BH176,MAX(0,(BH176-BI$4)*(1+NORMINV(RAND(),INPUTS!$B$28,INPUTS!$B$29))))</f>
        <v>2545704.27321442</v>
      </c>
      <c r="BJ176" s="89" t="n">
        <f aca="true">IF(BJ$5=0,BI176,MAX(0,(BI176-BJ$4)*(1+NORMINV(RAND(),INPUTS!$B$28,INPUTS!$B$29))))</f>
        <v>2545704.27321442</v>
      </c>
    </row>
    <row r="177" customFormat="false" ht="15" hidden="false" customHeight="true" outlineLevel="0" collapsed="false">
      <c r="A177" s="87" t="n">
        <v>170</v>
      </c>
      <c r="B177" s="88" t="n">
        <f aca="false">LOOKUP(9.99E+307,C177:BJ177)</f>
        <v>3536853.51960283</v>
      </c>
      <c r="C177" s="89" t="n">
        <f aca="true">IF(C$5=0,INPUTS!$B$35,MAX(0,(INPUTS!$B$35-C$4)*(1+NORMINV(RAND(),INPUTS!$B$28,INPUTS!$B$29))))</f>
        <v>1573237.44271398</v>
      </c>
      <c r="D177" s="89" t="n">
        <f aca="true">IF(D$5=0,C177,MAX(0,(C177-D$4)*(1+NORMINV(RAND(),INPUTS!$B$28,INPUTS!$B$29))))</f>
        <v>1569805.97372577</v>
      </c>
      <c r="E177" s="89" t="n">
        <f aca="true">IF(E$5=0,D177,MAX(0,(D177-E$4)*(1+NORMINV(RAND(),INPUTS!$B$28,INPUTS!$B$29))))</f>
        <v>1637679.51505483</v>
      </c>
      <c r="F177" s="89" t="n">
        <f aca="true">IF(F$5=0,E177,MAX(0,(E177-F$4)*(1+NORMINV(RAND(),INPUTS!$B$28,INPUTS!$B$29))))</f>
        <v>1864009.6359102</v>
      </c>
      <c r="G177" s="89" t="n">
        <f aca="true">IF(G$5=0,F177,MAX(0,(F177-G$4)*(1+NORMINV(RAND(),INPUTS!$B$28,INPUTS!$B$29))))</f>
        <v>2163795.80717932</v>
      </c>
      <c r="H177" s="89" t="n">
        <f aca="true">IF(H$5=0,G177,MAX(0,(G177-H$4)*(1+NORMINV(RAND(),INPUTS!$B$28,INPUTS!$B$29))))</f>
        <v>2574170.55948719</v>
      </c>
      <c r="I177" s="89" t="n">
        <f aca="true">IF(I$5=0,H177,MAX(0,(H177-I$4)*(1+NORMINV(RAND(),INPUTS!$B$28,INPUTS!$B$29))))</f>
        <v>2429606.27353678</v>
      </c>
      <c r="J177" s="89" t="n">
        <f aca="true">IF(J$5=0,I177,MAX(0,(I177-J$4)*(1+NORMINV(RAND(),INPUTS!$B$28,INPUTS!$B$29))))</f>
        <v>2495345.09998728</v>
      </c>
      <c r="K177" s="89" t="n">
        <f aca="true">IF(K$5=0,J177,MAX(0,(J177-K$4)*(1+NORMINV(RAND(),INPUTS!$B$28,INPUTS!$B$29))))</f>
        <v>2344049.55929367</v>
      </c>
      <c r="L177" s="89" t="n">
        <f aca="true">IF(L$5=0,K177,MAX(0,(K177-L$4)*(1+NORMINV(RAND(),INPUTS!$B$28,INPUTS!$B$29))))</f>
        <v>2182400.16743415</v>
      </c>
      <c r="M177" s="89" t="n">
        <f aca="true">IF(M$5=0,L177,MAX(0,(L177-M$4)*(1+NORMINV(RAND(),INPUTS!$B$28,INPUTS!$B$29))))</f>
        <v>2747081.72383273</v>
      </c>
      <c r="N177" s="89" t="n">
        <f aca="true">IF(N$5=0,M177,MAX(0,(M177-N$4)*(1+NORMINV(RAND(),INPUTS!$B$28,INPUTS!$B$29))))</f>
        <v>2351030.09397357</v>
      </c>
      <c r="O177" s="89" t="n">
        <f aca="true">IF(O$5=0,N177,MAX(0,(N177-O$4)*(1+NORMINV(RAND(),INPUTS!$B$28,INPUTS!$B$29))))</f>
        <v>2452251.28893559</v>
      </c>
      <c r="P177" s="89" t="n">
        <f aca="true">IF(P$5=0,O177,MAX(0,(O177-P$4)*(1+NORMINV(RAND(),INPUTS!$B$28,INPUTS!$B$29))))</f>
        <v>2287536.23535971</v>
      </c>
      <c r="Q177" s="89" t="n">
        <f aca="true">IF(Q$5=0,P177,MAX(0,(P177-Q$4)*(1+NORMINV(RAND(),INPUTS!$B$28,INPUTS!$B$29))))</f>
        <v>2339360.07861484</v>
      </c>
      <c r="R177" s="89" t="n">
        <f aca="true">IF(R$5=0,Q177,MAX(0,(Q177-R$4)*(1+NORMINV(RAND(),INPUTS!$B$28,INPUTS!$B$29))))</f>
        <v>2454657.82661551</v>
      </c>
      <c r="S177" s="89" t="n">
        <f aca="true">IF(S$5=0,R177,MAX(0,(R177-S$4)*(1+NORMINV(RAND(),INPUTS!$B$28,INPUTS!$B$29))))</f>
        <v>2748889.95617411</v>
      </c>
      <c r="T177" s="89" t="n">
        <f aca="true">IF(T$5=0,S177,MAX(0,(S177-T$4)*(1+NORMINV(RAND(),INPUTS!$B$28,INPUTS!$B$29))))</f>
        <v>2646184.78585033</v>
      </c>
      <c r="U177" s="89" t="n">
        <f aca="true">IF(U$5=0,T177,MAX(0,(T177-U$4)*(1+NORMINV(RAND(),INPUTS!$B$28,INPUTS!$B$29))))</f>
        <v>2935085.03360681</v>
      </c>
      <c r="V177" s="89" t="n">
        <f aca="true">IF(V$5=0,U177,MAX(0,(U177-V$4)*(1+NORMINV(RAND(),INPUTS!$B$28,INPUTS!$B$29))))</f>
        <v>3187161.99361158</v>
      </c>
      <c r="W177" s="89" t="n">
        <f aca="true">IF(W$5=0,V177,MAX(0,(V177-W$4)*(1+NORMINV(RAND(),INPUTS!$B$28,INPUTS!$B$29))))</f>
        <v>3108763.97132458</v>
      </c>
      <c r="X177" s="89" t="n">
        <f aca="true">IF(X$5=0,W177,MAX(0,(W177-X$4)*(1+NORMINV(RAND(),INPUTS!$B$28,INPUTS!$B$29))))</f>
        <v>2710561.93993215</v>
      </c>
      <c r="Y177" s="89" t="n">
        <f aca="true">IF(Y$5=0,X177,MAX(0,(X177-Y$4)*(1+NORMINV(RAND(),INPUTS!$B$28,INPUTS!$B$29))))</f>
        <v>3037021.75502005</v>
      </c>
      <c r="Z177" s="89" t="n">
        <f aca="true">IF(Z$5=0,Y177,MAX(0,(Y177-Z$4)*(1+NORMINV(RAND(),INPUTS!$B$28,INPUTS!$B$29))))</f>
        <v>2902930.4032313</v>
      </c>
      <c r="AA177" s="89" t="n">
        <f aca="true">IF(AA$5=0,Z177,MAX(0,(Z177-AA$4)*(1+NORMINV(RAND(),INPUTS!$B$28,INPUTS!$B$29))))</f>
        <v>2668803.9821832</v>
      </c>
      <c r="AB177" s="89" t="n">
        <f aca="true">IF(AB$5=0,AA177,MAX(0,(AA177-AB$4)*(1+NORMINV(RAND(),INPUTS!$B$28,INPUTS!$B$29))))</f>
        <v>2829241.98100519</v>
      </c>
      <c r="AC177" s="89" t="n">
        <f aca="true">IF(AC$5=0,AB177,MAX(0,(AB177-AC$4)*(1+NORMINV(RAND(),INPUTS!$B$28,INPUTS!$B$29))))</f>
        <v>3220689.06392062</v>
      </c>
      <c r="AD177" s="89" t="n">
        <f aca="true">IF(AD$5=0,AC177,MAX(0,(AC177-AD$4)*(1+NORMINV(RAND(),INPUTS!$B$28,INPUTS!$B$29))))</f>
        <v>2775230.8841844</v>
      </c>
      <c r="AE177" s="89" t="n">
        <f aca="true">IF(AE$5=0,AD177,MAX(0,(AD177-AE$4)*(1+NORMINV(RAND(),INPUTS!$B$28,INPUTS!$B$29))))</f>
        <v>2798005.01127097</v>
      </c>
      <c r="AF177" s="89" t="n">
        <f aca="true">IF(AF$5=0,AE177,MAX(0,(AE177-AF$4)*(1+NORMINV(RAND(),INPUTS!$B$28,INPUTS!$B$29))))</f>
        <v>3097417.64604922</v>
      </c>
      <c r="AG177" s="89" t="n">
        <f aca="true">IF(AG$5=0,AF177,MAX(0,(AF177-AG$4)*(1+NORMINV(RAND(),INPUTS!$B$28,INPUTS!$B$29))))</f>
        <v>2731423.91020823</v>
      </c>
      <c r="AH177" s="89" t="n">
        <f aca="true">IF(AH$5=0,AG177,MAX(0,(AG177-AH$4)*(1+NORMINV(RAND(),INPUTS!$B$28,INPUTS!$B$29))))</f>
        <v>3059088.38221497</v>
      </c>
      <c r="AI177" s="89" t="n">
        <f aca="true">IF(AI$5=0,AH177,MAX(0,(AH177-AI$4)*(1+NORMINV(RAND(),INPUTS!$B$28,INPUTS!$B$29))))</f>
        <v>3907628.6411183</v>
      </c>
      <c r="AJ177" s="89" t="n">
        <f aca="true">IF(AJ$5=0,AI177,MAX(0,(AI177-AJ$4)*(1+NORMINV(RAND(),INPUTS!$B$28,INPUTS!$B$29))))</f>
        <v>4655580.2797557</v>
      </c>
      <c r="AK177" s="89" t="n">
        <f aca="true">IF(AK$5=0,AJ177,MAX(0,(AJ177-AK$4)*(1+NORMINV(RAND(),INPUTS!$B$28,INPUTS!$B$29))))</f>
        <v>4802113.23410759</v>
      </c>
      <c r="AL177" s="89" t="n">
        <f aca="true">IF(AL$5=0,AK177,MAX(0,(AK177-AL$4)*(1+NORMINV(RAND(),INPUTS!$B$28,INPUTS!$B$29))))</f>
        <v>3536853.51960283</v>
      </c>
      <c r="AM177" s="89" t="n">
        <f aca="true">IF(AM$5=0,AL177,MAX(0,(AL177-AM$4)*(1+NORMINV(RAND(),INPUTS!$B$28,INPUTS!$B$29))))</f>
        <v>3536853.51960283</v>
      </c>
      <c r="AN177" s="89" t="n">
        <f aca="true">IF(AN$5=0,AM177,MAX(0,(AM177-AN$4)*(1+NORMINV(RAND(),INPUTS!$B$28,INPUTS!$B$29))))</f>
        <v>3536853.51960283</v>
      </c>
      <c r="AO177" s="89" t="n">
        <f aca="true">IF(AO$5=0,AN177,MAX(0,(AN177-AO$4)*(1+NORMINV(RAND(),INPUTS!$B$28,INPUTS!$B$29))))</f>
        <v>3536853.51960283</v>
      </c>
      <c r="AP177" s="89" t="n">
        <f aca="true">IF(AP$5=0,AO177,MAX(0,(AO177-AP$4)*(1+NORMINV(RAND(),INPUTS!$B$28,INPUTS!$B$29))))</f>
        <v>3536853.51960283</v>
      </c>
      <c r="AQ177" s="89" t="n">
        <f aca="true">IF(AQ$5=0,AP177,MAX(0,(AP177-AQ$4)*(1+NORMINV(RAND(),INPUTS!$B$28,INPUTS!$B$29))))</f>
        <v>3536853.51960283</v>
      </c>
      <c r="AR177" s="89" t="n">
        <f aca="true">IF(AR$5=0,AQ177,MAX(0,(AQ177-AR$4)*(1+NORMINV(RAND(),INPUTS!$B$28,INPUTS!$B$29))))</f>
        <v>3536853.51960283</v>
      </c>
      <c r="AS177" s="89" t="n">
        <f aca="true">IF(AS$5=0,AR177,MAX(0,(AR177-AS$4)*(1+NORMINV(RAND(),INPUTS!$B$28,INPUTS!$B$29))))</f>
        <v>3536853.51960283</v>
      </c>
      <c r="AT177" s="89" t="n">
        <f aca="true">IF(AT$5=0,AS177,MAX(0,(AS177-AT$4)*(1+NORMINV(RAND(),INPUTS!$B$28,INPUTS!$B$29))))</f>
        <v>3536853.51960283</v>
      </c>
      <c r="AU177" s="89" t="n">
        <f aca="true">IF(AU$5=0,AT177,MAX(0,(AT177-AU$4)*(1+NORMINV(RAND(),INPUTS!$B$28,INPUTS!$B$29))))</f>
        <v>3536853.51960283</v>
      </c>
      <c r="AV177" s="89" t="n">
        <f aca="true">IF(AV$5=0,AU177,MAX(0,(AU177-AV$4)*(1+NORMINV(RAND(),INPUTS!$B$28,INPUTS!$B$29))))</f>
        <v>3536853.51960283</v>
      </c>
      <c r="AW177" s="89" t="n">
        <f aca="true">IF(AW$5=0,AV177,MAX(0,(AV177-AW$4)*(1+NORMINV(RAND(),INPUTS!$B$28,INPUTS!$B$29))))</f>
        <v>3536853.51960283</v>
      </c>
      <c r="AX177" s="89" t="n">
        <f aca="true">IF(AX$5=0,AW177,MAX(0,(AW177-AX$4)*(1+NORMINV(RAND(),INPUTS!$B$28,INPUTS!$B$29))))</f>
        <v>3536853.51960283</v>
      </c>
      <c r="AY177" s="89" t="n">
        <f aca="true">IF(AY$5=0,AX177,MAX(0,(AX177-AY$4)*(1+NORMINV(RAND(),INPUTS!$B$28,INPUTS!$B$29))))</f>
        <v>3536853.51960283</v>
      </c>
      <c r="AZ177" s="89" t="n">
        <f aca="true">IF(AZ$5=0,AY177,MAX(0,(AY177-AZ$4)*(1+NORMINV(RAND(),INPUTS!$B$28,INPUTS!$B$29))))</f>
        <v>3536853.51960283</v>
      </c>
      <c r="BA177" s="89" t="n">
        <f aca="true">IF(BA$5=0,AZ177,MAX(0,(AZ177-BA$4)*(1+NORMINV(RAND(),INPUTS!$B$28,INPUTS!$B$29))))</f>
        <v>3536853.51960283</v>
      </c>
      <c r="BB177" s="89" t="n">
        <f aca="true">IF(BB$5=0,BA177,MAX(0,(BA177-BB$4)*(1+NORMINV(RAND(),INPUTS!$B$28,INPUTS!$B$29))))</f>
        <v>3536853.51960283</v>
      </c>
      <c r="BC177" s="89" t="n">
        <f aca="true">IF(BC$5=0,BB177,MAX(0,(BB177-BC$4)*(1+NORMINV(RAND(),INPUTS!$B$28,INPUTS!$B$29))))</f>
        <v>3536853.51960283</v>
      </c>
      <c r="BD177" s="89" t="n">
        <f aca="true">IF(BD$5=0,BC177,MAX(0,(BC177-BD$4)*(1+NORMINV(RAND(),INPUTS!$B$28,INPUTS!$B$29))))</f>
        <v>3536853.51960283</v>
      </c>
      <c r="BE177" s="89" t="n">
        <f aca="true">IF(BE$5=0,BD177,MAX(0,(BD177-BE$4)*(1+NORMINV(RAND(),INPUTS!$B$28,INPUTS!$B$29))))</f>
        <v>3536853.51960283</v>
      </c>
      <c r="BF177" s="89" t="n">
        <f aca="true">IF(BF$5=0,BE177,MAX(0,(BE177-BF$4)*(1+NORMINV(RAND(),INPUTS!$B$28,INPUTS!$B$29))))</f>
        <v>3536853.51960283</v>
      </c>
      <c r="BG177" s="89" t="n">
        <f aca="true">IF(BG$5=0,BF177,MAX(0,(BF177-BG$4)*(1+NORMINV(RAND(),INPUTS!$B$28,INPUTS!$B$29))))</f>
        <v>3536853.51960283</v>
      </c>
      <c r="BH177" s="89" t="n">
        <f aca="true">IF(BH$5=0,BG177,MAX(0,(BG177-BH$4)*(1+NORMINV(RAND(),INPUTS!$B$28,INPUTS!$B$29))))</f>
        <v>3536853.51960283</v>
      </c>
      <c r="BI177" s="89" t="n">
        <f aca="true">IF(BI$5=0,BH177,MAX(0,(BH177-BI$4)*(1+NORMINV(RAND(),INPUTS!$B$28,INPUTS!$B$29))))</f>
        <v>3536853.51960283</v>
      </c>
      <c r="BJ177" s="89" t="n">
        <f aca="true">IF(BJ$5=0,BI177,MAX(0,(BI177-BJ$4)*(1+NORMINV(RAND(),INPUTS!$B$28,INPUTS!$B$29))))</f>
        <v>3536853.51960283</v>
      </c>
    </row>
    <row r="178" customFormat="false" ht="15" hidden="false" customHeight="true" outlineLevel="0" collapsed="false">
      <c r="A178" s="87" t="n">
        <v>171</v>
      </c>
      <c r="B178" s="88" t="n">
        <f aca="false">LOOKUP(9.99E+307,C178:BJ178)</f>
        <v>3693089.23394229</v>
      </c>
      <c r="C178" s="89" t="n">
        <f aca="true">IF(C$5=0,INPUTS!$B$35,MAX(0,(INPUTS!$B$35-C$4)*(1+NORMINV(RAND(),INPUTS!$B$28,INPUTS!$B$29))))</f>
        <v>1614289.55299461</v>
      </c>
      <c r="D178" s="89" t="n">
        <f aca="true">IF(D$5=0,C178,MAX(0,(C178-D$4)*(1+NORMINV(RAND(),INPUTS!$B$28,INPUTS!$B$29))))</f>
        <v>1728143.40476692</v>
      </c>
      <c r="E178" s="89" t="n">
        <f aca="true">IF(E$5=0,D178,MAX(0,(D178-E$4)*(1+NORMINV(RAND(),INPUTS!$B$28,INPUTS!$B$29))))</f>
        <v>1825407.97746268</v>
      </c>
      <c r="F178" s="89" t="n">
        <f aca="true">IF(F$5=0,E178,MAX(0,(E178-F$4)*(1+NORMINV(RAND(),INPUTS!$B$28,INPUTS!$B$29))))</f>
        <v>2080307.54920116</v>
      </c>
      <c r="G178" s="89" t="n">
        <f aca="true">IF(G$5=0,F178,MAX(0,(F178-G$4)*(1+NORMINV(RAND(),INPUTS!$B$28,INPUTS!$B$29))))</f>
        <v>2206190.41387521</v>
      </c>
      <c r="H178" s="89" t="n">
        <f aca="true">IF(H$5=0,G178,MAX(0,(G178-H$4)*(1+NORMINV(RAND(),INPUTS!$B$28,INPUTS!$B$29))))</f>
        <v>1658547.62027983</v>
      </c>
      <c r="I178" s="89" t="n">
        <f aca="true">IF(I$5=0,H178,MAX(0,(H178-I$4)*(1+NORMINV(RAND(),INPUTS!$B$28,INPUTS!$B$29))))</f>
        <v>1666528.30211776</v>
      </c>
      <c r="J178" s="89" t="n">
        <f aca="true">IF(J$5=0,I178,MAX(0,(I178-J$4)*(1+NORMINV(RAND(),INPUTS!$B$28,INPUTS!$B$29))))</f>
        <v>1721118.46834853</v>
      </c>
      <c r="K178" s="89" t="n">
        <f aca="true">IF(K$5=0,J178,MAX(0,(J178-K$4)*(1+NORMINV(RAND(),INPUTS!$B$28,INPUTS!$B$29))))</f>
        <v>2072108.30535961</v>
      </c>
      <c r="L178" s="89" t="n">
        <f aca="true">IF(L$5=0,K178,MAX(0,(K178-L$4)*(1+NORMINV(RAND(),INPUTS!$B$28,INPUTS!$B$29))))</f>
        <v>2230430.47921275</v>
      </c>
      <c r="M178" s="89" t="n">
        <f aca="true">IF(M$5=0,L178,MAX(0,(L178-M$4)*(1+NORMINV(RAND(),INPUTS!$B$28,INPUTS!$B$29))))</f>
        <v>2139813.36290098</v>
      </c>
      <c r="N178" s="89" t="n">
        <f aca="true">IF(N$5=0,M178,MAX(0,(M178-N$4)*(1+NORMINV(RAND(),INPUTS!$B$28,INPUTS!$B$29))))</f>
        <v>2225499.97152386</v>
      </c>
      <c r="O178" s="89" t="n">
        <f aca="true">IF(O$5=0,N178,MAX(0,(N178-O$4)*(1+NORMINV(RAND(),INPUTS!$B$28,INPUTS!$B$29))))</f>
        <v>2312545.84239214</v>
      </c>
      <c r="P178" s="89" t="n">
        <f aca="true">IF(P$5=0,O178,MAX(0,(O178-P$4)*(1+NORMINV(RAND(),INPUTS!$B$28,INPUTS!$B$29))))</f>
        <v>1685053.14484713</v>
      </c>
      <c r="Q178" s="89" t="n">
        <f aca="true">IF(Q$5=0,P178,MAX(0,(P178-Q$4)*(1+NORMINV(RAND(),INPUTS!$B$28,INPUTS!$B$29))))</f>
        <v>1546802.51130916</v>
      </c>
      <c r="R178" s="89" t="n">
        <f aca="true">IF(R$5=0,Q178,MAX(0,(Q178-R$4)*(1+NORMINV(RAND(),INPUTS!$B$28,INPUTS!$B$29))))</f>
        <v>1749521.69508668</v>
      </c>
      <c r="S178" s="89" t="n">
        <f aca="true">IF(S$5=0,R178,MAX(0,(R178-S$4)*(1+NORMINV(RAND(),INPUTS!$B$28,INPUTS!$B$29))))</f>
        <v>1836951.4508027</v>
      </c>
      <c r="T178" s="89" t="n">
        <f aca="true">IF(T$5=0,S178,MAX(0,(S178-T$4)*(1+NORMINV(RAND(),INPUTS!$B$28,INPUTS!$B$29))))</f>
        <v>1490735.3794008</v>
      </c>
      <c r="U178" s="89" t="n">
        <f aca="true">IF(U$5=0,T178,MAX(0,(T178-U$4)*(1+NORMINV(RAND(),INPUTS!$B$28,INPUTS!$B$29))))</f>
        <v>1489182.78431511</v>
      </c>
      <c r="V178" s="89" t="n">
        <f aca="true">IF(V$5=0,U178,MAX(0,(U178-V$4)*(1+NORMINV(RAND(),INPUTS!$B$28,INPUTS!$B$29))))</f>
        <v>1816075.64743866</v>
      </c>
      <c r="W178" s="89" t="n">
        <f aca="true">IF(W$5=0,V178,MAX(0,(V178-W$4)*(1+NORMINV(RAND(),INPUTS!$B$28,INPUTS!$B$29))))</f>
        <v>2098416.75320549</v>
      </c>
      <c r="X178" s="89" t="n">
        <f aca="true">IF(X$5=0,W178,MAX(0,(W178-X$4)*(1+NORMINV(RAND(),INPUTS!$B$28,INPUTS!$B$29))))</f>
        <v>2151900.22443002</v>
      </c>
      <c r="Y178" s="89" t="n">
        <f aca="true">IF(Y$5=0,X178,MAX(0,(X178-Y$4)*(1+NORMINV(RAND(),INPUTS!$B$28,INPUTS!$B$29))))</f>
        <v>2014476.61215721</v>
      </c>
      <c r="Z178" s="89" t="n">
        <f aca="true">IF(Z$5=0,Y178,MAX(0,(Y178-Z$4)*(1+NORMINV(RAND(),INPUTS!$B$28,INPUTS!$B$29))))</f>
        <v>2165610.60982724</v>
      </c>
      <c r="AA178" s="89" t="n">
        <f aca="true">IF(AA$5=0,Z178,MAX(0,(Z178-AA$4)*(1+NORMINV(RAND(),INPUTS!$B$28,INPUTS!$B$29))))</f>
        <v>2475732.97984651</v>
      </c>
      <c r="AB178" s="89" t="n">
        <f aca="true">IF(AB$5=0,AA178,MAX(0,(AA178-AB$4)*(1+NORMINV(RAND(),INPUTS!$B$28,INPUTS!$B$29))))</f>
        <v>2415866.51670893</v>
      </c>
      <c r="AC178" s="89" t="n">
        <f aca="true">IF(AC$5=0,AB178,MAX(0,(AB178-AC$4)*(1+NORMINV(RAND(),INPUTS!$B$28,INPUTS!$B$29))))</f>
        <v>2388092.02174514</v>
      </c>
      <c r="AD178" s="89" t="n">
        <f aca="true">IF(AD$5=0,AC178,MAX(0,(AC178-AD$4)*(1+NORMINV(RAND(),INPUTS!$B$28,INPUTS!$B$29))))</f>
        <v>2854748.13217518</v>
      </c>
      <c r="AE178" s="89" t="n">
        <f aca="true">IF(AE$5=0,AD178,MAX(0,(AD178-AE$4)*(1+NORMINV(RAND(),INPUTS!$B$28,INPUTS!$B$29))))</f>
        <v>2768677.14567953</v>
      </c>
      <c r="AF178" s="89" t="n">
        <f aca="true">IF(AF$5=0,AE178,MAX(0,(AE178-AF$4)*(1+NORMINV(RAND(),INPUTS!$B$28,INPUTS!$B$29))))</f>
        <v>3073285.30193818</v>
      </c>
      <c r="AG178" s="89" t="n">
        <f aca="true">IF(AG$5=0,AF178,MAX(0,(AF178-AG$4)*(1+NORMINV(RAND(),INPUTS!$B$28,INPUTS!$B$29))))</f>
        <v>3376563.75454579</v>
      </c>
      <c r="AH178" s="89" t="n">
        <f aca="true">IF(AH$5=0,AG178,MAX(0,(AG178-AH$4)*(1+NORMINV(RAND(),INPUTS!$B$28,INPUTS!$B$29))))</f>
        <v>3226324.43114636</v>
      </c>
      <c r="AI178" s="89" t="n">
        <f aca="true">IF(AI$5=0,AH178,MAX(0,(AH178-AI$4)*(1+NORMINV(RAND(),INPUTS!$B$28,INPUTS!$B$29))))</f>
        <v>3776921.95231804</v>
      </c>
      <c r="AJ178" s="89" t="n">
        <f aca="true">IF(AJ$5=0,AI178,MAX(0,(AI178-AJ$4)*(1+NORMINV(RAND(),INPUTS!$B$28,INPUTS!$B$29))))</f>
        <v>3648310.22620953</v>
      </c>
      <c r="AK178" s="89" t="n">
        <f aca="true">IF(AK$5=0,AJ178,MAX(0,(AJ178-AK$4)*(1+NORMINV(RAND(),INPUTS!$B$28,INPUTS!$B$29))))</f>
        <v>3705781.30721466</v>
      </c>
      <c r="AL178" s="89" t="n">
        <f aca="true">IF(AL$5=0,AK178,MAX(0,(AK178-AL$4)*(1+NORMINV(RAND(),INPUTS!$B$28,INPUTS!$B$29))))</f>
        <v>3693089.23394229</v>
      </c>
      <c r="AM178" s="89" t="n">
        <f aca="true">IF(AM$5=0,AL178,MAX(0,(AL178-AM$4)*(1+NORMINV(RAND(),INPUTS!$B$28,INPUTS!$B$29))))</f>
        <v>3693089.23394229</v>
      </c>
      <c r="AN178" s="89" t="n">
        <f aca="true">IF(AN$5=0,AM178,MAX(0,(AM178-AN$4)*(1+NORMINV(RAND(),INPUTS!$B$28,INPUTS!$B$29))))</f>
        <v>3693089.23394229</v>
      </c>
      <c r="AO178" s="89" t="n">
        <f aca="true">IF(AO$5=0,AN178,MAX(0,(AN178-AO$4)*(1+NORMINV(RAND(),INPUTS!$B$28,INPUTS!$B$29))))</f>
        <v>3693089.23394229</v>
      </c>
      <c r="AP178" s="89" t="n">
        <f aca="true">IF(AP$5=0,AO178,MAX(0,(AO178-AP$4)*(1+NORMINV(RAND(),INPUTS!$B$28,INPUTS!$B$29))))</f>
        <v>3693089.23394229</v>
      </c>
      <c r="AQ178" s="89" t="n">
        <f aca="true">IF(AQ$5=0,AP178,MAX(0,(AP178-AQ$4)*(1+NORMINV(RAND(),INPUTS!$B$28,INPUTS!$B$29))))</f>
        <v>3693089.23394229</v>
      </c>
      <c r="AR178" s="89" t="n">
        <f aca="true">IF(AR$5=0,AQ178,MAX(0,(AQ178-AR$4)*(1+NORMINV(RAND(),INPUTS!$B$28,INPUTS!$B$29))))</f>
        <v>3693089.23394229</v>
      </c>
      <c r="AS178" s="89" t="n">
        <f aca="true">IF(AS$5=0,AR178,MAX(0,(AR178-AS$4)*(1+NORMINV(RAND(),INPUTS!$B$28,INPUTS!$B$29))))</f>
        <v>3693089.23394229</v>
      </c>
      <c r="AT178" s="89" t="n">
        <f aca="true">IF(AT$5=0,AS178,MAX(0,(AS178-AT$4)*(1+NORMINV(RAND(),INPUTS!$B$28,INPUTS!$B$29))))</f>
        <v>3693089.23394229</v>
      </c>
      <c r="AU178" s="89" t="n">
        <f aca="true">IF(AU$5=0,AT178,MAX(0,(AT178-AU$4)*(1+NORMINV(RAND(),INPUTS!$B$28,INPUTS!$B$29))))</f>
        <v>3693089.23394229</v>
      </c>
      <c r="AV178" s="89" t="n">
        <f aca="true">IF(AV$5=0,AU178,MAX(0,(AU178-AV$4)*(1+NORMINV(RAND(),INPUTS!$B$28,INPUTS!$B$29))))</f>
        <v>3693089.23394229</v>
      </c>
      <c r="AW178" s="89" t="n">
        <f aca="true">IF(AW$5=0,AV178,MAX(0,(AV178-AW$4)*(1+NORMINV(RAND(),INPUTS!$B$28,INPUTS!$B$29))))</f>
        <v>3693089.23394229</v>
      </c>
      <c r="AX178" s="89" t="n">
        <f aca="true">IF(AX$5=0,AW178,MAX(0,(AW178-AX$4)*(1+NORMINV(RAND(),INPUTS!$B$28,INPUTS!$B$29))))</f>
        <v>3693089.23394229</v>
      </c>
      <c r="AY178" s="89" t="n">
        <f aca="true">IF(AY$5=0,AX178,MAX(0,(AX178-AY$4)*(1+NORMINV(RAND(),INPUTS!$B$28,INPUTS!$B$29))))</f>
        <v>3693089.23394229</v>
      </c>
      <c r="AZ178" s="89" t="n">
        <f aca="true">IF(AZ$5=0,AY178,MAX(0,(AY178-AZ$4)*(1+NORMINV(RAND(),INPUTS!$B$28,INPUTS!$B$29))))</f>
        <v>3693089.23394229</v>
      </c>
      <c r="BA178" s="89" t="n">
        <f aca="true">IF(BA$5=0,AZ178,MAX(0,(AZ178-BA$4)*(1+NORMINV(RAND(),INPUTS!$B$28,INPUTS!$B$29))))</f>
        <v>3693089.23394229</v>
      </c>
      <c r="BB178" s="89" t="n">
        <f aca="true">IF(BB$5=0,BA178,MAX(0,(BA178-BB$4)*(1+NORMINV(RAND(),INPUTS!$B$28,INPUTS!$B$29))))</f>
        <v>3693089.23394229</v>
      </c>
      <c r="BC178" s="89" t="n">
        <f aca="true">IF(BC$5=0,BB178,MAX(0,(BB178-BC$4)*(1+NORMINV(RAND(),INPUTS!$B$28,INPUTS!$B$29))))</f>
        <v>3693089.23394229</v>
      </c>
      <c r="BD178" s="89" t="n">
        <f aca="true">IF(BD$5=0,BC178,MAX(0,(BC178-BD$4)*(1+NORMINV(RAND(),INPUTS!$B$28,INPUTS!$B$29))))</f>
        <v>3693089.23394229</v>
      </c>
      <c r="BE178" s="89" t="n">
        <f aca="true">IF(BE$5=0,BD178,MAX(0,(BD178-BE$4)*(1+NORMINV(RAND(),INPUTS!$B$28,INPUTS!$B$29))))</f>
        <v>3693089.23394229</v>
      </c>
      <c r="BF178" s="89" t="n">
        <f aca="true">IF(BF$5=0,BE178,MAX(0,(BE178-BF$4)*(1+NORMINV(RAND(),INPUTS!$B$28,INPUTS!$B$29))))</f>
        <v>3693089.23394229</v>
      </c>
      <c r="BG178" s="89" t="n">
        <f aca="true">IF(BG$5=0,BF178,MAX(0,(BF178-BG$4)*(1+NORMINV(RAND(),INPUTS!$B$28,INPUTS!$B$29))))</f>
        <v>3693089.23394229</v>
      </c>
      <c r="BH178" s="89" t="n">
        <f aca="true">IF(BH$5=0,BG178,MAX(0,(BG178-BH$4)*(1+NORMINV(RAND(),INPUTS!$B$28,INPUTS!$B$29))))</f>
        <v>3693089.23394229</v>
      </c>
      <c r="BI178" s="89" t="n">
        <f aca="true">IF(BI$5=0,BH178,MAX(0,(BH178-BI$4)*(1+NORMINV(RAND(),INPUTS!$B$28,INPUTS!$B$29))))</f>
        <v>3693089.23394229</v>
      </c>
      <c r="BJ178" s="89" t="n">
        <f aca="true">IF(BJ$5=0,BI178,MAX(0,(BI178-BJ$4)*(1+NORMINV(RAND(),INPUTS!$B$28,INPUTS!$B$29))))</f>
        <v>3693089.23394229</v>
      </c>
    </row>
    <row r="179" customFormat="false" ht="15" hidden="false" customHeight="true" outlineLevel="0" collapsed="false">
      <c r="A179" s="87" t="n">
        <v>172</v>
      </c>
      <c r="B179" s="88" t="n">
        <f aca="false">LOOKUP(9.99E+307,C179:BJ179)</f>
        <v>510264.98904932</v>
      </c>
      <c r="C179" s="89" t="n">
        <f aca="true">IF(C$5=0,INPUTS!$B$35,MAX(0,(INPUTS!$B$35-C$4)*(1+NORMINV(RAND(),INPUTS!$B$28,INPUTS!$B$29))))</f>
        <v>1410678.14374065</v>
      </c>
      <c r="D179" s="89" t="n">
        <f aca="true">IF(D$5=0,C179,MAX(0,(C179-D$4)*(1+NORMINV(RAND(),INPUTS!$B$28,INPUTS!$B$29))))</f>
        <v>1526358.91269417</v>
      </c>
      <c r="E179" s="89" t="n">
        <f aca="true">IF(E$5=0,D179,MAX(0,(D179-E$4)*(1+NORMINV(RAND(),INPUTS!$B$28,INPUTS!$B$29))))</f>
        <v>1462701.67212728</v>
      </c>
      <c r="F179" s="89" t="n">
        <f aca="true">IF(F$5=0,E179,MAX(0,(E179-F$4)*(1+NORMINV(RAND(),INPUTS!$B$28,INPUTS!$B$29))))</f>
        <v>1605376.09569613</v>
      </c>
      <c r="G179" s="89" t="n">
        <f aca="true">IF(G$5=0,F179,MAX(0,(F179-G$4)*(1+NORMINV(RAND(),INPUTS!$B$28,INPUTS!$B$29))))</f>
        <v>1701124.34854208</v>
      </c>
      <c r="H179" s="89" t="n">
        <f aca="true">IF(H$5=0,G179,MAX(0,(G179-H$4)*(1+NORMINV(RAND(),INPUTS!$B$28,INPUTS!$B$29))))</f>
        <v>1588790.401002</v>
      </c>
      <c r="I179" s="89" t="n">
        <f aca="true">IF(I$5=0,H179,MAX(0,(H179-I$4)*(1+NORMINV(RAND(),INPUTS!$B$28,INPUTS!$B$29))))</f>
        <v>1595488.11264819</v>
      </c>
      <c r="J179" s="89" t="n">
        <f aca="true">IF(J$5=0,I179,MAX(0,(I179-J$4)*(1+NORMINV(RAND(),INPUTS!$B$28,INPUTS!$B$29))))</f>
        <v>1503993.01480517</v>
      </c>
      <c r="K179" s="89" t="n">
        <f aca="true">IF(K$5=0,J179,MAX(0,(J179-K$4)*(1+NORMINV(RAND(),INPUTS!$B$28,INPUTS!$B$29))))</f>
        <v>1467690.76953998</v>
      </c>
      <c r="L179" s="89" t="n">
        <f aca="true">IF(L$5=0,K179,MAX(0,(K179-L$4)*(1+NORMINV(RAND(),INPUTS!$B$28,INPUTS!$B$29))))</f>
        <v>1743721.97461793</v>
      </c>
      <c r="M179" s="89" t="n">
        <f aca="true">IF(M$5=0,L179,MAX(0,(L179-M$4)*(1+NORMINV(RAND(),INPUTS!$B$28,INPUTS!$B$29))))</f>
        <v>1811967.14634572</v>
      </c>
      <c r="N179" s="89" t="n">
        <f aca="true">IF(N$5=0,M179,MAX(0,(M179-N$4)*(1+NORMINV(RAND(),INPUTS!$B$28,INPUTS!$B$29))))</f>
        <v>1518866.41212871</v>
      </c>
      <c r="O179" s="89" t="n">
        <f aca="true">IF(O$5=0,N179,MAX(0,(N179-O$4)*(1+NORMINV(RAND(),INPUTS!$B$28,INPUTS!$B$29))))</f>
        <v>1462498.55839349</v>
      </c>
      <c r="P179" s="89" t="n">
        <f aca="true">IF(P$5=0,O179,MAX(0,(O179-P$4)*(1+NORMINV(RAND(),INPUTS!$B$28,INPUTS!$B$29))))</f>
        <v>1561347.54853762</v>
      </c>
      <c r="Q179" s="89" t="n">
        <f aca="true">IF(Q$5=0,P179,MAX(0,(P179-Q$4)*(1+NORMINV(RAND(),INPUTS!$B$28,INPUTS!$B$29))))</f>
        <v>1519044.42986906</v>
      </c>
      <c r="R179" s="89" t="n">
        <f aca="true">IF(R$5=0,Q179,MAX(0,(Q179-R$4)*(1+NORMINV(RAND(),INPUTS!$B$28,INPUTS!$B$29))))</f>
        <v>1406590.27497516</v>
      </c>
      <c r="S179" s="89" t="n">
        <f aca="true">IF(S$5=0,R179,MAX(0,(R179-S$4)*(1+NORMINV(RAND(),INPUTS!$B$28,INPUTS!$B$29))))</f>
        <v>1447114.37455522</v>
      </c>
      <c r="T179" s="89" t="n">
        <f aca="true">IF(T$5=0,S179,MAX(0,(S179-T$4)*(1+NORMINV(RAND(),INPUTS!$B$28,INPUTS!$B$29))))</f>
        <v>1465199.17574006</v>
      </c>
      <c r="U179" s="89" t="n">
        <f aca="true">IF(U$5=0,T179,MAX(0,(T179-U$4)*(1+NORMINV(RAND(),INPUTS!$B$28,INPUTS!$B$29))))</f>
        <v>1543234.93758696</v>
      </c>
      <c r="V179" s="89" t="n">
        <f aca="true">IF(V$5=0,U179,MAX(0,(U179-V$4)*(1+NORMINV(RAND(),INPUTS!$B$28,INPUTS!$B$29))))</f>
        <v>1609751.32436449</v>
      </c>
      <c r="W179" s="89" t="n">
        <f aca="true">IF(W$5=0,V179,MAX(0,(V179-W$4)*(1+NORMINV(RAND(),INPUTS!$B$28,INPUTS!$B$29))))</f>
        <v>1691622.17292766</v>
      </c>
      <c r="X179" s="89" t="n">
        <f aca="true">IF(X$5=0,W179,MAX(0,(W179-X$4)*(1+NORMINV(RAND(),INPUTS!$B$28,INPUTS!$B$29))))</f>
        <v>1654294.56030794</v>
      </c>
      <c r="Y179" s="89" t="n">
        <f aca="true">IF(Y$5=0,X179,MAX(0,(X179-Y$4)*(1+NORMINV(RAND(),INPUTS!$B$28,INPUTS!$B$29))))</f>
        <v>1339639.28092575</v>
      </c>
      <c r="Z179" s="89" t="n">
        <f aca="true">IF(Z$5=0,Y179,MAX(0,(Y179-Z$4)*(1+NORMINV(RAND(),INPUTS!$B$28,INPUTS!$B$29))))</f>
        <v>1443752.5570089</v>
      </c>
      <c r="AA179" s="89" t="n">
        <f aca="true">IF(AA$5=0,Z179,MAX(0,(Z179-AA$4)*(1+NORMINV(RAND(),INPUTS!$B$28,INPUTS!$B$29))))</f>
        <v>1445105.29465505</v>
      </c>
      <c r="AB179" s="89" t="n">
        <f aca="true">IF(AB$5=0,AA179,MAX(0,(AA179-AB$4)*(1+NORMINV(RAND(),INPUTS!$B$28,INPUTS!$B$29))))</f>
        <v>1533812.54034953</v>
      </c>
      <c r="AC179" s="89" t="n">
        <f aca="true">IF(AC$5=0,AB179,MAX(0,(AB179-AC$4)*(1+NORMINV(RAND(),INPUTS!$B$28,INPUTS!$B$29))))</f>
        <v>1184220.31509226</v>
      </c>
      <c r="AD179" s="89" t="n">
        <f aca="true">IF(AD$5=0,AC179,MAX(0,(AC179-AD$4)*(1+NORMINV(RAND(),INPUTS!$B$28,INPUTS!$B$29))))</f>
        <v>979290.271314916</v>
      </c>
      <c r="AE179" s="89" t="n">
        <f aca="true">IF(AE$5=0,AD179,MAX(0,(AD179-AE$4)*(1+NORMINV(RAND(),INPUTS!$B$28,INPUTS!$B$29))))</f>
        <v>889304.520050698</v>
      </c>
      <c r="AF179" s="89" t="n">
        <f aca="true">IF(AF$5=0,AE179,MAX(0,(AE179-AF$4)*(1+NORMINV(RAND(),INPUTS!$B$28,INPUTS!$B$29))))</f>
        <v>901027.222040956</v>
      </c>
      <c r="AG179" s="89" t="n">
        <f aca="true">IF(AG$5=0,AF179,MAX(0,(AF179-AG$4)*(1+NORMINV(RAND(),INPUTS!$B$28,INPUTS!$B$29))))</f>
        <v>746833.857117848</v>
      </c>
      <c r="AH179" s="89" t="n">
        <f aca="true">IF(AH$5=0,AG179,MAX(0,(AG179-AH$4)*(1+NORMINV(RAND(),INPUTS!$B$28,INPUTS!$B$29))))</f>
        <v>665028.900128887</v>
      </c>
      <c r="AI179" s="89" t="n">
        <f aca="true">IF(AI$5=0,AH179,MAX(0,(AH179-AI$4)*(1+NORMINV(RAND(),INPUTS!$B$28,INPUTS!$B$29))))</f>
        <v>658686.179728148</v>
      </c>
      <c r="AJ179" s="89" t="n">
        <f aca="true">IF(AJ$5=0,AI179,MAX(0,(AI179-AJ$4)*(1+NORMINV(RAND(),INPUTS!$B$28,INPUTS!$B$29))))</f>
        <v>655276.452859256</v>
      </c>
      <c r="AK179" s="89" t="n">
        <f aca="true">IF(AK$5=0,AJ179,MAX(0,(AJ179-AK$4)*(1+NORMINV(RAND(),INPUTS!$B$28,INPUTS!$B$29))))</f>
        <v>546521.626903823</v>
      </c>
      <c r="AL179" s="89" t="n">
        <f aca="true">IF(AL$5=0,AK179,MAX(0,(AK179-AL$4)*(1+NORMINV(RAND(),INPUTS!$B$28,INPUTS!$B$29))))</f>
        <v>510264.98904932</v>
      </c>
      <c r="AM179" s="89" t="n">
        <f aca="true">IF(AM$5=0,AL179,MAX(0,(AL179-AM$4)*(1+NORMINV(RAND(),INPUTS!$B$28,INPUTS!$B$29))))</f>
        <v>510264.98904932</v>
      </c>
      <c r="AN179" s="89" t="n">
        <f aca="true">IF(AN$5=0,AM179,MAX(0,(AM179-AN$4)*(1+NORMINV(RAND(),INPUTS!$B$28,INPUTS!$B$29))))</f>
        <v>510264.98904932</v>
      </c>
      <c r="AO179" s="89" t="n">
        <f aca="true">IF(AO$5=0,AN179,MAX(0,(AN179-AO$4)*(1+NORMINV(RAND(),INPUTS!$B$28,INPUTS!$B$29))))</f>
        <v>510264.98904932</v>
      </c>
      <c r="AP179" s="89" t="n">
        <f aca="true">IF(AP$5=0,AO179,MAX(0,(AO179-AP$4)*(1+NORMINV(RAND(),INPUTS!$B$28,INPUTS!$B$29))))</f>
        <v>510264.98904932</v>
      </c>
      <c r="AQ179" s="89" t="n">
        <f aca="true">IF(AQ$5=0,AP179,MAX(0,(AP179-AQ$4)*(1+NORMINV(RAND(),INPUTS!$B$28,INPUTS!$B$29))))</f>
        <v>510264.98904932</v>
      </c>
      <c r="AR179" s="89" t="n">
        <f aca="true">IF(AR$5=0,AQ179,MAX(0,(AQ179-AR$4)*(1+NORMINV(RAND(),INPUTS!$B$28,INPUTS!$B$29))))</f>
        <v>510264.98904932</v>
      </c>
      <c r="AS179" s="89" t="n">
        <f aca="true">IF(AS$5=0,AR179,MAX(0,(AR179-AS$4)*(1+NORMINV(RAND(),INPUTS!$B$28,INPUTS!$B$29))))</f>
        <v>510264.98904932</v>
      </c>
      <c r="AT179" s="89" t="n">
        <f aca="true">IF(AT$5=0,AS179,MAX(0,(AS179-AT$4)*(1+NORMINV(RAND(),INPUTS!$B$28,INPUTS!$B$29))))</f>
        <v>510264.98904932</v>
      </c>
      <c r="AU179" s="89" t="n">
        <f aca="true">IF(AU$5=0,AT179,MAX(0,(AT179-AU$4)*(1+NORMINV(RAND(),INPUTS!$B$28,INPUTS!$B$29))))</f>
        <v>510264.98904932</v>
      </c>
      <c r="AV179" s="89" t="n">
        <f aca="true">IF(AV$5=0,AU179,MAX(0,(AU179-AV$4)*(1+NORMINV(RAND(),INPUTS!$B$28,INPUTS!$B$29))))</f>
        <v>510264.98904932</v>
      </c>
      <c r="AW179" s="89" t="n">
        <f aca="true">IF(AW$5=0,AV179,MAX(0,(AV179-AW$4)*(1+NORMINV(RAND(),INPUTS!$B$28,INPUTS!$B$29))))</f>
        <v>510264.98904932</v>
      </c>
      <c r="AX179" s="89" t="n">
        <f aca="true">IF(AX$5=0,AW179,MAX(0,(AW179-AX$4)*(1+NORMINV(RAND(),INPUTS!$B$28,INPUTS!$B$29))))</f>
        <v>510264.98904932</v>
      </c>
      <c r="AY179" s="89" t="n">
        <f aca="true">IF(AY$5=0,AX179,MAX(0,(AX179-AY$4)*(1+NORMINV(RAND(),INPUTS!$B$28,INPUTS!$B$29))))</f>
        <v>510264.98904932</v>
      </c>
      <c r="AZ179" s="89" t="n">
        <f aca="true">IF(AZ$5=0,AY179,MAX(0,(AY179-AZ$4)*(1+NORMINV(RAND(),INPUTS!$B$28,INPUTS!$B$29))))</f>
        <v>510264.98904932</v>
      </c>
      <c r="BA179" s="89" t="n">
        <f aca="true">IF(BA$5=0,AZ179,MAX(0,(AZ179-BA$4)*(1+NORMINV(RAND(),INPUTS!$B$28,INPUTS!$B$29))))</f>
        <v>510264.98904932</v>
      </c>
      <c r="BB179" s="89" t="n">
        <f aca="true">IF(BB$5=0,BA179,MAX(0,(BA179-BB$4)*(1+NORMINV(RAND(),INPUTS!$B$28,INPUTS!$B$29))))</f>
        <v>510264.98904932</v>
      </c>
      <c r="BC179" s="89" t="n">
        <f aca="true">IF(BC$5=0,BB179,MAX(0,(BB179-BC$4)*(1+NORMINV(RAND(),INPUTS!$B$28,INPUTS!$B$29))))</f>
        <v>510264.98904932</v>
      </c>
      <c r="BD179" s="89" t="n">
        <f aca="true">IF(BD$5=0,BC179,MAX(0,(BC179-BD$4)*(1+NORMINV(RAND(),INPUTS!$B$28,INPUTS!$B$29))))</f>
        <v>510264.98904932</v>
      </c>
      <c r="BE179" s="89" t="n">
        <f aca="true">IF(BE$5=0,BD179,MAX(0,(BD179-BE$4)*(1+NORMINV(RAND(),INPUTS!$B$28,INPUTS!$B$29))))</f>
        <v>510264.98904932</v>
      </c>
      <c r="BF179" s="89" t="n">
        <f aca="true">IF(BF$5=0,BE179,MAX(0,(BE179-BF$4)*(1+NORMINV(RAND(),INPUTS!$B$28,INPUTS!$B$29))))</f>
        <v>510264.98904932</v>
      </c>
      <c r="BG179" s="89" t="n">
        <f aca="true">IF(BG$5=0,BF179,MAX(0,(BF179-BG$4)*(1+NORMINV(RAND(),INPUTS!$B$28,INPUTS!$B$29))))</f>
        <v>510264.98904932</v>
      </c>
      <c r="BH179" s="89" t="n">
        <f aca="true">IF(BH$5=0,BG179,MAX(0,(BG179-BH$4)*(1+NORMINV(RAND(),INPUTS!$B$28,INPUTS!$B$29))))</f>
        <v>510264.98904932</v>
      </c>
      <c r="BI179" s="89" t="n">
        <f aca="true">IF(BI$5=0,BH179,MAX(0,(BH179-BI$4)*(1+NORMINV(RAND(),INPUTS!$B$28,INPUTS!$B$29))))</f>
        <v>510264.98904932</v>
      </c>
      <c r="BJ179" s="89" t="n">
        <f aca="true">IF(BJ$5=0,BI179,MAX(0,(BI179-BJ$4)*(1+NORMINV(RAND(),INPUTS!$B$28,INPUTS!$B$29))))</f>
        <v>510264.98904932</v>
      </c>
    </row>
    <row r="180" customFormat="false" ht="15" hidden="false" customHeight="true" outlineLevel="0" collapsed="false">
      <c r="A180" s="87" t="n">
        <v>173</v>
      </c>
      <c r="B180" s="88" t="n">
        <f aca="false">LOOKUP(9.99E+307,C180:BJ180)</f>
        <v>5196947.23837612</v>
      </c>
      <c r="C180" s="89" t="n">
        <f aca="true">IF(C$5=0,INPUTS!$B$35,MAX(0,(INPUTS!$B$35-C$4)*(1+NORMINV(RAND(),INPUTS!$B$28,INPUTS!$B$29))))</f>
        <v>1526800.59122347</v>
      </c>
      <c r="D180" s="89" t="n">
        <f aca="true">IF(D$5=0,C180,MAX(0,(C180-D$4)*(1+NORMINV(RAND(),INPUTS!$B$28,INPUTS!$B$29))))</f>
        <v>1558649.59682613</v>
      </c>
      <c r="E180" s="89" t="n">
        <f aca="true">IF(E$5=0,D180,MAX(0,(D180-E$4)*(1+NORMINV(RAND(),INPUTS!$B$28,INPUTS!$B$29))))</f>
        <v>1467895.52217573</v>
      </c>
      <c r="F180" s="89" t="n">
        <f aca="true">IF(F$5=0,E180,MAX(0,(E180-F$4)*(1+NORMINV(RAND(),INPUTS!$B$28,INPUTS!$B$29))))</f>
        <v>1221661.78805433</v>
      </c>
      <c r="G180" s="89" t="n">
        <f aca="true">IF(G$5=0,F180,MAX(0,(F180-G$4)*(1+NORMINV(RAND(),INPUTS!$B$28,INPUTS!$B$29))))</f>
        <v>1364732.31903624</v>
      </c>
      <c r="H180" s="89" t="n">
        <f aca="true">IF(H$5=0,G180,MAX(0,(G180-H$4)*(1+NORMINV(RAND(),INPUTS!$B$28,INPUTS!$B$29))))</f>
        <v>1486895.47226405</v>
      </c>
      <c r="I180" s="89" t="n">
        <f aca="true">IF(I$5=0,H180,MAX(0,(H180-I$4)*(1+NORMINV(RAND(),INPUTS!$B$28,INPUTS!$B$29))))</f>
        <v>1503059.29764101</v>
      </c>
      <c r="J180" s="89" t="n">
        <f aca="true">IF(J$5=0,I180,MAX(0,(I180-J$4)*(1+NORMINV(RAND(),INPUTS!$B$28,INPUTS!$B$29))))</f>
        <v>1526660.25058479</v>
      </c>
      <c r="K180" s="89" t="n">
        <f aca="true">IF(K$5=0,J180,MAX(0,(J180-K$4)*(1+NORMINV(RAND(),INPUTS!$B$28,INPUTS!$B$29))))</f>
        <v>1537763.34333418</v>
      </c>
      <c r="L180" s="89" t="n">
        <f aca="true">IF(L$5=0,K180,MAX(0,(K180-L$4)*(1+NORMINV(RAND(),INPUTS!$B$28,INPUTS!$B$29))))</f>
        <v>1580105.9450512</v>
      </c>
      <c r="M180" s="89" t="n">
        <f aca="true">IF(M$5=0,L180,MAX(0,(L180-M$4)*(1+NORMINV(RAND(),INPUTS!$B$28,INPUTS!$B$29))))</f>
        <v>1405860.29972203</v>
      </c>
      <c r="N180" s="89" t="n">
        <f aca="true">IF(N$5=0,M180,MAX(0,(M180-N$4)*(1+NORMINV(RAND(),INPUTS!$B$28,INPUTS!$B$29))))</f>
        <v>1510074.94753786</v>
      </c>
      <c r="O180" s="89" t="n">
        <f aca="true">IF(O$5=0,N180,MAX(0,(N180-O$4)*(1+NORMINV(RAND(),INPUTS!$B$28,INPUTS!$B$29))))</f>
        <v>1506139.52008</v>
      </c>
      <c r="P180" s="89" t="n">
        <f aca="true">IF(P$5=0,O180,MAX(0,(O180-P$4)*(1+NORMINV(RAND(),INPUTS!$B$28,INPUTS!$B$29))))</f>
        <v>1484881.87018053</v>
      </c>
      <c r="Q180" s="89" t="n">
        <f aca="true">IF(Q$5=0,P180,MAX(0,(P180-Q$4)*(1+NORMINV(RAND(),INPUTS!$B$28,INPUTS!$B$29))))</f>
        <v>1770858.40731233</v>
      </c>
      <c r="R180" s="89" t="n">
        <f aca="true">IF(R$5=0,Q180,MAX(0,(Q180-R$4)*(1+NORMINV(RAND(),INPUTS!$B$28,INPUTS!$B$29))))</f>
        <v>1821105.07149478</v>
      </c>
      <c r="S180" s="89" t="n">
        <f aca="true">IF(S$5=0,R180,MAX(0,(R180-S$4)*(1+NORMINV(RAND(),INPUTS!$B$28,INPUTS!$B$29))))</f>
        <v>1719833.33620139</v>
      </c>
      <c r="T180" s="89" t="n">
        <f aca="true">IF(T$5=0,S180,MAX(0,(S180-T$4)*(1+NORMINV(RAND(),INPUTS!$B$28,INPUTS!$B$29))))</f>
        <v>1857519.00683088</v>
      </c>
      <c r="U180" s="89" t="n">
        <f aca="true">IF(U$5=0,T180,MAX(0,(T180-U$4)*(1+NORMINV(RAND(),INPUTS!$B$28,INPUTS!$B$29))))</f>
        <v>1970575.40132084</v>
      </c>
      <c r="V180" s="89" t="n">
        <f aca="true">IF(V$5=0,U180,MAX(0,(U180-V$4)*(1+NORMINV(RAND(),INPUTS!$B$28,INPUTS!$B$29))))</f>
        <v>1987915.94726377</v>
      </c>
      <c r="W180" s="89" t="n">
        <f aca="true">IF(W$5=0,V180,MAX(0,(V180-W$4)*(1+NORMINV(RAND(),INPUTS!$B$28,INPUTS!$B$29))))</f>
        <v>2137397.66964228</v>
      </c>
      <c r="X180" s="89" t="n">
        <f aca="true">IF(X$5=0,W180,MAX(0,(W180-X$4)*(1+NORMINV(RAND(),INPUTS!$B$28,INPUTS!$B$29))))</f>
        <v>2139880.92388679</v>
      </c>
      <c r="Y180" s="89" t="n">
        <f aca="true">IF(Y$5=0,X180,MAX(0,(X180-Y$4)*(1+NORMINV(RAND(),INPUTS!$B$28,INPUTS!$B$29))))</f>
        <v>2264702.53324167</v>
      </c>
      <c r="Z180" s="89" t="n">
        <f aca="true">IF(Z$5=0,Y180,MAX(0,(Y180-Z$4)*(1+NORMINV(RAND(),INPUTS!$B$28,INPUTS!$B$29))))</f>
        <v>2942909.10626879</v>
      </c>
      <c r="AA180" s="89" t="n">
        <f aca="true">IF(AA$5=0,Z180,MAX(0,(Z180-AA$4)*(1+NORMINV(RAND(),INPUTS!$B$28,INPUTS!$B$29))))</f>
        <v>2753860.70369815</v>
      </c>
      <c r="AB180" s="89" t="n">
        <f aca="true">IF(AB$5=0,AA180,MAX(0,(AA180-AB$4)*(1+NORMINV(RAND(),INPUTS!$B$28,INPUTS!$B$29))))</f>
        <v>3658207.04641904</v>
      </c>
      <c r="AC180" s="89" t="n">
        <f aca="true">IF(AC$5=0,AB180,MAX(0,(AB180-AC$4)*(1+NORMINV(RAND(),INPUTS!$B$28,INPUTS!$B$29))))</f>
        <v>3280125.14438053</v>
      </c>
      <c r="AD180" s="89" t="n">
        <f aca="true">IF(AD$5=0,AC180,MAX(0,(AC180-AD$4)*(1+NORMINV(RAND(),INPUTS!$B$28,INPUTS!$B$29))))</f>
        <v>3544712.64200095</v>
      </c>
      <c r="AE180" s="89" t="n">
        <f aca="true">IF(AE$5=0,AD180,MAX(0,(AD180-AE$4)*(1+NORMINV(RAND(),INPUTS!$B$28,INPUTS!$B$29))))</f>
        <v>3059502.16566138</v>
      </c>
      <c r="AF180" s="89" t="n">
        <f aca="true">IF(AF$5=0,AE180,MAX(0,(AE180-AF$4)*(1+NORMINV(RAND(),INPUTS!$B$28,INPUTS!$B$29))))</f>
        <v>3687716.44674048</v>
      </c>
      <c r="AG180" s="89" t="n">
        <f aca="true">IF(AG$5=0,AF180,MAX(0,(AF180-AG$4)*(1+NORMINV(RAND(),INPUTS!$B$28,INPUTS!$B$29))))</f>
        <v>3733313.73827075</v>
      </c>
      <c r="AH180" s="89" t="n">
        <f aca="true">IF(AH$5=0,AG180,MAX(0,(AG180-AH$4)*(1+NORMINV(RAND(),INPUTS!$B$28,INPUTS!$B$29))))</f>
        <v>3796581.13599966</v>
      </c>
      <c r="AI180" s="89" t="n">
        <f aca="true">IF(AI$5=0,AH180,MAX(0,(AH180-AI$4)*(1+NORMINV(RAND(),INPUTS!$B$28,INPUTS!$B$29))))</f>
        <v>3815228.47645498</v>
      </c>
      <c r="AJ180" s="89" t="n">
        <f aca="true">IF(AJ$5=0,AI180,MAX(0,(AI180-AJ$4)*(1+NORMINV(RAND(),INPUTS!$B$28,INPUTS!$B$29))))</f>
        <v>3948460.89200548</v>
      </c>
      <c r="AK180" s="89" t="n">
        <f aca="true">IF(AK$5=0,AJ180,MAX(0,(AJ180-AK$4)*(1+NORMINV(RAND(),INPUTS!$B$28,INPUTS!$B$29))))</f>
        <v>4307707.68120214</v>
      </c>
      <c r="AL180" s="89" t="n">
        <f aca="true">IF(AL$5=0,AK180,MAX(0,(AK180-AL$4)*(1+NORMINV(RAND(),INPUTS!$B$28,INPUTS!$B$29))))</f>
        <v>5196947.23837612</v>
      </c>
      <c r="AM180" s="89" t="n">
        <f aca="true">IF(AM$5=0,AL180,MAX(0,(AL180-AM$4)*(1+NORMINV(RAND(),INPUTS!$B$28,INPUTS!$B$29))))</f>
        <v>5196947.23837612</v>
      </c>
      <c r="AN180" s="89" t="n">
        <f aca="true">IF(AN$5=0,AM180,MAX(0,(AM180-AN$4)*(1+NORMINV(RAND(),INPUTS!$B$28,INPUTS!$B$29))))</f>
        <v>5196947.23837612</v>
      </c>
      <c r="AO180" s="89" t="n">
        <f aca="true">IF(AO$5=0,AN180,MAX(0,(AN180-AO$4)*(1+NORMINV(RAND(),INPUTS!$B$28,INPUTS!$B$29))))</f>
        <v>5196947.23837612</v>
      </c>
      <c r="AP180" s="89" t="n">
        <f aca="true">IF(AP$5=0,AO180,MAX(0,(AO180-AP$4)*(1+NORMINV(RAND(),INPUTS!$B$28,INPUTS!$B$29))))</f>
        <v>5196947.23837612</v>
      </c>
      <c r="AQ180" s="89" t="n">
        <f aca="true">IF(AQ$5=0,AP180,MAX(0,(AP180-AQ$4)*(1+NORMINV(RAND(),INPUTS!$B$28,INPUTS!$B$29))))</f>
        <v>5196947.23837612</v>
      </c>
      <c r="AR180" s="89" t="n">
        <f aca="true">IF(AR$5=0,AQ180,MAX(0,(AQ180-AR$4)*(1+NORMINV(RAND(),INPUTS!$B$28,INPUTS!$B$29))))</f>
        <v>5196947.23837612</v>
      </c>
      <c r="AS180" s="89" t="n">
        <f aca="true">IF(AS$5=0,AR180,MAX(0,(AR180-AS$4)*(1+NORMINV(RAND(),INPUTS!$B$28,INPUTS!$B$29))))</f>
        <v>5196947.23837612</v>
      </c>
      <c r="AT180" s="89" t="n">
        <f aca="true">IF(AT$5=0,AS180,MAX(0,(AS180-AT$4)*(1+NORMINV(RAND(),INPUTS!$B$28,INPUTS!$B$29))))</f>
        <v>5196947.23837612</v>
      </c>
      <c r="AU180" s="89" t="n">
        <f aca="true">IF(AU$5=0,AT180,MAX(0,(AT180-AU$4)*(1+NORMINV(RAND(),INPUTS!$B$28,INPUTS!$B$29))))</f>
        <v>5196947.23837612</v>
      </c>
      <c r="AV180" s="89" t="n">
        <f aca="true">IF(AV$5=0,AU180,MAX(0,(AU180-AV$4)*(1+NORMINV(RAND(),INPUTS!$B$28,INPUTS!$B$29))))</f>
        <v>5196947.23837612</v>
      </c>
      <c r="AW180" s="89" t="n">
        <f aca="true">IF(AW$5=0,AV180,MAX(0,(AV180-AW$4)*(1+NORMINV(RAND(),INPUTS!$B$28,INPUTS!$B$29))))</f>
        <v>5196947.23837612</v>
      </c>
      <c r="AX180" s="89" t="n">
        <f aca="true">IF(AX$5=0,AW180,MAX(0,(AW180-AX$4)*(1+NORMINV(RAND(),INPUTS!$B$28,INPUTS!$B$29))))</f>
        <v>5196947.23837612</v>
      </c>
      <c r="AY180" s="89" t="n">
        <f aca="true">IF(AY$5=0,AX180,MAX(0,(AX180-AY$4)*(1+NORMINV(RAND(),INPUTS!$B$28,INPUTS!$B$29))))</f>
        <v>5196947.23837612</v>
      </c>
      <c r="AZ180" s="89" t="n">
        <f aca="true">IF(AZ$5=0,AY180,MAX(0,(AY180-AZ$4)*(1+NORMINV(RAND(),INPUTS!$B$28,INPUTS!$B$29))))</f>
        <v>5196947.23837612</v>
      </c>
      <c r="BA180" s="89" t="n">
        <f aca="true">IF(BA$5=0,AZ180,MAX(0,(AZ180-BA$4)*(1+NORMINV(RAND(),INPUTS!$B$28,INPUTS!$B$29))))</f>
        <v>5196947.23837612</v>
      </c>
      <c r="BB180" s="89" t="n">
        <f aca="true">IF(BB$5=0,BA180,MAX(0,(BA180-BB$4)*(1+NORMINV(RAND(),INPUTS!$B$28,INPUTS!$B$29))))</f>
        <v>5196947.23837612</v>
      </c>
      <c r="BC180" s="89" t="n">
        <f aca="true">IF(BC$5=0,BB180,MAX(0,(BB180-BC$4)*(1+NORMINV(RAND(),INPUTS!$B$28,INPUTS!$B$29))))</f>
        <v>5196947.23837612</v>
      </c>
      <c r="BD180" s="89" t="n">
        <f aca="true">IF(BD$5=0,BC180,MAX(0,(BC180-BD$4)*(1+NORMINV(RAND(),INPUTS!$B$28,INPUTS!$B$29))))</f>
        <v>5196947.23837612</v>
      </c>
      <c r="BE180" s="89" t="n">
        <f aca="true">IF(BE$5=0,BD180,MAX(0,(BD180-BE$4)*(1+NORMINV(RAND(),INPUTS!$B$28,INPUTS!$B$29))))</f>
        <v>5196947.23837612</v>
      </c>
      <c r="BF180" s="89" t="n">
        <f aca="true">IF(BF$5=0,BE180,MAX(0,(BE180-BF$4)*(1+NORMINV(RAND(),INPUTS!$B$28,INPUTS!$B$29))))</f>
        <v>5196947.23837612</v>
      </c>
      <c r="BG180" s="89" t="n">
        <f aca="true">IF(BG$5=0,BF180,MAX(0,(BF180-BG$4)*(1+NORMINV(RAND(),INPUTS!$B$28,INPUTS!$B$29))))</f>
        <v>5196947.23837612</v>
      </c>
      <c r="BH180" s="89" t="n">
        <f aca="true">IF(BH$5=0,BG180,MAX(0,(BG180-BH$4)*(1+NORMINV(RAND(),INPUTS!$B$28,INPUTS!$B$29))))</f>
        <v>5196947.23837612</v>
      </c>
      <c r="BI180" s="89" t="n">
        <f aca="true">IF(BI$5=0,BH180,MAX(0,(BH180-BI$4)*(1+NORMINV(RAND(),INPUTS!$B$28,INPUTS!$B$29))))</f>
        <v>5196947.23837612</v>
      </c>
      <c r="BJ180" s="89" t="n">
        <f aca="true">IF(BJ$5=0,BI180,MAX(0,(BI180-BJ$4)*(1+NORMINV(RAND(),INPUTS!$B$28,INPUTS!$B$29))))</f>
        <v>5196947.23837612</v>
      </c>
    </row>
    <row r="181" customFormat="false" ht="15" hidden="false" customHeight="true" outlineLevel="0" collapsed="false">
      <c r="A181" s="87" t="n">
        <v>174</v>
      </c>
      <c r="B181" s="88" t="n">
        <f aca="false">LOOKUP(9.99E+307,C181:BJ181)</f>
        <v>7165553.81593383</v>
      </c>
      <c r="C181" s="89" t="n">
        <f aca="true">IF(C$5=0,INPUTS!$B$35,MAX(0,(INPUTS!$B$35-C$4)*(1+NORMINV(RAND(),INPUTS!$B$28,INPUTS!$B$29))))</f>
        <v>1789115.04536005</v>
      </c>
      <c r="D181" s="89" t="n">
        <f aca="true">IF(D$5=0,C181,MAX(0,(C181-D$4)*(1+NORMINV(RAND(),INPUTS!$B$28,INPUTS!$B$29))))</f>
        <v>1498191.26073595</v>
      </c>
      <c r="E181" s="89" t="n">
        <f aca="true">IF(E$5=0,D181,MAX(0,(D181-E$4)*(1+NORMINV(RAND(),INPUTS!$B$28,INPUTS!$B$29))))</f>
        <v>1539345.74119124</v>
      </c>
      <c r="F181" s="89" t="n">
        <f aca="true">IF(F$5=0,E181,MAX(0,(E181-F$4)*(1+NORMINV(RAND(),INPUTS!$B$28,INPUTS!$B$29))))</f>
        <v>1574736.50544581</v>
      </c>
      <c r="G181" s="89" t="n">
        <f aca="true">IF(G$5=0,F181,MAX(0,(F181-G$4)*(1+NORMINV(RAND(),INPUTS!$B$28,INPUTS!$B$29))))</f>
        <v>1903562.89913437</v>
      </c>
      <c r="H181" s="89" t="n">
        <f aca="true">IF(H$5=0,G181,MAX(0,(G181-H$4)*(1+NORMINV(RAND(),INPUTS!$B$28,INPUTS!$B$29))))</f>
        <v>1972260.80583485</v>
      </c>
      <c r="I181" s="89" t="n">
        <f aca="true">IF(I$5=0,H181,MAX(0,(H181-I$4)*(1+NORMINV(RAND(),INPUTS!$B$28,INPUTS!$B$29))))</f>
        <v>1890133.70852592</v>
      </c>
      <c r="J181" s="89" t="n">
        <f aca="true">IF(J$5=0,I181,MAX(0,(I181-J$4)*(1+NORMINV(RAND(),INPUTS!$B$28,INPUTS!$B$29))))</f>
        <v>2088939.76053862</v>
      </c>
      <c r="K181" s="89" t="n">
        <f aca="true">IF(K$5=0,J181,MAX(0,(J181-K$4)*(1+NORMINV(RAND(),INPUTS!$B$28,INPUTS!$B$29))))</f>
        <v>2392878.46794189</v>
      </c>
      <c r="L181" s="89" t="n">
        <f aca="true">IF(L$5=0,K181,MAX(0,(K181-L$4)*(1+NORMINV(RAND(),INPUTS!$B$28,INPUTS!$B$29))))</f>
        <v>2753876.68465435</v>
      </c>
      <c r="M181" s="89" t="n">
        <f aca="true">IF(M$5=0,L181,MAX(0,(L181-M$4)*(1+NORMINV(RAND(),INPUTS!$B$28,INPUTS!$B$29))))</f>
        <v>3170900.49032269</v>
      </c>
      <c r="N181" s="89" t="n">
        <f aca="true">IF(N$5=0,M181,MAX(0,(M181-N$4)*(1+NORMINV(RAND(),INPUTS!$B$28,INPUTS!$B$29))))</f>
        <v>3117207.18216903</v>
      </c>
      <c r="O181" s="89" t="n">
        <f aca="true">IF(O$5=0,N181,MAX(0,(N181-O$4)*(1+NORMINV(RAND(),INPUTS!$B$28,INPUTS!$B$29))))</f>
        <v>2523841.32288589</v>
      </c>
      <c r="P181" s="89" t="n">
        <f aca="true">IF(P$5=0,O181,MAX(0,(O181-P$4)*(1+NORMINV(RAND(),INPUTS!$B$28,INPUTS!$B$29))))</f>
        <v>3268873.0920852</v>
      </c>
      <c r="Q181" s="89" t="n">
        <f aca="true">IF(Q$5=0,P181,MAX(0,(P181-Q$4)*(1+NORMINV(RAND(),INPUTS!$B$28,INPUTS!$B$29))))</f>
        <v>3355200.85265397</v>
      </c>
      <c r="R181" s="89" t="n">
        <f aca="true">IF(R$5=0,Q181,MAX(0,(Q181-R$4)*(1+NORMINV(RAND(),INPUTS!$B$28,INPUTS!$B$29))))</f>
        <v>3487741.90357386</v>
      </c>
      <c r="S181" s="89" t="n">
        <f aca="true">IF(S$5=0,R181,MAX(0,(R181-S$4)*(1+NORMINV(RAND(),INPUTS!$B$28,INPUTS!$B$29))))</f>
        <v>3078279.67568566</v>
      </c>
      <c r="T181" s="89" t="n">
        <f aca="true">IF(T$5=0,S181,MAX(0,(S181-T$4)*(1+NORMINV(RAND(),INPUTS!$B$28,INPUTS!$B$29))))</f>
        <v>2985696.99220669</v>
      </c>
      <c r="U181" s="89" t="n">
        <f aca="true">IF(U$5=0,T181,MAX(0,(T181-U$4)*(1+NORMINV(RAND(),INPUTS!$B$28,INPUTS!$B$29))))</f>
        <v>2434799.02950349</v>
      </c>
      <c r="V181" s="89" t="n">
        <f aca="true">IF(V$5=0,U181,MAX(0,(U181-V$4)*(1+NORMINV(RAND(),INPUTS!$B$28,INPUTS!$B$29))))</f>
        <v>2510912.75034864</v>
      </c>
      <c r="W181" s="89" t="n">
        <f aca="true">IF(W$5=0,V181,MAX(0,(V181-W$4)*(1+NORMINV(RAND(),INPUTS!$B$28,INPUTS!$B$29))))</f>
        <v>2590848.09171583</v>
      </c>
      <c r="X181" s="89" t="n">
        <f aca="true">IF(X$5=0,W181,MAX(0,(W181-X$4)*(1+NORMINV(RAND(),INPUTS!$B$28,INPUTS!$B$29))))</f>
        <v>2579277.21901676</v>
      </c>
      <c r="Y181" s="89" t="n">
        <f aca="true">IF(Y$5=0,X181,MAX(0,(X181-Y$4)*(1+NORMINV(RAND(),INPUTS!$B$28,INPUTS!$B$29))))</f>
        <v>2726980.71329204</v>
      </c>
      <c r="Z181" s="89" t="n">
        <f aca="true">IF(Z$5=0,Y181,MAX(0,(Y181-Z$4)*(1+NORMINV(RAND(),INPUTS!$B$28,INPUTS!$B$29))))</f>
        <v>2834432.10615181</v>
      </c>
      <c r="AA181" s="89" t="n">
        <f aca="true">IF(AA$5=0,Z181,MAX(0,(Z181-AA$4)*(1+NORMINV(RAND(),INPUTS!$B$28,INPUTS!$B$29))))</f>
        <v>2578341.9592803</v>
      </c>
      <c r="AB181" s="89" t="n">
        <f aca="true">IF(AB$5=0,AA181,MAX(0,(AA181-AB$4)*(1+NORMINV(RAND(),INPUTS!$B$28,INPUTS!$B$29))))</f>
        <v>2260121.95471109</v>
      </c>
      <c r="AC181" s="89" t="n">
        <f aca="true">IF(AC$5=0,AB181,MAX(0,(AB181-AC$4)*(1+NORMINV(RAND(),INPUTS!$B$28,INPUTS!$B$29))))</f>
        <v>2469648.47905064</v>
      </c>
      <c r="AD181" s="89" t="n">
        <f aca="true">IF(AD$5=0,AC181,MAX(0,(AC181-AD$4)*(1+NORMINV(RAND(),INPUTS!$B$28,INPUTS!$B$29))))</f>
        <v>2949972.6846189</v>
      </c>
      <c r="AE181" s="89" t="n">
        <f aca="true">IF(AE$5=0,AD181,MAX(0,(AD181-AE$4)*(1+NORMINV(RAND(),INPUTS!$B$28,INPUTS!$B$29))))</f>
        <v>3606148.40453461</v>
      </c>
      <c r="AF181" s="89" t="n">
        <f aca="true">IF(AF$5=0,AE181,MAX(0,(AE181-AF$4)*(1+NORMINV(RAND(),INPUTS!$B$28,INPUTS!$B$29))))</f>
        <v>4549481.52741601</v>
      </c>
      <c r="AG181" s="89" t="n">
        <f aca="true">IF(AG$5=0,AF181,MAX(0,(AF181-AG$4)*(1+NORMINV(RAND(),INPUTS!$B$28,INPUTS!$B$29))))</f>
        <v>5001146.52973714</v>
      </c>
      <c r="AH181" s="89" t="n">
        <f aca="true">IF(AH$5=0,AG181,MAX(0,(AG181-AH$4)*(1+NORMINV(RAND(),INPUTS!$B$28,INPUTS!$B$29))))</f>
        <v>6252510.43851442</v>
      </c>
      <c r="AI181" s="89" t="n">
        <f aca="true">IF(AI$5=0,AH181,MAX(0,(AH181-AI$4)*(1+NORMINV(RAND(),INPUTS!$B$28,INPUTS!$B$29))))</f>
        <v>6401237.65024426</v>
      </c>
      <c r="AJ181" s="89" t="n">
        <f aca="true">IF(AJ$5=0,AI181,MAX(0,(AI181-AJ$4)*(1+NORMINV(RAND(),INPUTS!$B$28,INPUTS!$B$29))))</f>
        <v>6017762.02215658</v>
      </c>
      <c r="AK181" s="89" t="n">
        <f aca="true">IF(AK$5=0,AJ181,MAX(0,(AJ181-AK$4)*(1+NORMINV(RAND(),INPUTS!$B$28,INPUTS!$B$29))))</f>
        <v>6095214.36507954</v>
      </c>
      <c r="AL181" s="89" t="n">
        <f aca="true">IF(AL$5=0,AK181,MAX(0,(AK181-AL$4)*(1+NORMINV(RAND(),INPUTS!$B$28,INPUTS!$B$29))))</f>
        <v>7165553.81593383</v>
      </c>
      <c r="AM181" s="89" t="n">
        <f aca="true">IF(AM$5=0,AL181,MAX(0,(AL181-AM$4)*(1+NORMINV(RAND(),INPUTS!$B$28,INPUTS!$B$29))))</f>
        <v>7165553.81593383</v>
      </c>
      <c r="AN181" s="89" t="n">
        <f aca="true">IF(AN$5=0,AM181,MAX(0,(AM181-AN$4)*(1+NORMINV(RAND(),INPUTS!$B$28,INPUTS!$B$29))))</f>
        <v>7165553.81593383</v>
      </c>
      <c r="AO181" s="89" t="n">
        <f aca="true">IF(AO$5=0,AN181,MAX(0,(AN181-AO$4)*(1+NORMINV(RAND(),INPUTS!$B$28,INPUTS!$B$29))))</f>
        <v>7165553.81593383</v>
      </c>
      <c r="AP181" s="89" t="n">
        <f aca="true">IF(AP$5=0,AO181,MAX(0,(AO181-AP$4)*(1+NORMINV(RAND(),INPUTS!$B$28,INPUTS!$B$29))))</f>
        <v>7165553.81593383</v>
      </c>
      <c r="AQ181" s="89" t="n">
        <f aca="true">IF(AQ$5=0,AP181,MAX(0,(AP181-AQ$4)*(1+NORMINV(RAND(),INPUTS!$B$28,INPUTS!$B$29))))</f>
        <v>7165553.81593383</v>
      </c>
      <c r="AR181" s="89" t="n">
        <f aca="true">IF(AR$5=0,AQ181,MAX(0,(AQ181-AR$4)*(1+NORMINV(RAND(),INPUTS!$B$28,INPUTS!$B$29))))</f>
        <v>7165553.81593383</v>
      </c>
      <c r="AS181" s="89" t="n">
        <f aca="true">IF(AS$5=0,AR181,MAX(0,(AR181-AS$4)*(1+NORMINV(RAND(),INPUTS!$B$28,INPUTS!$B$29))))</f>
        <v>7165553.81593383</v>
      </c>
      <c r="AT181" s="89" t="n">
        <f aca="true">IF(AT$5=0,AS181,MAX(0,(AS181-AT$4)*(1+NORMINV(RAND(),INPUTS!$B$28,INPUTS!$B$29))))</f>
        <v>7165553.81593383</v>
      </c>
      <c r="AU181" s="89" t="n">
        <f aca="true">IF(AU$5=0,AT181,MAX(0,(AT181-AU$4)*(1+NORMINV(RAND(),INPUTS!$B$28,INPUTS!$B$29))))</f>
        <v>7165553.81593383</v>
      </c>
      <c r="AV181" s="89" t="n">
        <f aca="true">IF(AV$5=0,AU181,MAX(0,(AU181-AV$4)*(1+NORMINV(RAND(),INPUTS!$B$28,INPUTS!$B$29))))</f>
        <v>7165553.81593383</v>
      </c>
      <c r="AW181" s="89" t="n">
        <f aca="true">IF(AW$5=0,AV181,MAX(0,(AV181-AW$4)*(1+NORMINV(RAND(),INPUTS!$B$28,INPUTS!$B$29))))</f>
        <v>7165553.81593383</v>
      </c>
      <c r="AX181" s="89" t="n">
        <f aca="true">IF(AX$5=0,AW181,MAX(0,(AW181-AX$4)*(1+NORMINV(RAND(),INPUTS!$B$28,INPUTS!$B$29))))</f>
        <v>7165553.81593383</v>
      </c>
      <c r="AY181" s="89" t="n">
        <f aca="true">IF(AY$5=0,AX181,MAX(0,(AX181-AY$4)*(1+NORMINV(RAND(),INPUTS!$B$28,INPUTS!$B$29))))</f>
        <v>7165553.81593383</v>
      </c>
      <c r="AZ181" s="89" t="n">
        <f aca="true">IF(AZ$5=0,AY181,MAX(0,(AY181-AZ$4)*(1+NORMINV(RAND(),INPUTS!$B$28,INPUTS!$B$29))))</f>
        <v>7165553.81593383</v>
      </c>
      <c r="BA181" s="89" t="n">
        <f aca="true">IF(BA$5=0,AZ181,MAX(0,(AZ181-BA$4)*(1+NORMINV(RAND(),INPUTS!$B$28,INPUTS!$B$29))))</f>
        <v>7165553.81593383</v>
      </c>
      <c r="BB181" s="89" t="n">
        <f aca="true">IF(BB$5=0,BA181,MAX(0,(BA181-BB$4)*(1+NORMINV(RAND(),INPUTS!$B$28,INPUTS!$B$29))))</f>
        <v>7165553.81593383</v>
      </c>
      <c r="BC181" s="89" t="n">
        <f aca="true">IF(BC$5=0,BB181,MAX(0,(BB181-BC$4)*(1+NORMINV(RAND(),INPUTS!$B$28,INPUTS!$B$29))))</f>
        <v>7165553.81593383</v>
      </c>
      <c r="BD181" s="89" t="n">
        <f aca="true">IF(BD$5=0,BC181,MAX(0,(BC181-BD$4)*(1+NORMINV(RAND(),INPUTS!$B$28,INPUTS!$B$29))))</f>
        <v>7165553.81593383</v>
      </c>
      <c r="BE181" s="89" t="n">
        <f aca="true">IF(BE$5=0,BD181,MAX(0,(BD181-BE$4)*(1+NORMINV(RAND(),INPUTS!$B$28,INPUTS!$B$29))))</f>
        <v>7165553.81593383</v>
      </c>
      <c r="BF181" s="89" t="n">
        <f aca="true">IF(BF$5=0,BE181,MAX(0,(BE181-BF$4)*(1+NORMINV(RAND(),INPUTS!$B$28,INPUTS!$B$29))))</f>
        <v>7165553.81593383</v>
      </c>
      <c r="BG181" s="89" t="n">
        <f aca="true">IF(BG$5=0,BF181,MAX(0,(BF181-BG$4)*(1+NORMINV(RAND(),INPUTS!$B$28,INPUTS!$B$29))))</f>
        <v>7165553.81593383</v>
      </c>
      <c r="BH181" s="89" t="n">
        <f aca="true">IF(BH$5=0,BG181,MAX(0,(BG181-BH$4)*(1+NORMINV(RAND(),INPUTS!$B$28,INPUTS!$B$29))))</f>
        <v>7165553.81593383</v>
      </c>
      <c r="BI181" s="89" t="n">
        <f aca="true">IF(BI$5=0,BH181,MAX(0,(BH181-BI$4)*(1+NORMINV(RAND(),INPUTS!$B$28,INPUTS!$B$29))))</f>
        <v>7165553.81593383</v>
      </c>
      <c r="BJ181" s="89" t="n">
        <f aca="true">IF(BJ$5=0,BI181,MAX(0,(BI181-BJ$4)*(1+NORMINV(RAND(),INPUTS!$B$28,INPUTS!$B$29))))</f>
        <v>7165553.81593383</v>
      </c>
    </row>
    <row r="182" customFormat="false" ht="15" hidden="false" customHeight="true" outlineLevel="0" collapsed="false">
      <c r="A182" s="87" t="n">
        <v>175</v>
      </c>
      <c r="B182" s="88" t="n">
        <f aca="false">LOOKUP(9.99E+307,C182:BJ182)</f>
        <v>6342526.32516418</v>
      </c>
      <c r="C182" s="89" t="n">
        <f aca="true">IF(C$5=0,INPUTS!$B$35,MAX(0,(INPUTS!$B$35-C$4)*(1+NORMINV(RAND(),INPUTS!$B$28,INPUTS!$B$29))))</f>
        <v>1485541.20209428</v>
      </c>
      <c r="D182" s="89" t="n">
        <f aca="true">IF(D$5=0,C182,MAX(0,(C182-D$4)*(1+NORMINV(RAND(),INPUTS!$B$28,INPUTS!$B$29))))</f>
        <v>1541202.8967102</v>
      </c>
      <c r="E182" s="89" t="n">
        <f aca="true">IF(E$5=0,D182,MAX(0,(D182-E$4)*(1+NORMINV(RAND(),INPUTS!$B$28,INPUTS!$B$29))))</f>
        <v>1533521.84851921</v>
      </c>
      <c r="F182" s="89" t="n">
        <f aca="true">IF(F$5=0,E182,MAX(0,(E182-F$4)*(1+NORMINV(RAND(),INPUTS!$B$28,INPUTS!$B$29))))</f>
        <v>1307742.47767004</v>
      </c>
      <c r="G182" s="89" t="n">
        <f aca="true">IF(G$5=0,F182,MAX(0,(F182-G$4)*(1+NORMINV(RAND(),INPUTS!$B$28,INPUTS!$B$29))))</f>
        <v>1325136.93071977</v>
      </c>
      <c r="H182" s="89" t="n">
        <f aca="true">IF(H$5=0,G182,MAX(0,(G182-H$4)*(1+NORMINV(RAND(),INPUTS!$B$28,INPUTS!$B$29))))</f>
        <v>1263917.16388189</v>
      </c>
      <c r="I182" s="89" t="n">
        <f aca="true">IF(I$5=0,H182,MAX(0,(H182-I$4)*(1+NORMINV(RAND(),INPUTS!$B$28,INPUTS!$B$29))))</f>
        <v>1346941.5723786</v>
      </c>
      <c r="J182" s="89" t="n">
        <f aca="true">IF(J$5=0,I182,MAX(0,(I182-J$4)*(1+NORMINV(RAND(),INPUTS!$B$28,INPUTS!$B$29))))</f>
        <v>1535611.53625281</v>
      </c>
      <c r="K182" s="89" t="n">
        <f aca="true">IF(K$5=0,J182,MAX(0,(J182-K$4)*(1+NORMINV(RAND(),INPUTS!$B$28,INPUTS!$B$29))))</f>
        <v>1432607.14261376</v>
      </c>
      <c r="L182" s="89" t="n">
        <f aca="true">IF(L$5=0,K182,MAX(0,(K182-L$4)*(1+NORMINV(RAND(),INPUTS!$B$28,INPUTS!$B$29))))</f>
        <v>1801678.22494291</v>
      </c>
      <c r="M182" s="89" t="n">
        <f aca="true">IF(M$5=0,L182,MAX(0,(L182-M$4)*(1+NORMINV(RAND(),INPUTS!$B$28,INPUTS!$B$29))))</f>
        <v>1939087.74450346</v>
      </c>
      <c r="N182" s="89" t="n">
        <f aca="true">IF(N$5=0,M182,MAX(0,(M182-N$4)*(1+NORMINV(RAND(),INPUTS!$B$28,INPUTS!$B$29))))</f>
        <v>2174381.18464132</v>
      </c>
      <c r="O182" s="89" t="n">
        <f aca="true">IF(O$5=0,N182,MAX(0,(N182-O$4)*(1+NORMINV(RAND(),INPUTS!$B$28,INPUTS!$B$29))))</f>
        <v>2431205.42590942</v>
      </c>
      <c r="P182" s="89" t="n">
        <f aca="true">IF(P$5=0,O182,MAX(0,(O182-P$4)*(1+NORMINV(RAND(),INPUTS!$B$28,INPUTS!$B$29))))</f>
        <v>1858872.18396467</v>
      </c>
      <c r="Q182" s="89" t="n">
        <f aca="true">IF(Q$5=0,P182,MAX(0,(P182-Q$4)*(1+NORMINV(RAND(),INPUTS!$B$28,INPUTS!$B$29))))</f>
        <v>2179543.49130263</v>
      </c>
      <c r="R182" s="89" t="n">
        <f aca="true">IF(R$5=0,Q182,MAX(0,(Q182-R$4)*(1+NORMINV(RAND(),INPUTS!$B$28,INPUTS!$B$29))))</f>
        <v>2132208.39842716</v>
      </c>
      <c r="S182" s="89" t="n">
        <f aca="true">IF(S$5=0,R182,MAX(0,(R182-S$4)*(1+NORMINV(RAND(),INPUTS!$B$28,INPUTS!$B$29))))</f>
        <v>2320198.59965147</v>
      </c>
      <c r="T182" s="89" t="n">
        <f aca="true">IF(T$5=0,S182,MAX(0,(S182-T$4)*(1+NORMINV(RAND(),INPUTS!$B$28,INPUTS!$B$29))))</f>
        <v>2683230.69208255</v>
      </c>
      <c r="U182" s="89" t="n">
        <f aca="true">IF(U$5=0,T182,MAX(0,(T182-U$4)*(1+NORMINV(RAND(),INPUTS!$B$28,INPUTS!$B$29))))</f>
        <v>3113488.4548822</v>
      </c>
      <c r="V182" s="89" t="n">
        <f aca="true">IF(V$5=0,U182,MAX(0,(U182-V$4)*(1+NORMINV(RAND(),INPUTS!$B$28,INPUTS!$B$29))))</f>
        <v>3584774.6766841</v>
      </c>
      <c r="W182" s="89" t="n">
        <f aca="true">IF(W$5=0,V182,MAX(0,(V182-W$4)*(1+NORMINV(RAND(),INPUTS!$B$28,INPUTS!$B$29))))</f>
        <v>3653233.56663907</v>
      </c>
      <c r="X182" s="89" t="n">
        <f aca="true">IF(X$5=0,W182,MAX(0,(W182-X$4)*(1+NORMINV(RAND(),INPUTS!$B$28,INPUTS!$B$29))))</f>
        <v>4279624.77533544</v>
      </c>
      <c r="Y182" s="89" t="n">
        <f aca="true">IF(Y$5=0,X182,MAX(0,(X182-Y$4)*(1+NORMINV(RAND(),INPUTS!$B$28,INPUTS!$B$29))))</f>
        <v>4990817.17668293</v>
      </c>
      <c r="Z182" s="89" t="n">
        <f aca="true">IF(Z$5=0,Y182,MAX(0,(Y182-Z$4)*(1+NORMINV(RAND(),INPUTS!$B$28,INPUTS!$B$29))))</f>
        <v>4792972.88247394</v>
      </c>
      <c r="AA182" s="89" t="n">
        <f aca="true">IF(AA$5=0,Z182,MAX(0,(Z182-AA$4)*(1+NORMINV(RAND(),INPUTS!$B$28,INPUTS!$B$29))))</f>
        <v>5088654.17002911</v>
      </c>
      <c r="AB182" s="89" t="n">
        <f aca="true">IF(AB$5=0,AA182,MAX(0,(AA182-AB$4)*(1+NORMINV(RAND(),INPUTS!$B$28,INPUTS!$B$29))))</f>
        <v>5995689.50271387</v>
      </c>
      <c r="AC182" s="89" t="n">
        <f aca="true">IF(AC$5=0,AB182,MAX(0,(AB182-AC$4)*(1+NORMINV(RAND(),INPUTS!$B$28,INPUTS!$B$29))))</f>
        <v>5649242.02058898</v>
      </c>
      <c r="AD182" s="89" t="n">
        <f aca="true">IF(AD$5=0,AC182,MAX(0,(AC182-AD$4)*(1+NORMINV(RAND(),INPUTS!$B$28,INPUTS!$B$29))))</f>
        <v>5529142.29734324</v>
      </c>
      <c r="AE182" s="89" t="n">
        <f aca="true">IF(AE$5=0,AD182,MAX(0,(AD182-AE$4)*(1+NORMINV(RAND(),INPUTS!$B$28,INPUTS!$B$29))))</f>
        <v>5046794.46954052</v>
      </c>
      <c r="AF182" s="89" t="n">
        <f aca="true">IF(AF$5=0,AE182,MAX(0,(AE182-AF$4)*(1+NORMINV(RAND(),INPUTS!$B$28,INPUTS!$B$29))))</f>
        <v>4662409.22170906</v>
      </c>
      <c r="AG182" s="89" t="n">
        <f aca="true">IF(AG$5=0,AF182,MAX(0,(AF182-AG$4)*(1+NORMINV(RAND(),INPUTS!$B$28,INPUTS!$B$29))))</f>
        <v>4867859.71051479</v>
      </c>
      <c r="AH182" s="89" t="n">
        <f aca="true">IF(AH$5=0,AG182,MAX(0,(AG182-AH$4)*(1+NORMINV(RAND(),INPUTS!$B$28,INPUTS!$B$29))))</f>
        <v>5333890.00584742</v>
      </c>
      <c r="AI182" s="89" t="n">
        <f aca="true">IF(AI$5=0,AH182,MAX(0,(AH182-AI$4)*(1+NORMINV(RAND(),INPUTS!$B$28,INPUTS!$B$29))))</f>
        <v>5080127.3524821</v>
      </c>
      <c r="AJ182" s="89" t="n">
        <f aca="true">IF(AJ$5=0,AI182,MAX(0,(AI182-AJ$4)*(1+NORMINV(RAND(),INPUTS!$B$28,INPUTS!$B$29))))</f>
        <v>5254839.74562045</v>
      </c>
      <c r="AK182" s="89" t="n">
        <f aca="true">IF(AK$5=0,AJ182,MAX(0,(AJ182-AK$4)*(1+NORMINV(RAND(),INPUTS!$B$28,INPUTS!$B$29))))</f>
        <v>6197577.38906006</v>
      </c>
      <c r="AL182" s="89" t="n">
        <f aca="true">IF(AL$5=0,AK182,MAX(0,(AK182-AL$4)*(1+NORMINV(RAND(),INPUTS!$B$28,INPUTS!$B$29))))</f>
        <v>6342526.32516418</v>
      </c>
      <c r="AM182" s="89" t="n">
        <f aca="true">IF(AM$5=0,AL182,MAX(0,(AL182-AM$4)*(1+NORMINV(RAND(),INPUTS!$B$28,INPUTS!$B$29))))</f>
        <v>6342526.32516418</v>
      </c>
      <c r="AN182" s="89" t="n">
        <f aca="true">IF(AN$5=0,AM182,MAX(0,(AM182-AN$4)*(1+NORMINV(RAND(),INPUTS!$B$28,INPUTS!$B$29))))</f>
        <v>6342526.32516418</v>
      </c>
      <c r="AO182" s="89" t="n">
        <f aca="true">IF(AO$5=0,AN182,MAX(0,(AN182-AO$4)*(1+NORMINV(RAND(),INPUTS!$B$28,INPUTS!$B$29))))</f>
        <v>6342526.32516418</v>
      </c>
      <c r="AP182" s="89" t="n">
        <f aca="true">IF(AP$5=0,AO182,MAX(0,(AO182-AP$4)*(1+NORMINV(RAND(),INPUTS!$B$28,INPUTS!$B$29))))</f>
        <v>6342526.32516418</v>
      </c>
      <c r="AQ182" s="89" t="n">
        <f aca="true">IF(AQ$5=0,AP182,MAX(0,(AP182-AQ$4)*(1+NORMINV(RAND(),INPUTS!$B$28,INPUTS!$B$29))))</f>
        <v>6342526.32516418</v>
      </c>
      <c r="AR182" s="89" t="n">
        <f aca="true">IF(AR$5=0,AQ182,MAX(0,(AQ182-AR$4)*(1+NORMINV(RAND(),INPUTS!$B$28,INPUTS!$B$29))))</f>
        <v>6342526.32516418</v>
      </c>
      <c r="AS182" s="89" t="n">
        <f aca="true">IF(AS$5=0,AR182,MAX(0,(AR182-AS$4)*(1+NORMINV(RAND(),INPUTS!$B$28,INPUTS!$B$29))))</f>
        <v>6342526.32516418</v>
      </c>
      <c r="AT182" s="89" t="n">
        <f aca="true">IF(AT$5=0,AS182,MAX(0,(AS182-AT$4)*(1+NORMINV(RAND(),INPUTS!$B$28,INPUTS!$B$29))))</f>
        <v>6342526.32516418</v>
      </c>
      <c r="AU182" s="89" t="n">
        <f aca="true">IF(AU$5=0,AT182,MAX(0,(AT182-AU$4)*(1+NORMINV(RAND(),INPUTS!$B$28,INPUTS!$B$29))))</f>
        <v>6342526.32516418</v>
      </c>
      <c r="AV182" s="89" t="n">
        <f aca="true">IF(AV$5=0,AU182,MAX(0,(AU182-AV$4)*(1+NORMINV(RAND(),INPUTS!$B$28,INPUTS!$B$29))))</f>
        <v>6342526.32516418</v>
      </c>
      <c r="AW182" s="89" t="n">
        <f aca="true">IF(AW$5=0,AV182,MAX(0,(AV182-AW$4)*(1+NORMINV(RAND(),INPUTS!$B$28,INPUTS!$B$29))))</f>
        <v>6342526.32516418</v>
      </c>
      <c r="AX182" s="89" t="n">
        <f aca="true">IF(AX$5=0,AW182,MAX(0,(AW182-AX$4)*(1+NORMINV(RAND(),INPUTS!$B$28,INPUTS!$B$29))))</f>
        <v>6342526.32516418</v>
      </c>
      <c r="AY182" s="89" t="n">
        <f aca="true">IF(AY$5=0,AX182,MAX(0,(AX182-AY$4)*(1+NORMINV(RAND(),INPUTS!$B$28,INPUTS!$B$29))))</f>
        <v>6342526.32516418</v>
      </c>
      <c r="AZ182" s="89" t="n">
        <f aca="true">IF(AZ$5=0,AY182,MAX(0,(AY182-AZ$4)*(1+NORMINV(RAND(),INPUTS!$B$28,INPUTS!$B$29))))</f>
        <v>6342526.32516418</v>
      </c>
      <c r="BA182" s="89" t="n">
        <f aca="true">IF(BA$5=0,AZ182,MAX(0,(AZ182-BA$4)*(1+NORMINV(RAND(),INPUTS!$B$28,INPUTS!$B$29))))</f>
        <v>6342526.32516418</v>
      </c>
      <c r="BB182" s="89" t="n">
        <f aca="true">IF(BB$5=0,BA182,MAX(0,(BA182-BB$4)*(1+NORMINV(RAND(),INPUTS!$B$28,INPUTS!$B$29))))</f>
        <v>6342526.32516418</v>
      </c>
      <c r="BC182" s="89" t="n">
        <f aca="true">IF(BC$5=0,BB182,MAX(0,(BB182-BC$4)*(1+NORMINV(RAND(),INPUTS!$B$28,INPUTS!$B$29))))</f>
        <v>6342526.32516418</v>
      </c>
      <c r="BD182" s="89" t="n">
        <f aca="true">IF(BD$5=0,BC182,MAX(0,(BC182-BD$4)*(1+NORMINV(RAND(),INPUTS!$B$28,INPUTS!$B$29))))</f>
        <v>6342526.32516418</v>
      </c>
      <c r="BE182" s="89" t="n">
        <f aca="true">IF(BE$5=0,BD182,MAX(0,(BD182-BE$4)*(1+NORMINV(RAND(),INPUTS!$B$28,INPUTS!$B$29))))</f>
        <v>6342526.32516418</v>
      </c>
      <c r="BF182" s="89" t="n">
        <f aca="true">IF(BF$5=0,BE182,MAX(0,(BE182-BF$4)*(1+NORMINV(RAND(),INPUTS!$B$28,INPUTS!$B$29))))</f>
        <v>6342526.32516418</v>
      </c>
      <c r="BG182" s="89" t="n">
        <f aca="true">IF(BG$5=0,BF182,MAX(0,(BF182-BG$4)*(1+NORMINV(RAND(),INPUTS!$B$28,INPUTS!$B$29))))</f>
        <v>6342526.32516418</v>
      </c>
      <c r="BH182" s="89" t="n">
        <f aca="true">IF(BH$5=0,BG182,MAX(0,(BG182-BH$4)*(1+NORMINV(RAND(),INPUTS!$B$28,INPUTS!$B$29))))</f>
        <v>6342526.32516418</v>
      </c>
      <c r="BI182" s="89" t="n">
        <f aca="true">IF(BI$5=0,BH182,MAX(0,(BH182-BI$4)*(1+NORMINV(RAND(),INPUTS!$B$28,INPUTS!$B$29))))</f>
        <v>6342526.32516418</v>
      </c>
      <c r="BJ182" s="89" t="n">
        <f aca="true">IF(BJ$5=0,BI182,MAX(0,(BI182-BJ$4)*(1+NORMINV(RAND(),INPUTS!$B$28,INPUTS!$B$29))))</f>
        <v>6342526.32516418</v>
      </c>
    </row>
    <row r="183" customFormat="false" ht="15" hidden="false" customHeight="true" outlineLevel="0" collapsed="false">
      <c r="A183" s="87" t="n">
        <v>176</v>
      </c>
      <c r="B183" s="88" t="n">
        <f aca="false">LOOKUP(9.99E+307,C183:BJ183)</f>
        <v>4641947.34506702</v>
      </c>
      <c r="C183" s="89" t="n">
        <f aca="true">IF(C$5=0,INPUTS!$B$35,MAX(0,(INPUTS!$B$35-C$4)*(1+NORMINV(RAND(),INPUTS!$B$28,INPUTS!$B$29))))</f>
        <v>1597856.20933559</v>
      </c>
      <c r="D183" s="89" t="n">
        <f aca="true">IF(D$5=0,C183,MAX(0,(C183-D$4)*(1+NORMINV(RAND(),INPUTS!$B$28,INPUTS!$B$29))))</f>
        <v>1360723.26300573</v>
      </c>
      <c r="E183" s="89" t="n">
        <f aca="true">IF(E$5=0,D183,MAX(0,(D183-E$4)*(1+NORMINV(RAND(),INPUTS!$B$28,INPUTS!$B$29))))</f>
        <v>1168383.2146129</v>
      </c>
      <c r="F183" s="89" t="n">
        <f aca="true">IF(F$5=0,E183,MAX(0,(E183-F$4)*(1+NORMINV(RAND(),INPUTS!$B$28,INPUTS!$B$29))))</f>
        <v>1253564.2044457</v>
      </c>
      <c r="G183" s="89" t="n">
        <f aca="true">IF(G$5=0,F183,MAX(0,(F183-G$4)*(1+NORMINV(RAND(),INPUTS!$B$28,INPUTS!$B$29))))</f>
        <v>1304958.08057962</v>
      </c>
      <c r="H183" s="89" t="n">
        <f aca="true">IF(H$5=0,G183,MAX(0,(G183-H$4)*(1+NORMINV(RAND(),INPUTS!$B$28,INPUTS!$B$29))))</f>
        <v>1440036.50414573</v>
      </c>
      <c r="I183" s="89" t="n">
        <f aca="true">IF(I$5=0,H183,MAX(0,(H183-I$4)*(1+NORMINV(RAND(),INPUTS!$B$28,INPUTS!$B$29))))</f>
        <v>1480315.46717571</v>
      </c>
      <c r="J183" s="89" t="n">
        <f aca="true">IF(J$5=0,I183,MAX(0,(I183-J$4)*(1+NORMINV(RAND(),INPUTS!$B$28,INPUTS!$B$29))))</f>
        <v>1690699.23958121</v>
      </c>
      <c r="K183" s="89" t="n">
        <f aca="true">IF(K$5=0,J183,MAX(0,(J183-K$4)*(1+NORMINV(RAND(),INPUTS!$B$28,INPUTS!$B$29))))</f>
        <v>2172086.71921717</v>
      </c>
      <c r="L183" s="89" t="n">
        <f aca="true">IF(L$5=0,K183,MAX(0,(K183-L$4)*(1+NORMINV(RAND(),INPUTS!$B$28,INPUTS!$B$29))))</f>
        <v>2323627.71196784</v>
      </c>
      <c r="M183" s="89" t="n">
        <f aca="true">IF(M$5=0,L183,MAX(0,(L183-M$4)*(1+NORMINV(RAND(),INPUTS!$B$28,INPUTS!$B$29))))</f>
        <v>2088933.06276363</v>
      </c>
      <c r="N183" s="89" t="n">
        <f aca="true">IF(N$5=0,M183,MAX(0,(M183-N$4)*(1+NORMINV(RAND(),INPUTS!$B$28,INPUTS!$B$29))))</f>
        <v>2415702.69274408</v>
      </c>
      <c r="O183" s="89" t="n">
        <f aca="true">IF(O$5=0,N183,MAX(0,(N183-O$4)*(1+NORMINV(RAND(),INPUTS!$B$28,INPUTS!$B$29))))</f>
        <v>2337047.20248384</v>
      </c>
      <c r="P183" s="89" t="n">
        <f aca="true">IF(P$5=0,O183,MAX(0,(O183-P$4)*(1+NORMINV(RAND(),INPUTS!$B$28,INPUTS!$B$29))))</f>
        <v>2324388.16417344</v>
      </c>
      <c r="Q183" s="89" t="n">
        <f aca="true">IF(Q$5=0,P183,MAX(0,(P183-Q$4)*(1+NORMINV(RAND(),INPUTS!$B$28,INPUTS!$B$29))))</f>
        <v>2515646.9098522</v>
      </c>
      <c r="R183" s="89" t="n">
        <f aca="true">IF(R$5=0,Q183,MAX(0,(Q183-R$4)*(1+NORMINV(RAND(),INPUTS!$B$28,INPUTS!$B$29))))</f>
        <v>2973689.63866142</v>
      </c>
      <c r="S183" s="89" t="n">
        <f aca="true">IF(S$5=0,R183,MAX(0,(R183-S$4)*(1+NORMINV(RAND(),INPUTS!$B$28,INPUTS!$B$29))))</f>
        <v>3283077.6143202</v>
      </c>
      <c r="T183" s="89" t="n">
        <f aca="true">IF(T$5=0,S183,MAX(0,(S183-T$4)*(1+NORMINV(RAND(),INPUTS!$B$28,INPUTS!$B$29))))</f>
        <v>2897436.90437704</v>
      </c>
      <c r="U183" s="89" t="n">
        <f aca="true">IF(U$5=0,T183,MAX(0,(T183-U$4)*(1+NORMINV(RAND(),INPUTS!$B$28,INPUTS!$B$29))))</f>
        <v>2723962.78371852</v>
      </c>
      <c r="V183" s="89" t="n">
        <f aca="true">IF(V$5=0,U183,MAX(0,(U183-V$4)*(1+NORMINV(RAND(),INPUTS!$B$28,INPUTS!$B$29))))</f>
        <v>2691648.73854374</v>
      </c>
      <c r="W183" s="89" t="n">
        <f aca="true">IF(W$5=0,V183,MAX(0,(V183-W$4)*(1+NORMINV(RAND(),INPUTS!$B$28,INPUTS!$B$29))))</f>
        <v>3147374.90133711</v>
      </c>
      <c r="X183" s="89" t="n">
        <f aca="true">IF(X$5=0,W183,MAX(0,(W183-X$4)*(1+NORMINV(RAND(),INPUTS!$B$28,INPUTS!$B$29))))</f>
        <v>3566362.83401083</v>
      </c>
      <c r="Y183" s="89" t="n">
        <f aca="true">IF(Y$5=0,X183,MAX(0,(X183-Y$4)*(1+NORMINV(RAND(),INPUTS!$B$28,INPUTS!$B$29))))</f>
        <v>2926638.33408524</v>
      </c>
      <c r="Z183" s="89" t="n">
        <f aca="true">IF(Z$5=0,Y183,MAX(0,(Y183-Z$4)*(1+NORMINV(RAND(),INPUTS!$B$28,INPUTS!$B$29))))</f>
        <v>3191916.68451267</v>
      </c>
      <c r="AA183" s="89" t="n">
        <f aca="true">IF(AA$5=0,Z183,MAX(0,(Z183-AA$4)*(1+NORMINV(RAND(),INPUTS!$B$28,INPUTS!$B$29))))</f>
        <v>4012403.91112787</v>
      </c>
      <c r="AB183" s="89" t="n">
        <f aca="true">IF(AB$5=0,AA183,MAX(0,(AA183-AB$4)*(1+NORMINV(RAND(),INPUTS!$B$28,INPUTS!$B$29))))</f>
        <v>3816751.84949793</v>
      </c>
      <c r="AC183" s="89" t="n">
        <f aca="true">IF(AC$5=0,AB183,MAX(0,(AB183-AC$4)*(1+NORMINV(RAND(),INPUTS!$B$28,INPUTS!$B$29))))</f>
        <v>3823404.76691277</v>
      </c>
      <c r="AD183" s="89" t="n">
        <f aca="true">IF(AD$5=0,AC183,MAX(0,(AC183-AD$4)*(1+NORMINV(RAND(),INPUTS!$B$28,INPUTS!$B$29))))</f>
        <v>3601127.25241096</v>
      </c>
      <c r="AE183" s="89" t="n">
        <f aca="true">IF(AE$5=0,AD183,MAX(0,(AD183-AE$4)*(1+NORMINV(RAND(),INPUTS!$B$28,INPUTS!$B$29))))</f>
        <v>3539977.06907961</v>
      </c>
      <c r="AF183" s="89" t="n">
        <f aca="true">IF(AF$5=0,AE183,MAX(0,(AE183-AF$4)*(1+NORMINV(RAND(),INPUTS!$B$28,INPUTS!$B$29))))</f>
        <v>4159839.43019772</v>
      </c>
      <c r="AG183" s="89" t="n">
        <f aca="true">IF(AG$5=0,AF183,MAX(0,(AF183-AG$4)*(1+NORMINV(RAND(),INPUTS!$B$28,INPUTS!$B$29))))</f>
        <v>3938907.57531528</v>
      </c>
      <c r="AH183" s="89" t="n">
        <f aca="true">IF(AH$5=0,AG183,MAX(0,(AG183-AH$4)*(1+NORMINV(RAND(),INPUTS!$B$28,INPUTS!$B$29))))</f>
        <v>4238048.14582524</v>
      </c>
      <c r="AI183" s="89" t="n">
        <f aca="true">IF(AI$5=0,AH183,MAX(0,(AH183-AI$4)*(1+NORMINV(RAND(),INPUTS!$B$28,INPUTS!$B$29))))</f>
        <v>4256846.843372</v>
      </c>
      <c r="AJ183" s="89" t="n">
        <f aca="true">IF(AJ$5=0,AI183,MAX(0,(AI183-AJ$4)*(1+NORMINV(RAND(),INPUTS!$B$28,INPUTS!$B$29))))</f>
        <v>4425237.62177849</v>
      </c>
      <c r="AK183" s="89" t="n">
        <f aca="true">IF(AK$5=0,AJ183,MAX(0,(AJ183-AK$4)*(1+NORMINV(RAND(),INPUTS!$B$28,INPUTS!$B$29))))</f>
        <v>4799524.3525277</v>
      </c>
      <c r="AL183" s="89" t="n">
        <f aca="true">IF(AL$5=0,AK183,MAX(0,(AK183-AL$4)*(1+NORMINV(RAND(),INPUTS!$B$28,INPUTS!$B$29))))</f>
        <v>4641947.34506702</v>
      </c>
      <c r="AM183" s="89" t="n">
        <f aca="true">IF(AM$5=0,AL183,MAX(0,(AL183-AM$4)*(1+NORMINV(RAND(),INPUTS!$B$28,INPUTS!$B$29))))</f>
        <v>4641947.34506702</v>
      </c>
      <c r="AN183" s="89" t="n">
        <f aca="true">IF(AN$5=0,AM183,MAX(0,(AM183-AN$4)*(1+NORMINV(RAND(),INPUTS!$B$28,INPUTS!$B$29))))</f>
        <v>4641947.34506702</v>
      </c>
      <c r="AO183" s="89" t="n">
        <f aca="true">IF(AO$5=0,AN183,MAX(0,(AN183-AO$4)*(1+NORMINV(RAND(),INPUTS!$B$28,INPUTS!$B$29))))</f>
        <v>4641947.34506702</v>
      </c>
      <c r="AP183" s="89" t="n">
        <f aca="true">IF(AP$5=0,AO183,MAX(0,(AO183-AP$4)*(1+NORMINV(RAND(),INPUTS!$B$28,INPUTS!$B$29))))</f>
        <v>4641947.34506702</v>
      </c>
      <c r="AQ183" s="89" t="n">
        <f aca="true">IF(AQ$5=0,AP183,MAX(0,(AP183-AQ$4)*(1+NORMINV(RAND(),INPUTS!$B$28,INPUTS!$B$29))))</f>
        <v>4641947.34506702</v>
      </c>
      <c r="AR183" s="89" t="n">
        <f aca="true">IF(AR$5=0,AQ183,MAX(0,(AQ183-AR$4)*(1+NORMINV(RAND(),INPUTS!$B$28,INPUTS!$B$29))))</f>
        <v>4641947.34506702</v>
      </c>
      <c r="AS183" s="89" t="n">
        <f aca="true">IF(AS$5=0,AR183,MAX(0,(AR183-AS$4)*(1+NORMINV(RAND(),INPUTS!$B$28,INPUTS!$B$29))))</f>
        <v>4641947.34506702</v>
      </c>
      <c r="AT183" s="89" t="n">
        <f aca="true">IF(AT$5=0,AS183,MAX(0,(AS183-AT$4)*(1+NORMINV(RAND(),INPUTS!$B$28,INPUTS!$B$29))))</f>
        <v>4641947.34506702</v>
      </c>
      <c r="AU183" s="89" t="n">
        <f aca="true">IF(AU$5=0,AT183,MAX(0,(AT183-AU$4)*(1+NORMINV(RAND(),INPUTS!$B$28,INPUTS!$B$29))))</f>
        <v>4641947.34506702</v>
      </c>
      <c r="AV183" s="89" t="n">
        <f aca="true">IF(AV$5=0,AU183,MAX(0,(AU183-AV$4)*(1+NORMINV(RAND(),INPUTS!$B$28,INPUTS!$B$29))))</f>
        <v>4641947.34506702</v>
      </c>
      <c r="AW183" s="89" t="n">
        <f aca="true">IF(AW$5=0,AV183,MAX(0,(AV183-AW$4)*(1+NORMINV(RAND(),INPUTS!$B$28,INPUTS!$B$29))))</f>
        <v>4641947.34506702</v>
      </c>
      <c r="AX183" s="89" t="n">
        <f aca="true">IF(AX$5=0,AW183,MAX(0,(AW183-AX$4)*(1+NORMINV(RAND(),INPUTS!$B$28,INPUTS!$B$29))))</f>
        <v>4641947.34506702</v>
      </c>
      <c r="AY183" s="89" t="n">
        <f aca="true">IF(AY$5=0,AX183,MAX(0,(AX183-AY$4)*(1+NORMINV(RAND(),INPUTS!$B$28,INPUTS!$B$29))))</f>
        <v>4641947.34506702</v>
      </c>
      <c r="AZ183" s="89" t="n">
        <f aca="true">IF(AZ$5=0,AY183,MAX(0,(AY183-AZ$4)*(1+NORMINV(RAND(),INPUTS!$B$28,INPUTS!$B$29))))</f>
        <v>4641947.34506702</v>
      </c>
      <c r="BA183" s="89" t="n">
        <f aca="true">IF(BA$5=0,AZ183,MAX(0,(AZ183-BA$4)*(1+NORMINV(RAND(),INPUTS!$B$28,INPUTS!$B$29))))</f>
        <v>4641947.34506702</v>
      </c>
      <c r="BB183" s="89" t="n">
        <f aca="true">IF(BB$5=0,BA183,MAX(0,(BA183-BB$4)*(1+NORMINV(RAND(),INPUTS!$B$28,INPUTS!$B$29))))</f>
        <v>4641947.34506702</v>
      </c>
      <c r="BC183" s="89" t="n">
        <f aca="true">IF(BC$5=0,BB183,MAX(0,(BB183-BC$4)*(1+NORMINV(RAND(),INPUTS!$B$28,INPUTS!$B$29))))</f>
        <v>4641947.34506702</v>
      </c>
      <c r="BD183" s="89" t="n">
        <f aca="true">IF(BD$5=0,BC183,MAX(0,(BC183-BD$4)*(1+NORMINV(RAND(),INPUTS!$B$28,INPUTS!$B$29))))</f>
        <v>4641947.34506702</v>
      </c>
      <c r="BE183" s="89" t="n">
        <f aca="true">IF(BE$5=0,BD183,MAX(0,(BD183-BE$4)*(1+NORMINV(RAND(),INPUTS!$B$28,INPUTS!$B$29))))</f>
        <v>4641947.34506702</v>
      </c>
      <c r="BF183" s="89" t="n">
        <f aca="true">IF(BF$5=0,BE183,MAX(0,(BE183-BF$4)*(1+NORMINV(RAND(),INPUTS!$B$28,INPUTS!$B$29))))</f>
        <v>4641947.34506702</v>
      </c>
      <c r="BG183" s="89" t="n">
        <f aca="true">IF(BG$5=0,BF183,MAX(0,(BF183-BG$4)*(1+NORMINV(RAND(),INPUTS!$B$28,INPUTS!$B$29))))</f>
        <v>4641947.34506702</v>
      </c>
      <c r="BH183" s="89" t="n">
        <f aca="true">IF(BH$5=0,BG183,MAX(0,(BG183-BH$4)*(1+NORMINV(RAND(),INPUTS!$B$28,INPUTS!$B$29))))</f>
        <v>4641947.34506702</v>
      </c>
      <c r="BI183" s="89" t="n">
        <f aca="true">IF(BI$5=0,BH183,MAX(0,(BH183-BI$4)*(1+NORMINV(RAND(),INPUTS!$B$28,INPUTS!$B$29))))</f>
        <v>4641947.34506702</v>
      </c>
      <c r="BJ183" s="89" t="n">
        <f aca="true">IF(BJ$5=0,BI183,MAX(0,(BI183-BJ$4)*(1+NORMINV(RAND(),INPUTS!$B$28,INPUTS!$B$29))))</f>
        <v>4641947.34506702</v>
      </c>
    </row>
    <row r="184" customFormat="false" ht="15" hidden="false" customHeight="true" outlineLevel="0" collapsed="false">
      <c r="A184" s="87" t="n">
        <v>177</v>
      </c>
      <c r="B184" s="88" t="n">
        <f aca="false">LOOKUP(9.99E+307,C184:BJ184)</f>
        <v>9507014.88107581</v>
      </c>
      <c r="C184" s="89" t="n">
        <f aca="true">IF(C$5=0,INPUTS!$B$35,MAX(0,(INPUTS!$B$35-C$4)*(1+NORMINV(RAND(),INPUTS!$B$28,INPUTS!$B$29))))</f>
        <v>1517312.12897314</v>
      </c>
      <c r="D184" s="89" t="n">
        <f aca="true">IF(D$5=0,C184,MAX(0,(C184-D$4)*(1+NORMINV(RAND(),INPUTS!$B$28,INPUTS!$B$29))))</f>
        <v>1507485.52679376</v>
      </c>
      <c r="E184" s="89" t="n">
        <f aca="true">IF(E$5=0,D184,MAX(0,(D184-E$4)*(1+NORMINV(RAND(),INPUTS!$B$28,INPUTS!$B$29))))</f>
        <v>1638448.88385367</v>
      </c>
      <c r="F184" s="89" t="n">
        <f aca="true">IF(F$5=0,E184,MAX(0,(E184-F$4)*(1+NORMINV(RAND(),INPUTS!$B$28,INPUTS!$B$29))))</f>
        <v>1603943.5380733</v>
      </c>
      <c r="G184" s="89" t="n">
        <f aca="true">IF(G$5=0,F184,MAX(0,(F184-G$4)*(1+NORMINV(RAND(),INPUTS!$B$28,INPUTS!$B$29))))</f>
        <v>1628988.23666669</v>
      </c>
      <c r="H184" s="89" t="n">
        <f aca="true">IF(H$5=0,G184,MAX(0,(G184-H$4)*(1+NORMINV(RAND(),INPUTS!$B$28,INPUTS!$B$29))))</f>
        <v>1642002.96726724</v>
      </c>
      <c r="I184" s="89" t="n">
        <f aca="true">IF(I$5=0,H184,MAX(0,(H184-I$4)*(1+NORMINV(RAND(),INPUTS!$B$28,INPUTS!$B$29))))</f>
        <v>1915640.47089894</v>
      </c>
      <c r="J184" s="89" t="n">
        <f aca="true">IF(J$5=0,I184,MAX(0,(I184-J$4)*(1+NORMINV(RAND(),INPUTS!$B$28,INPUTS!$B$29))))</f>
        <v>1563415.15290141</v>
      </c>
      <c r="K184" s="89" t="n">
        <f aca="true">IF(K$5=0,J184,MAX(0,(J184-K$4)*(1+NORMINV(RAND(),INPUTS!$B$28,INPUTS!$B$29))))</f>
        <v>1603540.1846094</v>
      </c>
      <c r="L184" s="89" t="n">
        <f aca="true">IF(L$5=0,K184,MAX(0,(K184-L$4)*(1+NORMINV(RAND(),INPUTS!$B$28,INPUTS!$B$29))))</f>
        <v>1746718.12807964</v>
      </c>
      <c r="M184" s="89" t="n">
        <f aca="true">IF(M$5=0,L184,MAX(0,(L184-M$4)*(1+NORMINV(RAND(),INPUTS!$B$28,INPUTS!$B$29))))</f>
        <v>2082624.95836663</v>
      </c>
      <c r="N184" s="89" t="n">
        <f aca="true">IF(N$5=0,M184,MAX(0,(M184-N$4)*(1+NORMINV(RAND(),INPUTS!$B$28,INPUTS!$B$29))))</f>
        <v>2205968.95412763</v>
      </c>
      <c r="O184" s="89" t="n">
        <f aca="true">IF(O$5=0,N184,MAX(0,(N184-O$4)*(1+NORMINV(RAND(),INPUTS!$B$28,INPUTS!$B$29))))</f>
        <v>2678971.05390357</v>
      </c>
      <c r="P184" s="89" t="n">
        <f aca="true">IF(P$5=0,O184,MAX(0,(O184-P$4)*(1+NORMINV(RAND(),INPUTS!$B$28,INPUTS!$B$29))))</f>
        <v>2677072.17726827</v>
      </c>
      <c r="Q184" s="89" t="n">
        <f aca="true">IF(Q$5=0,P184,MAX(0,(P184-Q$4)*(1+NORMINV(RAND(),INPUTS!$B$28,INPUTS!$B$29))))</f>
        <v>2499671.1904604</v>
      </c>
      <c r="R184" s="89" t="n">
        <f aca="true">IF(R$5=0,Q184,MAX(0,(Q184-R$4)*(1+NORMINV(RAND(),INPUTS!$B$28,INPUTS!$B$29))))</f>
        <v>2767500.50404823</v>
      </c>
      <c r="S184" s="89" t="n">
        <f aca="true">IF(S$5=0,R184,MAX(0,(R184-S$4)*(1+NORMINV(RAND(),INPUTS!$B$28,INPUTS!$B$29))))</f>
        <v>2357311.25775407</v>
      </c>
      <c r="T184" s="89" t="n">
        <f aca="true">IF(T$5=0,S184,MAX(0,(S184-T$4)*(1+NORMINV(RAND(),INPUTS!$B$28,INPUTS!$B$29))))</f>
        <v>2492047.41519059</v>
      </c>
      <c r="U184" s="89" t="n">
        <f aca="true">IF(U$5=0,T184,MAX(0,(T184-U$4)*(1+NORMINV(RAND(),INPUTS!$B$28,INPUTS!$B$29))))</f>
        <v>2937953.96111059</v>
      </c>
      <c r="V184" s="89" t="n">
        <f aca="true">IF(V$5=0,U184,MAX(0,(U184-V$4)*(1+NORMINV(RAND(),INPUTS!$B$28,INPUTS!$B$29))))</f>
        <v>2663365.14803631</v>
      </c>
      <c r="W184" s="89" t="n">
        <f aca="true">IF(W$5=0,V184,MAX(0,(V184-W$4)*(1+NORMINV(RAND(),INPUTS!$B$28,INPUTS!$B$29))))</f>
        <v>3108780.21218601</v>
      </c>
      <c r="X184" s="89" t="n">
        <f aca="true">IF(X$5=0,W184,MAX(0,(W184-X$4)*(1+NORMINV(RAND(),INPUTS!$B$28,INPUTS!$B$29))))</f>
        <v>3339601.76600245</v>
      </c>
      <c r="Y184" s="89" t="n">
        <f aca="true">IF(Y$5=0,X184,MAX(0,(X184-Y$4)*(1+NORMINV(RAND(),INPUTS!$B$28,INPUTS!$B$29))))</f>
        <v>3408626.6493201</v>
      </c>
      <c r="Z184" s="89" t="n">
        <f aca="true">IF(Z$5=0,Y184,MAX(0,(Y184-Z$4)*(1+NORMINV(RAND(),INPUTS!$B$28,INPUTS!$B$29))))</f>
        <v>3622731.87725907</v>
      </c>
      <c r="AA184" s="89" t="n">
        <f aca="true">IF(AA$5=0,Z184,MAX(0,(Z184-AA$4)*(1+NORMINV(RAND(),INPUTS!$B$28,INPUTS!$B$29))))</f>
        <v>4693760.42422821</v>
      </c>
      <c r="AB184" s="89" t="n">
        <f aca="true">IF(AB$5=0,AA184,MAX(0,(AA184-AB$4)*(1+NORMINV(RAND(),INPUTS!$B$28,INPUTS!$B$29))))</f>
        <v>5668689.01513601</v>
      </c>
      <c r="AC184" s="89" t="n">
        <f aca="true">IF(AC$5=0,AB184,MAX(0,(AB184-AC$4)*(1+NORMINV(RAND(),INPUTS!$B$28,INPUTS!$B$29))))</f>
        <v>6090140.70034762</v>
      </c>
      <c r="AD184" s="89" t="n">
        <f aca="true">IF(AD$5=0,AC184,MAX(0,(AC184-AD$4)*(1+NORMINV(RAND(),INPUTS!$B$28,INPUTS!$B$29))))</f>
        <v>6685907.33235378</v>
      </c>
      <c r="AE184" s="89" t="n">
        <f aca="true">IF(AE$5=0,AD184,MAX(0,(AD184-AE$4)*(1+NORMINV(RAND(),INPUTS!$B$28,INPUTS!$B$29))))</f>
        <v>6654605.42898936</v>
      </c>
      <c r="AF184" s="89" t="n">
        <f aca="true">IF(AF$5=0,AE184,MAX(0,(AE184-AF$4)*(1+NORMINV(RAND(),INPUTS!$B$28,INPUTS!$B$29))))</f>
        <v>7809332.25761439</v>
      </c>
      <c r="AG184" s="89" t="n">
        <f aca="true">IF(AG$5=0,AF184,MAX(0,(AF184-AG$4)*(1+NORMINV(RAND(),INPUTS!$B$28,INPUTS!$B$29))))</f>
        <v>7964886.79481798</v>
      </c>
      <c r="AH184" s="89" t="n">
        <f aca="true">IF(AH$5=0,AG184,MAX(0,(AG184-AH$4)*(1+NORMINV(RAND(),INPUTS!$B$28,INPUTS!$B$29))))</f>
        <v>8771970.32458494</v>
      </c>
      <c r="AI184" s="89" t="n">
        <f aca="true">IF(AI$5=0,AH184,MAX(0,(AH184-AI$4)*(1+NORMINV(RAND(),INPUTS!$B$28,INPUTS!$B$29))))</f>
        <v>9149182.72594224</v>
      </c>
      <c r="AJ184" s="89" t="n">
        <f aca="true">IF(AJ$5=0,AI184,MAX(0,(AI184-AJ$4)*(1+NORMINV(RAND(),INPUTS!$B$28,INPUTS!$B$29))))</f>
        <v>9220968.74267152</v>
      </c>
      <c r="AK184" s="89" t="n">
        <f aca="true">IF(AK$5=0,AJ184,MAX(0,(AJ184-AK$4)*(1+NORMINV(RAND(),INPUTS!$B$28,INPUTS!$B$29))))</f>
        <v>9749650.01995675</v>
      </c>
      <c r="AL184" s="89" t="n">
        <f aca="true">IF(AL$5=0,AK184,MAX(0,(AK184-AL$4)*(1+NORMINV(RAND(),INPUTS!$B$28,INPUTS!$B$29))))</f>
        <v>9507014.88107581</v>
      </c>
      <c r="AM184" s="89" t="n">
        <f aca="true">IF(AM$5=0,AL184,MAX(0,(AL184-AM$4)*(1+NORMINV(RAND(),INPUTS!$B$28,INPUTS!$B$29))))</f>
        <v>9507014.88107581</v>
      </c>
      <c r="AN184" s="89" t="n">
        <f aca="true">IF(AN$5=0,AM184,MAX(0,(AM184-AN$4)*(1+NORMINV(RAND(),INPUTS!$B$28,INPUTS!$B$29))))</f>
        <v>9507014.88107581</v>
      </c>
      <c r="AO184" s="89" t="n">
        <f aca="true">IF(AO$5=0,AN184,MAX(0,(AN184-AO$4)*(1+NORMINV(RAND(),INPUTS!$B$28,INPUTS!$B$29))))</f>
        <v>9507014.88107581</v>
      </c>
      <c r="AP184" s="89" t="n">
        <f aca="true">IF(AP$5=0,AO184,MAX(0,(AO184-AP$4)*(1+NORMINV(RAND(),INPUTS!$B$28,INPUTS!$B$29))))</f>
        <v>9507014.88107581</v>
      </c>
      <c r="AQ184" s="89" t="n">
        <f aca="true">IF(AQ$5=0,AP184,MAX(0,(AP184-AQ$4)*(1+NORMINV(RAND(),INPUTS!$B$28,INPUTS!$B$29))))</f>
        <v>9507014.88107581</v>
      </c>
      <c r="AR184" s="89" t="n">
        <f aca="true">IF(AR$5=0,AQ184,MAX(0,(AQ184-AR$4)*(1+NORMINV(RAND(),INPUTS!$B$28,INPUTS!$B$29))))</f>
        <v>9507014.88107581</v>
      </c>
      <c r="AS184" s="89" t="n">
        <f aca="true">IF(AS$5=0,AR184,MAX(0,(AR184-AS$4)*(1+NORMINV(RAND(),INPUTS!$B$28,INPUTS!$B$29))))</f>
        <v>9507014.88107581</v>
      </c>
      <c r="AT184" s="89" t="n">
        <f aca="true">IF(AT$5=0,AS184,MAX(0,(AS184-AT$4)*(1+NORMINV(RAND(),INPUTS!$B$28,INPUTS!$B$29))))</f>
        <v>9507014.88107581</v>
      </c>
      <c r="AU184" s="89" t="n">
        <f aca="true">IF(AU$5=0,AT184,MAX(0,(AT184-AU$4)*(1+NORMINV(RAND(),INPUTS!$B$28,INPUTS!$B$29))))</f>
        <v>9507014.88107581</v>
      </c>
      <c r="AV184" s="89" t="n">
        <f aca="true">IF(AV$5=0,AU184,MAX(0,(AU184-AV$4)*(1+NORMINV(RAND(),INPUTS!$B$28,INPUTS!$B$29))))</f>
        <v>9507014.88107581</v>
      </c>
      <c r="AW184" s="89" t="n">
        <f aca="true">IF(AW$5=0,AV184,MAX(0,(AV184-AW$4)*(1+NORMINV(RAND(),INPUTS!$B$28,INPUTS!$B$29))))</f>
        <v>9507014.88107581</v>
      </c>
      <c r="AX184" s="89" t="n">
        <f aca="true">IF(AX$5=0,AW184,MAX(0,(AW184-AX$4)*(1+NORMINV(RAND(),INPUTS!$B$28,INPUTS!$B$29))))</f>
        <v>9507014.88107581</v>
      </c>
      <c r="AY184" s="89" t="n">
        <f aca="true">IF(AY$5=0,AX184,MAX(0,(AX184-AY$4)*(1+NORMINV(RAND(),INPUTS!$B$28,INPUTS!$B$29))))</f>
        <v>9507014.88107581</v>
      </c>
      <c r="AZ184" s="89" t="n">
        <f aca="true">IF(AZ$5=0,AY184,MAX(0,(AY184-AZ$4)*(1+NORMINV(RAND(),INPUTS!$B$28,INPUTS!$B$29))))</f>
        <v>9507014.88107581</v>
      </c>
      <c r="BA184" s="89" t="n">
        <f aca="true">IF(BA$5=0,AZ184,MAX(0,(AZ184-BA$4)*(1+NORMINV(RAND(),INPUTS!$B$28,INPUTS!$B$29))))</f>
        <v>9507014.88107581</v>
      </c>
      <c r="BB184" s="89" t="n">
        <f aca="true">IF(BB$5=0,BA184,MAX(0,(BA184-BB$4)*(1+NORMINV(RAND(),INPUTS!$B$28,INPUTS!$B$29))))</f>
        <v>9507014.88107581</v>
      </c>
      <c r="BC184" s="89" t="n">
        <f aca="true">IF(BC$5=0,BB184,MAX(0,(BB184-BC$4)*(1+NORMINV(RAND(),INPUTS!$B$28,INPUTS!$B$29))))</f>
        <v>9507014.88107581</v>
      </c>
      <c r="BD184" s="89" t="n">
        <f aca="true">IF(BD$5=0,BC184,MAX(0,(BC184-BD$4)*(1+NORMINV(RAND(),INPUTS!$B$28,INPUTS!$B$29))))</f>
        <v>9507014.88107581</v>
      </c>
      <c r="BE184" s="89" t="n">
        <f aca="true">IF(BE$5=0,BD184,MAX(0,(BD184-BE$4)*(1+NORMINV(RAND(),INPUTS!$B$28,INPUTS!$B$29))))</f>
        <v>9507014.88107581</v>
      </c>
      <c r="BF184" s="89" t="n">
        <f aca="true">IF(BF$5=0,BE184,MAX(0,(BE184-BF$4)*(1+NORMINV(RAND(),INPUTS!$B$28,INPUTS!$B$29))))</f>
        <v>9507014.88107581</v>
      </c>
      <c r="BG184" s="89" t="n">
        <f aca="true">IF(BG$5=0,BF184,MAX(0,(BF184-BG$4)*(1+NORMINV(RAND(),INPUTS!$B$28,INPUTS!$B$29))))</f>
        <v>9507014.88107581</v>
      </c>
      <c r="BH184" s="89" t="n">
        <f aca="true">IF(BH$5=0,BG184,MAX(0,(BG184-BH$4)*(1+NORMINV(RAND(),INPUTS!$B$28,INPUTS!$B$29))))</f>
        <v>9507014.88107581</v>
      </c>
      <c r="BI184" s="89" t="n">
        <f aca="true">IF(BI$5=0,BH184,MAX(0,(BH184-BI$4)*(1+NORMINV(RAND(),INPUTS!$B$28,INPUTS!$B$29))))</f>
        <v>9507014.88107581</v>
      </c>
      <c r="BJ184" s="89" t="n">
        <f aca="true">IF(BJ$5=0,BI184,MAX(0,(BI184-BJ$4)*(1+NORMINV(RAND(),INPUTS!$B$28,INPUTS!$B$29))))</f>
        <v>9507014.88107581</v>
      </c>
    </row>
    <row r="185" customFormat="false" ht="15" hidden="false" customHeight="true" outlineLevel="0" collapsed="false">
      <c r="A185" s="87" t="n">
        <v>178</v>
      </c>
      <c r="B185" s="88" t="n">
        <f aca="false">LOOKUP(9.99E+307,C185:BJ185)</f>
        <v>2400831.47186156</v>
      </c>
      <c r="C185" s="89" t="n">
        <f aca="true">IF(C$5=0,INPUTS!$B$35,MAX(0,(INPUTS!$B$35-C$4)*(1+NORMINV(RAND(),INPUTS!$B$28,INPUTS!$B$29))))</f>
        <v>1360773.16488173</v>
      </c>
      <c r="D185" s="89" t="n">
        <f aca="true">IF(D$5=0,C185,MAX(0,(C185-D$4)*(1+NORMINV(RAND(),INPUTS!$B$28,INPUTS!$B$29))))</f>
        <v>1451439.1862285</v>
      </c>
      <c r="E185" s="89" t="n">
        <f aca="true">IF(E$5=0,D185,MAX(0,(D185-E$4)*(1+NORMINV(RAND(),INPUTS!$B$28,INPUTS!$B$29))))</f>
        <v>1576912.69271987</v>
      </c>
      <c r="F185" s="89" t="n">
        <f aca="true">IF(F$5=0,E185,MAX(0,(E185-F$4)*(1+NORMINV(RAND(),INPUTS!$B$28,INPUTS!$B$29))))</f>
        <v>1378532.40805191</v>
      </c>
      <c r="G185" s="89" t="n">
        <f aca="true">IF(G$5=0,F185,MAX(0,(F185-G$4)*(1+NORMINV(RAND(),INPUTS!$B$28,INPUTS!$B$29))))</f>
        <v>1568250.72146455</v>
      </c>
      <c r="H185" s="89" t="n">
        <f aca="true">IF(H$5=0,G185,MAX(0,(G185-H$4)*(1+NORMINV(RAND(),INPUTS!$B$28,INPUTS!$B$29))))</f>
        <v>1684585.79440814</v>
      </c>
      <c r="I185" s="89" t="n">
        <f aca="true">IF(I$5=0,H185,MAX(0,(H185-I$4)*(1+NORMINV(RAND(),INPUTS!$B$28,INPUTS!$B$29))))</f>
        <v>1293299.88791155</v>
      </c>
      <c r="J185" s="89" t="n">
        <f aca="true">IF(J$5=0,I185,MAX(0,(I185-J$4)*(1+NORMINV(RAND(),INPUTS!$B$28,INPUTS!$B$29))))</f>
        <v>1424286.96672782</v>
      </c>
      <c r="K185" s="89" t="n">
        <f aca="true">IF(K$5=0,J185,MAX(0,(J185-K$4)*(1+NORMINV(RAND(),INPUTS!$B$28,INPUTS!$B$29))))</f>
        <v>1323692.72578357</v>
      </c>
      <c r="L185" s="89" t="n">
        <f aca="true">IF(L$5=0,K185,MAX(0,(K185-L$4)*(1+NORMINV(RAND(),INPUTS!$B$28,INPUTS!$B$29))))</f>
        <v>1310208.68578901</v>
      </c>
      <c r="M185" s="89" t="n">
        <f aca="true">IF(M$5=0,L185,MAX(0,(L185-M$4)*(1+NORMINV(RAND(),INPUTS!$B$28,INPUTS!$B$29))))</f>
        <v>1177375.42319921</v>
      </c>
      <c r="N185" s="89" t="n">
        <f aca="true">IF(N$5=0,M185,MAX(0,(M185-N$4)*(1+NORMINV(RAND(),INPUTS!$B$28,INPUTS!$B$29))))</f>
        <v>1181816.21011559</v>
      </c>
      <c r="O185" s="89" t="n">
        <f aca="true">IF(O$5=0,N185,MAX(0,(N185-O$4)*(1+NORMINV(RAND(),INPUTS!$B$28,INPUTS!$B$29))))</f>
        <v>1365179.62367204</v>
      </c>
      <c r="P185" s="89" t="n">
        <f aca="true">IF(P$5=0,O185,MAX(0,(O185-P$4)*(1+NORMINV(RAND(),INPUTS!$B$28,INPUTS!$B$29))))</f>
        <v>1811765.00280708</v>
      </c>
      <c r="Q185" s="89" t="n">
        <f aca="true">IF(Q$5=0,P185,MAX(0,(P185-Q$4)*(1+NORMINV(RAND(),INPUTS!$B$28,INPUTS!$B$29))))</f>
        <v>1626951.53226247</v>
      </c>
      <c r="R185" s="89" t="n">
        <f aca="true">IF(R$5=0,Q185,MAX(0,(Q185-R$4)*(1+NORMINV(RAND(),INPUTS!$B$28,INPUTS!$B$29))))</f>
        <v>1833107.88187479</v>
      </c>
      <c r="S185" s="89" t="n">
        <f aca="true">IF(S$5=0,R185,MAX(0,(R185-S$4)*(1+NORMINV(RAND(),INPUTS!$B$28,INPUTS!$B$29))))</f>
        <v>2094105.2440191</v>
      </c>
      <c r="T185" s="89" t="n">
        <f aca="true">IF(T$5=0,S185,MAX(0,(S185-T$4)*(1+NORMINV(RAND(),INPUTS!$B$28,INPUTS!$B$29))))</f>
        <v>1972768.64240945</v>
      </c>
      <c r="U185" s="89" t="n">
        <f aca="true">IF(U$5=0,T185,MAX(0,(T185-U$4)*(1+NORMINV(RAND(),INPUTS!$B$28,INPUTS!$B$29))))</f>
        <v>1962435.19139079</v>
      </c>
      <c r="V185" s="89" t="n">
        <f aca="true">IF(V$5=0,U185,MAX(0,(U185-V$4)*(1+NORMINV(RAND(),INPUTS!$B$28,INPUTS!$B$29))))</f>
        <v>1887948.00294093</v>
      </c>
      <c r="W185" s="89" t="n">
        <f aca="true">IF(W$5=0,V185,MAX(0,(V185-W$4)*(1+NORMINV(RAND(),INPUTS!$B$28,INPUTS!$B$29))))</f>
        <v>1836356.80025605</v>
      </c>
      <c r="X185" s="89" t="n">
        <f aca="true">IF(X$5=0,W185,MAX(0,(W185-X$4)*(1+NORMINV(RAND(),INPUTS!$B$28,INPUTS!$B$29))))</f>
        <v>1930533.26302878</v>
      </c>
      <c r="Y185" s="89" t="n">
        <f aca="true">IF(Y$5=0,X185,MAX(0,(X185-Y$4)*(1+NORMINV(RAND(),INPUTS!$B$28,INPUTS!$B$29))))</f>
        <v>2544874.3927936</v>
      </c>
      <c r="Z185" s="89" t="n">
        <f aca="true">IF(Z$5=0,Y185,MAX(0,(Y185-Z$4)*(1+NORMINV(RAND(),INPUTS!$B$28,INPUTS!$B$29))))</f>
        <v>2367866.21132997</v>
      </c>
      <c r="AA185" s="89" t="n">
        <f aca="true">IF(AA$5=0,Z185,MAX(0,(Z185-AA$4)*(1+NORMINV(RAND(),INPUTS!$B$28,INPUTS!$B$29))))</f>
        <v>2233757.94506832</v>
      </c>
      <c r="AB185" s="89" t="n">
        <f aca="true">IF(AB$5=0,AA185,MAX(0,(AA185-AB$4)*(1+NORMINV(RAND(),INPUTS!$B$28,INPUTS!$B$29))))</f>
        <v>1856670.39955443</v>
      </c>
      <c r="AC185" s="89" t="n">
        <f aca="true">IF(AC$5=0,AB185,MAX(0,(AB185-AC$4)*(1+NORMINV(RAND(),INPUTS!$B$28,INPUTS!$B$29))))</f>
        <v>2097243.63480324</v>
      </c>
      <c r="AD185" s="89" t="n">
        <f aca="true">IF(AD$5=0,AC185,MAX(0,(AC185-AD$4)*(1+NORMINV(RAND(),INPUTS!$B$28,INPUTS!$B$29))))</f>
        <v>2354116.64488063</v>
      </c>
      <c r="AE185" s="89" t="n">
        <f aca="true">IF(AE$5=0,AD185,MAX(0,(AD185-AE$4)*(1+NORMINV(RAND(),INPUTS!$B$28,INPUTS!$B$29))))</f>
        <v>2083494.19939408</v>
      </c>
      <c r="AF185" s="89" t="n">
        <f aca="true">IF(AF$5=0,AE185,MAX(0,(AE185-AF$4)*(1+NORMINV(RAND(),INPUTS!$B$28,INPUTS!$B$29))))</f>
        <v>1987493.87303129</v>
      </c>
      <c r="AG185" s="89" t="n">
        <f aca="true">IF(AG$5=0,AF185,MAX(0,(AF185-AG$4)*(1+NORMINV(RAND(),INPUTS!$B$28,INPUTS!$B$29))))</f>
        <v>2001797.54742468</v>
      </c>
      <c r="AH185" s="89" t="n">
        <f aca="true">IF(AH$5=0,AG185,MAX(0,(AG185-AH$4)*(1+NORMINV(RAND(),INPUTS!$B$28,INPUTS!$B$29))))</f>
        <v>2009646.68872285</v>
      </c>
      <c r="AI185" s="89" t="n">
        <f aca="true">IF(AI$5=0,AH185,MAX(0,(AH185-AI$4)*(1+NORMINV(RAND(),INPUTS!$B$28,INPUTS!$B$29))))</f>
        <v>2050714.9821351</v>
      </c>
      <c r="AJ185" s="89" t="n">
        <f aca="true">IF(AJ$5=0,AI185,MAX(0,(AI185-AJ$4)*(1+NORMINV(RAND(),INPUTS!$B$28,INPUTS!$B$29))))</f>
        <v>2106733.40006359</v>
      </c>
      <c r="AK185" s="89" t="n">
        <f aca="true">IF(AK$5=0,AJ185,MAX(0,(AJ185-AK$4)*(1+NORMINV(RAND(),INPUTS!$B$28,INPUTS!$B$29))))</f>
        <v>2244795.04519497</v>
      </c>
      <c r="AL185" s="89" t="n">
        <f aca="true">IF(AL$5=0,AK185,MAX(0,(AK185-AL$4)*(1+NORMINV(RAND(),INPUTS!$B$28,INPUTS!$B$29))))</f>
        <v>2400831.47186156</v>
      </c>
      <c r="AM185" s="89" t="n">
        <f aca="true">IF(AM$5=0,AL185,MAX(0,(AL185-AM$4)*(1+NORMINV(RAND(),INPUTS!$B$28,INPUTS!$B$29))))</f>
        <v>2400831.47186156</v>
      </c>
      <c r="AN185" s="89" t="n">
        <f aca="true">IF(AN$5=0,AM185,MAX(0,(AM185-AN$4)*(1+NORMINV(RAND(),INPUTS!$B$28,INPUTS!$B$29))))</f>
        <v>2400831.47186156</v>
      </c>
      <c r="AO185" s="89" t="n">
        <f aca="true">IF(AO$5=0,AN185,MAX(0,(AN185-AO$4)*(1+NORMINV(RAND(),INPUTS!$B$28,INPUTS!$B$29))))</f>
        <v>2400831.47186156</v>
      </c>
      <c r="AP185" s="89" t="n">
        <f aca="true">IF(AP$5=0,AO185,MAX(0,(AO185-AP$4)*(1+NORMINV(RAND(),INPUTS!$B$28,INPUTS!$B$29))))</f>
        <v>2400831.47186156</v>
      </c>
      <c r="AQ185" s="89" t="n">
        <f aca="true">IF(AQ$5=0,AP185,MAX(0,(AP185-AQ$4)*(1+NORMINV(RAND(),INPUTS!$B$28,INPUTS!$B$29))))</f>
        <v>2400831.47186156</v>
      </c>
      <c r="AR185" s="89" t="n">
        <f aca="true">IF(AR$5=0,AQ185,MAX(0,(AQ185-AR$4)*(1+NORMINV(RAND(),INPUTS!$B$28,INPUTS!$B$29))))</f>
        <v>2400831.47186156</v>
      </c>
      <c r="AS185" s="89" t="n">
        <f aca="true">IF(AS$5=0,AR185,MAX(0,(AR185-AS$4)*(1+NORMINV(RAND(),INPUTS!$B$28,INPUTS!$B$29))))</f>
        <v>2400831.47186156</v>
      </c>
      <c r="AT185" s="89" t="n">
        <f aca="true">IF(AT$5=0,AS185,MAX(0,(AS185-AT$4)*(1+NORMINV(RAND(),INPUTS!$B$28,INPUTS!$B$29))))</f>
        <v>2400831.47186156</v>
      </c>
      <c r="AU185" s="89" t="n">
        <f aca="true">IF(AU$5=0,AT185,MAX(0,(AT185-AU$4)*(1+NORMINV(RAND(),INPUTS!$B$28,INPUTS!$B$29))))</f>
        <v>2400831.47186156</v>
      </c>
      <c r="AV185" s="89" t="n">
        <f aca="true">IF(AV$5=0,AU185,MAX(0,(AU185-AV$4)*(1+NORMINV(RAND(),INPUTS!$B$28,INPUTS!$B$29))))</f>
        <v>2400831.47186156</v>
      </c>
      <c r="AW185" s="89" t="n">
        <f aca="true">IF(AW$5=0,AV185,MAX(0,(AV185-AW$4)*(1+NORMINV(RAND(),INPUTS!$B$28,INPUTS!$B$29))))</f>
        <v>2400831.47186156</v>
      </c>
      <c r="AX185" s="89" t="n">
        <f aca="true">IF(AX$5=0,AW185,MAX(0,(AW185-AX$4)*(1+NORMINV(RAND(),INPUTS!$B$28,INPUTS!$B$29))))</f>
        <v>2400831.47186156</v>
      </c>
      <c r="AY185" s="89" t="n">
        <f aca="true">IF(AY$5=0,AX185,MAX(0,(AX185-AY$4)*(1+NORMINV(RAND(),INPUTS!$B$28,INPUTS!$B$29))))</f>
        <v>2400831.47186156</v>
      </c>
      <c r="AZ185" s="89" t="n">
        <f aca="true">IF(AZ$5=0,AY185,MAX(0,(AY185-AZ$4)*(1+NORMINV(RAND(),INPUTS!$B$28,INPUTS!$B$29))))</f>
        <v>2400831.47186156</v>
      </c>
      <c r="BA185" s="89" t="n">
        <f aca="true">IF(BA$5=0,AZ185,MAX(0,(AZ185-BA$4)*(1+NORMINV(RAND(),INPUTS!$B$28,INPUTS!$B$29))))</f>
        <v>2400831.47186156</v>
      </c>
      <c r="BB185" s="89" t="n">
        <f aca="true">IF(BB$5=0,BA185,MAX(0,(BA185-BB$4)*(1+NORMINV(RAND(),INPUTS!$B$28,INPUTS!$B$29))))</f>
        <v>2400831.47186156</v>
      </c>
      <c r="BC185" s="89" t="n">
        <f aca="true">IF(BC$5=0,BB185,MAX(0,(BB185-BC$4)*(1+NORMINV(RAND(),INPUTS!$B$28,INPUTS!$B$29))))</f>
        <v>2400831.47186156</v>
      </c>
      <c r="BD185" s="89" t="n">
        <f aca="true">IF(BD$5=0,BC185,MAX(0,(BC185-BD$4)*(1+NORMINV(RAND(),INPUTS!$B$28,INPUTS!$B$29))))</f>
        <v>2400831.47186156</v>
      </c>
      <c r="BE185" s="89" t="n">
        <f aca="true">IF(BE$5=0,BD185,MAX(0,(BD185-BE$4)*(1+NORMINV(RAND(),INPUTS!$B$28,INPUTS!$B$29))))</f>
        <v>2400831.47186156</v>
      </c>
      <c r="BF185" s="89" t="n">
        <f aca="true">IF(BF$5=0,BE185,MAX(0,(BE185-BF$4)*(1+NORMINV(RAND(),INPUTS!$B$28,INPUTS!$B$29))))</f>
        <v>2400831.47186156</v>
      </c>
      <c r="BG185" s="89" t="n">
        <f aca="true">IF(BG$5=0,BF185,MAX(0,(BF185-BG$4)*(1+NORMINV(RAND(),INPUTS!$B$28,INPUTS!$B$29))))</f>
        <v>2400831.47186156</v>
      </c>
      <c r="BH185" s="89" t="n">
        <f aca="true">IF(BH$5=0,BG185,MAX(0,(BG185-BH$4)*(1+NORMINV(RAND(),INPUTS!$B$28,INPUTS!$B$29))))</f>
        <v>2400831.47186156</v>
      </c>
      <c r="BI185" s="89" t="n">
        <f aca="true">IF(BI$5=0,BH185,MAX(0,(BH185-BI$4)*(1+NORMINV(RAND(),INPUTS!$B$28,INPUTS!$B$29))))</f>
        <v>2400831.47186156</v>
      </c>
      <c r="BJ185" s="89" t="n">
        <f aca="true">IF(BJ$5=0,BI185,MAX(0,(BI185-BJ$4)*(1+NORMINV(RAND(),INPUTS!$B$28,INPUTS!$B$29))))</f>
        <v>2400831.47186156</v>
      </c>
    </row>
    <row r="186" customFormat="false" ht="15" hidden="false" customHeight="true" outlineLevel="0" collapsed="false">
      <c r="A186" s="87" t="n">
        <v>179</v>
      </c>
      <c r="B186" s="88" t="n">
        <f aca="false">LOOKUP(9.99E+307,C186:BJ186)</f>
        <v>2560234.97776917</v>
      </c>
      <c r="C186" s="89" t="n">
        <f aca="true">IF(C$5=0,INPUTS!$B$35,MAX(0,(INPUTS!$B$35-C$4)*(1+NORMINV(RAND(),INPUTS!$B$28,INPUTS!$B$29))))</f>
        <v>1546628.15458466</v>
      </c>
      <c r="D186" s="89" t="n">
        <f aca="true">IF(D$5=0,C186,MAX(0,(C186-D$4)*(1+NORMINV(RAND(),INPUTS!$B$28,INPUTS!$B$29))))</f>
        <v>1742156.72651614</v>
      </c>
      <c r="E186" s="89" t="n">
        <f aca="true">IF(E$5=0,D186,MAX(0,(D186-E$4)*(1+NORMINV(RAND(),INPUTS!$B$28,INPUTS!$B$29))))</f>
        <v>1670588.63551823</v>
      </c>
      <c r="F186" s="89" t="n">
        <f aca="true">IF(F$5=0,E186,MAX(0,(E186-F$4)*(1+NORMINV(RAND(),INPUTS!$B$28,INPUTS!$B$29))))</f>
        <v>1975969.35648127</v>
      </c>
      <c r="G186" s="89" t="n">
        <f aca="true">IF(G$5=0,F186,MAX(0,(F186-G$4)*(1+NORMINV(RAND(),INPUTS!$B$28,INPUTS!$B$29))))</f>
        <v>2059991.4543599</v>
      </c>
      <c r="H186" s="89" t="n">
        <f aca="true">IF(H$5=0,G186,MAX(0,(G186-H$4)*(1+NORMINV(RAND(),INPUTS!$B$28,INPUTS!$B$29))))</f>
        <v>2231109.29425407</v>
      </c>
      <c r="I186" s="89" t="n">
        <f aca="true">IF(I$5=0,H186,MAX(0,(H186-I$4)*(1+NORMINV(RAND(),INPUTS!$B$28,INPUTS!$B$29))))</f>
        <v>2278833.38590151</v>
      </c>
      <c r="J186" s="89" t="n">
        <f aca="true">IF(J$5=0,I186,MAX(0,(I186-J$4)*(1+NORMINV(RAND(),INPUTS!$B$28,INPUTS!$B$29))))</f>
        <v>2263009.52547411</v>
      </c>
      <c r="K186" s="89" t="n">
        <f aca="true">IF(K$5=0,J186,MAX(0,(J186-K$4)*(1+NORMINV(RAND(),INPUTS!$B$28,INPUTS!$B$29))))</f>
        <v>2520866.00778033</v>
      </c>
      <c r="L186" s="89" t="n">
        <f aca="true">IF(L$5=0,K186,MAX(0,(K186-L$4)*(1+NORMINV(RAND(),INPUTS!$B$28,INPUTS!$B$29))))</f>
        <v>2382574.71826587</v>
      </c>
      <c r="M186" s="89" t="n">
        <f aca="true">IF(M$5=0,L186,MAX(0,(L186-M$4)*(1+NORMINV(RAND(),INPUTS!$B$28,INPUTS!$B$29))))</f>
        <v>2822042.77126482</v>
      </c>
      <c r="N186" s="89" t="n">
        <f aca="true">IF(N$5=0,M186,MAX(0,(M186-N$4)*(1+NORMINV(RAND(),INPUTS!$B$28,INPUTS!$B$29))))</f>
        <v>2823333.9161642</v>
      </c>
      <c r="O186" s="89" t="n">
        <f aca="true">IF(O$5=0,N186,MAX(0,(N186-O$4)*(1+NORMINV(RAND(),INPUTS!$B$28,INPUTS!$B$29))))</f>
        <v>3153700.0614165</v>
      </c>
      <c r="P186" s="89" t="n">
        <f aca="true">IF(P$5=0,O186,MAX(0,(O186-P$4)*(1+NORMINV(RAND(),INPUTS!$B$28,INPUTS!$B$29))))</f>
        <v>2984703.29589452</v>
      </c>
      <c r="Q186" s="89" t="n">
        <f aca="true">IF(Q$5=0,P186,MAX(0,(P186-Q$4)*(1+NORMINV(RAND(),INPUTS!$B$28,INPUTS!$B$29))))</f>
        <v>2550102.73874942</v>
      </c>
      <c r="R186" s="89" t="n">
        <f aca="true">IF(R$5=0,Q186,MAX(0,(Q186-R$4)*(1+NORMINV(RAND(),INPUTS!$B$28,INPUTS!$B$29))))</f>
        <v>2816154.05246558</v>
      </c>
      <c r="S186" s="89" t="n">
        <f aca="true">IF(S$5=0,R186,MAX(0,(R186-S$4)*(1+NORMINV(RAND(),INPUTS!$B$28,INPUTS!$B$29))))</f>
        <v>3155210.68155559</v>
      </c>
      <c r="T186" s="89" t="n">
        <f aca="true">IF(T$5=0,S186,MAX(0,(S186-T$4)*(1+NORMINV(RAND(),INPUTS!$B$28,INPUTS!$B$29))))</f>
        <v>3506596.45945776</v>
      </c>
      <c r="U186" s="89" t="n">
        <f aca="true">IF(U$5=0,T186,MAX(0,(T186-U$4)*(1+NORMINV(RAND(),INPUTS!$B$28,INPUTS!$B$29))))</f>
        <v>3903016.53438622</v>
      </c>
      <c r="V186" s="89" t="n">
        <f aca="true">IF(V$5=0,U186,MAX(0,(U186-V$4)*(1+NORMINV(RAND(),INPUTS!$B$28,INPUTS!$B$29))))</f>
        <v>2962224.40273548</v>
      </c>
      <c r="W186" s="89" t="n">
        <f aca="true">IF(W$5=0,V186,MAX(0,(V186-W$4)*(1+NORMINV(RAND(),INPUTS!$B$28,INPUTS!$B$29))))</f>
        <v>3265208.92670245</v>
      </c>
      <c r="X186" s="89" t="n">
        <f aca="true">IF(X$5=0,W186,MAX(0,(W186-X$4)*(1+NORMINV(RAND(),INPUTS!$B$28,INPUTS!$B$29))))</f>
        <v>2941773.17233946</v>
      </c>
      <c r="Y186" s="89" t="n">
        <f aca="true">IF(Y$5=0,X186,MAX(0,(X186-Y$4)*(1+NORMINV(RAND(),INPUTS!$B$28,INPUTS!$B$29))))</f>
        <v>2709583.05557031</v>
      </c>
      <c r="Z186" s="89" t="n">
        <f aca="true">IF(Z$5=0,Y186,MAX(0,(Y186-Z$4)*(1+NORMINV(RAND(),INPUTS!$B$28,INPUTS!$B$29))))</f>
        <v>2465668.6865713</v>
      </c>
      <c r="AA186" s="89" t="n">
        <f aca="true">IF(AA$5=0,Z186,MAX(0,(Z186-AA$4)*(1+NORMINV(RAND(),INPUTS!$B$28,INPUTS!$B$29))))</f>
        <v>2641956.32829136</v>
      </c>
      <c r="AB186" s="89" t="n">
        <f aca="true">IF(AB$5=0,AA186,MAX(0,(AA186-AB$4)*(1+NORMINV(RAND(),INPUTS!$B$28,INPUTS!$B$29))))</f>
        <v>2617287.03268239</v>
      </c>
      <c r="AC186" s="89" t="n">
        <f aca="true">IF(AC$5=0,AB186,MAX(0,(AB186-AC$4)*(1+NORMINV(RAND(),INPUTS!$B$28,INPUTS!$B$29))))</f>
        <v>2275094.09135445</v>
      </c>
      <c r="AD186" s="89" t="n">
        <f aca="true">IF(AD$5=0,AC186,MAX(0,(AC186-AD$4)*(1+NORMINV(RAND(),INPUTS!$B$28,INPUTS!$B$29))))</f>
        <v>2177974.60279377</v>
      </c>
      <c r="AE186" s="89" t="n">
        <f aca="true">IF(AE$5=0,AD186,MAX(0,(AD186-AE$4)*(1+NORMINV(RAND(),INPUTS!$B$28,INPUTS!$B$29))))</f>
        <v>2434521.28980032</v>
      </c>
      <c r="AF186" s="89" t="n">
        <f aca="true">IF(AF$5=0,AE186,MAX(0,(AE186-AF$4)*(1+NORMINV(RAND(),INPUTS!$B$28,INPUTS!$B$29))))</f>
        <v>2091520.21274098</v>
      </c>
      <c r="AG186" s="89" t="n">
        <f aca="true">IF(AG$5=0,AF186,MAX(0,(AF186-AG$4)*(1+NORMINV(RAND(),INPUTS!$B$28,INPUTS!$B$29))))</f>
        <v>2445342.23230321</v>
      </c>
      <c r="AH186" s="89" t="n">
        <f aca="true">IF(AH$5=0,AG186,MAX(0,(AG186-AH$4)*(1+NORMINV(RAND(),INPUTS!$B$28,INPUTS!$B$29))))</f>
        <v>2231308.27473804</v>
      </c>
      <c r="AI186" s="89" t="n">
        <f aca="true">IF(AI$5=0,AH186,MAX(0,(AH186-AI$4)*(1+NORMINV(RAND(),INPUTS!$B$28,INPUTS!$B$29))))</f>
        <v>2147647.1865873</v>
      </c>
      <c r="AJ186" s="89" t="n">
        <f aca="true">IF(AJ$5=0,AI186,MAX(0,(AI186-AJ$4)*(1+NORMINV(RAND(),INPUTS!$B$28,INPUTS!$B$29))))</f>
        <v>1946221.27613638</v>
      </c>
      <c r="AK186" s="89" t="n">
        <f aca="true">IF(AK$5=0,AJ186,MAX(0,(AJ186-AK$4)*(1+NORMINV(RAND(),INPUTS!$B$28,INPUTS!$B$29))))</f>
        <v>2236831.31997511</v>
      </c>
      <c r="AL186" s="89" t="n">
        <f aca="true">IF(AL$5=0,AK186,MAX(0,(AK186-AL$4)*(1+NORMINV(RAND(),INPUTS!$B$28,INPUTS!$B$29))))</f>
        <v>2560234.97776917</v>
      </c>
      <c r="AM186" s="89" t="n">
        <f aca="true">IF(AM$5=0,AL186,MAX(0,(AL186-AM$4)*(1+NORMINV(RAND(),INPUTS!$B$28,INPUTS!$B$29))))</f>
        <v>2560234.97776917</v>
      </c>
      <c r="AN186" s="89" t="n">
        <f aca="true">IF(AN$5=0,AM186,MAX(0,(AM186-AN$4)*(1+NORMINV(RAND(),INPUTS!$B$28,INPUTS!$B$29))))</f>
        <v>2560234.97776917</v>
      </c>
      <c r="AO186" s="89" t="n">
        <f aca="true">IF(AO$5=0,AN186,MAX(0,(AN186-AO$4)*(1+NORMINV(RAND(),INPUTS!$B$28,INPUTS!$B$29))))</f>
        <v>2560234.97776917</v>
      </c>
      <c r="AP186" s="89" t="n">
        <f aca="true">IF(AP$5=0,AO186,MAX(0,(AO186-AP$4)*(1+NORMINV(RAND(),INPUTS!$B$28,INPUTS!$B$29))))</f>
        <v>2560234.97776917</v>
      </c>
      <c r="AQ186" s="89" t="n">
        <f aca="true">IF(AQ$5=0,AP186,MAX(0,(AP186-AQ$4)*(1+NORMINV(RAND(),INPUTS!$B$28,INPUTS!$B$29))))</f>
        <v>2560234.97776917</v>
      </c>
      <c r="AR186" s="89" t="n">
        <f aca="true">IF(AR$5=0,AQ186,MAX(0,(AQ186-AR$4)*(1+NORMINV(RAND(),INPUTS!$B$28,INPUTS!$B$29))))</f>
        <v>2560234.97776917</v>
      </c>
      <c r="AS186" s="89" t="n">
        <f aca="true">IF(AS$5=0,AR186,MAX(0,(AR186-AS$4)*(1+NORMINV(RAND(),INPUTS!$B$28,INPUTS!$B$29))))</f>
        <v>2560234.97776917</v>
      </c>
      <c r="AT186" s="89" t="n">
        <f aca="true">IF(AT$5=0,AS186,MAX(0,(AS186-AT$4)*(1+NORMINV(RAND(),INPUTS!$B$28,INPUTS!$B$29))))</f>
        <v>2560234.97776917</v>
      </c>
      <c r="AU186" s="89" t="n">
        <f aca="true">IF(AU$5=0,AT186,MAX(0,(AT186-AU$4)*(1+NORMINV(RAND(),INPUTS!$B$28,INPUTS!$B$29))))</f>
        <v>2560234.97776917</v>
      </c>
      <c r="AV186" s="89" t="n">
        <f aca="true">IF(AV$5=0,AU186,MAX(0,(AU186-AV$4)*(1+NORMINV(RAND(),INPUTS!$B$28,INPUTS!$B$29))))</f>
        <v>2560234.97776917</v>
      </c>
      <c r="AW186" s="89" t="n">
        <f aca="true">IF(AW$5=0,AV186,MAX(0,(AV186-AW$4)*(1+NORMINV(RAND(),INPUTS!$B$28,INPUTS!$B$29))))</f>
        <v>2560234.97776917</v>
      </c>
      <c r="AX186" s="89" t="n">
        <f aca="true">IF(AX$5=0,AW186,MAX(0,(AW186-AX$4)*(1+NORMINV(RAND(),INPUTS!$B$28,INPUTS!$B$29))))</f>
        <v>2560234.97776917</v>
      </c>
      <c r="AY186" s="89" t="n">
        <f aca="true">IF(AY$5=0,AX186,MAX(0,(AX186-AY$4)*(1+NORMINV(RAND(),INPUTS!$B$28,INPUTS!$B$29))))</f>
        <v>2560234.97776917</v>
      </c>
      <c r="AZ186" s="89" t="n">
        <f aca="true">IF(AZ$5=0,AY186,MAX(0,(AY186-AZ$4)*(1+NORMINV(RAND(),INPUTS!$B$28,INPUTS!$B$29))))</f>
        <v>2560234.97776917</v>
      </c>
      <c r="BA186" s="89" t="n">
        <f aca="true">IF(BA$5=0,AZ186,MAX(0,(AZ186-BA$4)*(1+NORMINV(RAND(),INPUTS!$B$28,INPUTS!$B$29))))</f>
        <v>2560234.97776917</v>
      </c>
      <c r="BB186" s="89" t="n">
        <f aca="true">IF(BB$5=0,BA186,MAX(0,(BA186-BB$4)*(1+NORMINV(RAND(),INPUTS!$B$28,INPUTS!$B$29))))</f>
        <v>2560234.97776917</v>
      </c>
      <c r="BC186" s="89" t="n">
        <f aca="true">IF(BC$5=0,BB186,MAX(0,(BB186-BC$4)*(1+NORMINV(RAND(),INPUTS!$B$28,INPUTS!$B$29))))</f>
        <v>2560234.97776917</v>
      </c>
      <c r="BD186" s="89" t="n">
        <f aca="true">IF(BD$5=0,BC186,MAX(0,(BC186-BD$4)*(1+NORMINV(RAND(),INPUTS!$B$28,INPUTS!$B$29))))</f>
        <v>2560234.97776917</v>
      </c>
      <c r="BE186" s="89" t="n">
        <f aca="true">IF(BE$5=0,BD186,MAX(0,(BD186-BE$4)*(1+NORMINV(RAND(),INPUTS!$B$28,INPUTS!$B$29))))</f>
        <v>2560234.97776917</v>
      </c>
      <c r="BF186" s="89" t="n">
        <f aca="true">IF(BF$5=0,BE186,MAX(0,(BE186-BF$4)*(1+NORMINV(RAND(),INPUTS!$B$28,INPUTS!$B$29))))</f>
        <v>2560234.97776917</v>
      </c>
      <c r="BG186" s="89" t="n">
        <f aca="true">IF(BG$5=0,BF186,MAX(0,(BF186-BG$4)*(1+NORMINV(RAND(),INPUTS!$B$28,INPUTS!$B$29))))</f>
        <v>2560234.97776917</v>
      </c>
      <c r="BH186" s="89" t="n">
        <f aca="true">IF(BH$5=0,BG186,MAX(0,(BG186-BH$4)*(1+NORMINV(RAND(),INPUTS!$B$28,INPUTS!$B$29))))</f>
        <v>2560234.97776917</v>
      </c>
      <c r="BI186" s="89" t="n">
        <f aca="true">IF(BI$5=0,BH186,MAX(0,(BH186-BI$4)*(1+NORMINV(RAND(),INPUTS!$B$28,INPUTS!$B$29))))</f>
        <v>2560234.97776917</v>
      </c>
      <c r="BJ186" s="89" t="n">
        <f aca="true">IF(BJ$5=0,BI186,MAX(0,(BI186-BJ$4)*(1+NORMINV(RAND(),INPUTS!$B$28,INPUTS!$B$29))))</f>
        <v>2560234.97776917</v>
      </c>
    </row>
    <row r="187" customFormat="false" ht="15" hidden="false" customHeight="true" outlineLevel="0" collapsed="false">
      <c r="A187" s="87" t="n">
        <v>180</v>
      </c>
      <c r="B187" s="88" t="n">
        <f aca="false">LOOKUP(9.99E+307,C187:BJ187)</f>
        <v>409700.371570047</v>
      </c>
      <c r="C187" s="89" t="n">
        <f aca="true">IF(C$5=0,INPUTS!$B$35,MAX(0,(INPUTS!$B$35-C$4)*(1+NORMINV(RAND(),INPUTS!$B$28,INPUTS!$B$29))))</f>
        <v>1454154.90545549</v>
      </c>
      <c r="D187" s="89" t="n">
        <f aca="true">IF(D$5=0,C187,MAX(0,(C187-D$4)*(1+NORMINV(RAND(),INPUTS!$B$28,INPUTS!$B$29))))</f>
        <v>1324947.1927657</v>
      </c>
      <c r="E187" s="89" t="n">
        <f aca="true">IF(E$5=0,D187,MAX(0,(D187-E$4)*(1+NORMINV(RAND(),INPUTS!$B$28,INPUTS!$B$29))))</f>
        <v>1283994.30156063</v>
      </c>
      <c r="F187" s="89" t="n">
        <f aca="true">IF(F$5=0,E187,MAX(0,(E187-F$4)*(1+NORMINV(RAND(),INPUTS!$B$28,INPUTS!$B$29))))</f>
        <v>1249927.37335135</v>
      </c>
      <c r="G187" s="89" t="n">
        <f aca="true">IF(G$5=0,F187,MAX(0,(F187-G$4)*(1+NORMINV(RAND(),INPUTS!$B$28,INPUTS!$B$29))))</f>
        <v>1420356.90662017</v>
      </c>
      <c r="H187" s="89" t="n">
        <f aca="true">IF(H$5=0,G187,MAX(0,(G187-H$4)*(1+NORMINV(RAND(),INPUTS!$B$28,INPUTS!$B$29))))</f>
        <v>1243995.45615299</v>
      </c>
      <c r="I187" s="89" t="n">
        <f aca="true">IF(I$5=0,H187,MAX(0,(H187-I$4)*(1+NORMINV(RAND(),INPUTS!$B$28,INPUTS!$B$29))))</f>
        <v>1277781.27178998</v>
      </c>
      <c r="J187" s="89" t="n">
        <f aca="true">IF(J$5=0,I187,MAX(0,(I187-J$4)*(1+NORMINV(RAND(),INPUTS!$B$28,INPUTS!$B$29))))</f>
        <v>1193209.3857727</v>
      </c>
      <c r="K187" s="89" t="n">
        <f aca="true">IF(K$5=0,J187,MAX(0,(J187-K$4)*(1+NORMINV(RAND(),INPUTS!$B$28,INPUTS!$B$29))))</f>
        <v>1038671.4294874</v>
      </c>
      <c r="L187" s="89" t="n">
        <f aca="true">IF(L$5=0,K187,MAX(0,(K187-L$4)*(1+NORMINV(RAND(),INPUTS!$B$28,INPUTS!$B$29))))</f>
        <v>1043031.74289979</v>
      </c>
      <c r="M187" s="89" t="n">
        <f aca="true">IF(M$5=0,L187,MAX(0,(L187-M$4)*(1+NORMINV(RAND(),INPUTS!$B$28,INPUTS!$B$29))))</f>
        <v>993960.573101224</v>
      </c>
      <c r="N187" s="89" t="n">
        <f aca="true">IF(N$5=0,M187,MAX(0,(M187-N$4)*(1+NORMINV(RAND(),INPUTS!$B$28,INPUTS!$B$29))))</f>
        <v>887009.106378953</v>
      </c>
      <c r="O187" s="89" t="n">
        <f aca="true">IF(O$5=0,N187,MAX(0,(N187-O$4)*(1+NORMINV(RAND(),INPUTS!$B$28,INPUTS!$B$29))))</f>
        <v>797086.53916219</v>
      </c>
      <c r="P187" s="89" t="n">
        <f aca="true">IF(P$5=0,O187,MAX(0,(O187-P$4)*(1+NORMINV(RAND(),INPUTS!$B$28,INPUTS!$B$29))))</f>
        <v>810600.755108366</v>
      </c>
      <c r="Q187" s="89" t="n">
        <f aca="true">IF(Q$5=0,P187,MAX(0,(P187-Q$4)*(1+NORMINV(RAND(),INPUTS!$B$28,INPUTS!$B$29))))</f>
        <v>933773.37348891</v>
      </c>
      <c r="R187" s="89" t="n">
        <f aca="true">IF(R$5=0,Q187,MAX(0,(Q187-R$4)*(1+NORMINV(RAND(),INPUTS!$B$28,INPUTS!$B$29))))</f>
        <v>1104530.80039862</v>
      </c>
      <c r="S187" s="89" t="n">
        <f aca="true">IF(S$5=0,R187,MAX(0,(R187-S$4)*(1+NORMINV(RAND(),INPUTS!$B$28,INPUTS!$B$29))))</f>
        <v>865999.99632256</v>
      </c>
      <c r="T187" s="89" t="n">
        <f aca="true">IF(T$5=0,S187,MAX(0,(S187-T$4)*(1+NORMINV(RAND(),INPUTS!$B$28,INPUTS!$B$29))))</f>
        <v>894762.986208209</v>
      </c>
      <c r="U187" s="89" t="n">
        <f aca="true">IF(U$5=0,T187,MAX(0,(T187-U$4)*(1+NORMINV(RAND(),INPUTS!$B$28,INPUTS!$B$29))))</f>
        <v>880898.828886194</v>
      </c>
      <c r="V187" s="89" t="n">
        <f aca="true">IF(V$5=0,U187,MAX(0,(U187-V$4)*(1+NORMINV(RAND(),INPUTS!$B$28,INPUTS!$B$29))))</f>
        <v>922735.219547425</v>
      </c>
      <c r="W187" s="89" t="n">
        <f aca="true">IF(W$5=0,V187,MAX(0,(V187-W$4)*(1+NORMINV(RAND(),INPUTS!$B$28,INPUTS!$B$29))))</f>
        <v>979718.352598291</v>
      </c>
      <c r="X187" s="89" t="n">
        <f aca="true">IF(X$5=0,W187,MAX(0,(W187-X$4)*(1+NORMINV(RAND(),INPUTS!$B$28,INPUTS!$B$29))))</f>
        <v>983500.954181838</v>
      </c>
      <c r="Y187" s="89" t="n">
        <f aca="true">IF(Y$5=0,X187,MAX(0,(X187-Y$4)*(1+NORMINV(RAND(),INPUTS!$B$28,INPUTS!$B$29))))</f>
        <v>1013670.88453654</v>
      </c>
      <c r="Z187" s="89" t="n">
        <f aca="true">IF(Z$5=0,Y187,MAX(0,(Y187-Z$4)*(1+NORMINV(RAND(),INPUTS!$B$28,INPUTS!$B$29))))</f>
        <v>952881.946979916</v>
      </c>
      <c r="AA187" s="89" t="n">
        <f aca="true">IF(AA$5=0,Z187,MAX(0,(Z187-AA$4)*(1+NORMINV(RAND(),INPUTS!$B$28,INPUTS!$B$29))))</f>
        <v>1079052.32037602</v>
      </c>
      <c r="AB187" s="89" t="n">
        <f aca="true">IF(AB$5=0,AA187,MAX(0,(AA187-AB$4)*(1+NORMINV(RAND(),INPUTS!$B$28,INPUTS!$B$29))))</f>
        <v>1169971.9372892</v>
      </c>
      <c r="AC187" s="89" t="n">
        <f aca="true">IF(AC$5=0,AB187,MAX(0,(AB187-AC$4)*(1+NORMINV(RAND(),INPUTS!$B$28,INPUTS!$B$29))))</f>
        <v>763881.458171947</v>
      </c>
      <c r="AD187" s="89" t="n">
        <f aca="true">IF(AD$5=0,AC187,MAX(0,(AC187-AD$4)*(1+NORMINV(RAND(),INPUTS!$B$28,INPUTS!$B$29))))</f>
        <v>867026.361551074</v>
      </c>
      <c r="AE187" s="89" t="n">
        <f aca="true">IF(AE$5=0,AD187,MAX(0,(AD187-AE$4)*(1+NORMINV(RAND(),INPUTS!$B$28,INPUTS!$B$29))))</f>
        <v>742547.899893183</v>
      </c>
      <c r="AF187" s="89" t="n">
        <f aca="true">IF(AF$5=0,AE187,MAX(0,(AE187-AF$4)*(1+NORMINV(RAND(),INPUTS!$B$28,INPUTS!$B$29))))</f>
        <v>623686.233488327</v>
      </c>
      <c r="AG187" s="89" t="n">
        <f aca="true">IF(AG$5=0,AF187,MAX(0,(AF187-AG$4)*(1+NORMINV(RAND(),INPUTS!$B$28,INPUTS!$B$29))))</f>
        <v>715420.288887832</v>
      </c>
      <c r="AH187" s="89" t="n">
        <f aca="true">IF(AH$5=0,AG187,MAX(0,(AG187-AH$4)*(1+NORMINV(RAND(),INPUTS!$B$28,INPUTS!$B$29))))</f>
        <v>640391.12499981</v>
      </c>
      <c r="AI187" s="89" t="n">
        <f aca="true">IF(AI$5=0,AH187,MAX(0,(AH187-AI$4)*(1+NORMINV(RAND(),INPUTS!$B$28,INPUTS!$B$29))))</f>
        <v>533762.318387157</v>
      </c>
      <c r="AJ187" s="89" t="n">
        <f aca="true">IF(AJ$5=0,AI187,MAX(0,(AI187-AJ$4)*(1+NORMINV(RAND(),INPUTS!$B$28,INPUTS!$B$29))))</f>
        <v>424002.434068429</v>
      </c>
      <c r="AK187" s="89" t="n">
        <f aca="true">IF(AK$5=0,AJ187,MAX(0,(AJ187-AK$4)*(1+NORMINV(RAND(),INPUTS!$B$28,INPUTS!$B$29))))</f>
        <v>430234.616338339</v>
      </c>
      <c r="AL187" s="89" t="n">
        <f aca="true">IF(AL$5=0,AK187,MAX(0,(AK187-AL$4)*(1+NORMINV(RAND(),INPUTS!$B$28,INPUTS!$B$29))))</f>
        <v>409700.371570047</v>
      </c>
      <c r="AM187" s="89" t="n">
        <f aca="true">IF(AM$5=0,AL187,MAX(0,(AL187-AM$4)*(1+NORMINV(RAND(),INPUTS!$B$28,INPUTS!$B$29))))</f>
        <v>409700.371570047</v>
      </c>
      <c r="AN187" s="89" t="n">
        <f aca="true">IF(AN$5=0,AM187,MAX(0,(AM187-AN$4)*(1+NORMINV(RAND(),INPUTS!$B$28,INPUTS!$B$29))))</f>
        <v>409700.371570047</v>
      </c>
      <c r="AO187" s="89" t="n">
        <f aca="true">IF(AO$5=0,AN187,MAX(0,(AN187-AO$4)*(1+NORMINV(RAND(),INPUTS!$B$28,INPUTS!$B$29))))</f>
        <v>409700.371570047</v>
      </c>
      <c r="AP187" s="89" t="n">
        <f aca="true">IF(AP$5=0,AO187,MAX(0,(AO187-AP$4)*(1+NORMINV(RAND(),INPUTS!$B$28,INPUTS!$B$29))))</f>
        <v>409700.371570047</v>
      </c>
      <c r="AQ187" s="89" t="n">
        <f aca="true">IF(AQ$5=0,AP187,MAX(0,(AP187-AQ$4)*(1+NORMINV(RAND(),INPUTS!$B$28,INPUTS!$B$29))))</f>
        <v>409700.371570047</v>
      </c>
      <c r="AR187" s="89" t="n">
        <f aca="true">IF(AR$5=0,AQ187,MAX(0,(AQ187-AR$4)*(1+NORMINV(RAND(),INPUTS!$B$28,INPUTS!$B$29))))</f>
        <v>409700.371570047</v>
      </c>
      <c r="AS187" s="89" t="n">
        <f aca="true">IF(AS$5=0,AR187,MAX(0,(AR187-AS$4)*(1+NORMINV(RAND(),INPUTS!$B$28,INPUTS!$B$29))))</f>
        <v>409700.371570047</v>
      </c>
      <c r="AT187" s="89" t="n">
        <f aca="true">IF(AT$5=0,AS187,MAX(0,(AS187-AT$4)*(1+NORMINV(RAND(),INPUTS!$B$28,INPUTS!$B$29))))</f>
        <v>409700.371570047</v>
      </c>
      <c r="AU187" s="89" t="n">
        <f aca="true">IF(AU$5=0,AT187,MAX(0,(AT187-AU$4)*(1+NORMINV(RAND(),INPUTS!$B$28,INPUTS!$B$29))))</f>
        <v>409700.371570047</v>
      </c>
      <c r="AV187" s="89" t="n">
        <f aca="true">IF(AV$5=0,AU187,MAX(0,(AU187-AV$4)*(1+NORMINV(RAND(),INPUTS!$B$28,INPUTS!$B$29))))</f>
        <v>409700.371570047</v>
      </c>
      <c r="AW187" s="89" t="n">
        <f aca="true">IF(AW$5=0,AV187,MAX(0,(AV187-AW$4)*(1+NORMINV(RAND(),INPUTS!$B$28,INPUTS!$B$29))))</f>
        <v>409700.371570047</v>
      </c>
      <c r="AX187" s="89" t="n">
        <f aca="true">IF(AX$5=0,AW187,MAX(0,(AW187-AX$4)*(1+NORMINV(RAND(),INPUTS!$B$28,INPUTS!$B$29))))</f>
        <v>409700.371570047</v>
      </c>
      <c r="AY187" s="89" t="n">
        <f aca="true">IF(AY$5=0,AX187,MAX(0,(AX187-AY$4)*(1+NORMINV(RAND(),INPUTS!$B$28,INPUTS!$B$29))))</f>
        <v>409700.371570047</v>
      </c>
      <c r="AZ187" s="89" t="n">
        <f aca="true">IF(AZ$5=0,AY187,MAX(0,(AY187-AZ$4)*(1+NORMINV(RAND(),INPUTS!$B$28,INPUTS!$B$29))))</f>
        <v>409700.371570047</v>
      </c>
      <c r="BA187" s="89" t="n">
        <f aca="true">IF(BA$5=0,AZ187,MAX(0,(AZ187-BA$4)*(1+NORMINV(RAND(),INPUTS!$B$28,INPUTS!$B$29))))</f>
        <v>409700.371570047</v>
      </c>
      <c r="BB187" s="89" t="n">
        <f aca="true">IF(BB$5=0,BA187,MAX(0,(BA187-BB$4)*(1+NORMINV(RAND(),INPUTS!$B$28,INPUTS!$B$29))))</f>
        <v>409700.371570047</v>
      </c>
      <c r="BC187" s="89" t="n">
        <f aca="true">IF(BC$5=0,BB187,MAX(0,(BB187-BC$4)*(1+NORMINV(RAND(),INPUTS!$B$28,INPUTS!$B$29))))</f>
        <v>409700.371570047</v>
      </c>
      <c r="BD187" s="89" t="n">
        <f aca="true">IF(BD$5=0,BC187,MAX(0,(BC187-BD$4)*(1+NORMINV(RAND(),INPUTS!$B$28,INPUTS!$B$29))))</f>
        <v>409700.371570047</v>
      </c>
      <c r="BE187" s="89" t="n">
        <f aca="true">IF(BE$5=0,BD187,MAX(0,(BD187-BE$4)*(1+NORMINV(RAND(),INPUTS!$B$28,INPUTS!$B$29))))</f>
        <v>409700.371570047</v>
      </c>
      <c r="BF187" s="89" t="n">
        <f aca="true">IF(BF$5=0,BE187,MAX(0,(BE187-BF$4)*(1+NORMINV(RAND(),INPUTS!$B$28,INPUTS!$B$29))))</f>
        <v>409700.371570047</v>
      </c>
      <c r="BG187" s="89" t="n">
        <f aca="true">IF(BG$5=0,BF187,MAX(0,(BF187-BG$4)*(1+NORMINV(RAND(),INPUTS!$B$28,INPUTS!$B$29))))</f>
        <v>409700.371570047</v>
      </c>
      <c r="BH187" s="89" t="n">
        <f aca="true">IF(BH$5=0,BG187,MAX(0,(BG187-BH$4)*(1+NORMINV(RAND(),INPUTS!$B$28,INPUTS!$B$29))))</f>
        <v>409700.371570047</v>
      </c>
      <c r="BI187" s="89" t="n">
        <f aca="true">IF(BI$5=0,BH187,MAX(0,(BH187-BI$4)*(1+NORMINV(RAND(),INPUTS!$B$28,INPUTS!$B$29))))</f>
        <v>409700.371570047</v>
      </c>
      <c r="BJ187" s="89" t="n">
        <f aca="true">IF(BJ$5=0,BI187,MAX(0,(BI187-BJ$4)*(1+NORMINV(RAND(),INPUTS!$B$28,INPUTS!$B$29))))</f>
        <v>409700.371570047</v>
      </c>
    </row>
    <row r="188" customFormat="false" ht="15" hidden="false" customHeight="true" outlineLevel="0" collapsed="false">
      <c r="A188" s="87" t="n">
        <v>181</v>
      </c>
      <c r="B188" s="88" t="n">
        <f aca="false">LOOKUP(9.99E+307,C188:BJ188)</f>
        <v>17505510.5437799</v>
      </c>
      <c r="C188" s="89" t="n">
        <f aca="true">IF(C$5=0,INPUTS!$B$35,MAX(0,(INPUTS!$B$35-C$4)*(1+NORMINV(RAND(),INPUTS!$B$28,INPUTS!$B$29))))</f>
        <v>1605708.37404563</v>
      </c>
      <c r="D188" s="89" t="n">
        <f aca="true">IF(D$5=0,C188,MAX(0,(C188-D$4)*(1+NORMINV(RAND(),INPUTS!$B$28,INPUTS!$B$29))))</f>
        <v>2009881.43540718</v>
      </c>
      <c r="E188" s="89" t="n">
        <f aca="true">IF(E$5=0,D188,MAX(0,(D188-E$4)*(1+NORMINV(RAND(),INPUTS!$B$28,INPUTS!$B$29))))</f>
        <v>2184868.911612</v>
      </c>
      <c r="F188" s="89" t="n">
        <f aca="true">IF(F$5=0,E188,MAX(0,(E188-F$4)*(1+NORMINV(RAND(),INPUTS!$B$28,INPUTS!$B$29))))</f>
        <v>2372711.39335641</v>
      </c>
      <c r="G188" s="89" t="n">
        <f aca="true">IF(G$5=0,F188,MAX(0,(F188-G$4)*(1+NORMINV(RAND(),INPUTS!$B$28,INPUTS!$B$29))))</f>
        <v>1895951.04125839</v>
      </c>
      <c r="H188" s="89" t="n">
        <f aca="true">IF(H$5=0,G188,MAX(0,(G188-H$4)*(1+NORMINV(RAND(),INPUTS!$B$28,INPUTS!$B$29))))</f>
        <v>2333971.67352857</v>
      </c>
      <c r="I188" s="89" t="n">
        <f aca="true">IF(I$5=0,H188,MAX(0,(H188-I$4)*(1+NORMINV(RAND(),INPUTS!$B$28,INPUTS!$B$29))))</f>
        <v>2772304.54525534</v>
      </c>
      <c r="J188" s="89" t="n">
        <f aca="true">IF(J$5=0,I188,MAX(0,(I188-J$4)*(1+NORMINV(RAND(),INPUTS!$B$28,INPUTS!$B$29))))</f>
        <v>3197280.99461729</v>
      </c>
      <c r="K188" s="89" t="n">
        <f aca="true">IF(K$5=0,J188,MAX(0,(J188-K$4)*(1+NORMINV(RAND(),INPUTS!$B$28,INPUTS!$B$29))))</f>
        <v>3278923.93298814</v>
      </c>
      <c r="L188" s="89" t="n">
        <f aca="true">IF(L$5=0,K188,MAX(0,(K188-L$4)*(1+NORMINV(RAND(),INPUTS!$B$28,INPUTS!$B$29))))</f>
        <v>3262250.97981226</v>
      </c>
      <c r="M188" s="89" t="n">
        <f aca="true">IF(M$5=0,L188,MAX(0,(L188-M$4)*(1+NORMINV(RAND(),INPUTS!$B$28,INPUTS!$B$29))))</f>
        <v>2333228.02025019</v>
      </c>
      <c r="N188" s="89" t="n">
        <f aca="true">IF(N$5=0,M188,MAX(0,(M188-N$4)*(1+NORMINV(RAND(),INPUTS!$B$28,INPUTS!$B$29))))</f>
        <v>2879019.06481798</v>
      </c>
      <c r="O188" s="89" t="n">
        <f aca="true">IF(O$5=0,N188,MAX(0,(N188-O$4)*(1+NORMINV(RAND(),INPUTS!$B$28,INPUTS!$B$29))))</f>
        <v>2740161.4627511</v>
      </c>
      <c r="P188" s="89" t="n">
        <f aca="true">IF(P$5=0,O188,MAX(0,(O188-P$4)*(1+NORMINV(RAND(),INPUTS!$B$28,INPUTS!$B$29))))</f>
        <v>2304175.29754546</v>
      </c>
      <c r="Q188" s="89" t="n">
        <f aca="true">IF(Q$5=0,P188,MAX(0,(P188-Q$4)*(1+NORMINV(RAND(),INPUTS!$B$28,INPUTS!$B$29))))</f>
        <v>2264374.98754068</v>
      </c>
      <c r="R188" s="89" t="n">
        <f aca="true">IF(R$5=0,Q188,MAX(0,(Q188-R$4)*(1+NORMINV(RAND(),INPUTS!$B$28,INPUTS!$B$29))))</f>
        <v>2486255.8002905</v>
      </c>
      <c r="S188" s="89" t="n">
        <f aca="true">IF(S$5=0,R188,MAX(0,(R188-S$4)*(1+NORMINV(RAND(),INPUTS!$B$28,INPUTS!$B$29))))</f>
        <v>2825960.0300001</v>
      </c>
      <c r="T188" s="89" t="n">
        <f aca="true">IF(T$5=0,S188,MAX(0,(S188-T$4)*(1+NORMINV(RAND(),INPUTS!$B$28,INPUTS!$B$29))))</f>
        <v>3600892.00072801</v>
      </c>
      <c r="U188" s="89" t="n">
        <f aca="true">IF(U$5=0,T188,MAX(0,(T188-U$4)*(1+NORMINV(RAND(),INPUTS!$B$28,INPUTS!$B$29))))</f>
        <v>4115565.92965572</v>
      </c>
      <c r="V188" s="89" t="n">
        <f aca="true">IF(V$5=0,U188,MAX(0,(U188-V$4)*(1+NORMINV(RAND(),INPUTS!$B$28,INPUTS!$B$29))))</f>
        <v>4247138.82634664</v>
      </c>
      <c r="W188" s="89" t="n">
        <f aca="true">IF(W$5=0,V188,MAX(0,(V188-W$4)*(1+NORMINV(RAND(),INPUTS!$B$28,INPUTS!$B$29))))</f>
        <v>4173824.29261859</v>
      </c>
      <c r="X188" s="89" t="n">
        <f aca="true">IF(X$5=0,W188,MAX(0,(W188-X$4)*(1+NORMINV(RAND(),INPUTS!$B$28,INPUTS!$B$29))))</f>
        <v>5321087.62262205</v>
      </c>
      <c r="Y188" s="89" t="n">
        <f aca="true">IF(Y$5=0,X188,MAX(0,(X188-Y$4)*(1+NORMINV(RAND(),INPUTS!$B$28,INPUTS!$B$29))))</f>
        <v>6585814.72254974</v>
      </c>
      <c r="Z188" s="89" t="n">
        <f aca="true">IF(Z$5=0,Y188,MAX(0,(Y188-Z$4)*(1+NORMINV(RAND(),INPUTS!$B$28,INPUTS!$B$29))))</f>
        <v>5621177.04598486</v>
      </c>
      <c r="AA188" s="89" t="n">
        <f aca="true">IF(AA$5=0,Z188,MAX(0,(Z188-AA$4)*(1+NORMINV(RAND(),INPUTS!$B$28,INPUTS!$B$29))))</f>
        <v>6550106.01006734</v>
      </c>
      <c r="AB188" s="89" t="n">
        <f aca="true">IF(AB$5=0,AA188,MAX(0,(AA188-AB$4)*(1+NORMINV(RAND(),INPUTS!$B$28,INPUTS!$B$29))))</f>
        <v>7770886.79013699</v>
      </c>
      <c r="AC188" s="89" t="n">
        <f aca="true">IF(AC$5=0,AB188,MAX(0,(AB188-AC$4)*(1+NORMINV(RAND(),INPUTS!$B$28,INPUTS!$B$29))))</f>
        <v>8964660.79884549</v>
      </c>
      <c r="AD188" s="89" t="n">
        <f aca="true">IF(AD$5=0,AC188,MAX(0,(AC188-AD$4)*(1+NORMINV(RAND(),INPUTS!$B$28,INPUTS!$B$29))))</f>
        <v>8899950.65913835</v>
      </c>
      <c r="AE188" s="89" t="n">
        <f aca="true">IF(AE$5=0,AD188,MAX(0,(AD188-AE$4)*(1+NORMINV(RAND(),INPUTS!$B$28,INPUTS!$B$29))))</f>
        <v>9741973.14185652</v>
      </c>
      <c r="AF188" s="89" t="n">
        <f aca="true">IF(AF$5=0,AE188,MAX(0,(AE188-AF$4)*(1+NORMINV(RAND(),INPUTS!$B$28,INPUTS!$B$29))))</f>
        <v>10879544.5190193</v>
      </c>
      <c r="AG188" s="89" t="n">
        <f aca="true">IF(AG$5=0,AF188,MAX(0,(AF188-AG$4)*(1+NORMINV(RAND(),INPUTS!$B$28,INPUTS!$B$29))))</f>
        <v>10706300.1164559</v>
      </c>
      <c r="AH188" s="89" t="n">
        <f aca="true">IF(AH$5=0,AG188,MAX(0,(AG188-AH$4)*(1+NORMINV(RAND(),INPUTS!$B$28,INPUTS!$B$29))))</f>
        <v>14027279.1239806</v>
      </c>
      <c r="AI188" s="89" t="n">
        <f aca="true">IF(AI$5=0,AH188,MAX(0,(AH188-AI$4)*(1+NORMINV(RAND(),INPUTS!$B$28,INPUTS!$B$29))))</f>
        <v>12719892.8907756</v>
      </c>
      <c r="AJ188" s="89" t="n">
        <f aca="true">IF(AJ$5=0,AI188,MAX(0,(AI188-AJ$4)*(1+NORMINV(RAND(),INPUTS!$B$28,INPUTS!$B$29))))</f>
        <v>16241256.0773679</v>
      </c>
      <c r="AK188" s="89" t="n">
        <f aca="true">IF(AK$5=0,AJ188,MAX(0,(AJ188-AK$4)*(1+NORMINV(RAND(),INPUTS!$B$28,INPUTS!$B$29))))</f>
        <v>16232045.4268801</v>
      </c>
      <c r="AL188" s="89" t="n">
        <f aca="true">IF(AL$5=0,AK188,MAX(0,(AK188-AL$4)*(1+NORMINV(RAND(),INPUTS!$B$28,INPUTS!$B$29))))</f>
        <v>17505510.5437799</v>
      </c>
      <c r="AM188" s="89" t="n">
        <f aca="true">IF(AM$5=0,AL188,MAX(0,(AL188-AM$4)*(1+NORMINV(RAND(),INPUTS!$B$28,INPUTS!$B$29))))</f>
        <v>17505510.5437799</v>
      </c>
      <c r="AN188" s="89" t="n">
        <f aca="true">IF(AN$5=0,AM188,MAX(0,(AM188-AN$4)*(1+NORMINV(RAND(),INPUTS!$B$28,INPUTS!$B$29))))</f>
        <v>17505510.5437799</v>
      </c>
      <c r="AO188" s="89" t="n">
        <f aca="true">IF(AO$5=0,AN188,MAX(0,(AN188-AO$4)*(1+NORMINV(RAND(),INPUTS!$B$28,INPUTS!$B$29))))</f>
        <v>17505510.5437799</v>
      </c>
      <c r="AP188" s="89" t="n">
        <f aca="true">IF(AP$5=0,AO188,MAX(0,(AO188-AP$4)*(1+NORMINV(RAND(),INPUTS!$B$28,INPUTS!$B$29))))</f>
        <v>17505510.5437799</v>
      </c>
      <c r="AQ188" s="89" t="n">
        <f aca="true">IF(AQ$5=0,AP188,MAX(0,(AP188-AQ$4)*(1+NORMINV(RAND(),INPUTS!$B$28,INPUTS!$B$29))))</f>
        <v>17505510.5437799</v>
      </c>
      <c r="AR188" s="89" t="n">
        <f aca="true">IF(AR$5=0,AQ188,MAX(0,(AQ188-AR$4)*(1+NORMINV(RAND(),INPUTS!$B$28,INPUTS!$B$29))))</f>
        <v>17505510.5437799</v>
      </c>
      <c r="AS188" s="89" t="n">
        <f aca="true">IF(AS$5=0,AR188,MAX(0,(AR188-AS$4)*(1+NORMINV(RAND(),INPUTS!$B$28,INPUTS!$B$29))))</f>
        <v>17505510.5437799</v>
      </c>
      <c r="AT188" s="89" t="n">
        <f aca="true">IF(AT$5=0,AS188,MAX(0,(AS188-AT$4)*(1+NORMINV(RAND(),INPUTS!$B$28,INPUTS!$B$29))))</f>
        <v>17505510.5437799</v>
      </c>
      <c r="AU188" s="89" t="n">
        <f aca="true">IF(AU$5=0,AT188,MAX(0,(AT188-AU$4)*(1+NORMINV(RAND(),INPUTS!$B$28,INPUTS!$B$29))))</f>
        <v>17505510.5437799</v>
      </c>
      <c r="AV188" s="89" t="n">
        <f aca="true">IF(AV$5=0,AU188,MAX(0,(AU188-AV$4)*(1+NORMINV(RAND(),INPUTS!$B$28,INPUTS!$B$29))))</f>
        <v>17505510.5437799</v>
      </c>
      <c r="AW188" s="89" t="n">
        <f aca="true">IF(AW$5=0,AV188,MAX(0,(AV188-AW$4)*(1+NORMINV(RAND(),INPUTS!$B$28,INPUTS!$B$29))))</f>
        <v>17505510.5437799</v>
      </c>
      <c r="AX188" s="89" t="n">
        <f aca="true">IF(AX$5=0,AW188,MAX(0,(AW188-AX$4)*(1+NORMINV(RAND(),INPUTS!$B$28,INPUTS!$B$29))))</f>
        <v>17505510.5437799</v>
      </c>
      <c r="AY188" s="89" t="n">
        <f aca="true">IF(AY$5=0,AX188,MAX(0,(AX188-AY$4)*(1+NORMINV(RAND(),INPUTS!$B$28,INPUTS!$B$29))))</f>
        <v>17505510.5437799</v>
      </c>
      <c r="AZ188" s="89" t="n">
        <f aca="true">IF(AZ$5=0,AY188,MAX(0,(AY188-AZ$4)*(1+NORMINV(RAND(),INPUTS!$B$28,INPUTS!$B$29))))</f>
        <v>17505510.5437799</v>
      </c>
      <c r="BA188" s="89" t="n">
        <f aca="true">IF(BA$5=0,AZ188,MAX(0,(AZ188-BA$4)*(1+NORMINV(RAND(),INPUTS!$B$28,INPUTS!$B$29))))</f>
        <v>17505510.5437799</v>
      </c>
      <c r="BB188" s="89" t="n">
        <f aca="true">IF(BB$5=0,BA188,MAX(0,(BA188-BB$4)*(1+NORMINV(RAND(),INPUTS!$B$28,INPUTS!$B$29))))</f>
        <v>17505510.5437799</v>
      </c>
      <c r="BC188" s="89" t="n">
        <f aca="true">IF(BC$5=0,BB188,MAX(0,(BB188-BC$4)*(1+NORMINV(RAND(),INPUTS!$B$28,INPUTS!$B$29))))</f>
        <v>17505510.5437799</v>
      </c>
      <c r="BD188" s="89" t="n">
        <f aca="true">IF(BD$5=0,BC188,MAX(0,(BC188-BD$4)*(1+NORMINV(RAND(),INPUTS!$B$28,INPUTS!$B$29))))</f>
        <v>17505510.5437799</v>
      </c>
      <c r="BE188" s="89" t="n">
        <f aca="true">IF(BE$5=0,BD188,MAX(0,(BD188-BE$4)*(1+NORMINV(RAND(),INPUTS!$B$28,INPUTS!$B$29))))</f>
        <v>17505510.5437799</v>
      </c>
      <c r="BF188" s="89" t="n">
        <f aca="true">IF(BF$5=0,BE188,MAX(0,(BE188-BF$4)*(1+NORMINV(RAND(),INPUTS!$B$28,INPUTS!$B$29))))</f>
        <v>17505510.5437799</v>
      </c>
      <c r="BG188" s="89" t="n">
        <f aca="true">IF(BG$5=0,BF188,MAX(0,(BF188-BG$4)*(1+NORMINV(RAND(),INPUTS!$B$28,INPUTS!$B$29))))</f>
        <v>17505510.5437799</v>
      </c>
      <c r="BH188" s="89" t="n">
        <f aca="true">IF(BH$5=0,BG188,MAX(0,(BG188-BH$4)*(1+NORMINV(RAND(),INPUTS!$B$28,INPUTS!$B$29))))</f>
        <v>17505510.5437799</v>
      </c>
      <c r="BI188" s="89" t="n">
        <f aca="true">IF(BI$5=0,BH188,MAX(0,(BH188-BI$4)*(1+NORMINV(RAND(),INPUTS!$B$28,INPUTS!$B$29))))</f>
        <v>17505510.5437799</v>
      </c>
      <c r="BJ188" s="89" t="n">
        <f aca="true">IF(BJ$5=0,BI188,MAX(0,(BI188-BJ$4)*(1+NORMINV(RAND(),INPUTS!$B$28,INPUTS!$B$29))))</f>
        <v>17505510.5437799</v>
      </c>
    </row>
    <row r="189" customFormat="false" ht="15" hidden="false" customHeight="true" outlineLevel="0" collapsed="false">
      <c r="A189" s="87" t="n">
        <v>182</v>
      </c>
      <c r="B189" s="88" t="n">
        <f aca="false">LOOKUP(9.99E+307,C189:BJ189)</f>
        <v>4373649.93407833</v>
      </c>
      <c r="C189" s="89" t="n">
        <f aca="true">IF(C$5=0,INPUTS!$B$35,MAX(0,(INPUTS!$B$35-C$4)*(1+NORMINV(RAND(),INPUTS!$B$28,INPUTS!$B$29))))</f>
        <v>1535130.92058318</v>
      </c>
      <c r="D189" s="89" t="n">
        <f aca="true">IF(D$5=0,C189,MAX(0,(C189-D$4)*(1+NORMINV(RAND(),INPUTS!$B$28,INPUTS!$B$29))))</f>
        <v>1336451.07091178</v>
      </c>
      <c r="E189" s="89" t="n">
        <f aca="true">IF(E$5=0,D189,MAX(0,(D189-E$4)*(1+NORMINV(RAND(),INPUTS!$B$28,INPUTS!$B$29))))</f>
        <v>1293075.18684426</v>
      </c>
      <c r="F189" s="89" t="n">
        <f aca="true">IF(F$5=0,E189,MAX(0,(E189-F$4)*(1+NORMINV(RAND(),INPUTS!$B$28,INPUTS!$B$29))))</f>
        <v>1278268.87763302</v>
      </c>
      <c r="G189" s="89" t="n">
        <f aca="true">IF(G$5=0,F189,MAX(0,(F189-G$4)*(1+NORMINV(RAND(),INPUTS!$B$28,INPUTS!$B$29))))</f>
        <v>1409029.75618549</v>
      </c>
      <c r="H189" s="89" t="n">
        <f aca="true">IF(H$5=0,G189,MAX(0,(G189-H$4)*(1+NORMINV(RAND(),INPUTS!$B$28,INPUTS!$B$29))))</f>
        <v>1396202.99939484</v>
      </c>
      <c r="I189" s="89" t="n">
        <f aca="true">IF(I$5=0,H189,MAX(0,(H189-I$4)*(1+NORMINV(RAND(),INPUTS!$B$28,INPUTS!$B$29))))</f>
        <v>1547706.89808063</v>
      </c>
      <c r="J189" s="89" t="n">
        <f aca="true">IF(J$5=0,I189,MAX(0,(I189-J$4)*(1+NORMINV(RAND(),INPUTS!$B$28,INPUTS!$B$29))))</f>
        <v>1660429.98608656</v>
      </c>
      <c r="K189" s="89" t="n">
        <f aca="true">IF(K$5=0,J189,MAX(0,(J189-K$4)*(1+NORMINV(RAND(),INPUTS!$B$28,INPUTS!$B$29))))</f>
        <v>1717016.09026954</v>
      </c>
      <c r="L189" s="89" t="n">
        <f aca="true">IF(L$5=0,K189,MAX(0,(K189-L$4)*(1+NORMINV(RAND(),INPUTS!$B$28,INPUTS!$B$29))))</f>
        <v>1643141.06373415</v>
      </c>
      <c r="M189" s="89" t="n">
        <f aca="true">IF(M$5=0,L189,MAX(0,(L189-M$4)*(1+NORMINV(RAND(),INPUTS!$B$28,INPUTS!$B$29))))</f>
        <v>1676856.18166541</v>
      </c>
      <c r="N189" s="89" t="n">
        <f aca="true">IF(N$5=0,M189,MAX(0,(M189-N$4)*(1+NORMINV(RAND(),INPUTS!$B$28,INPUTS!$B$29))))</f>
        <v>1849629.41912696</v>
      </c>
      <c r="O189" s="89" t="n">
        <f aca="true">IF(O$5=0,N189,MAX(0,(N189-O$4)*(1+NORMINV(RAND(),INPUTS!$B$28,INPUTS!$B$29))))</f>
        <v>2058895.32875181</v>
      </c>
      <c r="P189" s="89" t="n">
        <f aca="true">IF(P$5=0,O189,MAX(0,(O189-P$4)*(1+NORMINV(RAND(),INPUTS!$B$28,INPUTS!$B$29))))</f>
        <v>2122438.52046364</v>
      </c>
      <c r="Q189" s="89" t="n">
        <f aca="true">IF(Q$5=0,P189,MAX(0,(P189-Q$4)*(1+NORMINV(RAND(),INPUTS!$B$28,INPUTS!$B$29))))</f>
        <v>2516460.27544604</v>
      </c>
      <c r="R189" s="89" t="n">
        <f aca="true">IF(R$5=0,Q189,MAX(0,(Q189-R$4)*(1+NORMINV(RAND(),INPUTS!$B$28,INPUTS!$B$29))))</f>
        <v>2849948.01891687</v>
      </c>
      <c r="S189" s="89" t="n">
        <f aca="true">IF(S$5=0,R189,MAX(0,(R189-S$4)*(1+NORMINV(RAND(),INPUTS!$B$28,INPUTS!$B$29))))</f>
        <v>2917777.34538112</v>
      </c>
      <c r="T189" s="89" t="n">
        <f aca="true">IF(T$5=0,S189,MAX(0,(S189-T$4)*(1+NORMINV(RAND(),INPUTS!$B$28,INPUTS!$B$29))))</f>
        <v>3178496.96051285</v>
      </c>
      <c r="U189" s="89" t="n">
        <f aca="true">IF(U$5=0,T189,MAX(0,(T189-U$4)*(1+NORMINV(RAND(),INPUTS!$B$28,INPUTS!$B$29))))</f>
        <v>3238085.95090532</v>
      </c>
      <c r="V189" s="89" t="n">
        <f aca="true">IF(V$5=0,U189,MAX(0,(U189-V$4)*(1+NORMINV(RAND(),INPUTS!$B$28,INPUTS!$B$29))))</f>
        <v>3194245.29135437</v>
      </c>
      <c r="W189" s="89" t="n">
        <f aca="true">IF(W$5=0,V189,MAX(0,(V189-W$4)*(1+NORMINV(RAND(),INPUTS!$B$28,INPUTS!$B$29))))</f>
        <v>3656156.96382077</v>
      </c>
      <c r="X189" s="89" t="n">
        <f aca="true">IF(X$5=0,W189,MAX(0,(W189-X$4)*(1+NORMINV(RAND(),INPUTS!$B$28,INPUTS!$B$29))))</f>
        <v>4047795.9952409</v>
      </c>
      <c r="Y189" s="89" t="n">
        <f aca="true">IF(Y$5=0,X189,MAX(0,(X189-Y$4)*(1+NORMINV(RAND(),INPUTS!$B$28,INPUTS!$B$29))))</f>
        <v>3979612.28985914</v>
      </c>
      <c r="Z189" s="89" t="n">
        <f aca="true">IF(Z$5=0,Y189,MAX(0,(Y189-Z$4)*(1+NORMINV(RAND(),INPUTS!$B$28,INPUTS!$B$29))))</f>
        <v>3947936.58009878</v>
      </c>
      <c r="AA189" s="89" t="n">
        <f aca="true">IF(AA$5=0,Z189,MAX(0,(Z189-AA$4)*(1+NORMINV(RAND(),INPUTS!$B$28,INPUTS!$B$29))))</f>
        <v>2966116.12370414</v>
      </c>
      <c r="AB189" s="89" t="n">
        <f aca="true">IF(AB$5=0,AA189,MAX(0,(AA189-AB$4)*(1+NORMINV(RAND(),INPUTS!$B$28,INPUTS!$B$29))))</f>
        <v>2513437.5299774</v>
      </c>
      <c r="AC189" s="89" t="n">
        <f aca="true">IF(AC$5=0,AB189,MAX(0,(AB189-AC$4)*(1+NORMINV(RAND(),INPUTS!$B$28,INPUTS!$B$29))))</f>
        <v>2546948.42491679</v>
      </c>
      <c r="AD189" s="89" t="n">
        <f aca="true">IF(AD$5=0,AC189,MAX(0,(AC189-AD$4)*(1+NORMINV(RAND(),INPUTS!$B$28,INPUTS!$B$29))))</f>
        <v>3062239.60738212</v>
      </c>
      <c r="AE189" s="89" t="n">
        <f aca="true">IF(AE$5=0,AD189,MAX(0,(AD189-AE$4)*(1+NORMINV(RAND(),INPUTS!$B$28,INPUTS!$B$29))))</f>
        <v>3142049.67794765</v>
      </c>
      <c r="AF189" s="89" t="n">
        <f aca="true">IF(AF$5=0,AE189,MAX(0,(AE189-AF$4)*(1+NORMINV(RAND(),INPUTS!$B$28,INPUTS!$B$29))))</f>
        <v>3463976.19672634</v>
      </c>
      <c r="AG189" s="89" t="n">
        <f aca="true">IF(AG$5=0,AF189,MAX(0,(AF189-AG$4)*(1+NORMINV(RAND(),INPUTS!$B$28,INPUTS!$B$29))))</f>
        <v>3775148.96102678</v>
      </c>
      <c r="AH189" s="89" t="n">
        <f aca="true">IF(AH$5=0,AG189,MAX(0,(AG189-AH$4)*(1+NORMINV(RAND(),INPUTS!$B$28,INPUTS!$B$29))))</f>
        <v>3676651.18426406</v>
      </c>
      <c r="AI189" s="89" t="n">
        <f aca="true">IF(AI$5=0,AH189,MAX(0,(AH189-AI$4)*(1+NORMINV(RAND(),INPUTS!$B$28,INPUTS!$B$29))))</f>
        <v>4047130.4785093</v>
      </c>
      <c r="AJ189" s="89" t="n">
        <f aca="true">IF(AJ$5=0,AI189,MAX(0,(AI189-AJ$4)*(1+NORMINV(RAND(),INPUTS!$B$28,INPUTS!$B$29))))</f>
        <v>4347238.21372845</v>
      </c>
      <c r="AK189" s="89" t="n">
        <f aca="true">IF(AK$5=0,AJ189,MAX(0,(AJ189-AK$4)*(1+NORMINV(RAND(),INPUTS!$B$28,INPUTS!$B$29))))</f>
        <v>4570903.65769338</v>
      </c>
      <c r="AL189" s="89" t="n">
        <f aca="true">IF(AL$5=0,AK189,MAX(0,(AK189-AL$4)*(1+NORMINV(RAND(),INPUTS!$B$28,INPUTS!$B$29))))</f>
        <v>4373649.93407833</v>
      </c>
      <c r="AM189" s="89" t="n">
        <f aca="true">IF(AM$5=0,AL189,MAX(0,(AL189-AM$4)*(1+NORMINV(RAND(),INPUTS!$B$28,INPUTS!$B$29))))</f>
        <v>4373649.93407833</v>
      </c>
      <c r="AN189" s="89" t="n">
        <f aca="true">IF(AN$5=0,AM189,MAX(0,(AM189-AN$4)*(1+NORMINV(RAND(),INPUTS!$B$28,INPUTS!$B$29))))</f>
        <v>4373649.93407833</v>
      </c>
      <c r="AO189" s="89" t="n">
        <f aca="true">IF(AO$5=0,AN189,MAX(0,(AN189-AO$4)*(1+NORMINV(RAND(),INPUTS!$B$28,INPUTS!$B$29))))</f>
        <v>4373649.93407833</v>
      </c>
      <c r="AP189" s="89" t="n">
        <f aca="true">IF(AP$5=0,AO189,MAX(0,(AO189-AP$4)*(1+NORMINV(RAND(),INPUTS!$B$28,INPUTS!$B$29))))</f>
        <v>4373649.93407833</v>
      </c>
      <c r="AQ189" s="89" t="n">
        <f aca="true">IF(AQ$5=0,AP189,MAX(0,(AP189-AQ$4)*(1+NORMINV(RAND(),INPUTS!$B$28,INPUTS!$B$29))))</f>
        <v>4373649.93407833</v>
      </c>
      <c r="AR189" s="89" t="n">
        <f aca="true">IF(AR$5=0,AQ189,MAX(0,(AQ189-AR$4)*(1+NORMINV(RAND(),INPUTS!$B$28,INPUTS!$B$29))))</f>
        <v>4373649.93407833</v>
      </c>
      <c r="AS189" s="89" t="n">
        <f aca="true">IF(AS$5=0,AR189,MAX(0,(AR189-AS$4)*(1+NORMINV(RAND(),INPUTS!$B$28,INPUTS!$B$29))))</f>
        <v>4373649.93407833</v>
      </c>
      <c r="AT189" s="89" t="n">
        <f aca="true">IF(AT$5=0,AS189,MAX(0,(AS189-AT$4)*(1+NORMINV(RAND(),INPUTS!$B$28,INPUTS!$B$29))))</f>
        <v>4373649.93407833</v>
      </c>
      <c r="AU189" s="89" t="n">
        <f aca="true">IF(AU$5=0,AT189,MAX(0,(AT189-AU$4)*(1+NORMINV(RAND(),INPUTS!$B$28,INPUTS!$B$29))))</f>
        <v>4373649.93407833</v>
      </c>
      <c r="AV189" s="89" t="n">
        <f aca="true">IF(AV$5=0,AU189,MAX(0,(AU189-AV$4)*(1+NORMINV(RAND(),INPUTS!$B$28,INPUTS!$B$29))))</f>
        <v>4373649.93407833</v>
      </c>
      <c r="AW189" s="89" t="n">
        <f aca="true">IF(AW$5=0,AV189,MAX(0,(AV189-AW$4)*(1+NORMINV(RAND(),INPUTS!$B$28,INPUTS!$B$29))))</f>
        <v>4373649.93407833</v>
      </c>
      <c r="AX189" s="89" t="n">
        <f aca="true">IF(AX$5=0,AW189,MAX(0,(AW189-AX$4)*(1+NORMINV(RAND(),INPUTS!$B$28,INPUTS!$B$29))))</f>
        <v>4373649.93407833</v>
      </c>
      <c r="AY189" s="89" t="n">
        <f aca="true">IF(AY$5=0,AX189,MAX(0,(AX189-AY$4)*(1+NORMINV(RAND(),INPUTS!$B$28,INPUTS!$B$29))))</f>
        <v>4373649.93407833</v>
      </c>
      <c r="AZ189" s="89" t="n">
        <f aca="true">IF(AZ$5=0,AY189,MAX(0,(AY189-AZ$4)*(1+NORMINV(RAND(),INPUTS!$B$28,INPUTS!$B$29))))</f>
        <v>4373649.93407833</v>
      </c>
      <c r="BA189" s="89" t="n">
        <f aca="true">IF(BA$5=0,AZ189,MAX(0,(AZ189-BA$4)*(1+NORMINV(RAND(),INPUTS!$B$28,INPUTS!$B$29))))</f>
        <v>4373649.93407833</v>
      </c>
      <c r="BB189" s="89" t="n">
        <f aca="true">IF(BB$5=0,BA189,MAX(0,(BA189-BB$4)*(1+NORMINV(RAND(),INPUTS!$B$28,INPUTS!$B$29))))</f>
        <v>4373649.93407833</v>
      </c>
      <c r="BC189" s="89" t="n">
        <f aca="true">IF(BC$5=0,BB189,MAX(0,(BB189-BC$4)*(1+NORMINV(RAND(),INPUTS!$B$28,INPUTS!$B$29))))</f>
        <v>4373649.93407833</v>
      </c>
      <c r="BD189" s="89" t="n">
        <f aca="true">IF(BD$5=0,BC189,MAX(0,(BC189-BD$4)*(1+NORMINV(RAND(),INPUTS!$B$28,INPUTS!$B$29))))</f>
        <v>4373649.93407833</v>
      </c>
      <c r="BE189" s="89" t="n">
        <f aca="true">IF(BE$5=0,BD189,MAX(0,(BD189-BE$4)*(1+NORMINV(RAND(),INPUTS!$B$28,INPUTS!$B$29))))</f>
        <v>4373649.93407833</v>
      </c>
      <c r="BF189" s="89" t="n">
        <f aca="true">IF(BF$5=0,BE189,MAX(0,(BE189-BF$4)*(1+NORMINV(RAND(),INPUTS!$B$28,INPUTS!$B$29))))</f>
        <v>4373649.93407833</v>
      </c>
      <c r="BG189" s="89" t="n">
        <f aca="true">IF(BG$5=0,BF189,MAX(0,(BF189-BG$4)*(1+NORMINV(RAND(),INPUTS!$B$28,INPUTS!$B$29))))</f>
        <v>4373649.93407833</v>
      </c>
      <c r="BH189" s="89" t="n">
        <f aca="true">IF(BH$5=0,BG189,MAX(0,(BG189-BH$4)*(1+NORMINV(RAND(),INPUTS!$B$28,INPUTS!$B$29))))</f>
        <v>4373649.93407833</v>
      </c>
      <c r="BI189" s="89" t="n">
        <f aca="true">IF(BI$5=0,BH189,MAX(0,(BH189-BI$4)*(1+NORMINV(RAND(),INPUTS!$B$28,INPUTS!$B$29))))</f>
        <v>4373649.93407833</v>
      </c>
      <c r="BJ189" s="89" t="n">
        <f aca="true">IF(BJ$5=0,BI189,MAX(0,(BI189-BJ$4)*(1+NORMINV(RAND(),INPUTS!$B$28,INPUTS!$B$29))))</f>
        <v>4373649.93407833</v>
      </c>
    </row>
    <row r="190" customFormat="false" ht="15" hidden="false" customHeight="true" outlineLevel="0" collapsed="false">
      <c r="A190" s="87" t="n">
        <v>183</v>
      </c>
      <c r="B190" s="88" t="n">
        <f aca="false">LOOKUP(9.99E+307,C190:BJ190)</f>
        <v>5756417.62437836</v>
      </c>
      <c r="C190" s="89" t="n">
        <f aca="true">IF(C$5=0,INPUTS!$B$35,MAX(0,(INPUTS!$B$35-C$4)*(1+NORMINV(RAND(),INPUTS!$B$28,INPUTS!$B$29))))</f>
        <v>1443047.68497266</v>
      </c>
      <c r="D190" s="89" t="n">
        <f aca="true">IF(D$5=0,C190,MAX(0,(C190-D$4)*(1+NORMINV(RAND(),INPUTS!$B$28,INPUTS!$B$29))))</f>
        <v>1459770.64632513</v>
      </c>
      <c r="E190" s="89" t="n">
        <f aca="true">IF(E$5=0,D190,MAX(0,(D190-E$4)*(1+NORMINV(RAND(),INPUTS!$B$28,INPUTS!$B$29))))</f>
        <v>1377804.76737051</v>
      </c>
      <c r="F190" s="89" t="n">
        <f aca="true">IF(F$5=0,E190,MAX(0,(E190-F$4)*(1+NORMINV(RAND(),INPUTS!$B$28,INPUTS!$B$29))))</f>
        <v>1428395.26741524</v>
      </c>
      <c r="G190" s="89" t="n">
        <f aca="true">IF(G$5=0,F190,MAX(0,(F190-G$4)*(1+NORMINV(RAND(),INPUTS!$B$28,INPUTS!$B$29))))</f>
        <v>1676059.94812081</v>
      </c>
      <c r="H190" s="89" t="n">
        <f aca="true">IF(H$5=0,G190,MAX(0,(G190-H$4)*(1+NORMINV(RAND(),INPUTS!$B$28,INPUTS!$B$29))))</f>
        <v>1586285.54015394</v>
      </c>
      <c r="I190" s="89" t="n">
        <f aca="true">IF(I$5=0,H190,MAX(0,(H190-I$4)*(1+NORMINV(RAND(),INPUTS!$B$28,INPUTS!$B$29))))</f>
        <v>1724166.89790821</v>
      </c>
      <c r="J190" s="89" t="n">
        <f aca="true">IF(J$5=0,I190,MAX(0,(I190-J$4)*(1+NORMINV(RAND(),INPUTS!$B$28,INPUTS!$B$29))))</f>
        <v>1731979.97363395</v>
      </c>
      <c r="K190" s="89" t="n">
        <f aca="true">IF(K$5=0,J190,MAX(0,(J190-K$4)*(1+NORMINV(RAND(),INPUTS!$B$28,INPUTS!$B$29))))</f>
        <v>1807412.05209871</v>
      </c>
      <c r="L190" s="89" t="n">
        <f aca="true">IF(L$5=0,K190,MAX(0,(K190-L$4)*(1+NORMINV(RAND(),INPUTS!$B$28,INPUTS!$B$29))))</f>
        <v>1879094.69718756</v>
      </c>
      <c r="M190" s="89" t="n">
        <f aca="true">IF(M$5=0,L190,MAX(0,(L190-M$4)*(1+NORMINV(RAND(),INPUTS!$B$28,INPUTS!$B$29))))</f>
        <v>1857613.03979156</v>
      </c>
      <c r="N190" s="89" t="n">
        <f aca="true">IF(N$5=0,M190,MAX(0,(M190-N$4)*(1+NORMINV(RAND(),INPUTS!$B$28,INPUTS!$B$29))))</f>
        <v>2258573.93386011</v>
      </c>
      <c r="O190" s="89" t="n">
        <f aca="true">IF(O$5=0,N190,MAX(0,(N190-O$4)*(1+NORMINV(RAND(),INPUTS!$B$28,INPUTS!$B$29))))</f>
        <v>2455634.63800067</v>
      </c>
      <c r="P190" s="89" t="n">
        <f aca="true">IF(P$5=0,O190,MAX(0,(O190-P$4)*(1+NORMINV(RAND(),INPUTS!$B$28,INPUTS!$B$29))))</f>
        <v>2789396.20479646</v>
      </c>
      <c r="Q190" s="89" t="n">
        <f aca="true">IF(Q$5=0,P190,MAX(0,(P190-Q$4)*(1+NORMINV(RAND(),INPUTS!$B$28,INPUTS!$B$29))))</f>
        <v>2822651.01149418</v>
      </c>
      <c r="R190" s="89" t="n">
        <f aca="true">IF(R$5=0,Q190,MAX(0,(Q190-R$4)*(1+NORMINV(RAND(),INPUTS!$B$28,INPUTS!$B$29))))</f>
        <v>2306091.80827394</v>
      </c>
      <c r="S190" s="89" t="n">
        <f aca="true">IF(S$5=0,R190,MAX(0,(R190-S$4)*(1+NORMINV(RAND(),INPUTS!$B$28,INPUTS!$B$29))))</f>
        <v>1982913.23710613</v>
      </c>
      <c r="T190" s="89" t="n">
        <f aca="true">IF(T$5=0,S190,MAX(0,(S190-T$4)*(1+NORMINV(RAND(),INPUTS!$B$28,INPUTS!$B$29))))</f>
        <v>2010228.62353008</v>
      </c>
      <c r="U190" s="89" t="n">
        <f aca="true">IF(U$5=0,T190,MAX(0,(T190-U$4)*(1+NORMINV(RAND(),INPUTS!$B$28,INPUTS!$B$29))))</f>
        <v>2147458.17344803</v>
      </c>
      <c r="V190" s="89" t="n">
        <f aca="true">IF(V$5=0,U190,MAX(0,(U190-V$4)*(1+NORMINV(RAND(),INPUTS!$B$28,INPUTS!$B$29))))</f>
        <v>2629768.06200825</v>
      </c>
      <c r="W190" s="89" t="n">
        <f aca="true">IF(W$5=0,V190,MAX(0,(V190-W$4)*(1+NORMINV(RAND(),INPUTS!$B$28,INPUTS!$B$29))))</f>
        <v>2911775.43138133</v>
      </c>
      <c r="X190" s="89" t="n">
        <f aca="true">IF(X$5=0,W190,MAX(0,(W190-X$4)*(1+NORMINV(RAND(),INPUTS!$B$28,INPUTS!$B$29))))</f>
        <v>3195161.46932928</v>
      </c>
      <c r="Y190" s="89" t="n">
        <f aca="true">IF(Y$5=0,X190,MAX(0,(X190-Y$4)*(1+NORMINV(RAND(),INPUTS!$B$28,INPUTS!$B$29))))</f>
        <v>3527011.53384866</v>
      </c>
      <c r="Z190" s="89" t="n">
        <f aca="true">IF(Z$5=0,Y190,MAX(0,(Y190-Z$4)*(1+NORMINV(RAND(),INPUTS!$B$28,INPUTS!$B$29))))</f>
        <v>3719692.57866627</v>
      </c>
      <c r="AA190" s="89" t="n">
        <f aca="true">IF(AA$5=0,Z190,MAX(0,(Z190-AA$4)*(1+NORMINV(RAND(),INPUTS!$B$28,INPUTS!$B$29))))</f>
        <v>4224169.47624702</v>
      </c>
      <c r="AB190" s="89" t="n">
        <f aca="true">IF(AB$5=0,AA190,MAX(0,(AA190-AB$4)*(1+NORMINV(RAND(),INPUTS!$B$28,INPUTS!$B$29))))</f>
        <v>4565400.46120217</v>
      </c>
      <c r="AC190" s="89" t="n">
        <f aca="true">IF(AC$5=0,AB190,MAX(0,(AB190-AC$4)*(1+NORMINV(RAND(),INPUTS!$B$28,INPUTS!$B$29))))</f>
        <v>4739100.71767567</v>
      </c>
      <c r="AD190" s="89" t="n">
        <f aca="true">IF(AD$5=0,AC190,MAX(0,(AC190-AD$4)*(1+NORMINV(RAND(),INPUTS!$B$28,INPUTS!$B$29))))</f>
        <v>5465724.06325448</v>
      </c>
      <c r="AE190" s="89" t="n">
        <f aca="true">IF(AE$5=0,AD190,MAX(0,(AD190-AE$4)*(1+NORMINV(RAND(),INPUTS!$B$28,INPUTS!$B$29))))</f>
        <v>5134365.25135589</v>
      </c>
      <c r="AF190" s="89" t="n">
        <f aca="true">IF(AF$5=0,AE190,MAX(0,(AE190-AF$4)*(1+NORMINV(RAND(),INPUTS!$B$28,INPUTS!$B$29))))</f>
        <v>4987594.96952794</v>
      </c>
      <c r="AG190" s="89" t="n">
        <f aca="true">IF(AG$5=0,AF190,MAX(0,(AF190-AG$4)*(1+NORMINV(RAND(),INPUTS!$B$28,INPUTS!$B$29))))</f>
        <v>4670575.61036922</v>
      </c>
      <c r="AH190" s="89" t="n">
        <f aca="true">IF(AH$5=0,AG190,MAX(0,(AG190-AH$4)*(1+NORMINV(RAND(),INPUTS!$B$28,INPUTS!$B$29))))</f>
        <v>5089826.63935506</v>
      </c>
      <c r="AI190" s="89" t="n">
        <f aca="true">IF(AI$5=0,AH190,MAX(0,(AH190-AI$4)*(1+NORMINV(RAND(),INPUTS!$B$28,INPUTS!$B$29))))</f>
        <v>5645742.04974559</v>
      </c>
      <c r="AJ190" s="89" t="n">
        <f aca="true">IF(AJ$5=0,AI190,MAX(0,(AI190-AJ$4)*(1+NORMINV(RAND(),INPUTS!$B$28,INPUTS!$B$29))))</f>
        <v>6163867.54382737</v>
      </c>
      <c r="AK190" s="89" t="n">
        <f aca="true">IF(AK$5=0,AJ190,MAX(0,(AJ190-AK$4)*(1+NORMINV(RAND(),INPUTS!$B$28,INPUTS!$B$29))))</f>
        <v>6561754.41879805</v>
      </c>
      <c r="AL190" s="89" t="n">
        <f aca="true">IF(AL$5=0,AK190,MAX(0,(AK190-AL$4)*(1+NORMINV(RAND(),INPUTS!$B$28,INPUTS!$B$29))))</f>
        <v>5756417.62437836</v>
      </c>
      <c r="AM190" s="89" t="n">
        <f aca="true">IF(AM$5=0,AL190,MAX(0,(AL190-AM$4)*(1+NORMINV(RAND(),INPUTS!$B$28,INPUTS!$B$29))))</f>
        <v>5756417.62437836</v>
      </c>
      <c r="AN190" s="89" t="n">
        <f aca="true">IF(AN$5=0,AM190,MAX(0,(AM190-AN$4)*(1+NORMINV(RAND(),INPUTS!$B$28,INPUTS!$B$29))))</f>
        <v>5756417.62437836</v>
      </c>
      <c r="AO190" s="89" t="n">
        <f aca="true">IF(AO$5=0,AN190,MAX(0,(AN190-AO$4)*(1+NORMINV(RAND(),INPUTS!$B$28,INPUTS!$B$29))))</f>
        <v>5756417.62437836</v>
      </c>
      <c r="AP190" s="89" t="n">
        <f aca="true">IF(AP$5=0,AO190,MAX(0,(AO190-AP$4)*(1+NORMINV(RAND(),INPUTS!$B$28,INPUTS!$B$29))))</f>
        <v>5756417.62437836</v>
      </c>
      <c r="AQ190" s="89" t="n">
        <f aca="true">IF(AQ$5=0,AP190,MAX(0,(AP190-AQ$4)*(1+NORMINV(RAND(),INPUTS!$B$28,INPUTS!$B$29))))</f>
        <v>5756417.62437836</v>
      </c>
      <c r="AR190" s="89" t="n">
        <f aca="true">IF(AR$5=0,AQ190,MAX(0,(AQ190-AR$4)*(1+NORMINV(RAND(),INPUTS!$B$28,INPUTS!$B$29))))</f>
        <v>5756417.62437836</v>
      </c>
      <c r="AS190" s="89" t="n">
        <f aca="true">IF(AS$5=0,AR190,MAX(0,(AR190-AS$4)*(1+NORMINV(RAND(),INPUTS!$B$28,INPUTS!$B$29))))</f>
        <v>5756417.62437836</v>
      </c>
      <c r="AT190" s="89" t="n">
        <f aca="true">IF(AT$5=0,AS190,MAX(0,(AS190-AT$4)*(1+NORMINV(RAND(),INPUTS!$B$28,INPUTS!$B$29))))</f>
        <v>5756417.62437836</v>
      </c>
      <c r="AU190" s="89" t="n">
        <f aca="true">IF(AU$5=0,AT190,MAX(0,(AT190-AU$4)*(1+NORMINV(RAND(),INPUTS!$B$28,INPUTS!$B$29))))</f>
        <v>5756417.62437836</v>
      </c>
      <c r="AV190" s="89" t="n">
        <f aca="true">IF(AV$5=0,AU190,MAX(0,(AU190-AV$4)*(1+NORMINV(RAND(),INPUTS!$B$28,INPUTS!$B$29))))</f>
        <v>5756417.62437836</v>
      </c>
      <c r="AW190" s="89" t="n">
        <f aca="true">IF(AW$5=0,AV190,MAX(0,(AV190-AW$4)*(1+NORMINV(RAND(),INPUTS!$B$28,INPUTS!$B$29))))</f>
        <v>5756417.62437836</v>
      </c>
      <c r="AX190" s="89" t="n">
        <f aca="true">IF(AX$5=0,AW190,MAX(0,(AW190-AX$4)*(1+NORMINV(RAND(),INPUTS!$B$28,INPUTS!$B$29))))</f>
        <v>5756417.62437836</v>
      </c>
      <c r="AY190" s="89" t="n">
        <f aca="true">IF(AY$5=0,AX190,MAX(0,(AX190-AY$4)*(1+NORMINV(RAND(),INPUTS!$B$28,INPUTS!$B$29))))</f>
        <v>5756417.62437836</v>
      </c>
      <c r="AZ190" s="89" t="n">
        <f aca="true">IF(AZ$5=0,AY190,MAX(0,(AY190-AZ$4)*(1+NORMINV(RAND(),INPUTS!$B$28,INPUTS!$B$29))))</f>
        <v>5756417.62437836</v>
      </c>
      <c r="BA190" s="89" t="n">
        <f aca="true">IF(BA$5=0,AZ190,MAX(0,(AZ190-BA$4)*(1+NORMINV(RAND(),INPUTS!$B$28,INPUTS!$B$29))))</f>
        <v>5756417.62437836</v>
      </c>
      <c r="BB190" s="89" t="n">
        <f aca="true">IF(BB$5=0,BA190,MAX(0,(BA190-BB$4)*(1+NORMINV(RAND(),INPUTS!$B$28,INPUTS!$B$29))))</f>
        <v>5756417.62437836</v>
      </c>
      <c r="BC190" s="89" t="n">
        <f aca="true">IF(BC$5=0,BB190,MAX(0,(BB190-BC$4)*(1+NORMINV(RAND(),INPUTS!$B$28,INPUTS!$B$29))))</f>
        <v>5756417.62437836</v>
      </c>
      <c r="BD190" s="89" t="n">
        <f aca="true">IF(BD$5=0,BC190,MAX(0,(BC190-BD$4)*(1+NORMINV(RAND(),INPUTS!$B$28,INPUTS!$B$29))))</f>
        <v>5756417.62437836</v>
      </c>
      <c r="BE190" s="89" t="n">
        <f aca="true">IF(BE$5=0,BD190,MAX(0,(BD190-BE$4)*(1+NORMINV(RAND(),INPUTS!$B$28,INPUTS!$B$29))))</f>
        <v>5756417.62437836</v>
      </c>
      <c r="BF190" s="89" t="n">
        <f aca="true">IF(BF$5=0,BE190,MAX(0,(BE190-BF$4)*(1+NORMINV(RAND(),INPUTS!$B$28,INPUTS!$B$29))))</f>
        <v>5756417.62437836</v>
      </c>
      <c r="BG190" s="89" t="n">
        <f aca="true">IF(BG$5=0,BF190,MAX(0,(BF190-BG$4)*(1+NORMINV(RAND(),INPUTS!$B$28,INPUTS!$B$29))))</f>
        <v>5756417.62437836</v>
      </c>
      <c r="BH190" s="89" t="n">
        <f aca="true">IF(BH$5=0,BG190,MAX(0,(BG190-BH$4)*(1+NORMINV(RAND(),INPUTS!$B$28,INPUTS!$B$29))))</f>
        <v>5756417.62437836</v>
      </c>
      <c r="BI190" s="89" t="n">
        <f aca="true">IF(BI$5=0,BH190,MAX(0,(BH190-BI$4)*(1+NORMINV(RAND(),INPUTS!$B$28,INPUTS!$B$29))))</f>
        <v>5756417.62437836</v>
      </c>
      <c r="BJ190" s="89" t="n">
        <f aca="true">IF(BJ$5=0,BI190,MAX(0,(BI190-BJ$4)*(1+NORMINV(RAND(),INPUTS!$B$28,INPUTS!$B$29))))</f>
        <v>5756417.62437836</v>
      </c>
    </row>
    <row r="191" customFormat="false" ht="15" hidden="false" customHeight="true" outlineLevel="0" collapsed="false">
      <c r="A191" s="87" t="n">
        <v>184</v>
      </c>
      <c r="B191" s="88" t="n">
        <f aca="false">LOOKUP(9.99E+307,C191:BJ191)</f>
        <v>11565875.2241586</v>
      </c>
      <c r="C191" s="89" t="n">
        <f aca="true">IF(C$5=0,INPUTS!$B$35,MAX(0,(INPUTS!$B$35-C$4)*(1+NORMINV(RAND(),INPUTS!$B$28,INPUTS!$B$29))))</f>
        <v>1830198.80278132</v>
      </c>
      <c r="D191" s="89" t="n">
        <f aca="true">IF(D$5=0,C191,MAX(0,(C191-D$4)*(1+NORMINV(RAND(),INPUTS!$B$28,INPUTS!$B$29))))</f>
        <v>1869404.39254604</v>
      </c>
      <c r="E191" s="89" t="n">
        <f aca="true">IF(E$5=0,D191,MAX(0,(D191-E$4)*(1+NORMINV(RAND(),INPUTS!$B$28,INPUTS!$B$29))))</f>
        <v>1691139.10930406</v>
      </c>
      <c r="F191" s="89" t="n">
        <f aca="true">IF(F$5=0,E191,MAX(0,(E191-F$4)*(1+NORMINV(RAND(),INPUTS!$B$28,INPUTS!$B$29))))</f>
        <v>1754936.05386449</v>
      </c>
      <c r="G191" s="89" t="n">
        <f aca="true">IF(G$5=0,F191,MAX(0,(F191-G$4)*(1+NORMINV(RAND(),INPUTS!$B$28,INPUTS!$B$29))))</f>
        <v>1919979.45644755</v>
      </c>
      <c r="H191" s="89" t="n">
        <f aca="true">IF(H$5=0,G191,MAX(0,(G191-H$4)*(1+NORMINV(RAND(),INPUTS!$B$28,INPUTS!$B$29))))</f>
        <v>1934011.53261613</v>
      </c>
      <c r="I191" s="89" t="n">
        <f aca="true">IF(I$5=0,H191,MAX(0,(H191-I$4)*(1+NORMINV(RAND(),INPUTS!$B$28,INPUTS!$B$29))))</f>
        <v>2502347.09752833</v>
      </c>
      <c r="J191" s="89" t="n">
        <f aca="true">IF(J$5=0,I191,MAX(0,(I191-J$4)*(1+NORMINV(RAND(),INPUTS!$B$28,INPUTS!$B$29))))</f>
        <v>2590075.50857229</v>
      </c>
      <c r="K191" s="89" t="n">
        <f aca="true">IF(K$5=0,J191,MAX(0,(J191-K$4)*(1+NORMINV(RAND(),INPUTS!$B$28,INPUTS!$B$29))))</f>
        <v>2722315.45867479</v>
      </c>
      <c r="L191" s="89" t="n">
        <f aca="true">IF(L$5=0,K191,MAX(0,(K191-L$4)*(1+NORMINV(RAND(),INPUTS!$B$28,INPUTS!$B$29))))</f>
        <v>3126795.94132081</v>
      </c>
      <c r="M191" s="89" t="n">
        <f aca="true">IF(M$5=0,L191,MAX(0,(L191-M$4)*(1+NORMINV(RAND(),INPUTS!$B$28,INPUTS!$B$29))))</f>
        <v>3355908.32738679</v>
      </c>
      <c r="N191" s="89" t="n">
        <f aca="true">IF(N$5=0,M191,MAX(0,(M191-N$4)*(1+NORMINV(RAND(),INPUTS!$B$28,INPUTS!$B$29))))</f>
        <v>2972627.92911496</v>
      </c>
      <c r="O191" s="89" t="n">
        <f aca="true">IF(O$5=0,N191,MAX(0,(N191-O$4)*(1+NORMINV(RAND(),INPUTS!$B$28,INPUTS!$B$29))))</f>
        <v>3146329.80345151</v>
      </c>
      <c r="P191" s="89" t="n">
        <f aca="true">IF(P$5=0,O191,MAX(0,(O191-P$4)*(1+NORMINV(RAND(),INPUTS!$B$28,INPUTS!$B$29))))</f>
        <v>3220179.04896788</v>
      </c>
      <c r="Q191" s="89" t="n">
        <f aca="true">IF(Q$5=0,P191,MAX(0,(P191-Q$4)*(1+NORMINV(RAND(),INPUTS!$B$28,INPUTS!$B$29))))</f>
        <v>4093388.70363674</v>
      </c>
      <c r="R191" s="89" t="n">
        <f aca="true">IF(R$5=0,Q191,MAX(0,(Q191-R$4)*(1+NORMINV(RAND(),INPUTS!$B$28,INPUTS!$B$29))))</f>
        <v>3976182.97772612</v>
      </c>
      <c r="S191" s="89" t="n">
        <f aca="true">IF(S$5=0,R191,MAX(0,(R191-S$4)*(1+NORMINV(RAND(),INPUTS!$B$28,INPUTS!$B$29))))</f>
        <v>3857329.28188463</v>
      </c>
      <c r="T191" s="89" t="n">
        <f aca="true">IF(T$5=0,S191,MAX(0,(S191-T$4)*(1+NORMINV(RAND(),INPUTS!$B$28,INPUTS!$B$29))))</f>
        <v>3377049.53937751</v>
      </c>
      <c r="U191" s="89" t="n">
        <f aca="true">IF(U$5=0,T191,MAX(0,(T191-U$4)*(1+NORMINV(RAND(),INPUTS!$B$28,INPUTS!$B$29))))</f>
        <v>3640425.79212192</v>
      </c>
      <c r="V191" s="89" t="n">
        <f aca="true">IF(V$5=0,U191,MAX(0,(U191-V$4)*(1+NORMINV(RAND(),INPUTS!$B$28,INPUTS!$B$29))))</f>
        <v>3810415.48729326</v>
      </c>
      <c r="W191" s="89" t="n">
        <f aca="true">IF(W$5=0,V191,MAX(0,(V191-W$4)*(1+NORMINV(RAND(),INPUTS!$B$28,INPUTS!$B$29))))</f>
        <v>3787982.58766504</v>
      </c>
      <c r="X191" s="89" t="n">
        <f aca="true">IF(X$5=0,W191,MAX(0,(W191-X$4)*(1+NORMINV(RAND(),INPUTS!$B$28,INPUTS!$B$29))))</f>
        <v>4018963.96422779</v>
      </c>
      <c r="Y191" s="89" t="n">
        <f aca="true">IF(Y$5=0,X191,MAX(0,(X191-Y$4)*(1+NORMINV(RAND(),INPUTS!$B$28,INPUTS!$B$29))))</f>
        <v>3938395.68808994</v>
      </c>
      <c r="Z191" s="89" t="n">
        <f aca="true">IF(Z$5=0,Y191,MAX(0,(Y191-Z$4)*(1+NORMINV(RAND(),INPUTS!$B$28,INPUTS!$B$29))))</f>
        <v>4577792.96767182</v>
      </c>
      <c r="AA191" s="89" t="n">
        <f aca="true">IF(AA$5=0,Z191,MAX(0,(Z191-AA$4)*(1+NORMINV(RAND(),INPUTS!$B$28,INPUTS!$B$29))))</f>
        <v>5349326.41378658</v>
      </c>
      <c r="AB191" s="89" t="n">
        <f aca="true">IF(AB$5=0,AA191,MAX(0,(AA191-AB$4)*(1+NORMINV(RAND(),INPUTS!$B$28,INPUTS!$B$29))))</f>
        <v>6362449.12857851</v>
      </c>
      <c r="AC191" s="89" t="n">
        <f aca="true">IF(AC$5=0,AB191,MAX(0,(AB191-AC$4)*(1+NORMINV(RAND(),INPUTS!$B$28,INPUTS!$B$29))))</f>
        <v>6638718.16223063</v>
      </c>
      <c r="AD191" s="89" t="n">
        <f aca="true">IF(AD$5=0,AC191,MAX(0,(AC191-AD$4)*(1+NORMINV(RAND(),INPUTS!$B$28,INPUTS!$B$29))))</f>
        <v>6396928.13058307</v>
      </c>
      <c r="AE191" s="89" t="n">
        <f aca="true">IF(AE$5=0,AD191,MAX(0,(AD191-AE$4)*(1+NORMINV(RAND(),INPUTS!$B$28,INPUTS!$B$29))))</f>
        <v>5840981.79354951</v>
      </c>
      <c r="AF191" s="89" t="n">
        <f aca="true">IF(AF$5=0,AE191,MAX(0,(AE191-AF$4)*(1+NORMINV(RAND(),INPUTS!$B$28,INPUTS!$B$29))))</f>
        <v>7594278.38809578</v>
      </c>
      <c r="AG191" s="89" t="n">
        <f aca="true">IF(AG$5=0,AF191,MAX(0,(AF191-AG$4)*(1+NORMINV(RAND(),INPUTS!$B$28,INPUTS!$B$29))))</f>
        <v>8022770.3068273</v>
      </c>
      <c r="AH191" s="89" t="n">
        <f aca="true">IF(AH$5=0,AG191,MAX(0,(AG191-AH$4)*(1+NORMINV(RAND(),INPUTS!$B$28,INPUTS!$B$29))))</f>
        <v>9449643.24264404</v>
      </c>
      <c r="AI191" s="89" t="n">
        <f aca="true">IF(AI$5=0,AH191,MAX(0,(AH191-AI$4)*(1+NORMINV(RAND(),INPUTS!$B$28,INPUTS!$B$29))))</f>
        <v>10728795.5428485</v>
      </c>
      <c r="AJ191" s="89" t="n">
        <f aca="true">IF(AJ$5=0,AI191,MAX(0,(AI191-AJ$4)*(1+NORMINV(RAND(),INPUTS!$B$28,INPUTS!$B$29))))</f>
        <v>9512840.90376832</v>
      </c>
      <c r="AK191" s="89" t="n">
        <f aca="true">IF(AK$5=0,AJ191,MAX(0,(AJ191-AK$4)*(1+NORMINV(RAND(),INPUTS!$B$28,INPUTS!$B$29))))</f>
        <v>9164932.98202147</v>
      </c>
      <c r="AL191" s="89" t="n">
        <f aca="true">IF(AL$5=0,AK191,MAX(0,(AK191-AL$4)*(1+NORMINV(RAND(),INPUTS!$B$28,INPUTS!$B$29))))</f>
        <v>11565875.2241586</v>
      </c>
      <c r="AM191" s="89" t="n">
        <f aca="true">IF(AM$5=0,AL191,MAX(0,(AL191-AM$4)*(1+NORMINV(RAND(),INPUTS!$B$28,INPUTS!$B$29))))</f>
        <v>11565875.2241586</v>
      </c>
      <c r="AN191" s="89" t="n">
        <f aca="true">IF(AN$5=0,AM191,MAX(0,(AM191-AN$4)*(1+NORMINV(RAND(),INPUTS!$B$28,INPUTS!$B$29))))</f>
        <v>11565875.2241586</v>
      </c>
      <c r="AO191" s="89" t="n">
        <f aca="true">IF(AO$5=0,AN191,MAX(0,(AN191-AO$4)*(1+NORMINV(RAND(),INPUTS!$B$28,INPUTS!$B$29))))</f>
        <v>11565875.2241586</v>
      </c>
      <c r="AP191" s="89" t="n">
        <f aca="true">IF(AP$5=0,AO191,MAX(0,(AO191-AP$4)*(1+NORMINV(RAND(),INPUTS!$B$28,INPUTS!$B$29))))</f>
        <v>11565875.2241586</v>
      </c>
      <c r="AQ191" s="89" t="n">
        <f aca="true">IF(AQ$5=0,AP191,MAX(0,(AP191-AQ$4)*(1+NORMINV(RAND(),INPUTS!$B$28,INPUTS!$B$29))))</f>
        <v>11565875.2241586</v>
      </c>
      <c r="AR191" s="89" t="n">
        <f aca="true">IF(AR$5=0,AQ191,MAX(0,(AQ191-AR$4)*(1+NORMINV(RAND(),INPUTS!$B$28,INPUTS!$B$29))))</f>
        <v>11565875.2241586</v>
      </c>
      <c r="AS191" s="89" t="n">
        <f aca="true">IF(AS$5=0,AR191,MAX(0,(AR191-AS$4)*(1+NORMINV(RAND(),INPUTS!$B$28,INPUTS!$B$29))))</f>
        <v>11565875.2241586</v>
      </c>
      <c r="AT191" s="89" t="n">
        <f aca="true">IF(AT$5=0,AS191,MAX(0,(AS191-AT$4)*(1+NORMINV(RAND(),INPUTS!$B$28,INPUTS!$B$29))))</f>
        <v>11565875.2241586</v>
      </c>
      <c r="AU191" s="89" t="n">
        <f aca="true">IF(AU$5=0,AT191,MAX(0,(AT191-AU$4)*(1+NORMINV(RAND(),INPUTS!$B$28,INPUTS!$B$29))))</f>
        <v>11565875.2241586</v>
      </c>
      <c r="AV191" s="89" t="n">
        <f aca="true">IF(AV$5=0,AU191,MAX(0,(AU191-AV$4)*(1+NORMINV(RAND(),INPUTS!$B$28,INPUTS!$B$29))))</f>
        <v>11565875.2241586</v>
      </c>
      <c r="AW191" s="89" t="n">
        <f aca="true">IF(AW$5=0,AV191,MAX(0,(AV191-AW$4)*(1+NORMINV(RAND(),INPUTS!$B$28,INPUTS!$B$29))))</f>
        <v>11565875.2241586</v>
      </c>
      <c r="AX191" s="89" t="n">
        <f aca="true">IF(AX$5=0,AW191,MAX(0,(AW191-AX$4)*(1+NORMINV(RAND(),INPUTS!$B$28,INPUTS!$B$29))))</f>
        <v>11565875.2241586</v>
      </c>
      <c r="AY191" s="89" t="n">
        <f aca="true">IF(AY$5=0,AX191,MAX(0,(AX191-AY$4)*(1+NORMINV(RAND(),INPUTS!$B$28,INPUTS!$B$29))))</f>
        <v>11565875.2241586</v>
      </c>
      <c r="AZ191" s="89" t="n">
        <f aca="true">IF(AZ$5=0,AY191,MAX(0,(AY191-AZ$4)*(1+NORMINV(RAND(),INPUTS!$B$28,INPUTS!$B$29))))</f>
        <v>11565875.2241586</v>
      </c>
      <c r="BA191" s="89" t="n">
        <f aca="true">IF(BA$5=0,AZ191,MAX(0,(AZ191-BA$4)*(1+NORMINV(RAND(),INPUTS!$B$28,INPUTS!$B$29))))</f>
        <v>11565875.2241586</v>
      </c>
      <c r="BB191" s="89" t="n">
        <f aca="true">IF(BB$5=0,BA191,MAX(0,(BA191-BB$4)*(1+NORMINV(RAND(),INPUTS!$B$28,INPUTS!$B$29))))</f>
        <v>11565875.2241586</v>
      </c>
      <c r="BC191" s="89" t="n">
        <f aca="true">IF(BC$5=0,BB191,MAX(0,(BB191-BC$4)*(1+NORMINV(RAND(),INPUTS!$B$28,INPUTS!$B$29))))</f>
        <v>11565875.2241586</v>
      </c>
      <c r="BD191" s="89" t="n">
        <f aca="true">IF(BD$5=0,BC191,MAX(0,(BC191-BD$4)*(1+NORMINV(RAND(),INPUTS!$B$28,INPUTS!$B$29))))</f>
        <v>11565875.2241586</v>
      </c>
      <c r="BE191" s="89" t="n">
        <f aca="true">IF(BE$5=0,BD191,MAX(0,(BD191-BE$4)*(1+NORMINV(RAND(),INPUTS!$B$28,INPUTS!$B$29))))</f>
        <v>11565875.2241586</v>
      </c>
      <c r="BF191" s="89" t="n">
        <f aca="true">IF(BF$5=0,BE191,MAX(0,(BE191-BF$4)*(1+NORMINV(RAND(),INPUTS!$B$28,INPUTS!$B$29))))</f>
        <v>11565875.2241586</v>
      </c>
      <c r="BG191" s="89" t="n">
        <f aca="true">IF(BG$5=0,BF191,MAX(0,(BF191-BG$4)*(1+NORMINV(RAND(),INPUTS!$B$28,INPUTS!$B$29))))</f>
        <v>11565875.2241586</v>
      </c>
      <c r="BH191" s="89" t="n">
        <f aca="true">IF(BH$5=0,BG191,MAX(0,(BG191-BH$4)*(1+NORMINV(RAND(),INPUTS!$B$28,INPUTS!$B$29))))</f>
        <v>11565875.2241586</v>
      </c>
      <c r="BI191" s="89" t="n">
        <f aca="true">IF(BI$5=0,BH191,MAX(0,(BH191-BI$4)*(1+NORMINV(RAND(),INPUTS!$B$28,INPUTS!$B$29))))</f>
        <v>11565875.2241586</v>
      </c>
      <c r="BJ191" s="89" t="n">
        <f aca="true">IF(BJ$5=0,BI191,MAX(0,(BI191-BJ$4)*(1+NORMINV(RAND(),INPUTS!$B$28,INPUTS!$B$29))))</f>
        <v>11565875.2241586</v>
      </c>
    </row>
    <row r="192" customFormat="false" ht="15" hidden="false" customHeight="true" outlineLevel="0" collapsed="false">
      <c r="A192" s="87" t="n">
        <v>185</v>
      </c>
      <c r="B192" s="88" t="n">
        <f aca="false">LOOKUP(9.99E+307,C192:BJ192)</f>
        <v>14802462.4515023</v>
      </c>
      <c r="C192" s="89" t="n">
        <f aca="true">IF(C$5=0,INPUTS!$B$35,MAX(0,(INPUTS!$B$35-C$4)*(1+NORMINV(RAND(),INPUTS!$B$28,INPUTS!$B$29))))</f>
        <v>1506945.35911465</v>
      </c>
      <c r="D192" s="89" t="n">
        <f aca="true">IF(D$5=0,C192,MAX(0,(C192-D$4)*(1+NORMINV(RAND(),INPUTS!$B$28,INPUTS!$B$29))))</f>
        <v>1557891.55480833</v>
      </c>
      <c r="E192" s="89" t="n">
        <f aca="true">IF(E$5=0,D192,MAX(0,(D192-E$4)*(1+NORMINV(RAND(),INPUTS!$B$28,INPUTS!$B$29))))</f>
        <v>1538194.25680229</v>
      </c>
      <c r="F192" s="89" t="n">
        <f aca="true">IF(F$5=0,E192,MAX(0,(E192-F$4)*(1+NORMINV(RAND(),INPUTS!$B$28,INPUTS!$B$29))))</f>
        <v>1763933.64559323</v>
      </c>
      <c r="G192" s="89" t="n">
        <f aca="true">IF(G$5=0,F192,MAX(0,(F192-G$4)*(1+NORMINV(RAND(),INPUTS!$B$28,INPUTS!$B$29))))</f>
        <v>1707510.50841988</v>
      </c>
      <c r="H192" s="89" t="n">
        <f aca="true">IF(H$5=0,G192,MAX(0,(G192-H$4)*(1+NORMINV(RAND(),INPUTS!$B$28,INPUTS!$B$29))))</f>
        <v>1764295.15187689</v>
      </c>
      <c r="I192" s="89" t="n">
        <f aca="true">IF(I$5=0,H192,MAX(0,(H192-I$4)*(1+NORMINV(RAND(),INPUTS!$B$28,INPUTS!$B$29))))</f>
        <v>2135842.5160245</v>
      </c>
      <c r="J192" s="89" t="n">
        <f aca="true">IF(J$5=0,I192,MAX(0,(I192-J$4)*(1+NORMINV(RAND(),INPUTS!$B$28,INPUTS!$B$29))))</f>
        <v>2387530.55896214</v>
      </c>
      <c r="K192" s="89" t="n">
        <f aca="true">IF(K$5=0,J192,MAX(0,(J192-K$4)*(1+NORMINV(RAND(),INPUTS!$B$28,INPUTS!$B$29))))</f>
        <v>2368603.03761449</v>
      </c>
      <c r="L192" s="89" t="n">
        <f aca="true">IF(L$5=0,K192,MAX(0,(K192-L$4)*(1+NORMINV(RAND(),INPUTS!$B$28,INPUTS!$B$29))))</f>
        <v>3002986.66043964</v>
      </c>
      <c r="M192" s="89" t="n">
        <f aca="true">IF(M$5=0,L192,MAX(0,(L192-M$4)*(1+NORMINV(RAND(),INPUTS!$B$28,INPUTS!$B$29))))</f>
        <v>3594871.60936535</v>
      </c>
      <c r="N192" s="89" t="n">
        <f aca="true">IF(N$5=0,M192,MAX(0,(M192-N$4)*(1+NORMINV(RAND(),INPUTS!$B$28,INPUTS!$B$29))))</f>
        <v>4024819.72818773</v>
      </c>
      <c r="O192" s="89" t="n">
        <f aca="true">IF(O$5=0,N192,MAX(0,(N192-O$4)*(1+NORMINV(RAND(),INPUTS!$B$28,INPUTS!$B$29))))</f>
        <v>4340402.70867823</v>
      </c>
      <c r="P192" s="89" t="n">
        <f aca="true">IF(P$5=0,O192,MAX(0,(O192-P$4)*(1+NORMINV(RAND(),INPUTS!$B$28,INPUTS!$B$29))))</f>
        <v>4191762.80183147</v>
      </c>
      <c r="Q192" s="89" t="n">
        <f aca="true">IF(Q$5=0,P192,MAX(0,(P192-Q$4)*(1+NORMINV(RAND(),INPUTS!$B$28,INPUTS!$B$29))))</f>
        <v>4808564.29579205</v>
      </c>
      <c r="R192" s="89" t="n">
        <f aca="true">IF(R$5=0,Q192,MAX(0,(Q192-R$4)*(1+NORMINV(RAND(),INPUTS!$B$28,INPUTS!$B$29))))</f>
        <v>6025580.84126311</v>
      </c>
      <c r="S192" s="89" t="n">
        <f aca="true">IF(S$5=0,R192,MAX(0,(R192-S$4)*(1+NORMINV(RAND(),INPUTS!$B$28,INPUTS!$B$29))))</f>
        <v>6568854.7921972</v>
      </c>
      <c r="T192" s="89" t="n">
        <f aca="true">IF(T$5=0,S192,MAX(0,(S192-T$4)*(1+NORMINV(RAND(),INPUTS!$B$28,INPUTS!$B$29))))</f>
        <v>5701895.48636408</v>
      </c>
      <c r="U192" s="89" t="n">
        <f aca="true">IF(U$5=0,T192,MAX(0,(T192-U$4)*(1+NORMINV(RAND(),INPUTS!$B$28,INPUTS!$B$29))))</f>
        <v>6381408.74198907</v>
      </c>
      <c r="V192" s="89" t="n">
        <f aca="true">IF(V$5=0,U192,MAX(0,(U192-V$4)*(1+NORMINV(RAND(),INPUTS!$B$28,INPUTS!$B$29))))</f>
        <v>6891354.69231798</v>
      </c>
      <c r="W192" s="89" t="n">
        <f aca="true">IF(W$5=0,V192,MAX(0,(V192-W$4)*(1+NORMINV(RAND(),INPUTS!$B$28,INPUTS!$B$29))))</f>
        <v>7565962.04404403</v>
      </c>
      <c r="X192" s="89" t="n">
        <f aca="true">IF(X$5=0,W192,MAX(0,(W192-X$4)*(1+NORMINV(RAND(),INPUTS!$B$28,INPUTS!$B$29))))</f>
        <v>8386080.02722756</v>
      </c>
      <c r="Y192" s="89" t="n">
        <f aca="true">IF(Y$5=0,X192,MAX(0,(X192-Y$4)*(1+NORMINV(RAND(),INPUTS!$B$28,INPUTS!$B$29))))</f>
        <v>9929868.12891504</v>
      </c>
      <c r="Z192" s="89" t="n">
        <f aca="true">IF(Z$5=0,Y192,MAX(0,(Y192-Z$4)*(1+NORMINV(RAND(),INPUTS!$B$28,INPUTS!$B$29))))</f>
        <v>11594899.0650225</v>
      </c>
      <c r="AA192" s="89" t="n">
        <f aca="true">IF(AA$5=0,Z192,MAX(0,(Z192-AA$4)*(1+NORMINV(RAND(),INPUTS!$B$28,INPUTS!$B$29))))</f>
        <v>11524025.3753322</v>
      </c>
      <c r="AB192" s="89" t="n">
        <f aca="true">IF(AB$5=0,AA192,MAX(0,(AA192-AB$4)*(1+NORMINV(RAND(),INPUTS!$B$28,INPUTS!$B$29))))</f>
        <v>10882141.1751669</v>
      </c>
      <c r="AC192" s="89" t="n">
        <f aca="true">IF(AC$5=0,AB192,MAX(0,(AB192-AC$4)*(1+NORMINV(RAND(),INPUTS!$B$28,INPUTS!$B$29))))</f>
        <v>10652713.9593817</v>
      </c>
      <c r="AD192" s="89" t="n">
        <f aca="true">IF(AD$5=0,AC192,MAX(0,(AC192-AD$4)*(1+NORMINV(RAND(),INPUTS!$B$28,INPUTS!$B$29))))</f>
        <v>12008223.2978081</v>
      </c>
      <c r="AE192" s="89" t="n">
        <f aca="true">IF(AE$5=0,AD192,MAX(0,(AD192-AE$4)*(1+NORMINV(RAND(),INPUTS!$B$28,INPUTS!$B$29))))</f>
        <v>12490002.3114505</v>
      </c>
      <c r="AF192" s="89" t="n">
        <f aca="true">IF(AF$5=0,AE192,MAX(0,(AE192-AF$4)*(1+NORMINV(RAND(),INPUTS!$B$28,INPUTS!$B$29))))</f>
        <v>11723313.9909946</v>
      </c>
      <c r="AG192" s="89" t="n">
        <f aca="true">IF(AG$5=0,AF192,MAX(0,(AF192-AG$4)*(1+NORMINV(RAND(),INPUTS!$B$28,INPUTS!$B$29))))</f>
        <v>11414786.6305288</v>
      </c>
      <c r="AH192" s="89" t="n">
        <f aca="true">IF(AH$5=0,AG192,MAX(0,(AG192-AH$4)*(1+NORMINV(RAND(),INPUTS!$B$28,INPUTS!$B$29))))</f>
        <v>11530501.0513117</v>
      </c>
      <c r="AI192" s="89" t="n">
        <f aca="true">IF(AI$5=0,AH192,MAX(0,(AH192-AI$4)*(1+NORMINV(RAND(),INPUTS!$B$28,INPUTS!$B$29))))</f>
        <v>11847275.4427258</v>
      </c>
      <c r="AJ192" s="89" t="n">
        <f aca="true">IF(AJ$5=0,AI192,MAX(0,(AI192-AJ$4)*(1+NORMINV(RAND(),INPUTS!$B$28,INPUTS!$B$29))))</f>
        <v>13661473.3628748</v>
      </c>
      <c r="AK192" s="89" t="n">
        <f aca="true">IF(AK$5=0,AJ192,MAX(0,(AJ192-AK$4)*(1+NORMINV(RAND(),INPUTS!$B$28,INPUTS!$B$29))))</f>
        <v>15587651.1149581</v>
      </c>
      <c r="AL192" s="89" t="n">
        <f aca="true">IF(AL$5=0,AK192,MAX(0,(AK192-AL$4)*(1+NORMINV(RAND(),INPUTS!$B$28,INPUTS!$B$29))))</f>
        <v>14802462.4515023</v>
      </c>
      <c r="AM192" s="89" t="n">
        <f aca="true">IF(AM$5=0,AL192,MAX(0,(AL192-AM$4)*(1+NORMINV(RAND(),INPUTS!$B$28,INPUTS!$B$29))))</f>
        <v>14802462.4515023</v>
      </c>
      <c r="AN192" s="89" t="n">
        <f aca="true">IF(AN$5=0,AM192,MAX(0,(AM192-AN$4)*(1+NORMINV(RAND(),INPUTS!$B$28,INPUTS!$B$29))))</f>
        <v>14802462.4515023</v>
      </c>
      <c r="AO192" s="89" t="n">
        <f aca="true">IF(AO$5=0,AN192,MAX(0,(AN192-AO$4)*(1+NORMINV(RAND(),INPUTS!$B$28,INPUTS!$B$29))))</f>
        <v>14802462.4515023</v>
      </c>
      <c r="AP192" s="89" t="n">
        <f aca="true">IF(AP$5=0,AO192,MAX(0,(AO192-AP$4)*(1+NORMINV(RAND(),INPUTS!$B$28,INPUTS!$B$29))))</f>
        <v>14802462.4515023</v>
      </c>
      <c r="AQ192" s="89" t="n">
        <f aca="true">IF(AQ$5=0,AP192,MAX(0,(AP192-AQ$4)*(1+NORMINV(RAND(),INPUTS!$B$28,INPUTS!$B$29))))</f>
        <v>14802462.4515023</v>
      </c>
      <c r="AR192" s="89" t="n">
        <f aca="true">IF(AR$5=0,AQ192,MAX(0,(AQ192-AR$4)*(1+NORMINV(RAND(),INPUTS!$B$28,INPUTS!$B$29))))</f>
        <v>14802462.4515023</v>
      </c>
      <c r="AS192" s="89" t="n">
        <f aca="true">IF(AS$5=0,AR192,MAX(0,(AR192-AS$4)*(1+NORMINV(RAND(),INPUTS!$B$28,INPUTS!$B$29))))</f>
        <v>14802462.4515023</v>
      </c>
      <c r="AT192" s="89" t="n">
        <f aca="true">IF(AT$5=0,AS192,MAX(0,(AS192-AT$4)*(1+NORMINV(RAND(),INPUTS!$B$28,INPUTS!$B$29))))</f>
        <v>14802462.4515023</v>
      </c>
      <c r="AU192" s="89" t="n">
        <f aca="true">IF(AU$5=0,AT192,MAX(0,(AT192-AU$4)*(1+NORMINV(RAND(),INPUTS!$B$28,INPUTS!$B$29))))</f>
        <v>14802462.4515023</v>
      </c>
      <c r="AV192" s="89" t="n">
        <f aca="true">IF(AV$5=0,AU192,MAX(0,(AU192-AV$4)*(1+NORMINV(RAND(),INPUTS!$B$28,INPUTS!$B$29))))</f>
        <v>14802462.4515023</v>
      </c>
      <c r="AW192" s="89" t="n">
        <f aca="true">IF(AW$5=0,AV192,MAX(0,(AV192-AW$4)*(1+NORMINV(RAND(),INPUTS!$B$28,INPUTS!$B$29))))</f>
        <v>14802462.4515023</v>
      </c>
      <c r="AX192" s="89" t="n">
        <f aca="true">IF(AX$5=0,AW192,MAX(0,(AW192-AX$4)*(1+NORMINV(RAND(),INPUTS!$B$28,INPUTS!$B$29))))</f>
        <v>14802462.4515023</v>
      </c>
      <c r="AY192" s="89" t="n">
        <f aca="true">IF(AY$5=0,AX192,MAX(0,(AX192-AY$4)*(1+NORMINV(RAND(),INPUTS!$B$28,INPUTS!$B$29))))</f>
        <v>14802462.4515023</v>
      </c>
      <c r="AZ192" s="89" t="n">
        <f aca="true">IF(AZ$5=0,AY192,MAX(0,(AY192-AZ$4)*(1+NORMINV(RAND(),INPUTS!$B$28,INPUTS!$B$29))))</f>
        <v>14802462.4515023</v>
      </c>
      <c r="BA192" s="89" t="n">
        <f aca="true">IF(BA$5=0,AZ192,MAX(0,(AZ192-BA$4)*(1+NORMINV(RAND(),INPUTS!$B$28,INPUTS!$B$29))))</f>
        <v>14802462.4515023</v>
      </c>
      <c r="BB192" s="89" t="n">
        <f aca="true">IF(BB$5=0,BA192,MAX(0,(BA192-BB$4)*(1+NORMINV(RAND(),INPUTS!$B$28,INPUTS!$B$29))))</f>
        <v>14802462.4515023</v>
      </c>
      <c r="BC192" s="89" t="n">
        <f aca="true">IF(BC$5=0,BB192,MAX(0,(BB192-BC$4)*(1+NORMINV(RAND(),INPUTS!$B$28,INPUTS!$B$29))))</f>
        <v>14802462.4515023</v>
      </c>
      <c r="BD192" s="89" t="n">
        <f aca="true">IF(BD$5=0,BC192,MAX(0,(BC192-BD$4)*(1+NORMINV(RAND(),INPUTS!$B$28,INPUTS!$B$29))))</f>
        <v>14802462.4515023</v>
      </c>
      <c r="BE192" s="89" t="n">
        <f aca="true">IF(BE$5=0,BD192,MAX(0,(BD192-BE$4)*(1+NORMINV(RAND(),INPUTS!$B$28,INPUTS!$B$29))))</f>
        <v>14802462.4515023</v>
      </c>
      <c r="BF192" s="89" t="n">
        <f aca="true">IF(BF$5=0,BE192,MAX(0,(BE192-BF$4)*(1+NORMINV(RAND(),INPUTS!$B$28,INPUTS!$B$29))))</f>
        <v>14802462.4515023</v>
      </c>
      <c r="BG192" s="89" t="n">
        <f aca="true">IF(BG$5=0,BF192,MAX(0,(BF192-BG$4)*(1+NORMINV(RAND(),INPUTS!$B$28,INPUTS!$B$29))))</f>
        <v>14802462.4515023</v>
      </c>
      <c r="BH192" s="89" t="n">
        <f aca="true">IF(BH$5=0,BG192,MAX(0,(BG192-BH$4)*(1+NORMINV(RAND(),INPUTS!$B$28,INPUTS!$B$29))))</f>
        <v>14802462.4515023</v>
      </c>
      <c r="BI192" s="89" t="n">
        <f aca="true">IF(BI$5=0,BH192,MAX(0,(BH192-BI$4)*(1+NORMINV(RAND(),INPUTS!$B$28,INPUTS!$B$29))))</f>
        <v>14802462.4515023</v>
      </c>
      <c r="BJ192" s="89" t="n">
        <f aca="true">IF(BJ$5=0,BI192,MAX(0,(BI192-BJ$4)*(1+NORMINV(RAND(),INPUTS!$B$28,INPUTS!$B$29))))</f>
        <v>14802462.4515023</v>
      </c>
    </row>
    <row r="193" customFormat="false" ht="15" hidden="false" customHeight="true" outlineLevel="0" collapsed="false">
      <c r="A193" s="87" t="n">
        <v>186</v>
      </c>
      <c r="B193" s="88" t="n">
        <f aca="false">LOOKUP(9.99E+307,C193:BJ193)</f>
        <v>1752717.15519183</v>
      </c>
      <c r="C193" s="89" t="n">
        <f aca="true">IF(C$5=0,INPUTS!$B$35,MAX(0,(INPUTS!$B$35-C$4)*(1+NORMINV(RAND(),INPUTS!$B$28,INPUTS!$B$29))))</f>
        <v>1212082.12233357</v>
      </c>
      <c r="D193" s="89" t="n">
        <f aca="true">IF(D$5=0,C193,MAX(0,(C193-D$4)*(1+NORMINV(RAND(),INPUTS!$B$28,INPUTS!$B$29))))</f>
        <v>1320622.7056371</v>
      </c>
      <c r="E193" s="89" t="n">
        <f aca="true">IF(E$5=0,D193,MAX(0,(D193-E$4)*(1+NORMINV(RAND(),INPUTS!$B$28,INPUTS!$B$29))))</f>
        <v>1526541.35827818</v>
      </c>
      <c r="F193" s="89" t="n">
        <f aca="true">IF(F$5=0,E193,MAX(0,(E193-F$4)*(1+NORMINV(RAND(),INPUTS!$B$28,INPUTS!$B$29))))</f>
        <v>1684314.56168064</v>
      </c>
      <c r="G193" s="89" t="n">
        <f aca="true">IF(G$5=0,F193,MAX(0,(F193-G$4)*(1+NORMINV(RAND(),INPUTS!$B$28,INPUTS!$B$29))))</f>
        <v>2077575.83645789</v>
      </c>
      <c r="H193" s="89" t="n">
        <f aca="true">IF(H$5=0,G193,MAX(0,(G193-H$4)*(1+NORMINV(RAND(),INPUTS!$B$28,INPUTS!$B$29))))</f>
        <v>2443057.05430995</v>
      </c>
      <c r="I193" s="89" t="n">
        <f aca="true">IF(I$5=0,H193,MAX(0,(H193-I$4)*(1+NORMINV(RAND(),INPUTS!$B$28,INPUTS!$B$29))))</f>
        <v>2754580.2409021</v>
      </c>
      <c r="J193" s="89" t="n">
        <f aca="true">IF(J$5=0,I193,MAX(0,(I193-J$4)*(1+NORMINV(RAND(),INPUTS!$B$28,INPUTS!$B$29))))</f>
        <v>2669659.16230596</v>
      </c>
      <c r="K193" s="89" t="n">
        <f aca="true">IF(K$5=0,J193,MAX(0,(J193-K$4)*(1+NORMINV(RAND(),INPUTS!$B$28,INPUTS!$B$29))))</f>
        <v>2550925.25730081</v>
      </c>
      <c r="L193" s="89" t="n">
        <f aca="true">IF(L$5=0,K193,MAX(0,(K193-L$4)*(1+NORMINV(RAND(),INPUTS!$B$28,INPUTS!$B$29))))</f>
        <v>2425439.38442675</v>
      </c>
      <c r="M193" s="89" t="n">
        <f aca="true">IF(M$5=0,L193,MAX(0,(L193-M$4)*(1+NORMINV(RAND(),INPUTS!$B$28,INPUTS!$B$29))))</f>
        <v>2464609.44934527</v>
      </c>
      <c r="N193" s="89" t="n">
        <f aca="true">IF(N$5=0,M193,MAX(0,(M193-N$4)*(1+NORMINV(RAND(),INPUTS!$B$28,INPUTS!$B$29))))</f>
        <v>2649148.78014717</v>
      </c>
      <c r="O193" s="89" t="n">
        <f aca="true">IF(O$5=0,N193,MAX(0,(N193-O$4)*(1+NORMINV(RAND(),INPUTS!$B$28,INPUTS!$B$29))))</f>
        <v>2487135.48677372</v>
      </c>
      <c r="P193" s="89" t="n">
        <f aca="true">IF(P$5=0,O193,MAX(0,(O193-P$4)*(1+NORMINV(RAND(),INPUTS!$B$28,INPUTS!$B$29))))</f>
        <v>2956302.23063993</v>
      </c>
      <c r="Q193" s="89" t="n">
        <f aca="true">IF(Q$5=0,P193,MAX(0,(P193-Q$4)*(1+NORMINV(RAND(),INPUTS!$B$28,INPUTS!$B$29))))</f>
        <v>3146284.35278676</v>
      </c>
      <c r="R193" s="89" t="n">
        <f aca="true">IF(R$5=0,Q193,MAX(0,(Q193-R$4)*(1+NORMINV(RAND(),INPUTS!$B$28,INPUTS!$B$29))))</f>
        <v>2442961.32448975</v>
      </c>
      <c r="S193" s="89" t="n">
        <f aca="true">IF(S$5=0,R193,MAX(0,(R193-S$4)*(1+NORMINV(RAND(),INPUTS!$B$28,INPUTS!$B$29))))</f>
        <v>2265937.08068327</v>
      </c>
      <c r="T193" s="89" t="n">
        <f aca="true">IF(T$5=0,S193,MAX(0,(S193-T$4)*(1+NORMINV(RAND(),INPUTS!$B$28,INPUTS!$B$29))))</f>
        <v>2061978.73343886</v>
      </c>
      <c r="U193" s="89" t="n">
        <f aca="true">IF(U$5=0,T193,MAX(0,(T193-U$4)*(1+NORMINV(RAND(),INPUTS!$B$28,INPUTS!$B$29))))</f>
        <v>1804815.20739597</v>
      </c>
      <c r="V193" s="89" t="n">
        <f aca="true">IF(V$5=0,U193,MAX(0,(U193-V$4)*(1+NORMINV(RAND(),INPUTS!$B$28,INPUTS!$B$29))))</f>
        <v>1403920.04757263</v>
      </c>
      <c r="W193" s="89" t="n">
        <f aca="true">IF(W$5=0,V193,MAX(0,(V193-W$4)*(1+NORMINV(RAND(),INPUTS!$B$28,INPUTS!$B$29))))</f>
        <v>1017559.22542335</v>
      </c>
      <c r="X193" s="89" t="n">
        <f aca="true">IF(X$5=0,W193,MAX(0,(W193-X$4)*(1+NORMINV(RAND(),INPUTS!$B$28,INPUTS!$B$29))))</f>
        <v>1365723.74761583</v>
      </c>
      <c r="Y193" s="89" t="n">
        <f aca="true">IF(Y$5=0,X193,MAX(0,(X193-Y$4)*(1+NORMINV(RAND(),INPUTS!$B$28,INPUTS!$B$29))))</f>
        <v>1415279.01067055</v>
      </c>
      <c r="Z193" s="89" t="n">
        <f aca="true">IF(Z$5=0,Y193,MAX(0,(Y193-Z$4)*(1+NORMINV(RAND(),INPUTS!$B$28,INPUTS!$B$29))))</f>
        <v>1398941.46670458</v>
      </c>
      <c r="AA193" s="89" t="n">
        <f aca="true">IF(AA$5=0,Z193,MAX(0,(Z193-AA$4)*(1+NORMINV(RAND(),INPUTS!$B$28,INPUTS!$B$29))))</f>
        <v>1573147.07653584</v>
      </c>
      <c r="AB193" s="89" t="n">
        <f aca="true">IF(AB$5=0,AA193,MAX(0,(AA193-AB$4)*(1+NORMINV(RAND(),INPUTS!$B$28,INPUTS!$B$29))))</f>
        <v>1356370.40206771</v>
      </c>
      <c r="AC193" s="89" t="n">
        <f aca="true">IF(AC$5=0,AB193,MAX(0,(AB193-AC$4)*(1+NORMINV(RAND(),INPUTS!$B$28,INPUTS!$B$29))))</f>
        <v>1153245.78507373</v>
      </c>
      <c r="AD193" s="89" t="n">
        <f aca="true">IF(AD$5=0,AC193,MAX(0,(AC193-AD$4)*(1+NORMINV(RAND(),INPUTS!$B$28,INPUTS!$B$29))))</f>
        <v>1443550.93434421</v>
      </c>
      <c r="AE193" s="89" t="n">
        <f aca="true">IF(AE$5=0,AD193,MAX(0,(AD193-AE$4)*(1+NORMINV(RAND(),INPUTS!$B$28,INPUTS!$B$29))))</f>
        <v>1675005.61042057</v>
      </c>
      <c r="AF193" s="89" t="n">
        <f aca="true">IF(AF$5=0,AE193,MAX(0,(AE193-AF$4)*(1+NORMINV(RAND(),INPUTS!$B$28,INPUTS!$B$29))))</f>
        <v>1647494.92841876</v>
      </c>
      <c r="AG193" s="89" t="n">
        <f aca="true">IF(AG$5=0,AF193,MAX(0,(AF193-AG$4)*(1+NORMINV(RAND(),INPUTS!$B$28,INPUTS!$B$29))))</f>
        <v>1984684.83849069</v>
      </c>
      <c r="AH193" s="89" t="n">
        <f aca="true">IF(AH$5=0,AG193,MAX(0,(AG193-AH$4)*(1+NORMINV(RAND(),INPUTS!$B$28,INPUTS!$B$29))))</f>
        <v>2229292.97512184</v>
      </c>
      <c r="AI193" s="89" t="n">
        <f aca="true">IF(AI$5=0,AH193,MAX(0,(AH193-AI$4)*(1+NORMINV(RAND(),INPUTS!$B$28,INPUTS!$B$29))))</f>
        <v>2056214.01786602</v>
      </c>
      <c r="AJ193" s="89" t="n">
        <f aca="true">IF(AJ$5=0,AI193,MAX(0,(AI193-AJ$4)*(1+NORMINV(RAND(),INPUTS!$B$28,INPUTS!$B$29))))</f>
        <v>2051235.9010739</v>
      </c>
      <c r="AK193" s="89" t="n">
        <f aca="true">IF(AK$5=0,AJ193,MAX(0,(AJ193-AK$4)*(1+NORMINV(RAND(),INPUTS!$B$28,INPUTS!$B$29))))</f>
        <v>1960638.53467662</v>
      </c>
      <c r="AL193" s="89" t="n">
        <f aca="true">IF(AL$5=0,AK193,MAX(0,(AK193-AL$4)*(1+NORMINV(RAND(),INPUTS!$B$28,INPUTS!$B$29))))</f>
        <v>1752717.15519183</v>
      </c>
      <c r="AM193" s="89" t="n">
        <f aca="true">IF(AM$5=0,AL193,MAX(0,(AL193-AM$4)*(1+NORMINV(RAND(),INPUTS!$B$28,INPUTS!$B$29))))</f>
        <v>1752717.15519183</v>
      </c>
      <c r="AN193" s="89" t="n">
        <f aca="true">IF(AN$5=0,AM193,MAX(0,(AM193-AN$4)*(1+NORMINV(RAND(),INPUTS!$B$28,INPUTS!$B$29))))</f>
        <v>1752717.15519183</v>
      </c>
      <c r="AO193" s="89" t="n">
        <f aca="true">IF(AO$5=0,AN193,MAX(0,(AN193-AO$4)*(1+NORMINV(RAND(),INPUTS!$B$28,INPUTS!$B$29))))</f>
        <v>1752717.15519183</v>
      </c>
      <c r="AP193" s="89" t="n">
        <f aca="true">IF(AP$5=0,AO193,MAX(0,(AO193-AP$4)*(1+NORMINV(RAND(),INPUTS!$B$28,INPUTS!$B$29))))</f>
        <v>1752717.15519183</v>
      </c>
      <c r="AQ193" s="89" t="n">
        <f aca="true">IF(AQ$5=0,AP193,MAX(0,(AP193-AQ$4)*(1+NORMINV(RAND(),INPUTS!$B$28,INPUTS!$B$29))))</f>
        <v>1752717.15519183</v>
      </c>
      <c r="AR193" s="89" t="n">
        <f aca="true">IF(AR$5=0,AQ193,MAX(0,(AQ193-AR$4)*(1+NORMINV(RAND(),INPUTS!$B$28,INPUTS!$B$29))))</f>
        <v>1752717.15519183</v>
      </c>
      <c r="AS193" s="89" t="n">
        <f aca="true">IF(AS$5=0,AR193,MAX(0,(AR193-AS$4)*(1+NORMINV(RAND(),INPUTS!$B$28,INPUTS!$B$29))))</f>
        <v>1752717.15519183</v>
      </c>
      <c r="AT193" s="89" t="n">
        <f aca="true">IF(AT$5=0,AS193,MAX(0,(AS193-AT$4)*(1+NORMINV(RAND(),INPUTS!$B$28,INPUTS!$B$29))))</f>
        <v>1752717.15519183</v>
      </c>
      <c r="AU193" s="89" t="n">
        <f aca="true">IF(AU$5=0,AT193,MAX(0,(AT193-AU$4)*(1+NORMINV(RAND(),INPUTS!$B$28,INPUTS!$B$29))))</f>
        <v>1752717.15519183</v>
      </c>
      <c r="AV193" s="89" t="n">
        <f aca="true">IF(AV$5=0,AU193,MAX(0,(AU193-AV$4)*(1+NORMINV(RAND(),INPUTS!$B$28,INPUTS!$B$29))))</f>
        <v>1752717.15519183</v>
      </c>
      <c r="AW193" s="89" t="n">
        <f aca="true">IF(AW$5=0,AV193,MAX(0,(AV193-AW$4)*(1+NORMINV(RAND(),INPUTS!$B$28,INPUTS!$B$29))))</f>
        <v>1752717.15519183</v>
      </c>
      <c r="AX193" s="89" t="n">
        <f aca="true">IF(AX$5=0,AW193,MAX(0,(AW193-AX$4)*(1+NORMINV(RAND(),INPUTS!$B$28,INPUTS!$B$29))))</f>
        <v>1752717.15519183</v>
      </c>
      <c r="AY193" s="89" t="n">
        <f aca="true">IF(AY$5=0,AX193,MAX(0,(AX193-AY$4)*(1+NORMINV(RAND(),INPUTS!$B$28,INPUTS!$B$29))))</f>
        <v>1752717.15519183</v>
      </c>
      <c r="AZ193" s="89" t="n">
        <f aca="true">IF(AZ$5=0,AY193,MAX(0,(AY193-AZ$4)*(1+NORMINV(RAND(),INPUTS!$B$28,INPUTS!$B$29))))</f>
        <v>1752717.15519183</v>
      </c>
      <c r="BA193" s="89" t="n">
        <f aca="true">IF(BA$5=0,AZ193,MAX(0,(AZ193-BA$4)*(1+NORMINV(RAND(),INPUTS!$B$28,INPUTS!$B$29))))</f>
        <v>1752717.15519183</v>
      </c>
      <c r="BB193" s="89" t="n">
        <f aca="true">IF(BB$5=0,BA193,MAX(0,(BA193-BB$4)*(1+NORMINV(RAND(),INPUTS!$B$28,INPUTS!$B$29))))</f>
        <v>1752717.15519183</v>
      </c>
      <c r="BC193" s="89" t="n">
        <f aca="true">IF(BC$5=0,BB193,MAX(0,(BB193-BC$4)*(1+NORMINV(RAND(),INPUTS!$B$28,INPUTS!$B$29))))</f>
        <v>1752717.15519183</v>
      </c>
      <c r="BD193" s="89" t="n">
        <f aca="true">IF(BD$5=0,BC193,MAX(0,(BC193-BD$4)*(1+NORMINV(RAND(),INPUTS!$B$28,INPUTS!$B$29))))</f>
        <v>1752717.15519183</v>
      </c>
      <c r="BE193" s="89" t="n">
        <f aca="true">IF(BE$5=0,BD193,MAX(0,(BD193-BE$4)*(1+NORMINV(RAND(),INPUTS!$B$28,INPUTS!$B$29))))</f>
        <v>1752717.15519183</v>
      </c>
      <c r="BF193" s="89" t="n">
        <f aca="true">IF(BF$5=0,BE193,MAX(0,(BE193-BF$4)*(1+NORMINV(RAND(),INPUTS!$B$28,INPUTS!$B$29))))</f>
        <v>1752717.15519183</v>
      </c>
      <c r="BG193" s="89" t="n">
        <f aca="true">IF(BG$5=0,BF193,MAX(0,(BF193-BG$4)*(1+NORMINV(RAND(),INPUTS!$B$28,INPUTS!$B$29))))</f>
        <v>1752717.15519183</v>
      </c>
      <c r="BH193" s="89" t="n">
        <f aca="true">IF(BH$5=0,BG193,MAX(0,(BG193-BH$4)*(1+NORMINV(RAND(),INPUTS!$B$28,INPUTS!$B$29))))</f>
        <v>1752717.15519183</v>
      </c>
      <c r="BI193" s="89" t="n">
        <f aca="true">IF(BI$5=0,BH193,MAX(0,(BH193-BI$4)*(1+NORMINV(RAND(),INPUTS!$B$28,INPUTS!$B$29))))</f>
        <v>1752717.15519183</v>
      </c>
      <c r="BJ193" s="89" t="n">
        <f aca="true">IF(BJ$5=0,BI193,MAX(0,(BI193-BJ$4)*(1+NORMINV(RAND(),INPUTS!$B$28,INPUTS!$B$29))))</f>
        <v>1752717.15519183</v>
      </c>
    </row>
    <row r="194" customFormat="false" ht="15" hidden="false" customHeight="true" outlineLevel="0" collapsed="false">
      <c r="A194" s="87" t="n">
        <v>187</v>
      </c>
      <c r="B194" s="88" t="n">
        <f aca="false">LOOKUP(9.99E+307,C194:BJ194)</f>
        <v>2739845.69989264</v>
      </c>
      <c r="C194" s="89" t="n">
        <f aca="true">IF(C$5=0,INPUTS!$B$35,MAX(0,(INPUTS!$B$35-C$4)*(1+NORMINV(RAND(),INPUTS!$B$28,INPUTS!$B$29))))</f>
        <v>1786662.64816599</v>
      </c>
      <c r="D194" s="89" t="n">
        <f aca="true">IF(D$5=0,C194,MAX(0,(C194-D$4)*(1+NORMINV(RAND(),INPUTS!$B$28,INPUTS!$B$29))))</f>
        <v>1979664.40005568</v>
      </c>
      <c r="E194" s="89" t="n">
        <f aca="true">IF(E$5=0,D194,MAX(0,(D194-E$4)*(1+NORMINV(RAND(),INPUTS!$B$28,INPUTS!$B$29))))</f>
        <v>2443554.03453757</v>
      </c>
      <c r="F194" s="89" t="n">
        <f aca="true">IF(F$5=0,E194,MAX(0,(E194-F$4)*(1+NORMINV(RAND(),INPUTS!$B$28,INPUTS!$B$29))))</f>
        <v>2777452.55474026</v>
      </c>
      <c r="G194" s="89" t="n">
        <f aca="true">IF(G$5=0,F194,MAX(0,(F194-G$4)*(1+NORMINV(RAND(),INPUTS!$B$28,INPUTS!$B$29))))</f>
        <v>2460771.47900118</v>
      </c>
      <c r="H194" s="89" t="n">
        <f aca="true">IF(H$5=0,G194,MAX(0,(G194-H$4)*(1+NORMINV(RAND(),INPUTS!$B$28,INPUTS!$B$29))))</f>
        <v>3097333.89034698</v>
      </c>
      <c r="I194" s="89" t="n">
        <f aca="true">IF(I$5=0,H194,MAX(0,(H194-I$4)*(1+NORMINV(RAND(),INPUTS!$B$28,INPUTS!$B$29))))</f>
        <v>2702495.47156048</v>
      </c>
      <c r="J194" s="89" t="n">
        <f aca="true">IF(J$5=0,I194,MAX(0,(I194-J$4)*(1+NORMINV(RAND(),INPUTS!$B$28,INPUTS!$B$29))))</f>
        <v>2353904.44575423</v>
      </c>
      <c r="K194" s="89" t="n">
        <f aca="true">IF(K$5=0,J194,MAX(0,(J194-K$4)*(1+NORMINV(RAND(),INPUTS!$B$28,INPUTS!$B$29))))</f>
        <v>2388190.851194</v>
      </c>
      <c r="L194" s="89" t="n">
        <f aca="true">IF(L$5=0,K194,MAX(0,(K194-L$4)*(1+NORMINV(RAND(),INPUTS!$B$28,INPUTS!$B$29))))</f>
        <v>2447443.11903344</v>
      </c>
      <c r="M194" s="89" t="n">
        <f aca="true">IF(M$5=0,L194,MAX(0,(L194-M$4)*(1+NORMINV(RAND(),INPUTS!$B$28,INPUTS!$B$29))))</f>
        <v>2132745.9863954</v>
      </c>
      <c r="N194" s="89" t="n">
        <f aca="true">IF(N$5=0,M194,MAX(0,(M194-N$4)*(1+NORMINV(RAND(),INPUTS!$B$28,INPUTS!$B$29))))</f>
        <v>1790550.98258514</v>
      </c>
      <c r="O194" s="89" t="n">
        <f aca="true">IF(O$5=0,N194,MAX(0,(N194-O$4)*(1+NORMINV(RAND(),INPUTS!$B$28,INPUTS!$B$29))))</f>
        <v>1978422.09755943</v>
      </c>
      <c r="P194" s="89" t="n">
        <f aca="true">IF(P$5=0,O194,MAX(0,(O194-P$4)*(1+NORMINV(RAND(),INPUTS!$B$28,INPUTS!$B$29))))</f>
        <v>1822334.75582568</v>
      </c>
      <c r="Q194" s="89" t="n">
        <f aca="true">IF(Q$5=0,P194,MAX(0,(P194-Q$4)*(1+NORMINV(RAND(),INPUTS!$B$28,INPUTS!$B$29))))</f>
        <v>2134412.71704549</v>
      </c>
      <c r="R194" s="89" t="n">
        <f aca="true">IF(R$5=0,Q194,MAX(0,(Q194-R$4)*(1+NORMINV(RAND(),INPUTS!$B$28,INPUTS!$B$29))))</f>
        <v>1715227.19249441</v>
      </c>
      <c r="S194" s="89" t="n">
        <f aca="true">IF(S$5=0,R194,MAX(0,(R194-S$4)*(1+NORMINV(RAND(),INPUTS!$B$28,INPUTS!$B$29))))</f>
        <v>1841262.60219074</v>
      </c>
      <c r="T194" s="89" t="n">
        <f aca="true">IF(T$5=0,S194,MAX(0,(S194-T$4)*(1+NORMINV(RAND(),INPUTS!$B$28,INPUTS!$B$29))))</f>
        <v>1912563.55601546</v>
      </c>
      <c r="U194" s="89" t="n">
        <f aca="true">IF(U$5=0,T194,MAX(0,(T194-U$4)*(1+NORMINV(RAND(),INPUTS!$B$28,INPUTS!$B$29))))</f>
        <v>1743387.83954451</v>
      </c>
      <c r="V194" s="89" t="n">
        <f aca="true">IF(V$5=0,U194,MAX(0,(U194-V$4)*(1+NORMINV(RAND(),INPUTS!$B$28,INPUTS!$B$29))))</f>
        <v>1721821.65315307</v>
      </c>
      <c r="W194" s="89" t="n">
        <f aca="true">IF(W$5=0,V194,MAX(0,(V194-W$4)*(1+NORMINV(RAND(),INPUTS!$B$28,INPUTS!$B$29))))</f>
        <v>1697056.08329744</v>
      </c>
      <c r="X194" s="89" t="n">
        <f aca="true">IF(X$5=0,W194,MAX(0,(W194-X$4)*(1+NORMINV(RAND(),INPUTS!$B$28,INPUTS!$B$29))))</f>
        <v>1710699.09256206</v>
      </c>
      <c r="Y194" s="89" t="n">
        <f aca="true">IF(Y$5=0,X194,MAX(0,(X194-Y$4)*(1+NORMINV(RAND(),INPUTS!$B$28,INPUTS!$B$29))))</f>
        <v>1615930.04919592</v>
      </c>
      <c r="Z194" s="89" t="n">
        <f aca="true">IF(Z$5=0,Y194,MAX(0,(Y194-Z$4)*(1+NORMINV(RAND(),INPUTS!$B$28,INPUTS!$B$29))))</f>
        <v>1766953.42329179</v>
      </c>
      <c r="AA194" s="89" t="n">
        <f aca="true">IF(AA$5=0,Z194,MAX(0,(Z194-AA$4)*(1+NORMINV(RAND(),INPUTS!$B$28,INPUTS!$B$29))))</f>
        <v>1592445.29613928</v>
      </c>
      <c r="AB194" s="89" t="n">
        <f aca="true">IF(AB$5=0,AA194,MAX(0,(AA194-AB$4)*(1+NORMINV(RAND(),INPUTS!$B$28,INPUTS!$B$29))))</f>
        <v>1503728.48694741</v>
      </c>
      <c r="AC194" s="89" t="n">
        <f aca="true">IF(AC$5=0,AB194,MAX(0,(AB194-AC$4)*(1+NORMINV(RAND(),INPUTS!$B$28,INPUTS!$B$29))))</f>
        <v>1684049.76898599</v>
      </c>
      <c r="AD194" s="89" t="n">
        <f aca="true">IF(AD$5=0,AC194,MAX(0,(AC194-AD$4)*(1+NORMINV(RAND(),INPUTS!$B$28,INPUTS!$B$29))))</f>
        <v>1498254.82992114</v>
      </c>
      <c r="AE194" s="89" t="n">
        <f aca="true">IF(AE$5=0,AD194,MAX(0,(AD194-AE$4)*(1+NORMINV(RAND(),INPUTS!$B$28,INPUTS!$B$29))))</f>
        <v>1408116.76332506</v>
      </c>
      <c r="AF194" s="89" t="n">
        <f aca="true">IF(AF$5=0,AE194,MAX(0,(AE194-AF$4)*(1+NORMINV(RAND(),INPUTS!$B$28,INPUTS!$B$29))))</f>
        <v>1615574.76894611</v>
      </c>
      <c r="AG194" s="89" t="n">
        <f aca="true">IF(AG$5=0,AF194,MAX(0,(AF194-AG$4)*(1+NORMINV(RAND(),INPUTS!$B$28,INPUTS!$B$29))))</f>
        <v>1722153.36668336</v>
      </c>
      <c r="AH194" s="89" t="n">
        <f aca="true">IF(AH$5=0,AG194,MAX(0,(AG194-AH$4)*(1+NORMINV(RAND(),INPUTS!$B$28,INPUTS!$B$29))))</f>
        <v>1931807.23204743</v>
      </c>
      <c r="AI194" s="89" t="n">
        <f aca="true">IF(AI$5=0,AH194,MAX(0,(AH194-AI$4)*(1+NORMINV(RAND(),INPUTS!$B$28,INPUTS!$B$29))))</f>
        <v>1959377.36264471</v>
      </c>
      <c r="AJ194" s="89" t="n">
        <f aca="true">IF(AJ$5=0,AI194,MAX(0,(AI194-AJ$4)*(1+NORMINV(RAND(),INPUTS!$B$28,INPUTS!$B$29))))</f>
        <v>2430833.06109117</v>
      </c>
      <c r="AK194" s="89" t="n">
        <f aca="true">IF(AK$5=0,AJ194,MAX(0,(AJ194-AK$4)*(1+NORMINV(RAND(),INPUTS!$B$28,INPUTS!$B$29))))</f>
        <v>2529474.27549088</v>
      </c>
      <c r="AL194" s="89" t="n">
        <f aca="true">IF(AL$5=0,AK194,MAX(0,(AK194-AL$4)*(1+NORMINV(RAND(),INPUTS!$B$28,INPUTS!$B$29))))</f>
        <v>2739845.69989264</v>
      </c>
      <c r="AM194" s="89" t="n">
        <f aca="true">IF(AM$5=0,AL194,MAX(0,(AL194-AM$4)*(1+NORMINV(RAND(),INPUTS!$B$28,INPUTS!$B$29))))</f>
        <v>2739845.69989264</v>
      </c>
      <c r="AN194" s="89" t="n">
        <f aca="true">IF(AN$5=0,AM194,MAX(0,(AM194-AN$4)*(1+NORMINV(RAND(),INPUTS!$B$28,INPUTS!$B$29))))</f>
        <v>2739845.69989264</v>
      </c>
      <c r="AO194" s="89" t="n">
        <f aca="true">IF(AO$5=0,AN194,MAX(0,(AN194-AO$4)*(1+NORMINV(RAND(),INPUTS!$B$28,INPUTS!$B$29))))</f>
        <v>2739845.69989264</v>
      </c>
      <c r="AP194" s="89" t="n">
        <f aca="true">IF(AP$5=0,AO194,MAX(0,(AO194-AP$4)*(1+NORMINV(RAND(),INPUTS!$B$28,INPUTS!$B$29))))</f>
        <v>2739845.69989264</v>
      </c>
      <c r="AQ194" s="89" t="n">
        <f aca="true">IF(AQ$5=0,AP194,MAX(0,(AP194-AQ$4)*(1+NORMINV(RAND(),INPUTS!$B$28,INPUTS!$B$29))))</f>
        <v>2739845.69989264</v>
      </c>
      <c r="AR194" s="89" t="n">
        <f aca="true">IF(AR$5=0,AQ194,MAX(0,(AQ194-AR$4)*(1+NORMINV(RAND(),INPUTS!$B$28,INPUTS!$B$29))))</f>
        <v>2739845.69989264</v>
      </c>
      <c r="AS194" s="89" t="n">
        <f aca="true">IF(AS$5=0,AR194,MAX(0,(AR194-AS$4)*(1+NORMINV(RAND(),INPUTS!$B$28,INPUTS!$B$29))))</f>
        <v>2739845.69989264</v>
      </c>
      <c r="AT194" s="89" t="n">
        <f aca="true">IF(AT$5=0,AS194,MAX(0,(AS194-AT$4)*(1+NORMINV(RAND(),INPUTS!$B$28,INPUTS!$B$29))))</f>
        <v>2739845.69989264</v>
      </c>
      <c r="AU194" s="89" t="n">
        <f aca="true">IF(AU$5=0,AT194,MAX(0,(AT194-AU$4)*(1+NORMINV(RAND(),INPUTS!$B$28,INPUTS!$B$29))))</f>
        <v>2739845.69989264</v>
      </c>
      <c r="AV194" s="89" t="n">
        <f aca="true">IF(AV$5=0,AU194,MAX(0,(AU194-AV$4)*(1+NORMINV(RAND(),INPUTS!$B$28,INPUTS!$B$29))))</f>
        <v>2739845.69989264</v>
      </c>
      <c r="AW194" s="89" t="n">
        <f aca="true">IF(AW$5=0,AV194,MAX(0,(AV194-AW$4)*(1+NORMINV(RAND(),INPUTS!$B$28,INPUTS!$B$29))))</f>
        <v>2739845.69989264</v>
      </c>
      <c r="AX194" s="89" t="n">
        <f aca="true">IF(AX$5=0,AW194,MAX(0,(AW194-AX$4)*(1+NORMINV(RAND(),INPUTS!$B$28,INPUTS!$B$29))))</f>
        <v>2739845.69989264</v>
      </c>
      <c r="AY194" s="89" t="n">
        <f aca="true">IF(AY$5=0,AX194,MAX(0,(AX194-AY$4)*(1+NORMINV(RAND(),INPUTS!$B$28,INPUTS!$B$29))))</f>
        <v>2739845.69989264</v>
      </c>
      <c r="AZ194" s="89" t="n">
        <f aca="true">IF(AZ$5=0,AY194,MAX(0,(AY194-AZ$4)*(1+NORMINV(RAND(),INPUTS!$B$28,INPUTS!$B$29))))</f>
        <v>2739845.69989264</v>
      </c>
      <c r="BA194" s="89" t="n">
        <f aca="true">IF(BA$5=0,AZ194,MAX(0,(AZ194-BA$4)*(1+NORMINV(RAND(),INPUTS!$B$28,INPUTS!$B$29))))</f>
        <v>2739845.69989264</v>
      </c>
      <c r="BB194" s="89" t="n">
        <f aca="true">IF(BB$5=0,BA194,MAX(0,(BA194-BB$4)*(1+NORMINV(RAND(),INPUTS!$B$28,INPUTS!$B$29))))</f>
        <v>2739845.69989264</v>
      </c>
      <c r="BC194" s="89" t="n">
        <f aca="true">IF(BC$5=0,BB194,MAX(0,(BB194-BC$4)*(1+NORMINV(RAND(),INPUTS!$B$28,INPUTS!$B$29))))</f>
        <v>2739845.69989264</v>
      </c>
      <c r="BD194" s="89" t="n">
        <f aca="true">IF(BD$5=0,BC194,MAX(0,(BC194-BD$4)*(1+NORMINV(RAND(),INPUTS!$B$28,INPUTS!$B$29))))</f>
        <v>2739845.69989264</v>
      </c>
      <c r="BE194" s="89" t="n">
        <f aca="true">IF(BE$5=0,BD194,MAX(0,(BD194-BE$4)*(1+NORMINV(RAND(),INPUTS!$B$28,INPUTS!$B$29))))</f>
        <v>2739845.69989264</v>
      </c>
      <c r="BF194" s="89" t="n">
        <f aca="true">IF(BF$5=0,BE194,MAX(0,(BE194-BF$4)*(1+NORMINV(RAND(),INPUTS!$B$28,INPUTS!$B$29))))</f>
        <v>2739845.69989264</v>
      </c>
      <c r="BG194" s="89" t="n">
        <f aca="true">IF(BG$5=0,BF194,MAX(0,(BF194-BG$4)*(1+NORMINV(RAND(),INPUTS!$B$28,INPUTS!$B$29))))</f>
        <v>2739845.69989264</v>
      </c>
      <c r="BH194" s="89" t="n">
        <f aca="true">IF(BH$5=0,BG194,MAX(0,(BG194-BH$4)*(1+NORMINV(RAND(),INPUTS!$B$28,INPUTS!$B$29))))</f>
        <v>2739845.69989264</v>
      </c>
      <c r="BI194" s="89" t="n">
        <f aca="true">IF(BI$5=0,BH194,MAX(0,(BH194-BI$4)*(1+NORMINV(RAND(),INPUTS!$B$28,INPUTS!$B$29))))</f>
        <v>2739845.69989264</v>
      </c>
      <c r="BJ194" s="89" t="n">
        <f aca="true">IF(BJ$5=0,BI194,MAX(0,(BI194-BJ$4)*(1+NORMINV(RAND(),INPUTS!$B$28,INPUTS!$B$29))))</f>
        <v>2739845.69989264</v>
      </c>
    </row>
    <row r="195" customFormat="false" ht="15" hidden="false" customHeight="true" outlineLevel="0" collapsed="false">
      <c r="A195" s="87" t="n">
        <v>188</v>
      </c>
      <c r="B195" s="88" t="n">
        <f aca="false">LOOKUP(9.99E+307,C195:BJ195)</f>
        <v>275086.048917735</v>
      </c>
      <c r="C195" s="89" t="n">
        <f aca="true">IF(C$5=0,INPUTS!$B$35,MAX(0,(INPUTS!$B$35-C$4)*(1+NORMINV(RAND(),INPUTS!$B$28,INPUTS!$B$29))))</f>
        <v>1516752.25211413</v>
      </c>
      <c r="D195" s="89" t="n">
        <f aca="true">IF(D$5=0,C195,MAX(0,(C195-D$4)*(1+NORMINV(RAND(),INPUTS!$B$28,INPUTS!$B$29))))</f>
        <v>1269073.08213776</v>
      </c>
      <c r="E195" s="89" t="n">
        <f aca="true">IF(E$5=0,D195,MAX(0,(D195-E$4)*(1+NORMINV(RAND(),INPUTS!$B$28,INPUTS!$B$29))))</f>
        <v>1121652.18414357</v>
      </c>
      <c r="F195" s="89" t="n">
        <f aca="true">IF(F$5=0,E195,MAX(0,(E195-F$4)*(1+NORMINV(RAND(),INPUTS!$B$28,INPUTS!$B$29))))</f>
        <v>1135851.5128322</v>
      </c>
      <c r="G195" s="89" t="n">
        <f aca="true">IF(G$5=0,F195,MAX(0,(F195-G$4)*(1+NORMINV(RAND(),INPUTS!$B$28,INPUTS!$B$29))))</f>
        <v>918104.531771034</v>
      </c>
      <c r="H195" s="89" t="n">
        <f aca="true">IF(H$5=0,G195,MAX(0,(G195-H$4)*(1+NORMINV(RAND(),INPUTS!$B$28,INPUTS!$B$29))))</f>
        <v>944616.258067769</v>
      </c>
      <c r="I195" s="89" t="n">
        <f aca="true">IF(I$5=0,H195,MAX(0,(H195-I$4)*(1+NORMINV(RAND(),INPUTS!$B$28,INPUTS!$B$29))))</f>
        <v>901545.946418278</v>
      </c>
      <c r="J195" s="89" t="n">
        <f aca="true">IF(J$5=0,I195,MAX(0,(I195-J$4)*(1+NORMINV(RAND(),INPUTS!$B$28,INPUTS!$B$29))))</f>
        <v>973990.08229289</v>
      </c>
      <c r="K195" s="89" t="n">
        <f aca="true">IF(K$5=0,J195,MAX(0,(J195-K$4)*(1+NORMINV(RAND(),INPUTS!$B$28,INPUTS!$B$29))))</f>
        <v>952370.645541022</v>
      </c>
      <c r="L195" s="89" t="n">
        <f aca="true">IF(L$5=0,K195,MAX(0,(K195-L$4)*(1+NORMINV(RAND(),INPUTS!$B$28,INPUTS!$B$29))))</f>
        <v>954171.494048113</v>
      </c>
      <c r="M195" s="89" t="n">
        <f aca="true">IF(M$5=0,L195,MAX(0,(L195-M$4)*(1+NORMINV(RAND(),INPUTS!$B$28,INPUTS!$B$29))))</f>
        <v>940981.070238288</v>
      </c>
      <c r="N195" s="89" t="n">
        <f aca="true">IF(N$5=0,M195,MAX(0,(M195-N$4)*(1+NORMINV(RAND(),INPUTS!$B$28,INPUTS!$B$29))))</f>
        <v>935790.245914276</v>
      </c>
      <c r="O195" s="89" t="n">
        <f aca="true">IF(O$5=0,N195,MAX(0,(N195-O$4)*(1+NORMINV(RAND(),INPUTS!$B$28,INPUTS!$B$29))))</f>
        <v>1079115.60861407</v>
      </c>
      <c r="P195" s="89" t="n">
        <f aca="true">IF(P$5=0,O195,MAX(0,(O195-P$4)*(1+NORMINV(RAND(),INPUTS!$B$28,INPUTS!$B$29))))</f>
        <v>917288.859057172</v>
      </c>
      <c r="Q195" s="89" t="n">
        <f aca="true">IF(Q$5=0,P195,MAX(0,(P195-Q$4)*(1+NORMINV(RAND(),INPUTS!$B$28,INPUTS!$B$29))))</f>
        <v>979182.282491008</v>
      </c>
      <c r="R195" s="89" t="n">
        <f aca="true">IF(R$5=0,Q195,MAX(0,(Q195-R$4)*(1+NORMINV(RAND(),INPUTS!$B$28,INPUTS!$B$29))))</f>
        <v>1050596.70520232</v>
      </c>
      <c r="S195" s="89" t="n">
        <f aca="true">IF(S$5=0,R195,MAX(0,(R195-S$4)*(1+NORMINV(RAND(),INPUTS!$B$28,INPUTS!$B$29))))</f>
        <v>1006908.85723627</v>
      </c>
      <c r="T195" s="89" t="n">
        <f aca="true">IF(T$5=0,S195,MAX(0,(S195-T$4)*(1+NORMINV(RAND(),INPUTS!$B$28,INPUTS!$B$29))))</f>
        <v>1090500.33225625</v>
      </c>
      <c r="U195" s="89" t="n">
        <f aca="true">IF(U$5=0,T195,MAX(0,(T195-U$4)*(1+NORMINV(RAND(),INPUTS!$B$28,INPUTS!$B$29))))</f>
        <v>1091496.13529441</v>
      </c>
      <c r="V195" s="89" t="n">
        <f aca="true">IF(V$5=0,U195,MAX(0,(U195-V$4)*(1+NORMINV(RAND(),INPUTS!$B$28,INPUTS!$B$29))))</f>
        <v>1164259.23506953</v>
      </c>
      <c r="W195" s="89" t="n">
        <f aca="true">IF(W$5=0,V195,MAX(0,(V195-W$4)*(1+NORMINV(RAND(),INPUTS!$B$28,INPUTS!$B$29))))</f>
        <v>1031295.03896136</v>
      </c>
      <c r="X195" s="89" t="n">
        <f aca="true">IF(X$5=0,W195,MAX(0,(W195-X$4)*(1+NORMINV(RAND(),INPUTS!$B$28,INPUTS!$B$29))))</f>
        <v>1095634.19486124</v>
      </c>
      <c r="Y195" s="89" t="n">
        <f aca="true">IF(Y$5=0,X195,MAX(0,(X195-Y$4)*(1+NORMINV(RAND(),INPUTS!$B$28,INPUTS!$B$29))))</f>
        <v>980012.81393664</v>
      </c>
      <c r="Z195" s="89" t="n">
        <f aca="true">IF(Z$5=0,Y195,MAX(0,(Y195-Z$4)*(1+NORMINV(RAND(),INPUTS!$B$28,INPUTS!$B$29))))</f>
        <v>945134.309433495</v>
      </c>
      <c r="AA195" s="89" t="n">
        <f aca="true">IF(AA$5=0,Z195,MAX(0,(Z195-AA$4)*(1+NORMINV(RAND(),INPUTS!$B$28,INPUTS!$B$29))))</f>
        <v>718666.59568938</v>
      </c>
      <c r="AB195" s="89" t="n">
        <f aca="true">IF(AB$5=0,AA195,MAX(0,(AA195-AB$4)*(1+NORMINV(RAND(),INPUTS!$B$28,INPUTS!$B$29))))</f>
        <v>773038.526675602</v>
      </c>
      <c r="AC195" s="89" t="n">
        <f aca="true">IF(AC$5=0,AB195,MAX(0,(AB195-AC$4)*(1+NORMINV(RAND(),INPUTS!$B$28,INPUTS!$B$29))))</f>
        <v>826931.181442432</v>
      </c>
      <c r="AD195" s="89" t="n">
        <f aca="true">IF(AD$5=0,AC195,MAX(0,(AC195-AD$4)*(1+NORMINV(RAND(),INPUTS!$B$28,INPUTS!$B$29))))</f>
        <v>794272.101294195</v>
      </c>
      <c r="AE195" s="89" t="n">
        <f aca="true">IF(AE$5=0,AD195,MAX(0,(AD195-AE$4)*(1+NORMINV(RAND(),INPUTS!$B$28,INPUTS!$B$29))))</f>
        <v>691767.540903909</v>
      </c>
      <c r="AF195" s="89" t="n">
        <f aca="true">IF(AF$5=0,AE195,MAX(0,(AE195-AF$4)*(1+NORMINV(RAND(),INPUTS!$B$28,INPUTS!$B$29))))</f>
        <v>560291.655584154</v>
      </c>
      <c r="AG195" s="89" t="n">
        <f aca="true">IF(AG$5=0,AF195,MAX(0,(AF195-AG$4)*(1+NORMINV(RAND(),INPUTS!$B$28,INPUTS!$B$29))))</f>
        <v>535349.514680457</v>
      </c>
      <c r="AH195" s="89" t="n">
        <f aca="true">IF(AH$5=0,AG195,MAX(0,(AG195-AH$4)*(1+NORMINV(RAND(),INPUTS!$B$28,INPUTS!$B$29))))</f>
        <v>414195.118897908</v>
      </c>
      <c r="AI195" s="89" t="n">
        <f aca="true">IF(AI$5=0,AH195,MAX(0,(AH195-AI$4)*(1+NORMINV(RAND(),INPUTS!$B$28,INPUTS!$B$29))))</f>
        <v>388967.625578498</v>
      </c>
      <c r="AJ195" s="89" t="n">
        <f aca="true">IF(AJ$5=0,AI195,MAX(0,(AI195-AJ$4)*(1+NORMINV(RAND(),INPUTS!$B$28,INPUTS!$B$29))))</f>
        <v>350158.78352757</v>
      </c>
      <c r="AK195" s="89" t="n">
        <f aca="true">IF(AK$5=0,AJ195,MAX(0,(AJ195-AK$4)*(1+NORMINV(RAND(),INPUTS!$B$28,INPUTS!$B$29))))</f>
        <v>280278.638319928</v>
      </c>
      <c r="AL195" s="89" t="n">
        <f aca="true">IF(AL$5=0,AK195,MAX(0,(AK195-AL$4)*(1+NORMINV(RAND(),INPUTS!$B$28,INPUTS!$B$29))))</f>
        <v>275086.048917735</v>
      </c>
      <c r="AM195" s="89" t="n">
        <f aca="true">IF(AM$5=0,AL195,MAX(0,(AL195-AM$4)*(1+NORMINV(RAND(),INPUTS!$B$28,INPUTS!$B$29))))</f>
        <v>275086.048917735</v>
      </c>
      <c r="AN195" s="89" t="n">
        <f aca="true">IF(AN$5=0,AM195,MAX(0,(AM195-AN$4)*(1+NORMINV(RAND(),INPUTS!$B$28,INPUTS!$B$29))))</f>
        <v>275086.048917735</v>
      </c>
      <c r="AO195" s="89" t="n">
        <f aca="true">IF(AO$5=0,AN195,MAX(0,(AN195-AO$4)*(1+NORMINV(RAND(),INPUTS!$B$28,INPUTS!$B$29))))</f>
        <v>275086.048917735</v>
      </c>
      <c r="AP195" s="89" t="n">
        <f aca="true">IF(AP$5=0,AO195,MAX(0,(AO195-AP$4)*(1+NORMINV(RAND(),INPUTS!$B$28,INPUTS!$B$29))))</f>
        <v>275086.048917735</v>
      </c>
      <c r="AQ195" s="89" t="n">
        <f aca="true">IF(AQ$5=0,AP195,MAX(0,(AP195-AQ$4)*(1+NORMINV(RAND(),INPUTS!$B$28,INPUTS!$B$29))))</f>
        <v>275086.048917735</v>
      </c>
      <c r="AR195" s="89" t="n">
        <f aca="true">IF(AR$5=0,AQ195,MAX(0,(AQ195-AR$4)*(1+NORMINV(RAND(),INPUTS!$B$28,INPUTS!$B$29))))</f>
        <v>275086.048917735</v>
      </c>
      <c r="AS195" s="89" t="n">
        <f aca="true">IF(AS$5=0,AR195,MAX(0,(AR195-AS$4)*(1+NORMINV(RAND(),INPUTS!$B$28,INPUTS!$B$29))))</f>
        <v>275086.048917735</v>
      </c>
      <c r="AT195" s="89" t="n">
        <f aca="true">IF(AT$5=0,AS195,MAX(0,(AS195-AT$4)*(1+NORMINV(RAND(),INPUTS!$B$28,INPUTS!$B$29))))</f>
        <v>275086.048917735</v>
      </c>
      <c r="AU195" s="89" t="n">
        <f aca="true">IF(AU$5=0,AT195,MAX(0,(AT195-AU$4)*(1+NORMINV(RAND(),INPUTS!$B$28,INPUTS!$B$29))))</f>
        <v>275086.048917735</v>
      </c>
      <c r="AV195" s="89" t="n">
        <f aca="true">IF(AV$5=0,AU195,MAX(0,(AU195-AV$4)*(1+NORMINV(RAND(),INPUTS!$B$28,INPUTS!$B$29))))</f>
        <v>275086.048917735</v>
      </c>
      <c r="AW195" s="89" t="n">
        <f aca="true">IF(AW$5=0,AV195,MAX(0,(AV195-AW$4)*(1+NORMINV(RAND(),INPUTS!$B$28,INPUTS!$B$29))))</f>
        <v>275086.048917735</v>
      </c>
      <c r="AX195" s="89" t="n">
        <f aca="true">IF(AX$5=0,AW195,MAX(0,(AW195-AX$4)*(1+NORMINV(RAND(),INPUTS!$B$28,INPUTS!$B$29))))</f>
        <v>275086.048917735</v>
      </c>
      <c r="AY195" s="89" t="n">
        <f aca="true">IF(AY$5=0,AX195,MAX(0,(AX195-AY$4)*(1+NORMINV(RAND(),INPUTS!$B$28,INPUTS!$B$29))))</f>
        <v>275086.048917735</v>
      </c>
      <c r="AZ195" s="89" t="n">
        <f aca="true">IF(AZ$5=0,AY195,MAX(0,(AY195-AZ$4)*(1+NORMINV(RAND(),INPUTS!$B$28,INPUTS!$B$29))))</f>
        <v>275086.048917735</v>
      </c>
      <c r="BA195" s="89" t="n">
        <f aca="true">IF(BA$5=0,AZ195,MAX(0,(AZ195-BA$4)*(1+NORMINV(RAND(),INPUTS!$B$28,INPUTS!$B$29))))</f>
        <v>275086.048917735</v>
      </c>
      <c r="BB195" s="89" t="n">
        <f aca="true">IF(BB$5=0,BA195,MAX(0,(BA195-BB$4)*(1+NORMINV(RAND(),INPUTS!$B$28,INPUTS!$B$29))))</f>
        <v>275086.048917735</v>
      </c>
      <c r="BC195" s="89" t="n">
        <f aca="true">IF(BC$5=0,BB195,MAX(0,(BB195-BC$4)*(1+NORMINV(RAND(),INPUTS!$B$28,INPUTS!$B$29))))</f>
        <v>275086.048917735</v>
      </c>
      <c r="BD195" s="89" t="n">
        <f aca="true">IF(BD$5=0,BC195,MAX(0,(BC195-BD$4)*(1+NORMINV(RAND(),INPUTS!$B$28,INPUTS!$B$29))))</f>
        <v>275086.048917735</v>
      </c>
      <c r="BE195" s="89" t="n">
        <f aca="true">IF(BE$5=0,BD195,MAX(0,(BD195-BE$4)*(1+NORMINV(RAND(),INPUTS!$B$28,INPUTS!$B$29))))</f>
        <v>275086.048917735</v>
      </c>
      <c r="BF195" s="89" t="n">
        <f aca="true">IF(BF$5=0,BE195,MAX(0,(BE195-BF$4)*(1+NORMINV(RAND(),INPUTS!$B$28,INPUTS!$B$29))))</f>
        <v>275086.048917735</v>
      </c>
      <c r="BG195" s="89" t="n">
        <f aca="true">IF(BG$5=0,BF195,MAX(0,(BF195-BG$4)*(1+NORMINV(RAND(),INPUTS!$B$28,INPUTS!$B$29))))</f>
        <v>275086.048917735</v>
      </c>
      <c r="BH195" s="89" t="n">
        <f aca="true">IF(BH$5=0,BG195,MAX(0,(BG195-BH$4)*(1+NORMINV(RAND(),INPUTS!$B$28,INPUTS!$B$29))))</f>
        <v>275086.048917735</v>
      </c>
      <c r="BI195" s="89" t="n">
        <f aca="true">IF(BI$5=0,BH195,MAX(0,(BH195-BI$4)*(1+NORMINV(RAND(),INPUTS!$B$28,INPUTS!$B$29))))</f>
        <v>275086.048917735</v>
      </c>
      <c r="BJ195" s="89" t="n">
        <f aca="true">IF(BJ$5=0,BI195,MAX(0,(BI195-BJ$4)*(1+NORMINV(RAND(),INPUTS!$B$28,INPUTS!$B$29))))</f>
        <v>275086.048917735</v>
      </c>
    </row>
    <row r="196" customFormat="false" ht="15" hidden="false" customHeight="true" outlineLevel="0" collapsed="false">
      <c r="A196" s="87" t="n">
        <v>189</v>
      </c>
      <c r="B196" s="88" t="n">
        <f aca="false">LOOKUP(9.99E+307,C196:BJ196)</f>
        <v>745032.862855431</v>
      </c>
      <c r="C196" s="89" t="n">
        <f aca="true">IF(C$5=0,INPUTS!$B$35,MAX(0,(INPUTS!$B$35-C$4)*(1+NORMINV(RAND(),INPUTS!$B$28,INPUTS!$B$29))))</f>
        <v>1595810.71153287</v>
      </c>
      <c r="D196" s="89" t="n">
        <f aca="true">IF(D$5=0,C196,MAX(0,(C196-D$4)*(1+NORMINV(RAND(),INPUTS!$B$28,INPUTS!$B$29))))</f>
        <v>1592326.4747156</v>
      </c>
      <c r="E196" s="89" t="n">
        <f aca="true">IF(E$5=0,D196,MAX(0,(D196-E$4)*(1+NORMINV(RAND(),INPUTS!$B$28,INPUTS!$B$29))))</f>
        <v>1585144.88029647</v>
      </c>
      <c r="F196" s="89" t="n">
        <f aca="true">IF(F$5=0,E196,MAX(0,(E196-F$4)*(1+NORMINV(RAND(),INPUTS!$B$28,INPUTS!$B$29))))</f>
        <v>1851957.48548595</v>
      </c>
      <c r="G196" s="89" t="n">
        <f aca="true">IF(G$5=0,F196,MAX(0,(F196-G$4)*(1+NORMINV(RAND(),INPUTS!$B$28,INPUTS!$B$29))))</f>
        <v>1580841.64397463</v>
      </c>
      <c r="H196" s="89" t="n">
        <f aca="true">IF(H$5=0,G196,MAX(0,(G196-H$4)*(1+NORMINV(RAND(),INPUTS!$B$28,INPUTS!$B$29))))</f>
        <v>1443536.78004662</v>
      </c>
      <c r="I196" s="89" t="n">
        <f aca="true">IF(I$5=0,H196,MAX(0,(H196-I$4)*(1+NORMINV(RAND(),INPUTS!$B$28,INPUTS!$B$29))))</f>
        <v>1546419.99948156</v>
      </c>
      <c r="J196" s="89" t="n">
        <f aca="true">IF(J$5=0,I196,MAX(0,(I196-J$4)*(1+NORMINV(RAND(),INPUTS!$B$28,INPUTS!$B$29))))</f>
        <v>1691782.53581594</v>
      </c>
      <c r="K196" s="89" t="n">
        <f aca="true">IF(K$5=0,J196,MAX(0,(J196-K$4)*(1+NORMINV(RAND(),INPUTS!$B$28,INPUTS!$B$29))))</f>
        <v>1621935.63834976</v>
      </c>
      <c r="L196" s="89" t="n">
        <f aca="true">IF(L$5=0,K196,MAX(0,(K196-L$4)*(1+NORMINV(RAND(),INPUTS!$B$28,INPUTS!$B$29))))</f>
        <v>1457504.80842537</v>
      </c>
      <c r="M196" s="89" t="n">
        <f aca="true">IF(M$5=0,L196,MAX(0,(L196-M$4)*(1+NORMINV(RAND(),INPUTS!$B$28,INPUTS!$B$29))))</f>
        <v>1686666.66289008</v>
      </c>
      <c r="N196" s="89" t="n">
        <f aca="true">IF(N$5=0,M196,MAX(0,(M196-N$4)*(1+NORMINV(RAND(),INPUTS!$B$28,INPUTS!$B$29))))</f>
        <v>1483694.16350056</v>
      </c>
      <c r="O196" s="89" t="n">
        <f aca="true">IF(O$5=0,N196,MAX(0,(N196-O$4)*(1+NORMINV(RAND(),INPUTS!$B$28,INPUTS!$B$29))))</f>
        <v>1356576.05651156</v>
      </c>
      <c r="P196" s="89" t="n">
        <f aca="true">IF(P$5=0,O196,MAX(0,(O196-P$4)*(1+NORMINV(RAND(),INPUTS!$B$28,INPUTS!$B$29))))</f>
        <v>1198810.30304842</v>
      </c>
      <c r="Q196" s="89" t="n">
        <f aca="true">IF(Q$5=0,P196,MAX(0,(P196-Q$4)*(1+NORMINV(RAND(),INPUTS!$B$28,INPUTS!$B$29))))</f>
        <v>1229800.75628292</v>
      </c>
      <c r="R196" s="89" t="n">
        <f aca="true">IF(R$5=0,Q196,MAX(0,(Q196-R$4)*(1+NORMINV(RAND(),INPUTS!$B$28,INPUTS!$B$29))))</f>
        <v>1274002.4730525</v>
      </c>
      <c r="S196" s="89" t="n">
        <f aca="true">IF(S$5=0,R196,MAX(0,(R196-S$4)*(1+NORMINV(RAND(),INPUTS!$B$28,INPUTS!$B$29))))</f>
        <v>1379744.85222576</v>
      </c>
      <c r="T196" s="89" t="n">
        <f aca="true">IF(T$5=0,S196,MAX(0,(S196-T$4)*(1+NORMINV(RAND(),INPUTS!$B$28,INPUTS!$B$29))))</f>
        <v>1356679.27904243</v>
      </c>
      <c r="U196" s="89" t="n">
        <f aca="true">IF(U$5=0,T196,MAX(0,(T196-U$4)*(1+NORMINV(RAND(),INPUTS!$B$28,INPUTS!$B$29))))</f>
        <v>1247418.85270538</v>
      </c>
      <c r="V196" s="89" t="n">
        <f aca="true">IF(V$5=0,U196,MAX(0,(U196-V$4)*(1+NORMINV(RAND(),INPUTS!$B$28,INPUTS!$B$29))))</f>
        <v>1228655.68382611</v>
      </c>
      <c r="W196" s="89" t="n">
        <f aca="true">IF(W$5=0,V196,MAX(0,(V196-W$4)*(1+NORMINV(RAND(),INPUTS!$B$28,INPUTS!$B$29))))</f>
        <v>1050960.06867103</v>
      </c>
      <c r="X196" s="89" t="n">
        <f aca="true">IF(X$5=0,W196,MAX(0,(W196-X$4)*(1+NORMINV(RAND(),INPUTS!$B$28,INPUTS!$B$29))))</f>
        <v>1182154.20618273</v>
      </c>
      <c r="Y196" s="89" t="n">
        <f aca="true">IF(Y$5=0,X196,MAX(0,(X196-Y$4)*(1+NORMINV(RAND(),INPUTS!$B$28,INPUTS!$B$29))))</f>
        <v>1182974.71265826</v>
      </c>
      <c r="Z196" s="89" t="n">
        <f aca="true">IF(Z$5=0,Y196,MAX(0,(Y196-Z$4)*(1+NORMINV(RAND(),INPUTS!$B$28,INPUTS!$B$29))))</f>
        <v>1371743.57921105</v>
      </c>
      <c r="AA196" s="89" t="n">
        <f aca="true">IF(AA$5=0,Z196,MAX(0,(Z196-AA$4)*(1+NORMINV(RAND(),INPUTS!$B$28,INPUTS!$B$29))))</f>
        <v>1151383.49803301</v>
      </c>
      <c r="AB196" s="89" t="n">
        <f aca="true">IF(AB$5=0,AA196,MAX(0,(AA196-AB$4)*(1+NORMINV(RAND(),INPUTS!$B$28,INPUTS!$B$29))))</f>
        <v>1105508.48041069</v>
      </c>
      <c r="AC196" s="89" t="n">
        <f aca="true">IF(AC$5=0,AB196,MAX(0,(AB196-AC$4)*(1+NORMINV(RAND(),INPUTS!$B$28,INPUTS!$B$29))))</f>
        <v>1331218.8171624</v>
      </c>
      <c r="AD196" s="89" t="n">
        <f aca="true">IF(AD$5=0,AC196,MAX(0,(AC196-AD$4)*(1+NORMINV(RAND(),INPUTS!$B$28,INPUTS!$B$29))))</f>
        <v>1174596.75605011</v>
      </c>
      <c r="AE196" s="89" t="n">
        <f aca="true">IF(AE$5=0,AD196,MAX(0,(AD196-AE$4)*(1+NORMINV(RAND(),INPUTS!$B$28,INPUTS!$B$29))))</f>
        <v>1157615.50759382</v>
      </c>
      <c r="AF196" s="89" t="n">
        <f aca="true">IF(AF$5=0,AE196,MAX(0,(AE196-AF$4)*(1+NORMINV(RAND(),INPUTS!$B$28,INPUTS!$B$29))))</f>
        <v>1120083.18465821</v>
      </c>
      <c r="AG196" s="89" t="n">
        <f aca="true">IF(AG$5=0,AF196,MAX(0,(AF196-AG$4)*(1+NORMINV(RAND(),INPUTS!$B$28,INPUTS!$B$29))))</f>
        <v>1181890.47928826</v>
      </c>
      <c r="AH196" s="89" t="n">
        <f aca="true">IF(AH$5=0,AG196,MAX(0,(AG196-AH$4)*(1+NORMINV(RAND(),INPUTS!$B$28,INPUTS!$B$29))))</f>
        <v>1028379.69953265</v>
      </c>
      <c r="AI196" s="89" t="n">
        <f aca="true">IF(AI$5=0,AH196,MAX(0,(AH196-AI$4)*(1+NORMINV(RAND(),INPUTS!$B$28,INPUTS!$B$29))))</f>
        <v>939935.446955546</v>
      </c>
      <c r="AJ196" s="89" t="n">
        <f aca="true">IF(AJ$5=0,AI196,MAX(0,(AI196-AJ$4)*(1+NORMINV(RAND(),INPUTS!$B$28,INPUTS!$B$29))))</f>
        <v>786372.450211474</v>
      </c>
      <c r="AK196" s="89" t="n">
        <f aca="true">IF(AK$5=0,AJ196,MAX(0,(AJ196-AK$4)*(1+NORMINV(RAND(),INPUTS!$B$28,INPUTS!$B$29))))</f>
        <v>736355.118214274</v>
      </c>
      <c r="AL196" s="89" t="n">
        <f aca="true">IF(AL$5=0,AK196,MAX(0,(AK196-AL$4)*(1+NORMINV(RAND(),INPUTS!$B$28,INPUTS!$B$29))))</f>
        <v>745032.862855431</v>
      </c>
      <c r="AM196" s="89" t="n">
        <f aca="true">IF(AM$5=0,AL196,MAX(0,(AL196-AM$4)*(1+NORMINV(RAND(),INPUTS!$B$28,INPUTS!$B$29))))</f>
        <v>745032.862855431</v>
      </c>
      <c r="AN196" s="89" t="n">
        <f aca="true">IF(AN$5=0,AM196,MAX(0,(AM196-AN$4)*(1+NORMINV(RAND(),INPUTS!$B$28,INPUTS!$B$29))))</f>
        <v>745032.862855431</v>
      </c>
      <c r="AO196" s="89" t="n">
        <f aca="true">IF(AO$5=0,AN196,MAX(0,(AN196-AO$4)*(1+NORMINV(RAND(),INPUTS!$B$28,INPUTS!$B$29))))</f>
        <v>745032.862855431</v>
      </c>
      <c r="AP196" s="89" t="n">
        <f aca="true">IF(AP$5=0,AO196,MAX(0,(AO196-AP$4)*(1+NORMINV(RAND(),INPUTS!$B$28,INPUTS!$B$29))))</f>
        <v>745032.862855431</v>
      </c>
      <c r="AQ196" s="89" t="n">
        <f aca="true">IF(AQ$5=0,AP196,MAX(0,(AP196-AQ$4)*(1+NORMINV(RAND(),INPUTS!$B$28,INPUTS!$B$29))))</f>
        <v>745032.862855431</v>
      </c>
      <c r="AR196" s="89" t="n">
        <f aca="true">IF(AR$5=0,AQ196,MAX(0,(AQ196-AR$4)*(1+NORMINV(RAND(),INPUTS!$B$28,INPUTS!$B$29))))</f>
        <v>745032.862855431</v>
      </c>
      <c r="AS196" s="89" t="n">
        <f aca="true">IF(AS$5=0,AR196,MAX(0,(AR196-AS$4)*(1+NORMINV(RAND(),INPUTS!$B$28,INPUTS!$B$29))))</f>
        <v>745032.862855431</v>
      </c>
      <c r="AT196" s="89" t="n">
        <f aca="true">IF(AT$5=0,AS196,MAX(0,(AS196-AT$4)*(1+NORMINV(RAND(),INPUTS!$B$28,INPUTS!$B$29))))</f>
        <v>745032.862855431</v>
      </c>
      <c r="AU196" s="89" t="n">
        <f aca="true">IF(AU$5=0,AT196,MAX(0,(AT196-AU$4)*(1+NORMINV(RAND(),INPUTS!$B$28,INPUTS!$B$29))))</f>
        <v>745032.862855431</v>
      </c>
      <c r="AV196" s="89" t="n">
        <f aca="true">IF(AV$5=0,AU196,MAX(0,(AU196-AV$4)*(1+NORMINV(RAND(),INPUTS!$B$28,INPUTS!$B$29))))</f>
        <v>745032.862855431</v>
      </c>
      <c r="AW196" s="89" t="n">
        <f aca="true">IF(AW$5=0,AV196,MAX(0,(AV196-AW$4)*(1+NORMINV(RAND(),INPUTS!$B$28,INPUTS!$B$29))))</f>
        <v>745032.862855431</v>
      </c>
      <c r="AX196" s="89" t="n">
        <f aca="true">IF(AX$5=0,AW196,MAX(0,(AW196-AX$4)*(1+NORMINV(RAND(),INPUTS!$B$28,INPUTS!$B$29))))</f>
        <v>745032.862855431</v>
      </c>
      <c r="AY196" s="89" t="n">
        <f aca="true">IF(AY$5=0,AX196,MAX(0,(AX196-AY$4)*(1+NORMINV(RAND(),INPUTS!$B$28,INPUTS!$B$29))))</f>
        <v>745032.862855431</v>
      </c>
      <c r="AZ196" s="89" t="n">
        <f aca="true">IF(AZ$5=0,AY196,MAX(0,(AY196-AZ$4)*(1+NORMINV(RAND(),INPUTS!$B$28,INPUTS!$B$29))))</f>
        <v>745032.862855431</v>
      </c>
      <c r="BA196" s="89" t="n">
        <f aca="true">IF(BA$5=0,AZ196,MAX(0,(AZ196-BA$4)*(1+NORMINV(RAND(),INPUTS!$B$28,INPUTS!$B$29))))</f>
        <v>745032.862855431</v>
      </c>
      <c r="BB196" s="89" t="n">
        <f aca="true">IF(BB$5=0,BA196,MAX(0,(BA196-BB$4)*(1+NORMINV(RAND(),INPUTS!$B$28,INPUTS!$B$29))))</f>
        <v>745032.862855431</v>
      </c>
      <c r="BC196" s="89" t="n">
        <f aca="true">IF(BC$5=0,BB196,MAX(0,(BB196-BC$4)*(1+NORMINV(RAND(),INPUTS!$B$28,INPUTS!$B$29))))</f>
        <v>745032.862855431</v>
      </c>
      <c r="BD196" s="89" t="n">
        <f aca="true">IF(BD$5=0,BC196,MAX(0,(BC196-BD$4)*(1+NORMINV(RAND(),INPUTS!$B$28,INPUTS!$B$29))))</f>
        <v>745032.862855431</v>
      </c>
      <c r="BE196" s="89" t="n">
        <f aca="true">IF(BE$5=0,BD196,MAX(0,(BD196-BE$4)*(1+NORMINV(RAND(),INPUTS!$B$28,INPUTS!$B$29))))</f>
        <v>745032.862855431</v>
      </c>
      <c r="BF196" s="89" t="n">
        <f aca="true">IF(BF$5=0,BE196,MAX(0,(BE196-BF$4)*(1+NORMINV(RAND(),INPUTS!$B$28,INPUTS!$B$29))))</f>
        <v>745032.862855431</v>
      </c>
      <c r="BG196" s="89" t="n">
        <f aca="true">IF(BG$5=0,BF196,MAX(0,(BF196-BG$4)*(1+NORMINV(RAND(),INPUTS!$B$28,INPUTS!$B$29))))</f>
        <v>745032.862855431</v>
      </c>
      <c r="BH196" s="89" t="n">
        <f aca="true">IF(BH$5=0,BG196,MAX(0,(BG196-BH$4)*(1+NORMINV(RAND(),INPUTS!$B$28,INPUTS!$B$29))))</f>
        <v>745032.862855431</v>
      </c>
      <c r="BI196" s="89" t="n">
        <f aca="true">IF(BI$5=0,BH196,MAX(0,(BH196-BI$4)*(1+NORMINV(RAND(),INPUTS!$B$28,INPUTS!$B$29))))</f>
        <v>745032.862855431</v>
      </c>
      <c r="BJ196" s="89" t="n">
        <f aca="true">IF(BJ$5=0,BI196,MAX(0,(BI196-BJ$4)*(1+NORMINV(RAND(),INPUTS!$B$28,INPUTS!$B$29))))</f>
        <v>745032.862855431</v>
      </c>
    </row>
    <row r="197" customFormat="false" ht="15" hidden="false" customHeight="true" outlineLevel="0" collapsed="false">
      <c r="A197" s="87" t="n">
        <v>190</v>
      </c>
      <c r="B197" s="88" t="n">
        <f aca="false">LOOKUP(9.99E+307,C197:BJ197)</f>
        <v>2028110.18143558</v>
      </c>
      <c r="C197" s="89" t="n">
        <f aca="true">IF(C$5=0,INPUTS!$B$35,MAX(0,(INPUTS!$B$35-C$4)*(1+NORMINV(RAND(),INPUTS!$B$28,INPUTS!$B$29))))</f>
        <v>1439604.33448264</v>
      </c>
      <c r="D197" s="89" t="n">
        <f aca="true">IF(D$5=0,C197,MAX(0,(C197-D$4)*(1+NORMINV(RAND(),INPUTS!$B$28,INPUTS!$B$29))))</f>
        <v>1431739.42807843</v>
      </c>
      <c r="E197" s="89" t="n">
        <f aca="true">IF(E$5=0,D197,MAX(0,(D197-E$4)*(1+NORMINV(RAND(),INPUTS!$B$28,INPUTS!$B$29))))</f>
        <v>1150214.15378678</v>
      </c>
      <c r="F197" s="89" t="n">
        <f aca="true">IF(F$5=0,E197,MAX(0,(E197-F$4)*(1+NORMINV(RAND(),INPUTS!$B$28,INPUTS!$B$29))))</f>
        <v>1113647.62076847</v>
      </c>
      <c r="G197" s="89" t="n">
        <f aca="true">IF(G$5=0,F197,MAX(0,(F197-G$4)*(1+NORMINV(RAND(),INPUTS!$B$28,INPUTS!$B$29))))</f>
        <v>1132887.66315018</v>
      </c>
      <c r="H197" s="89" t="n">
        <f aca="true">IF(H$5=0,G197,MAX(0,(G197-H$4)*(1+NORMINV(RAND(),INPUTS!$B$28,INPUTS!$B$29))))</f>
        <v>1221366.45817744</v>
      </c>
      <c r="I197" s="89" t="n">
        <f aca="true">IF(I$5=0,H197,MAX(0,(H197-I$4)*(1+NORMINV(RAND(),INPUTS!$B$28,INPUTS!$B$29))))</f>
        <v>1138718.65376812</v>
      </c>
      <c r="J197" s="89" t="n">
        <f aca="true">IF(J$5=0,I197,MAX(0,(I197-J$4)*(1+NORMINV(RAND(),INPUTS!$B$28,INPUTS!$B$29))))</f>
        <v>1250757.12789293</v>
      </c>
      <c r="K197" s="89" t="n">
        <f aca="true">IF(K$5=0,J197,MAX(0,(J197-K$4)*(1+NORMINV(RAND(),INPUTS!$B$28,INPUTS!$B$29))))</f>
        <v>1453589.51197931</v>
      </c>
      <c r="L197" s="89" t="n">
        <f aca="true">IF(L$5=0,K197,MAX(0,(K197-L$4)*(1+NORMINV(RAND(),INPUTS!$B$28,INPUTS!$B$29))))</f>
        <v>1507661.57707095</v>
      </c>
      <c r="M197" s="89" t="n">
        <f aca="true">IF(M$5=0,L197,MAX(0,(L197-M$4)*(1+NORMINV(RAND(),INPUTS!$B$28,INPUTS!$B$29))))</f>
        <v>1405031.87384586</v>
      </c>
      <c r="N197" s="89" t="n">
        <f aca="true">IF(N$5=0,M197,MAX(0,(M197-N$4)*(1+NORMINV(RAND(),INPUTS!$B$28,INPUTS!$B$29))))</f>
        <v>1541701.06691606</v>
      </c>
      <c r="O197" s="89" t="n">
        <f aca="true">IF(O$5=0,N197,MAX(0,(N197-O$4)*(1+NORMINV(RAND(),INPUTS!$B$28,INPUTS!$B$29))))</f>
        <v>1864283.96877588</v>
      </c>
      <c r="P197" s="89" t="n">
        <f aca="true">IF(P$5=0,O197,MAX(0,(O197-P$4)*(1+NORMINV(RAND(),INPUTS!$B$28,INPUTS!$B$29))))</f>
        <v>1818528.54942732</v>
      </c>
      <c r="Q197" s="89" t="n">
        <f aca="true">IF(Q$5=0,P197,MAX(0,(P197-Q$4)*(1+NORMINV(RAND(),INPUTS!$B$28,INPUTS!$B$29))))</f>
        <v>1513606.94282779</v>
      </c>
      <c r="R197" s="89" t="n">
        <f aca="true">IF(R$5=0,Q197,MAX(0,(Q197-R$4)*(1+NORMINV(RAND(),INPUTS!$B$28,INPUTS!$B$29))))</f>
        <v>1475526.08605515</v>
      </c>
      <c r="S197" s="89" t="n">
        <f aca="true">IF(S$5=0,R197,MAX(0,(R197-S$4)*(1+NORMINV(RAND(),INPUTS!$B$28,INPUTS!$B$29))))</f>
        <v>1407435.68232285</v>
      </c>
      <c r="T197" s="89" t="n">
        <f aca="true">IF(T$5=0,S197,MAX(0,(S197-T$4)*(1+NORMINV(RAND(),INPUTS!$B$28,INPUTS!$B$29))))</f>
        <v>1212754.65370944</v>
      </c>
      <c r="U197" s="89" t="n">
        <f aca="true">IF(U$5=0,T197,MAX(0,(T197-U$4)*(1+NORMINV(RAND(),INPUTS!$B$28,INPUTS!$B$29))))</f>
        <v>1062960.47010351</v>
      </c>
      <c r="V197" s="89" t="n">
        <f aca="true">IF(V$5=0,U197,MAX(0,(U197-V$4)*(1+NORMINV(RAND(),INPUTS!$B$28,INPUTS!$B$29))))</f>
        <v>1130145.87303395</v>
      </c>
      <c r="W197" s="89" t="n">
        <f aca="true">IF(W$5=0,V197,MAX(0,(V197-W$4)*(1+NORMINV(RAND(),INPUTS!$B$28,INPUTS!$B$29))))</f>
        <v>1361654.30311223</v>
      </c>
      <c r="X197" s="89" t="n">
        <f aca="true">IF(X$5=0,W197,MAX(0,(W197-X$4)*(1+NORMINV(RAND(),INPUTS!$B$28,INPUTS!$B$29))))</f>
        <v>1278541.80727505</v>
      </c>
      <c r="Y197" s="89" t="n">
        <f aca="true">IF(Y$5=0,X197,MAX(0,(X197-Y$4)*(1+NORMINV(RAND(),INPUTS!$B$28,INPUTS!$B$29))))</f>
        <v>1382319.40212463</v>
      </c>
      <c r="Z197" s="89" t="n">
        <f aca="true">IF(Z$5=0,Y197,MAX(0,(Y197-Z$4)*(1+NORMINV(RAND(),INPUTS!$B$28,INPUTS!$B$29))))</f>
        <v>1282443.38449833</v>
      </c>
      <c r="AA197" s="89" t="n">
        <f aca="true">IF(AA$5=0,Z197,MAX(0,(Z197-AA$4)*(1+NORMINV(RAND(),INPUTS!$B$28,INPUTS!$B$29))))</f>
        <v>1405626.52981388</v>
      </c>
      <c r="AB197" s="89" t="n">
        <f aca="true">IF(AB$5=0,AA197,MAX(0,(AA197-AB$4)*(1+NORMINV(RAND(),INPUTS!$B$28,INPUTS!$B$29))))</f>
        <v>1380276.69593316</v>
      </c>
      <c r="AC197" s="89" t="n">
        <f aca="true">IF(AC$5=0,AB197,MAX(0,(AB197-AC$4)*(1+NORMINV(RAND(),INPUTS!$B$28,INPUTS!$B$29))))</f>
        <v>1697864.05623595</v>
      </c>
      <c r="AD197" s="89" t="n">
        <f aca="true">IF(AD$5=0,AC197,MAX(0,(AC197-AD$4)*(1+NORMINV(RAND(),INPUTS!$B$28,INPUTS!$B$29))))</f>
        <v>1934640.98981758</v>
      </c>
      <c r="AE197" s="89" t="n">
        <f aca="true">IF(AE$5=0,AD197,MAX(0,(AD197-AE$4)*(1+NORMINV(RAND(),INPUTS!$B$28,INPUTS!$B$29))))</f>
        <v>1607583.11978562</v>
      </c>
      <c r="AF197" s="89" t="n">
        <f aca="true">IF(AF$5=0,AE197,MAX(0,(AE197-AF$4)*(1+NORMINV(RAND(),INPUTS!$B$28,INPUTS!$B$29))))</f>
        <v>1601099.40316611</v>
      </c>
      <c r="AG197" s="89" t="n">
        <f aca="true">IF(AG$5=0,AF197,MAX(0,(AF197-AG$4)*(1+NORMINV(RAND(),INPUTS!$B$28,INPUTS!$B$29))))</f>
        <v>1585937.03851479</v>
      </c>
      <c r="AH197" s="89" t="n">
        <f aca="true">IF(AH$5=0,AG197,MAX(0,(AG197-AH$4)*(1+NORMINV(RAND(),INPUTS!$B$28,INPUTS!$B$29))))</f>
        <v>1689695.48682822</v>
      </c>
      <c r="AI197" s="89" t="n">
        <f aca="true">IF(AI$5=0,AH197,MAX(0,(AH197-AI$4)*(1+NORMINV(RAND(),INPUTS!$B$28,INPUTS!$B$29))))</f>
        <v>1818299.00865585</v>
      </c>
      <c r="AJ197" s="89" t="n">
        <f aca="true">IF(AJ$5=0,AI197,MAX(0,(AI197-AJ$4)*(1+NORMINV(RAND(),INPUTS!$B$28,INPUTS!$B$29))))</f>
        <v>1849902.64265209</v>
      </c>
      <c r="AK197" s="89" t="n">
        <f aca="true">IF(AK$5=0,AJ197,MAX(0,(AJ197-AK$4)*(1+NORMINV(RAND(),INPUTS!$B$28,INPUTS!$B$29))))</f>
        <v>1994088.38098316</v>
      </c>
      <c r="AL197" s="89" t="n">
        <f aca="true">IF(AL$5=0,AK197,MAX(0,(AK197-AL$4)*(1+NORMINV(RAND(),INPUTS!$B$28,INPUTS!$B$29))))</f>
        <v>2028110.18143558</v>
      </c>
      <c r="AM197" s="89" t="n">
        <f aca="true">IF(AM$5=0,AL197,MAX(0,(AL197-AM$4)*(1+NORMINV(RAND(),INPUTS!$B$28,INPUTS!$B$29))))</f>
        <v>2028110.18143558</v>
      </c>
      <c r="AN197" s="89" t="n">
        <f aca="true">IF(AN$5=0,AM197,MAX(0,(AM197-AN$4)*(1+NORMINV(RAND(),INPUTS!$B$28,INPUTS!$B$29))))</f>
        <v>2028110.18143558</v>
      </c>
      <c r="AO197" s="89" t="n">
        <f aca="true">IF(AO$5=0,AN197,MAX(0,(AN197-AO$4)*(1+NORMINV(RAND(),INPUTS!$B$28,INPUTS!$B$29))))</f>
        <v>2028110.18143558</v>
      </c>
      <c r="AP197" s="89" t="n">
        <f aca="true">IF(AP$5=0,AO197,MAX(0,(AO197-AP$4)*(1+NORMINV(RAND(),INPUTS!$B$28,INPUTS!$B$29))))</f>
        <v>2028110.18143558</v>
      </c>
      <c r="AQ197" s="89" t="n">
        <f aca="true">IF(AQ$5=0,AP197,MAX(0,(AP197-AQ$4)*(1+NORMINV(RAND(),INPUTS!$B$28,INPUTS!$B$29))))</f>
        <v>2028110.18143558</v>
      </c>
      <c r="AR197" s="89" t="n">
        <f aca="true">IF(AR$5=0,AQ197,MAX(0,(AQ197-AR$4)*(1+NORMINV(RAND(),INPUTS!$B$28,INPUTS!$B$29))))</f>
        <v>2028110.18143558</v>
      </c>
      <c r="AS197" s="89" t="n">
        <f aca="true">IF(AS$5=0,AR197,MAX(0,(AR197-AS$4)*(1+NORMINV(RAND(),INPUTS!$B$28,INPUTS!$B$29))))</f>
        <v>2028110.18143558</v>
      </c>
      <c r="AT197" s="89" t="n">
        <f aca="true">IF(AT$5=0,AS197,MAX(0,(AS197-AT$4)*(1+NORMINV(RAND(),INPUTS!$B$28,INPUTS!$B$29))))</f>
        <v>2028110.18143558</v>
      </c>
      <c r="AU197" s="89" t="n">
        <f aca="true">IF(AU$5=0,AT197,MAX(0,(AT197-AU$4)*(1+NORMINV(RAND(),INPUTS!$B$28,INPUTS!$B$29))))</f>
        <v>2028110.18143558</v>
      </c>
      <c r="AV197" s="89" t="n">
        <f aca="true">IF(AV$5=0,AU197,MAX(0,(AU197-AV$4)*(1+NORMINV(RAND(),INPUTS!$B$28,INPUTS!$B$29))))</f>
        <v>2028110.18143558</v>
      </c>
      <c r="AW197" s="89" t="n">
        <f aca="true">IF(AW$5=0,AV197,MAX(0,(AV197-AW$4)*(1+NORMINV(RAND(),INPUTS!$B$28,INPUTS!$B$29))))</f>
        <v>2028110.18143558</v>
      </c>
      <c r="AX197" s="89" t="n">
        <f aca="true">IF(AX$5=0,AW197,MAX(0,(AW197-AX$4)*(1+NORMINV(RAND(),INPUTS!$B$28,INPUTS!$B$29))))</f>
        <v>2028110.18143558</v>
      </c>
      <c r="AY197" s="89" t="n">
        <f aca="true">IF(AY$5=0,AX197,MAX(0,(AX197-AY$4)*(1+NORMINV(RAND(),INPUTS!$B$28,INPUTS!$B$29))))</f>
        <v>2028110.18143558</v>
      </c>
      <c r="AZ197" s="89" t="n">
        <f aca="true">IF(AZ$5=0,AY197,MAX(0,(AY197-AZ$4)*(1+NORMINV(RAND(),INPUTS!$B$28,INPUTS!$B$29))))</f>
        <v>2028110.18143558</v>
      </c>
      <c r="BA197" s="89" t="n">
        <f aca="true">IF(BA$5=0,AZ197,MAX(0,(AZ197-BA$4)*(1+NORMINV(RAND(),INPUTS!$B$28,INPUTS!$B$29))))</f>
        <v>2028110.18143558</v>
      </c>
      <c r="BB197" s="89" t="n">
        <f aca="true">IF(BB$5=0,BA197,MAX(0,(BA197-BB$4)*(1+NORMINV(RAND(),INPUTS!$B$28,INPUTS!$B$29))))</f>
        <v>2028110.18143558</v>
      </c>
      <c r="BC197" s="89" t="n">
        <f aca="true">IF(BC$5=0,BB197,MAX(0,(BB197-BC$4)*(1+NORMINV(RAND(),INPUTS!$B$28,INPUTS!$B$29))))</f>
        <v>2028110.18143558</v>
      </c>
      <c r="BD197" s="89" t="n">
        <f aca="true">IF(BD$5=0,BC197,MAX(0,(BC197-BD$4)*(1+NORMINV(RAND(),INPUTS!$B$28,INPUTS!$B$29))))</f>
        <v>2028110.18143558</v>
      </c>
      <c r="BE197" s="89" t="n">
        <f aca="true">IF(BE$5=0,BD197,MAX(0,(BD197-BE$4)*(1+NORMINV(RAND(),INPUTS!$B$28,INPUTS!$B$29))))</f>
        <v>2028110.18143558</v>
      </c>
      <c r="BF197" s="89" t="n">
        <f aca="true">IF(BF$5=0,BE197,MAX(0,(BE197-BF$4)*(1+NORMINV(RAND(),INPUTS!$B$28,INPUTS!$B$29))))</f>
        <v>2028110.18143558</v>
      </c>
      <c r="BG197" s="89" t="n">
        <f aca="true">IF(BG$5=0,BF197,MAX(0,(BF197-BG$4)*(1+NORMINV(RAND(),INPUTS!$B$28,INPUTS!$B$29))))</f>
        <v>2028110.18143558</v>
      </c>
      <c r="BH197" s="89" t="n">
        <f aca="true">IF(BH$5=0,BG197,MAX(0,(BG197-BH$4)*(1+NORMINV(RAND(),INPUTS!$B$28,INPUTS!$B$29))))</f>
        <v>2028110.18143558</v>
      </c>
      <c r="BI197" s="89" t="n">
        <f aca="true">IF(BI$5=0,BH197,MAX(0,(BH197-BI$4)*(1+NORMINV(RAND(),INPUTS!$B$28,INPUTS!$B$29))))</f>
        <v>2028110.18143558</v>
      </c>
      <c r="BJ197" s="89" t="n">
        <f aca="true">IF(BJ$5=0,BI197,MAX(0,(BI197-BJ$4)*(1+NORMINV(RAND(),INPUTS!$B$28,INPUTS!$B$29))))</f>
        <v>2028110.18143558</v>
      </c>
    </row>
    <row r="198" customFormat="false" ht="15" hidden="false" customHeight="true" outlineLevel="0" collapsed="false">
      <c r="A198" s="87" t="n">
        <v>191</v>
      </c>
      <c r="B198" s="88" t="n">
        <f aca="false">LOOKUP(9.99E+307,C198:BJ198)</f>
        <v>2448074.82133762</v>
      </c>
      <c r="C198" s="89" t="n">
        <f aca="true">IF(C$5=0,INPUTS!$B$35,MAX(0,(INPUTS!$B$35-C$4)*(1+NORMINV(RAND(),INPUTS!$B$28,INPUTS!$B$29))))</f>
        <v>1425757.63583107</v>
      </c>
      <c r="D198" s="89" t="n">
        <f aca="true">IF(D$5=0,C198,MAX(0,(C198-D$4)*(1+NORMINV(RAND(),INPUTS!$B$28,INPUTS!$B$29))))</f>
        <v>1500790.60802357</v>
      </c>
      <c r="E198" s="89" t="n">
        <f aca="true">IF(E$5=0,D198,MAX(0,(D198-E$4)*(1+NORMINV(RAND(),INPUTS!$B$28,INPUTS!$B$29))))</f>
        <v>1461728.80622536</v>
      </c>
      <c r="F198" s="89" t="n">
        <f aca="true">IF(F$5=0,E198,MAX(0,(E198-F$4)*(1+NORMINV(RAND(),INPUTS!$B$28,INPUTS!$B$29))))</f>
        <v>1408645.61918584</v>
      </c>
      <c r="G198" s="89" t="n">
        <f aca="true">IF(G$5=0,F198,MAX(0,(F198-G$4)*(1+NORMINV(RAND(),INPUTS!$B$28,INPUTS!$B$29))))</f>
        <v>1481756.03235215</v>
      </c>
      <c r="H198" s="89" t="n">
        <f aca="true">IF(H$5=0,G198,MAX(0,(G198-H$4)*(1+NORMINV(RAND(),INPUTS!$B$28,INPUTS!$B$29))))</f>
        <v>1743929.12312879</v>
      </c>
      <c r="I198" s="89" t="n">
        <f aca="true">IF(I$5=0,H198,MAX(0,(H198-I$4)*(1+NORMINV(RAND(),INPUTS!$B$28,INPUTS!$B$29))))</f>
        <v>1733379.34068765</v>
      </c>
      <c r="J198" s="89" t="n">
        <f aca="true">IF(J$5=0,I198,MAX(0,(I198-J$4)*(1+NORMINV(RAND(),INPUTS!$B$28,INPUTS!$B$29))))</f>
        <v>1593484.56970569</v>
      </c>
      <c r="K198" s="89" t="n">
        <f aca="true">IF(K$5=0,J198,MAX(0,(J198-K$4)*(1+NORMINV(RAND(),INPUTS!$B$28,INPUTS!$B$29))))</f>
        <v>1597582.5806196</v>
      </c>
      <c r="L198" s="89" t="n">
        <f aca="true">IF(L$5=0,K198,MAX(0,(K198-L$4)*(1+NORMINV(RAND(),INPUTS!$B$28,INPUTS!$B$29))))</f>
        <v>1507205.84282832</v>
      </c>
      <c r="M198" s="89" t="n">
        <f aca="true">IF(M$5=0,L198,MAX(0,(L198-M$4)*(1+NORMINV(RAND(),INPUTS!$B$28,INPUTS!$B$29))))</f>
        <v>1402384.51571008</v>
      </c>
      <c r="N198" s="89" t="n">
        <f aca="true">IF(N$5=0,M198,MAX(0,(M198-N$4)*(1+NORMINV(RAND(),INPUTS!$B$28,INPUTS!$B$29))))</f>
        <v>1501993.19159385</v>
      </c>
      <c r="O198" s="89" t="n">
        <f aca="true">IF(O$5=0,N198,MAX(0,(N198-O$4)*(1+NORMINV(RAND(),INPUTS!$B$28,INPUTS!$B$29))))</f>
        <v>1639020.68472116</v>
      </c>
      <c r="P198" s="89" t="n">
        <f aca="true">IF(P$5=0,O198,MAX(0,(O198-P$4)*(1+NORMINV(RAND(),INPUTS!$B$28,INPUTS!$B$29))))</f>
        <v>1674488.55650676</v>
      </c>
      <c r="Q198" s="89" t="n">
        <f aca="true">IF(Q$5=0,P198,MAX(0,(P198-Q$4)*(1+NORMINV(RAND(),INPUTS!$B$28,INPUTS!$B$29))))</f>
        <v>1485783.43837465</v>
      </c>
      <c r="R198" s="89" t="n">
        <f aca="true">IF(R$5=0,Q198,MAX(0,(Q198-R$4)*(1+NORMINV(RAND(),INPUTS!$B$28,INPUTS!$B$29))))</f>
        <v>1462033.39890649</v>
      </c>
      <c r="S198" s="89" t="n">
        <f aca="true">IF(S$5=0,R198,MAX(0,(R198-S$4)*(1+NORMINV(RAND(),INPUTS!$B$28,INPUTS!$B$29))))</f>
        <v>1421486.60225913</v>
      </c>
      <c r="T198" s="89" t="n">
        <f aca="true">IF(T$5=0,S198,MAX(0,(S198-T$4)*(1+NORMINV(RAND(),INPUTS!$B$28,INPUTS!$B$29))))</f>
        <v>1345382.79867127</v>
      </c>
      <c r="U198" s="89" t="n">
        <f aca="true">IF(U$5=0,T198,MAX(0,(T198-U$4)*(1+NORMINV(RAND(),INPUTS!$B$28,INPUTS!$B$29))))</f>
        <v>1631839.29679502</v>
      </c>
      <c r="V198" s="89" t="n">
        <f aca="true">IF(V$5=0,U198,MAX(0,(U198-V$4)*(1+NORMINV(RAND(),INPUTS!$B$28,INPUTS!$B$29))))</f>
        <v>1684580.69028719</v>
      </c>
      <c r="W198" s="89" t="n">
        <f aca="true">IF(W$5=0,V198,MAX(0,(V198-W$4)*(1+NORMINV(RAND(),INPUTS!$B$28,INPUTS!$B$29))))</f>
        <v>1522852.8244989</v>
      </c>
      <c r="X198" s="89" t="n">
        <f aca="true">IF(X$5=0,W198,MAX(0,(W198-X$4)*(1+NORMINV(RAND(),INPUTS!$B$28,INPUTS!$B$29))))</f>
        <v>1599770.50652958</v>
      </c>
      <c r="Y198" s="89" t="n">
        <f aca="true">IF(Y$5=0,X198,MAX(0,(X198-Y$4)*(1+NORMINV(RAND(),INPUTS!$B$28,INPUTS!$B$29))))</f>
        <v>1481424.79636984</v>
      </c>
      <c r="Z198" s="89" t="n">
        <f aca="true">IF(Z$5=0,Y198,MAX(0,(Y198-Z$4)*(1+NORMINV(RAND(),INPUTS!$B$28,INPUTS!$B$29))))</f>
        <v>1606213.49722512</v>
      </c>
      <c r="AA198" s="89" t="n">
        <f aca="true">IF(AA$5=0,Z198,MAX(0,(Z198-AA$4)*(1+NORMINV(RAND(),INPUTS!$B$28,INPUTS!$B$29))))</f>
        <v>1938161.75952328</v>
      </c>
      <c r="AB198" s="89" t="n">
        <f aca="true">IF(AB$5=0,AA198,MAX(0,(AA198-AB$4)*(1+NORMINV(RAND(),INPUTS!$B$28,INPUTS!$B$29))))</f>
        <v>2214669.80222348</v>
      </c>
      <c r="AC198" s="89" t="n">
        <f aca="true">IF(AC$5=0,AB198,MAX(0,(AB198-AC$4)*(1+NORMINV(RAND(),INPUTS!$B$28,INPUTS!$B$29))))</f>
        <v>2186923.7684401</v>
      </c>
      <c r="AD198" s="89" t="n">
        <f aca="true">IF(AD$5=0,AC198,MAX(0,(AC198-AD$4)*(1+NORMINV(RAND(),INPUTS!$B$28,INPUTS!$B$29))))</f>
        <v>2538612.72960554</v>
      </c>
      <c r="AE198" s="89" t="n">
        <f aca="true">IF(AE$5=0,AD198,MAX(0,(AD198-AE$4)*(1+NORMINV(RAND(),INPUTS!$B$28,INPUTS!$B$29))))</f>
        <v>2711749.87244049</v>
      </c>
      <c r="AF198" s="89" t="n">
        <f aca="true">IF(AF$5=0,AE198,MAX(0,(AE198-AF$4)*(1+NORMINV(RAND(),INPUTS!$B$28,INPUTS!$B$29))))</f>
        <v>3150736.10511294</v>
      </c>
      <c r="AG198" s="89" t="n">
        <f aca="true">IF(AG$5=0,AF198,MAX(0,(AF198-AG$4)*(1+NORMINV(RAND(),INPUTS!$B$28,INPUTS!$B$29))))</f>
        <v>3592439.53593942</v>
      </c>
      <c r="AH198" s="89" t="n">
        <f aca="true">IF(AH$5=0,AG198,MAX(0,(AG198-AH$4)*(1+NORMINV(RAND(),INPUTS!$B$28,INPUTS!$B$29))))</f>
        <v>2789789.88506075</v>
      </c>
      <c r="AI198" s="89" t="n">
        <f aca="true">IF(AI$5=0,AH198,MAX(0,(AH198-AI$4)*(1+NORMINV(RAND(),INPUTS!$B$28,INPUTS!$B$29))))</f>
        <v>2776054.29836362</v>
      </c>
      <c r="AJ198" s="89" t="n">
        <f aca="true">IF(AJ$5=0,AI198,MAX(0,(AI198-AJ$4)*(1+NORMINV(RAND(),INPUTS!$B$28,INPUTS!$B$29))))</f>
        <v>2676512.61117572</v>
      </c>
      <c r="AK198" s="89" t="n">
        <f aca="true">IF(AK$5=0,AJ198,MAX(0,(AJ198-AK$4)*(1+NORMINV(RAND(),INPUTS!$B$28,INPUTS!$B$29))))</f>
        <v>2595836.60385408</v>
      </c>
      <c r="AL198" s="89" t="n">
        <f aca="true">IF(AL$5=0,AK198,MAX(0,(AK198-AL$4)*(1+NORMINV(RAND(),INPUTS!$B$28,INPUTS!$B$29))))</f>
        <v>2448074.82133762</v>
      </c>
      <c r="AM198" s="89" t="n">
        <f aca="true">IF(AM$5=0,AL198,MAX(0,(AL198-AM$4)*(1+NORMINV(RAND(),INPUTS!$B$28,INPUTS!$B$29))))</f>
        <v>2448074.82133762</v>
      </c>
      <c r="AN198" s="89" t="n">
        <f aca="true">IF(AN$5=0,AM198,MAX(0,(AM198-AN$4)*(1+NORMINV(RAND(),INPUTS!$B$28,INPUTS!$B$29))))</f>
        <v>2448074.82133762</v>
      </c>
      <c r="AO198" s="89" t="n">
        <f aca="true">IF(AO$5=0,AN198,MAX(0,(AN198-AO$4)*(1+NORMINV(RAND(),INPUTS!$B$28,INPUTS!$B$29))))</f>
        <v>2448074.82133762</v>
      </c>
      <c r="AP198" s="89" t="n">
        <f aca="true">IF(AP$5=0,AO198,MAX(0,(AO198-AP$4)*(1+NORMINV(RAND(),INPUTS!$B$28,INPUTS!$B$29))))</f>
        <v>2448074.82133762</v>
      </c>
      <c r="AQ198" s="89" t="n">
        <f aca="true">IF(AQ$5=0,AP198,MAX(0,(AP198-AQ$4)*(1+NORMINV(RAND(),INPUTS!$B$28,INPUTS!$B$29))))</f>
        <v>2448074.82133762</v>
      </c>
      <c r="AR198" s="89" t="n">
        <f aca="true">IF(AR$5=0,AQ198,MAX(0,(AQ198-AR$4)*(1+NORMINV(RAND(),INPUTS!$B$28,INPUTS!$B$29))))</f>
        <v>2448074.82133762</v>
      </c>
      <c r="AS198" s="89" t="n">
        <f aca="true">IF(AS$5=0,AR198,MAX(0,(AR198-AS$4)*(1+NORMINV(RAND(),INPUTS!$B$28,INPUTS!$B$29))))</f>
        <v>2448074.82133762</v>
      </c>
      <c r="AT198" s="89" t="n">
        <f aca="true">IF(AT$5=0,AS198,MAX(0,(AS198-AT$4)*(1+NORMINV(RAND(),INPUTS!$B$28,INPUTS!$B$29))))</f>
        <v>2448074.82133762</v>
      </c>
      <c r="AU198" s="89" t="n">
        <f aca="true">IF(AU$5=0,AT198,MAX(0,(AT198-AU$4)*(1+NORMINV(RAND(),INPUTS!$B$28,INPUTS!$B$29))))</f>
        <v>2448074.82133762</v>
      </c>
      <c r="AV198" s="89" t="n">
        <f aca="true">IF(AV$5=0,AU198,MAX(0,(AU198-AV$4)*(1+NORMINV(RAND(),INPUTS!$B$28,INPUTS!$B$29))))</f>
        <v>2448074.82133762</v>
      </c>
      <c r="AW198" s="89" t="n">
        <f aca="true">IF(AW$5=0,AV198,MAX(0,(AV198-AW$4)*(1+NORMINV(RAND(),INPUTS!$B$28,INPUTS!$B$29))))</f>
        <v>2448074.82133762</v>
      </c>
      <c r="AX198" s="89" t="n">
        <f aca="true">IF(AX$5=0,AW198,MAX(0,(AW198-AX$4)*(1+NORMINV(RAND(),INPUTS!$B$28,INPUTS!$B$29))))</f>
        <v>2448074.82133762</v>
      </c>
      <c r="AY198" s="89" t="n">
        <f aca="true">IF(AY$5=0,AX198,MAX(0,(AX198-AY$4)*(1+NORMINV(RAND(),INPUTS!$B$28,INPUTS!$B$29))))</f>
        <v>2448074.82133762</v>
      </c>
      <c r="AZ198" s="89" t="n">
        <f aca="true">IF(AZ$5=0,AY198,MAX(0,(AY198-AZ$4)*(1+NORMINV(RAND(),INPUTS!$B$28,INPUTS!$B$29))))</f>
        <v>2448074.82133762</v>
      </c>
      <c r="BA198" s="89" t="n">
        <f aca="true">IF(BA$5=0,AZ198,MAX(0,(AZ198-BA$4)*(1+NORMINV(RAND(),INPUTS!$B$28,INPUTS!$B$29))))</f>
        <v>2448074.82133762</v>
      </c>
      <c r="BB198" s="89" t="n">
        <f aca="true">IF(BB$5=0,BA198,MAX(0,(BA198-BB$4)*(1+NORMINV(RAND(),INPUTS!$B$28,INPUTS!$B$29))))</f>
        <v>2448074.82133762</v>
      </c>
      <c r="BC198" s="89" t="n">
        <f aca="true">IF(BC$5=0,BB198,MAX(0,(BB198-BC$4)*(1+NORMINV(RAND(),INPUTS!$B$28,INPUTS!$B$29))))</f>
        <v>2448074.82133762</v>
      </c>
      <c r="BD198" s="89" t="n">
        <f aca="true">IF(BD$5=0,BC198,MAX(0,(BC198-BD$4)*(1+NORMINV(RAND(),INPUTS!$B$28,INPUTS!$B$29))))</f>
        <v>2448074.82133762</v>
      </c>
      <c r="BE198" s="89" t="n">
        <f aca="true">IF(BE$5=0,BD198,MAX(0,(BD198-BE$4)*(1+NORMINV(RAND(),INPUTS!$B$28,INPUTS!$B$29))))</f>
        <v>2448074.82133762</v>
      </c>
      <c r="BF198" s="89" t="n">
        <f aca="true">IF(BF$5=0,BE198,MAX(0,(BE198-BF$4)*(1+NORMINV(RAND(),INPUTS!$B$28,INPUTS!$B$29))))</f>
        <v>2448074.82133762</v>
      </c>
      <c r="BG198" s="89" t="n">
        <f aca="true">IF(BG$5=0,BF198,MAX(0,(BF198-BG$4)*(1+NORMINV(RAND(),INPUTS!$B$28,INPUTS!$B$29))))</f>
        <v>2448074.82133762</v>
      </c>
      <c r="BH198" s="89" t="n">
        <f aca="true">IF(BH$5=0,BG198,MAX(0,(BG198-BH$4)*(1+NORMINV(RAND(),INPUTS!$B$28,INPUTS!$B$29))))</f>
        <v>2448074.82133762</v>
      </c>
      <c r="BI198" s="89" t="n">
        <f aca="true">IF(BI$5=0,BH198,MAX(0,(BH198-BI$4)*(1+NORMINV(RAND(),INPUTS!$B$28,INPUTS!$B$29))))</f>
        <v>2448074.82133762</v>
      </c>
      <c r="BJ198" s="89" t="n">
        <f aca="true">IF(BJ$5=0,BI198,MAX(0,(BI198-BJ$4)*(1+NORMINV(RAND(),INPUTS!$B$28,INPUTS!$B$29))))</f>
        <v>2448074.82133762</v>
      </c>
    </row>
    <row r="199" customFormat="false" ht="15" hidden="false" customHeight="true" outlineLevel="0" collapsed="false">
      <c r="A199" s="87" t="n">
        <v>192</v>
      </c>
      <c r="B199" s="88" t="n">
        <f aca="false">LOOKUP(9.99E+307,C199:BJ199)</f>
        <v>3506796.56327753</v>
      </c>
      <c r="C199" s="89" t="n">
        <f aca="true">IF(C$5=0,INPUTS!$B$35,MAX(0,(INPUTS!$B$35-C$4)*(1+NORMINV(RAND(),INPUTS!$B$28,INPUTS!$B$29))))</f>
        <v>1458774.25153821</v>
      </c>
      <c r="D199" s="89" t="n">
        <f aca="true">IF(D$5=0,C199,MAX(0,(C199-D$4)*(1+NORMINV(RAND(),INPUTS!$B$28,INPUTS!$B$29))))</f>
        <v>1280114.10150099</v>
      </c>
      <c r="E199" s="89" t="n">
        <f aca="true">IF(E$5=0,D199,MAX(0,(D199-E$4)*(1+NORMINV(RAND(),INPUTS!$B$28,INPUTS!$B$29))))</f>
        <v>1302243.99463754</v>
      </c>
      <c r="F199" s="89" t="n">
        <f aca="true">IF(F$5=0,E199,MAX(0,(E199-F$4)*(1+NORMINV(RAND(),INPUTS!$B$28,INPUTS!$B$29))))</f>
        <v>1162008.24565214</v>
      </c>
      <c r="G199" s="89" t="n">
        <f aca="true">IF(G$5=0,F199,MAX(0,(F199-G$4)*(1+NORMINV(RAND(),INPUTS!$B$28,INPUTS!$B$29))))</f>
        <v>1475848.54652192</v>
      </c>
      <c r="H199" s="89" t="n">
        <f aca="true">IF(H$5=0,G199,MAX(0,(G199-H$4)*(1+NORMINV(RAND(),INPUTS!$B$28,INPUTS!$B$29))))</f>
        <v>1521849.94571641</v>
      </c>
      <c r="I199" s="89" t="n">
        <f aca="true">IF(I$5=0,H199,MAX(0,(H199-I$4)*(1+NORMINV(RAND(),INPUTS!$B$28,INPUTS!$B$29))))</f>
        <v>1678810.77838315</v>
      </c>
      <c r="J199" s="89" t="n">
        <f aca="true">IF(J$5=0,I199,MAX(0,(I199-J$4)*(1+NORMINV(RAND(),INPUTS!$B$28,INPUTS!$B$29))))</f>
        <v>1628043.27103988</v>
      </c>
      <c r="K199" s="89" t="n">
        <f aca="true">IF(K$5=0,J199,MAX(0,(J199-K$4)*(1+NORMINV(RAND(),INPUTS!$B$28,INPUTS!$B$29))))</f>
        <v>1500547.81507647</v>
      </c>
      <c r="L199" s="89" t="n">
        <f aca="true">IF(L$5=0,K199,MAX(0,(K199-L$4)*(1+NORMINV(RAND(),INPUTS!$B$28,INPUTS!$B$29))))</f>
        <v>1588053.71164674</v>
      </c>
      <c r="M199" s="89" t="n">
        <f aca="true">IF(M$5=0,L199,MAX(0,(L199-M$4)*(1+NORMINV(RAND(),INPUTS!$B$28,INPUTS!$B$29))))</f>
        <v>1523436.51958659</v>
      </c>
      <c r="N199" s="89" t="n">
        <f aca="true">IF(N$5=0,M199,MAX(0,(M199-N$4)*(1+NORMINV(RAND(),INPUTS!$B$28,INPUTS!$B$29))))</f>
        <v>1517539.70394186</v>
      </c>
      <c r="O199" s="89" t="n">
        <f aca="true">IF(O$5=0,N199,MAX(0,(N199-O$4)*(1+NORMINV(RAND(),INPUTS!$B$28,INPUTS!$B$29))))</f>
        <v>1534712.97558067</v>
      </c>
      <c r="P199" s="89" t="n">
        <f aca="true">IF(P$5=0,O199,MAX(0,(O199-P$4)*(1+NORMINV(RAND(),INPUTS!$B$28,INPUTS!$B$29))))</f>
        <v>1753781.06546652</v>
      </c>
      <c r="Q199" s="89" t="n">
        <f aca="true">IF(Q$5=0,P199,MAX(0,(P199-Q$4)*(1+NORMINV(RAND(),INPUTS!$B$28,INPUTS!$B$29))))</f>
        <v>1777280.49342437</v>
      </c>
      <c r="R199" s="89" t="n">
        <f aca="true">IF(R$5=0,Q199,MAX(0,(Q199-R$4)*(1+NORMINV(RAND(),INPUTS!$B$28,INPUTS!$B$29))))</f>
        <v>1761095.70694255</v>
      </c>
      <c r="S199" s="89" t="n">
        <f aca="true">IF(S$5=0,R199,MAX(0,(R199-S$4)*(1+NORMINV(RAND(),INPUTS!$B$28,INPUTS!$B$29))))</f>
        <v>1940305.37629234</v>
      </c>
      <c r="T199" s="89" t="n">
        <f aca="true">IF(T$5=0,S199,MAX(0,(S199-T$4)*(1+NORMINV(RAND(),INPUTS!$B$28,INPUTS!$B$29))))</f>
        <v>2063945.9272016</v>
      </c>
      <c r="U199" s="89" t="n">
        <f aca="true">IF(U$5=0,T199,MAX(0,(T199-U$4)*(1+NORMINV(RAND(),INPUTS!$B$28,INPUTS!$B$29))))</f>
        <v>2503758.62625144</v>
      </c>
      <c r="V199" s="89" t="n">
        <f aca="true">IF(V$5=0,U199,MAX(0,(U199-V$4)*(1+NORMINV(RAND(),INPUTS!$B$28,INPUTS!$B$29))))</f>
        <v>2219304.34778014</v>
      </c>
      <c r="W199" s="89" t="n">
        <f aca="true">IF(W$5=0,V199,MAX(0,(V199-W$4)*(1+NORMINV(RAND(),INPUTS!$B$28,INPUTS!$B$29))))</f>
        <v>2235981.67312561</v>
      </c>
      <c r="X199" s="89" t="n">
        <f aca="true">IF(X$5=0,W199,MAX(0,(W199-X$4)*(1+NORMINV(RAND(),INPUTS!$B$28,INPUTS!$B$29))))</f>
        <v>2207294.19035787</v>
      </c>
      <c r="Y199" s="89" t="n">
        <f aca="true">IF(Y$5=0,X199,MAX(0,(X199-Y$4)*(1+NORMINV(RAND(),INPUTS!$B$28,INPUTS!$B$29))))</f>
        <v>2105808.45085219</v>
      </c>
      <c r="Z199" s="89" t="n">
        <f aca="true">IF(Z$5=0,Y199,MAX(0,(Y199-Z$4)*(1+NORMINV(RAND(),INPUTS!$B$28,INPUTS!$B$29))))</f>
        <v>2194413.65963266</v>
      </c>
      <c r="AA199" s="89" t="n">
        <f aca="true">IF(AA$5=0,Z199,MAX(0,(Z199-AA$4)*(1+NORMINV(RAND(),INPUTS!$B$28,INPUTS!$B$29))))</f>
        <v>2240057.08772487</v>
      </c>
      <c r="AB199" s="89" t="n">
        <f aca="true">IF(AB$5=0,AA199,MAX(0,(AA199-AB$4)*(1+NORMINV(RAND(),INPUTS!$B$28,INPUTS!$B$29))))</f>
        <v>2844660.99874993</v>
      </c>
      <c r="AC199" s="89" t="n">
        <f aca="true">IF(AC$5=0,AB199,MAX(0,(AB199-AC$4)*(1+NORMINV(RAND(),INPUTS!$B$28,INPUTS!$B$29))))</f>
        <v>2627122.04107692</v>
      </c>
      <c r="AD199" s="89" t="n">
        <f aca="true">IF(AD$5=0,AC199,MAX(0,(AC199-AD$4)*(1+NORMINV(RAND(),INPUTS!$B$28,INPUTS!$B$29))))</f>
        <v>2968995.15580255</v>
      </c>
      <c r="AE199" s="89" t="n">
        <f aca="true">IF(AE$5=0,AD199,MAX(0,(AD199-AE$4)*(1+NORMINV(RAND(),INPUTS!$B$28,INPUTS!$B$29))))</f>
        <v>2343796.41573828</v>
      </c>
      <c r="AF199" s="89" t="n">
        <f aca="true">IF(AF$5=0,AE199,MAX(0,(AE199-AF$4)*(1+NORMINV(RAND(),INPUTS!$B$28,INPUTS!$B$29))))</f>
        <v>2629172.20644845</v>
      </c>
      <c r="AG199" s="89" t="n">
        <f aca="true">IF(AG$5=0,AF199,MAX(0,(AF199-AG$4)*(1+NORMINV(RAND(),INPUTS!$B$28,INPUTS!$B$29))))</f>
        <v>2697716.56900185</v>
      </c>
      <c r="AH199" s="89" t="n">
        <f aca="true">IF(AH$5=0,AG199,MAX(0,(AG199-AH$4)*(1+NORMINV(RAND(),INPUTS!$B$28,INPUTS!$B$29))))</f>
        <v>2829168.69539292</v>
      </c>
      <c r="AI199" s="89" t="n">
        <f aca="true">IF(AI$5=0,AH199,MAX(0,(AH199-AI$4)*(1+NORMINV(RAND(),INPUTS!$B$28,INPUTS!$B$29))))</f>
        <v>2951963.12086733</v>
      </c>
      <c r="AJ199" s="89" t="n">
        <f aca="true">IF(AJ$5=0,AI199,MAX(0,(AI199-AJ$4)*(1+NORMINV(RAND(),INPUTS!$B$28,INPUTS!$B$29))))</f>
        <v>2630484.66845331</v>
      </c>
      <c r="AK199" s="89" t="n">
        <f aca="true">IF(AK$5=0,AJ199,MAX(0,(AJ199-AK$4)*(1+NORMINV(RAND(),INPUTS!$B$28,INPUTS!$B$29))))</f>
        <v>2755802.95549556</v>
      </c>
      <c r="AL199" s="89" t="n">
        <f aca="true">IF(AL$5=0,AK199,MAX(0,(AK199-AL$4)*(1+NORMINV(RAND(),INPUTS!$B$28,INPUTS!$B$29))))</f>
        <v>3506796.56327753</v>
      </c>
      <c r="AM199" s="89" t="n">
        <f aca="true">IF(AM$5=0,AL199,MAX(0,(AL199-AM$4)*(1+NORMINV(RAND(),INPUTS!$B$28,INPUTS!$B$29))))</f>
        <v>3506796.56327753</v>
      </c>
      <c r="AN199" s="89" t="n">
        <f aca="true">IF(AN$5=0,AM199,MAX(0,(AM199-AN$4)*(1+NORMINV(RAND(),INPUTS!$B$28,INPUTS!$B$29))))</f>
        <v>3506796.56327753</v>
      </c>
      <c r="AO199" s="89" t="n">
        <f aca="true">IF(AO$5=0,AN199,MAX(0,(AN199-AO$4)*(1+NORMINV(RAND(),INPUTS!$B$28,INPUTS!$B$29))))</f>
        <v>3506796.56327753</v>
      </c>
      <c r="AP199" s="89" t="n">
        <f aca="true">IF(AP$5=0,AO199,MAX(0,(AO199-AP$4)*(1+NORMINV(RAND(),INPUTS!$B$28,INPUTS!$B$29))))</f>
        <v>3506796.56327753</v>
      </c>
      <c r="AQ199" s="89" t="n">
        <f aca="true">IF(AQ$5=0,AP199,MAX(0,(AP199-AQ$4)*(1+NORMINV(RAND(),INPUTS!$B$28,INPUTS!$B$29))))</f>
        <v>3506796.56327753</v>
      </c>
      <c r="AR199" s="89" t="n">
        <f aca="true">IF(AR$5=0,AQ199,MAX(0,(AQ199-AR$4)*(1+NORMINV(RAND(),INPUTS!$B$28,INPUTS!$B$29))))</f>
        <v>3506796.56327753</v>
      </c>
      <c r="AS199" s="89" t="n">
        <f aca="true">IF(AS$5=0,AR199,MAX(0,(AR199-AS$4)*(1+NORMINV(RAND(),INPUTS!$B$28,INPUTS!$B$29))))</f>
        <v>3506796.56327753</v>
      </c>
      <c r="AT199" s="89" t="n">
        <f aca="true">IF(AT$5=0,AS199,MAX(0,(AS199-AT$4)*(1+NORMINV(RAND(),INPUTS!$B$28,INPUTS!$B$29))))</f>
        <v>3506796.56327753</v>
      </c>
      <c r="AU199" s="89" t="n">
        <f aca="true">IF(AU$5=0,AT199,MAX(0,(AT199-AU$4)*(1+NORMINV(RAND(),INPUTS!$B$28,INPUTS!$B$29))))</f>
        <v>3506796.56327753</v>
      </c>
      <c r="AV199" s="89" t="n">
        <f aca="true">IF(AV$5=0,AU199,MAX(0,(AU199-AV$4)*(1+NORMINV(RAND(),INPUTS!$B$28,INPUTS!$B$29))))</f>
        <v>3506796.56327753</v>
      </c>
      <c r="AW199" s="89" t="n">
        <f aca="true">IF(AW$5=0,AV199,MAX(0,(AV199-AW$4)*(1+NORMINV(RAND(),INPUTS!$B$28,INPUTS!$B$29))))</f>
        <v>3506796.56327753</v>
      </c>
      <c r="AX199" s="89" t="n">
        <f aca="true">IF(AX$5=0,AW199,MAX(0,(AW199-AX$4)*(1+NORMINV(RAND(),INPUTS!$B$28,INPUTS!$B$29))))</f>
        <v>3506796.56327753</v>
      </c>
      <c r="AY199" s="89" t="n">
        <f aca="true">IF(AY$5=0,AX199,MAX(0,(AX199-AY$4)*(1+NORMINV(RAND(),INPUTS!$B$28,INPUTS!$B$29))))</f>
        <v>3506796.56327753</v>
      </c>
      <c r="AZ199" s="89" t="n">
        <f aca="true">IF(AZ$5=0,AY199,MAX(0,(AY199-AZ$4)*(1+NORMINV(RAND(),INPUTS!$B$28,INPUTS!$B$29))))</f>
        <v>3506796.56327753</v>
      </c>
      <c r="BA199" s="89" t="n">
        <f aca="true">IF(BA$5=0,AZ199,MAX(0,(AZ199-BA$4)*(1+NORMINV(RAND(),INPUTS!$B$28,INPUTS!$B$29))))</f>
        <v>3506796.56327753</v>
      </c>
      <c r="BB199" s="89" t="n">
        <f aca="true">IF(BB$5=0,BA199,MAX(0,(BA199-BB$4)*(1+NORMINV(RAND(),INPUTS!$B$28,INPUTS!$B$29))))</f>
        <v>3506796.56327753</v>
      </c>
      <c r="BC199" s="89" t="n">
        <f aca="true">IF(BC$5=0,BB199,MAX(0,(BB199-BC$4)*(1+NORMINV(RAND(),INPUTS!$B$28,INPUTS!$B$29))))</f>
        <v>3506796.56327753</v>
      </c>
      <c r="BD199" s="89" t="n">
        <f aca="true">IF(BD$5=0,BC199,MAX(0,(BC199-BD$4)*(1+NORMINV(RAND(),INPUTS!$B$28,INPUTS!$B$29))))</f>
        <v>3506796.56327753</v>
      </c>
      <c r="BE199" s="89" t="n">
        <f aca="true">IF(BE$5=0,BD199,MAX(0,(BD199-BE$4)*(1+NORMINV(RAND(),INPUTS!$B$28,INPUTS!$B$29))))</f>
        <v>3506796.56327753</v>
      </c>
      <c r="BF199" s="89" t="n">
        <f aca="true">IF(BF$5=0,BE199,MAX(0,(BE199-BF$4)*(1+NORMINV(RAND(),INPUTS!$B$28,INPUTS!$B$29))))</f>
        <v>3506796.56327753</v>
      </c>
      <c r="BG199" s="89" t="n">
        <f aca="true">IF(BG$5=0,BF199,MAX(0,(BF199-BG$4)*(1+NORMINV(RAND(),INPUTS!$B$28,INPUTS!$B$29))))</f>
        <v>3506796.56327753</v>
      </c>
      <c r="BH199" s="89" t="n">
        <f aca="true">IF(BH$5=0,BG199,MAX(0,(BG199-BH$4)*(1+NORMINV(RAND(),INPUTS!$B$28,INPUTS!$B$29))))</f>
        <v>3506796.56327753</v>
      </c>
      <c r="BI199" s="89" t="n">
        <f aca="true">IF(BI$5=0,BH199,MAX(0,(BH199-BI$4)*(1+NORMINV(RAND(),INPUTS!$B$28,INPUTS!$B$29))))</f>
        <v>3506796.56327753</v>
      </c>
      <c r="BJ199" s="89" t="n">
        <f aca="true">IF(BJ$5=0,BI199,MAX(0,(BI199-BJ$4)*(1+NORMINV(RAND(),INPUTS!$B$28,INPUTS!$B$29))))</f>
        <v>3506796.56327753</v>
      </c>
    </row>
    <row r="200" customFormat="false" ht="15" hidden="false" customHeight="true" outlineLevel="0" collapsed="false">
      <c r="A200" s="87" t="n">
        <v>193</v>
      </c>
      <c r="B200" s="88" t="n">
        <f aca="false">LOOKUP(9.99E+307,C200:BJ200)</f>
        <v>1241008.49816101</v>
      </c>
      <c r="C200" s="89" t="n">
        <f aca="true">IF(C$5=0,INPUTS!$B$35,MAX(0,(INPUTS!$B$35-C$4)*(1+NORMINV(RAND(),INPUTS!$B$28,INPUTS!$B$29))))</f>
        <v>1631701.07306419</v>
      </c>
      <c r="D200" s="89" t="n">
        <f aca="true">IF(D$5=0,C200,MAX(0,(C200-D$4)*(1+NORMINV(RAND(),INPUTS!$B$28,INPUTS!$B$29))))</f>
        <v>1552649.19890917</v>
      </c>
      <c r="E200" s="89" t="n">
        <f aca="true">IF(E$5=0,D200,MAX(0,(D200-E$4)*(1+NORMINV(RAND(),INPUTS!$B$28,INPUTS!$B$29))))</f>
        <v>1510948.62636289</v>
      </c>
      <c r="F200" s="89" t="n">
        <f aca="true">IF(F$5=0,E200,MAX(0,(E200-F$4)*(1+NORMINV(RAND(),INPUTS!$B$28,INPUTS!$B$29))))</f>
        <v>1504861.27435131</v>
      </c>
      <c r="G200" s="89" t="n">
        <f aca="true">IF(G$5=0,F200,MAX(0,(F200-G$4)*(1+NORMINV(RAND(),INPUTS!$B$28,INPUTS!$B$29))))</f>
        <v>1531062.8601296</v>
      </c>
      <c r="H200" s="89" t="n">
        <f aca="true">IF(H$5=0,G200,MAX(0,(G200-H$4)*(1+NORMINV(RAND(),INPUTS!$B$28,INPUTS!$B$29))))</f>
        <v>1355132.31653018</v>
      </c>
      <c r="I200" s="89" t="n">
        <f aca="true">IF(I$5=0,H200,MAX(0,(H200-I$4)*(1+NORMINV(RAND(),INPUTS!$B$28,INPUTS!$B$29))))</f>
        <v>1365747.51747459</v>
      </c>
      <c r="J200" s="89" t="n">
        <f aca="true">IF(J$5=0,I200,MAX(0,(I200-J$4)*(1+NORMINV(RAND(),INPUTS!$B$28,INPUTS!$B$29))))</f>
        <v>1207021.07289856</v>
      </c>
      <c r="K200" s="89" t="n">
        <f aca="true">IF(K$5=0,J200,MAX(0,(J200-K$4)*(1+NORMINV(RAND(),INPUTS!$B$28,INPUTS!$B$29))))</f>
        <v>1181612.49962277</v>
      </c>
      <c r="L200" s="89" t="n">
        <f aca="true">IF(L$5=0,K200,MAX(0,(K200-L$4)*(1+NORMINV(RAND(),INPUTS!$B$28,INPUTS!$B$29))))</f>
        <v>1186218.39520879</v>
      </c>
      <c r="M200" s="89" t="n">
        <f aca="true">IF(M$5=0,L200,MAX(0,(L200-M$4)*(1+NORMINV(RAND(),INPUTS!$B$28,INPUTS!$B$29))))</f>
        <v>1299281.89615082</v>
      </c>
      <c r="N200" s="89" t="n">
        <f aca="true">IF(N$5=0,M200,MAX(0,(M200-N$4)*(1+NORMINV(RAND(),INPUTS!$B$28,INPUTS!$B$29))))</f>
        <v>1191192.58756504</v>
      </c>
      <c r="O200" s="89" t="n">
        <f aca="true">IF(O$5=0,N200,MAX(0,(N200-O$4)*(1+NORMINV(RAND(),INPUTS!$B$28,INPUTS!$B$29))))</f>
        <v>1035930.89201184</v>
      </c>
      <c r="P200" s="89" t="n">
        <f aca="true">IF(P$5=0,O200,MAX(0,(O200-P$4)*(1+NORMINV(RAND(),INPUTS!$B$28,INPUTS!$B$29))))</f>
        <v>1075973.34163192</v>
      </c>
      <c r="Q200" s="89" t="n">
        <f aca="true">IF(Q$5=0,P200,MAX(0,(P200-Q$4)*(1+NORMINV(RAND(),INPUTS!$B$28,INPUTS!$B$29))))</f>
        <v>1175690.18642416</v>
      </c>
      <c r="R200" s="89" t="n">
        <f aca="true">IF(R$5=0,Q200,MAX(0,(Q200-R$4)*(1+NORMINV(RAND(),INPUTS!$B$28,INPUTS!$B$29))))</f>
        <v>1368273.65580926</v>
      </c>
      <c r="S200" s="89" t="n">
        <f aca="true">IF(S$5=0,R200,MAX(0,(R200-S$4)*(1+NORMINV(RAND(),INPUTS!$B$28,INPUTS!$B$29))))</f>
        <v>1306838.54973849</v>
      </c>
      <c r="T200" s="89" t="n">
        <f aca="true">IF(T$5=0,S200,MAX(0,(S200-T$4)*(1+NORMINV(RAND(),INPUTS!$B$28,INPUTS!$B$29))))</f>
        <v>1282496.72608866</v>
      </c>
      <c r="U200" s="89" t="n">
        <f aca="true">IF(U$5=0,T200,MAX(0,(T200-U$4)*(1+NORMINV(RAND(),INPUTS!$B$28,INPUTS!$B$29))))</f>
        <v>1235757.12591889</v>
      </c>
      <c r="V200" s="89" t="n">
        <f aca="true">IF(V$5=0,U200,MAX(0,(U200-V$4)*(1+NORMINV(RAND(),INPUTS!$B$28,INPUTS!$B$29))))</f>
        <v>1093466.71076457</v>
      </c>
      <c r="W200" s="89" t="n">
        <f aca="true">IF(W$5=0,V200,MAX(0,(V200-W$4)*(1+NORMINV(RAND(),INPUTS!$B$28,INPUTS!$B$29))))</f>
        <v>1080492.39202895</v>
      </c>
      <c r="X200" s="89" t="n">
        <f aca="true">IF(X$5=0,W200,MAX(0,(W200-X$4)*(1+NORMINV(RAND(),INPUTS!$B$28,INPUTS!$B$29))))</f>
        <v>1204345.14793824</v>
      </c>
      <c r="Y200" s="89" t="n">
        <f aca="true">IF(Y$5=0,X200,MAX(0,(X200-Y$4)*(1+NORMINV(RAND(),INPUTS!$B$28,INPUTS!$B$29))))</f>
        <v>1213372.91916445</v>
      </c>
      <c r="Z200" s="89" t="n">
        <f aca="true">IF(Z$5=0,Y200,MAX(0,(Y200-Z$4)*(1+NORMINV(RAND(),INPUTS!$B$28,INPUTS!$B$29))))</f>
        <v>1152218.12316283</v>
      </c>
      <c r="AA200" s="89" t="n">
        <f aca="true">IF(AA$5=0,Z200,MAX(0,(Z200-AA$4)*(1+NORMINV(RAND(),INPUTS!$B$28,INPUTS!$B$29))))</f>
        <v>1092340.9698769</v>
      </c>
      <c r="AB200" s="89" t="n">
        <f aca="true">IF(AB$5=0,AA200,MAX(0,(AA200-AB$4)*(1+NORMINV(RAND(),INPUTS!$B$28,INPUTS!$B$29))))</f>
        <v>1009969.74355499</v>
      </c>
      <c r="AC200" s="89" t="n">
        <f aca="true">IF(AC$5=0,AB200,MAX(0,(AB200-AC$4)*(1+NORMINV(RAND(),INPUTS!$B$28,INPUTS!$B$29))))</f>
        <v>1163471.87355982</v>
      </c>
      <c r="AD200" s="89" t="n">
        <f aca="true">IF(AD$5=0,AC200,MAX(0,(AC200-AD$4)*(1+NORMINV(RAND(),INPUTS!$B$28,INPUTS!$B$29))))</f>
        <v>1394055.6601033</v>
      </c>
      <c r="AE200" s="89" t="n">
        <f aca="true">IF(AE$5=0,AD200,MAX(0,(AD200-AE$4)*(1+NORMINV(RAND(),INPUTS!$B$28,INPUTS!$B$29))))</f>
        <v>1343992.82411065</v>
      </c>
      <c r="AF200" s="89" t="n">
        <f aca="true">IF(AF$5=0,AE200,MAX(0,(AE200-AF$4)*(1+NORMINV(RAND(),INPUTS!$B$28,INPUTS!$B$29))))</f>
        <v>1476737.82868393</v>
      </c>
      <c r="AG200" s="89" t="n">
        <f aca="true">IF(AG$5=0,AF200,MAX(0,(AF200-AG$4)*(1+NORMINV(RAND(),INPUTS!$B$28,INPUTS!$B$29))))</f>
        <v>1524122.32838047</v>
      </c>
      <c r="AH200" s="89" t="n">
        <f aca="true">IF(AH$5=0,AG200,MAX(0,(AG200-AH$4)*(1+NORMINV(RAND(),INPUTS!$B$28,INPUTS!$B$29))))</f>
        <v>1678106.32431431</v>
      </c>
      <c r="AI200" s="89" t="n">
        <f aca="true">IF(AI$5=0,AH200,MAX(0,(AH200-AI$4)*(1+NORMINV(RAND(),INPUTS!$B$28,INPUTS!$B$29))))</f>
        <v>1443730.99192462</v>
      </c>
      <c r="AJ200" s="89" t="n">
        <f aca="true">IF(AJ$5=0,AI200,MAX(0,(AI200-AJ$4)*(1+NORMINV(RAND(),INPUTS!$B$28,INPUTS!$B$29))))</f>
        <v>1382994.98630051</v>
      </c>
      <c r="AK200" s="89" t="n">
        <f aca="true">IF(AK$5=0,AJ200,MAX(0,(AJ200-AK$4)*(1+NORMINV(RAND(),INPUTS!$B$28,INPUTS!$B$29))))</f>
        <v>1409308.34596548</v>
      </c>
      <c r="AL200" s="89" t="n">
        <f aca="true">IF(AL$5=0,AK200,MAX(0,(AK200-AL$4)*(1+NORMINV(RAND(),INPUTS!$B$28,INPUTS!$B$29))))</f>
        <v>1241008.49816101</v>
      </c>
      <c r="AM200" s="89" t="n">
        <f aca="true">IF(AM$5=0,AL200,MAX(0,(AL200-AM$4)*(1+NORMINV(RAND(),INPUTS!$B$28,INPUTS!$B$29))))</f>
        <v>1241008.49816101</v>
      </c>
      <c r="AN200" s="89" t="n">
        <f aca="true">IF(AN$5=0,AM200,MAX(0,(AM200-AN$4)*(1+NORMINV(RAND(),INPUTS!$B$28,INPUTS!$B$29))))</f>
        <v>1241008.49816101</v>
      </c>
      <c r="AO200" s="89" t="n">
        <f aca="true">IF(AO$5=0,AN200,MAX(0,(AN200-AO$4)*(1+NORMINV(RAND(),INPUTS!$B$28,INPUTS!$B$29))))</f>
        <v>1241008.49816101</v>
      </c>
      <c r="AP200" s="89" t="n">
        <f aca="true">IF(AP$5=0,AO200,MAX(0,(AO200-AP$4)*(1+NORMINV(RAND(),INPUTS!$B$28,INPUTS!$B$29))))</f>
        <v>1241008.49816101</v>
      </c>
      <c r="AQ200" s="89" t="n">
        <f aca="true">IF(AQ$5=0,AP200,MAX(0,(AP200-AQ$4)*(1+NORMINV(RAND(),INPUTS!$B$28,INPUTS!$B$29))))</f>
        <v>1241008.49816101</v>
      </c>
      <c r="AR200" s="89" t="n">
        <f aca="true">IF(AR$5=0,AQ200,MAX(0,(AQ200-AR$4)*(1+NORMINV(RAND(),INPUTS!$B$28,INPUTS!$B$29))))</f>
        <v>1241008.49816101</v>
      </c>
      <c r="AS200" s="89" t="n">
        <f aca="true">IF(AS$5=0,AR200,MAX(0,(AR200-AS$4)*(1+NORMINV(RAND(),INPUTS!$B$28,INPUTS!$B$29))))</f>
        <v>1241008.49816101</v>
      </c>
      <c r="AT200" s="89" t="n">
        <f aca="true">IF(AT$5=0,AS200,MAX(0,(AS200-AT$4)*(1+NORMINV(RAND(),INPUTS!$B$28,INPUTS!$B$29))))</f>
        <v>1241008.49816101</v>
      </c>
      <c r="AU200" s="89" t="n">
        <f aca="true">IF(AU$5=0,AT200,MAX(0,(AT200-AU$4)*(1+NORMINV(RAND(),INPUTS!$B$28,INPUTS!$B$29))))</f>
        <v>1241008.49816101</v>
      </c>
      <c r="AV200" s="89" t="n">
        <f aca="true">IF(AV$5=0,AU200,MAX(0,(AU200-AV$4)*(1+NORMINV(RAND(),INPUTS!$B$28,INPUTS!$B$29))))</f>
        <v>1241008.49816101</v>
      </c>
      <c r="AW200" s="89" t="n">
        <f aca="true">IF(AW$5=0,AV200,MAX(0,(AV200-AW$4)*(1+NORMINV(RAND(),INPUTS!$B$28,INPUTS!$B$29))))</f>
        <v>1241008.49816101</v>
      </c>
      <c r="AX200" s="89" t="n">
        <f aca="true">IF(AX$5=0,AW200,MAX(0,(AW200-AX$4)*(1+NORMINV(RAND(),INPUTS!$B$28,INPUTS!$B$29))))</f>
        <v>1241008.49816101</v>
      </c>
      <c r="AY200" s="89" t="n">
        <f aca="true">IF(AY$5=0,AX200,MAX(0,(AX200-AY$4)*(1+NORMINV(RAND(),INPUTS!$B$28,INPUTS!$B$29))))</f>
        <v>1241008.49816101</v>
      </c>
      <c r="AZ200" s="89" t="n">
        <f aca="true">IF(AZ$5=0,AY200,MAX(0,(AY200-AZ$4)*(1+NORMINV(RAND(),INPUTS!$B$28,INPUTS!$B$29))))</f>
        <v>1241008.49816101</v>
      </c>
      <c r="BA200" s="89" t="n">
        <f aca="true">IF(BA$5=0,AZ200,MAX(0,(AZ200-BA$4)*(1+NORMINV(RAND(),INPUTS!$B$28,INPUTS!$B$29))))</f>
        <v>1241008.49816101</v>
      </c>
      <c r="BB200" s="89" t="n">
        <f aca="true">IF(BB$5=0,BA200,MAX(0,(BA200-BB$4)*(1+NORMINV(RAND(),INPUTS!$B$28,INPUTS!$B$29))))</f>
        <v>1241008.49816101</v>
      </c>
      <c r="BC200" s="89" t="n">
        <f aca="true">IF(BC$5=0,BB200,MAX(0,(BB200-BC$4)*(1+NORMINV(RAND(),INPUTS!$B$28,INPUTS!$B$29))))</f>
        <v>1241008.49816101</v>
      </c>
      <c r="BD200" s="89" t="n">
        <f aca="true">IF(BD$5=0,BC200,MAX(0,(BC200-BD$4)*(1+NORMINV(RAND(),INPUTS!$B$28,INPUTS!$B$29))))</f>
        <v>1241008.49816101</v>
      </c>
      <c r="BE200" s="89" t="n">
        <f aca="true">IF(BE$5=0,BD200,MAX(0,(BD200-BE$4)*(1+NORMINV(RAND(),INPUTS!$B$28,INPUTS!$B$29))))</f>
        <v>1241008.49816101</v>
      </c>
      <c r="BF200" s="89" t="n">
        <f aca="true">IF(BF$5=0,BE200,MAX(0,(BE200-BF$4)*(1+NORMINV(RAND(),INPUTS!$B$28,INPUTS!$B$29))))</f>
        <v>1241008.49816101</v>
      </c>
      <c r="BG200" s="89" t="n">
        <f aca="true">IF(BG$5=0,BF200,MAX(0,(BF200-BG$4)*(1+NORMINV(RAND(),INPUTS!$B$28,INPUTS!$B$29))))</f>
        <v>1241008.49816101</v>
      </c>
      <c r="BH200" s="89" t="n">
        <f aca="true">IF(BH$5=0,BG200,MAX(0,(BG200-BH$4)*(1+NORMINV(RAND(),INPUTS!$B$28,INPUTS!$B$29))))</f>
        <v>1241008.49816101</v>
      </c>
      <c r="BI200" s="89" t="n">
        <f aca="true">IF(BI$5=0,BH200,MAX(0,(BH200-BI$4)*(1+NORMINV(RAND(),INPUTS!$B$28,INPUTS!$B$29))))</f>
        <v>1241008.49816101</v>
      </c>
      <c r="BJ200" s="89" t="n">
        <f aca="true">IF(BJ$5=0,BI200,MAX(0,(BI200-BJ$4)*(1+NORMINV(RAND(),INPUTS!$B$28,INPUTS!$B$29))))</f>
        <v>1241008.49816101</v>
      </c>
    </row>
    <row r="201" customFormat="false" ht="15" hidden="false" customHeight="true" outlineLevel="0" collapsed="false">
      <c r="A201" s="87" t="n">
        <v>194</v>
      </c>
      <c r="B201" s="88" t="n">
        <f aca="false">LOOKUP(9.99E+307,C201:BJ201)</f>
        <v>0</v>
      </c>
      <c r="C201" s="89" t="n">
        <f aca="true">IF(C$5=0,INPUTS!$B$35,MAX(0,(INPUTS!$B$35-C$4)*(1+NORMINV(RAND(),INPUTS!$B$28,INPUTS!$B$29))))</f>
        <v>1314818.5909809</v>
      </c>
      <c r="D201" s="89" t="n">
        <f aca="true">IF(D$5=0,C201,MAX(0,(C201-D$4)*(1+NORMINV(RAND(),INPUTS!$B$28,INPUTS!$B$29))))</f>
        <v>1315536.52115917</v>
      </c>
      <c r="E201" s="89" t="n">
        <f aca="true">IF(E$5=0,D201,MAX(0,(D201-E$4)*(1+NORMINV(RAND(),INPUTS!$B$28,INPUTS!$B$29))))</f>
        <v>1353760.74051057</v>
      </c>
      <c r="F201" s="89" t="n">
        <f aca="true">IF(F$5=0,E201,MAX(0,(E201-F$4)*(1+NORMINV(RAND(),INPUTS!$B$28,INPUTS!$B$29))))</f>
        <v>1248361.614097</v>
      </c>
      <c r="G201" s="89" t="n">
        <f aca="true">IF(G$5=0,F201,MAX(0,(F201-G$4)*(1+NORMINV(RAND(),INPUTS!$B$28,INPUTS!$B$29))))</f>
        <v>1196970.94030414</v>
      </c>
      <c r="H201" s="89" t="n">
        <f aca="true">IF(H$5=0,G201,MAX(0,(G201-H$4)*(1+NORMINV(RAND(),INPUTS!$B$28,INPUTS!$B$29))))</f>
        <v>1191276.73871852</v>
      </c>
      <c r="I201" s="89" t="n">
        <f aca="true">IF(I$5=0,H201,MAX(0,(H201-I$4)*(1+NORMINV(RAND(),INPUTS!$B$28,INPUTS!$B$29))))</f>
        <v>1216845.20041536</v>
      </c>
      <c r="J201" s="89" t="n">
        <f aca="true">IF(J$5=0,I201,MAX(0,(I201-J$4)*(1+NORMINV(RAND(),INPUTS!$B$28,INPUTS!$B$29))))</f>
        <v>1060386.20736687</v>
      </c>
      <c r="K201" s="89" t="n">
        <f aca="true">IF(K$5=0,J201,MAX(0,(J201-K$4)*(1+NORMINV(RAND(),INPUTS!$B$28,INPUTS!$B$29))))</f>
        <v>1047338.77601293</v>
      </c>
      <c r="L201" s="89" t="n">
        <f aca="true">IF(L$5=0,K201,MAX(0,(K201-L$4)*(1+NORMINV(RAND(),INPUTS!$B$28,INPUTS!$B$29))))</f>
        <v>1058196.65650179</v>
      </c>
      <c r="M201" s="89" t="n">
        <f aca="true">IF(M$5=0,L201,MAX(0,(L201-M$4)*(1+NORMINV(RAND(),INPUTS!$B$28,INPUTS!$B$29))))</f>
        <v>907517.55187562</v>
      </c>
      <c r="N201" s="89" t="n">
        <f aca="true">IF(N$5=0,M201,MAX(0,(M201-N$4)*(1+NORMINV(RAND(),INPUTS!$B$28,INPUTS!$B$29))))</f>
        <v>869180.234256405</v>
      </c>
      <c r="O201" s="89" t="n">
        <f aca="true">IF(O$5=0,N201,MAX(0,(N201-O$4)*(1+NORMINV(RAND(),INPUTS!$B$28,INPUTS!$B$29))))</f>
        <v>965848.277620709</v>
      </c>
      <c r="P201" s="89" t="n">
        <f aca="true">IF(P$5=0,O201,MAX(0,(O201-P$4)*(1+NORMINV(RAND(),INPUTS!$B$28,INPUTS!$B$29))))</f>
        <v>1150885.19551592</v>
      </c>
      <c r="Q201" s="89" t="n">
        <f aca="true">IF(Q$5=0,P201,MAX(0,(P201-Q$4)*(1+NORMINV(RAND(),INPUTS!$B$28,INPUTS!$B$29))))</f>
        <v>1108022.61073511</v>
      </c>
      <c r="R201" s="89" t="n">
        <f aca="true">IF(R$5=0,Q201,MAX(0,(Q201-R$4)*(1+NORMINV(RAND(),INPUTS!$B$28,INPUTS!$B$29))))</f>
        <v>1063972.20635602</v>
      </c>
      <c r="S201" s="89" t="n">
        <f aca="true">IF(S$5=0,R201,MAX(0,(R201-S$4)*(1+NORMINV(RAND(),INPUTS!$B$28,INPUTS!$B$29))))</f>
        <v>1082496.64085615</v>
      </c>
      <c r="T201" s="89" t="n">
        <f aca="true">IF(T$5=0,S201,MAX(0,(S201-T$4)*(1+NORMINV(RAND(),INPUTS!$B$28,INPUTS!$B$29))))</f>
        <v>1122449.00663632</v>
      </c>
      <c r="U201" s="89" t="n">
        <f aca="true">IF(U$5=0,T201,MAX(0,(T201-U$4)*(1+NORMINV(RAND(),INPUTS!$B$28,INPUTS!$B$29))))</f>
        <v>1202971.97495156</v>
      </c>
      <c r="V201" s="89" t="n">
        <f aca="true">IF(V$5=0,U201,MAX(0,(U201-V$4)*(1+NORMINV(RAND(),INPUTS!$B$28,INPUTS!$B$29))))</f>
        <v>1091497.99351501</v>
      </c>
      <c r="W201" s="89" t="n">
        <f aca="true">IF(W$5=0,V201,MAX(0,(V201-W$4)*(1+NORMINV(RAND(),INPUTS!$B$28,INPUTS!$B$29))))</f>
        <v>837490.018207482</v>
      </c>
      <c r="X201" s="89" t="n">
        <f aca="true">IF(X$5=0,W201,MAX(0,(W201-X$4)*(1+NORMINV(RAND(),INPUTS!$B$28,INPUTS!$B$29))))</f>
        <v>716705.810707327</v>
      </c>
      <c r="Y201" s="89" t="n">
        <f aca="true">IF(Y$5=0,X201,MAX(0,(X201-Y$4)*(1+NORMINV(RAND(),INPUTS!$B$28,INPUTS!$B$29))))</f>
        <v>751437.634705674</v>
      </c>
      <c r="Z201" s="89" t="n">
        <f aca="true">IF(Z$5=0,Y201,MAX(0,(Y201-Z$4)*(1+NORMINV(RAND(),INPUTS!$B$28,INPUTS!$B$29))))</f>
        <v>628139.210546585</v>
      </c>
      <c r="AA201" s="89" t="n">
        <f aca="true">IF(AA$5=0,Z201,MAX(0,(Z201-AA$4)*(1+NORMINV(RAND(),INPUTS!$B$28,INPUTS!$B$29))))</f>
        <v>540246.746809129</v>
      </c>
      <c r="AB201" s="89" t="n">
        <f aca="true">IF(AB$5=0,AA201,MAX(0,(AA201-AB$4)*(1+NORMINV(RAND(),INPUTS!$B$28,INPUTS!$B$29))))</f>
        <v>468958.961132325</v>
      </c>
      <c r="AC201" s="89" t="n">
        <f aca="true">IF(AC$5=0,AB201,MAX(0,(AB201-AC$4)*(1+NORMINV(RAND(),INPUTS!$B$28,INPUTS!$B$29))))</f>
        <v>449112.790817021</v>
      </c>
      <c r="AD201" s="89" t="n">
        <f aca="true">IF(AD$5=0,AC201,MAX(0,(AC201-AD$4)*(1+NORMINV(RAND(),INPUTS!$B$28,INPUTS!$B$29))))</f>
        <v>420674.681322452</v>
      </c>
      <c r="AE201" s="89" t="n">
        <f aca="true">IF(AE$5=0,AD201,MAX(0,(AD201-AE$4)*(1+NORMINV(RAND(),INPUTS!$B$28,INPUTS!$B$29))))</f>
        <v>412379.239051469</v>
      </c>
      <c r="AF201" s="89" t="n">
        <f aca="true">IF(AF$5=0,AE201,MAX(0,(AE201-AF$4)*(1+NORMINV(RAND(),INPUTS!$B$28,INPUTS!$B$29))))</f>
        <v>341624.22078041</v>
      </c>
      <c r="AG201" s="89" t="n">
        <f aca="true">IF(AG$5=0,AF201,MAX(0,(AF201-AG$4)*(1+NORMINV(RAND(),INPUTS!$B$28,INPUTS!$B$29))))</f>
        <v>288920.233206799</v>
      </c>
      <c r="AH201" s="89" t="n">
        <f aca="true">IF(AH$5=0,AG201,MAX(0,(AG201-AH$4)*(1+NORMINV(RAND(),INPUTS!$B$28,INPUTS!$B$29))))</f>
        <v>235478.948106057</v>
      </c>
      <c r="AI201" s="89" t="n">
        <f aca="true">IF(AI$5=0,AH201,MAX(0,(AH201-AI$4)*(1+NORMINV(RAND(),INPUTS!$B$28,INPUTS!$B$29))))</f>
        <v>173604.321081769</v>
      </c>
      <c r="AJ201" s="89" t="n">
        <f aca="true">IF(AJ$5=0,AI201,MAX(0,(AI201-AJ$4)*(1+NORMINV(RAND(),INPUTS!$B$28,INPUTS!$B$29))))</f>
        <v>82254.0632257478</v>
      </c>
      <c r="AK201" s="89" t="n">
        <f aca="true">IF(AK$5=0,AJ201,MAX(0,(AJ201-AK$4)*(1+NORMINV(RAND(),INPUTS!$B$28,INPUTS!$B$29))))</f>
        <v>5558.6895735893</v>
      </c>
      <c r="AL201" s="89" t="n">
        <f aca="true">IF(AL$5=0,AK201,MAX(0,(AK201-AL$4)*(1+NORMINV(RAND(),INPUTS!$B$28,INPUTS!$B$29))))</f>
        <v>0</v>
      </c>
      <c r="AM201" s="89" t="n">
        <f aca="true">IF(AM$5=0,AL201,MAX(0,(AL201-AM$4)*(1+NORMINV(RAND(),INPUTS!$B$28,INPUTS!$B$29))))</f>
        <v>0</v>
      </c>
      <c r="AN201" s="89" t="n">
        <f aca="true">IF(AN$5=0,AM201,MAX(0,(AM201-AN$4)*(1+NORMINV(RAND(),INPUTS!$B$28,INPUTS!$B$29))))</f>
        <v>0</v>
      </c>
      <c r="AO201" s="89" t="n">
        <f aca="true">IF(AO$5=0,AN201,MAX(0,(AN201-AO$4)*(1+NORMINV(RAND(),INPUTS!$B$28,INPUTS!$B$29))))</f>
        <v>0</v>
      </c>
      <c r="AP201" s="89" t="n">
        <f aca="true">IF(AP$5=0,AO201,MAX(0,(AO201-AP$4)*(1+NORMINV(RAND(),INPUTS!$B$28,INPUTS!$B$29))))</f>
        <v>0</v>
      </c>
      <c r="AQ201" s="89" t="n">
        <f aca="true">IF(AQ$5=0,AP201,MAX(0,(AP201-AQ$4)*(1+NORMINV(RAND(),INPUTS!$B$28,INPUTS!$B$29))))</f>
        <v>0</v>
      </c>
      <c r="AR201" s="89" t="n">
        <f aca="true">IF(AR$5=0,AQ201,MAX(0,(AQ201-AR$4)*(1+NORMINV(RAND(),INPUTS!$B$28,INPUTS!$B$29))))</f>
        <v>0</v>
      </c>
      <c r="AS201" s="89" t="n">
        <f aca="true">IF(AS$5=0,AR201,MAX(0,(AR201-AS$4)*(1+NORMINV(RAND(),INPUTS!$B$28,INPUTS!$B$29))))</f>
        <v>0</v>
      </c>
      <c r="AT201" s="89" t="n">
        <f aca="true">IF(AT$5=0,AS201,MAX(0,(AS201-AT$4)*(1+NORMINV(RAND(),INPUTS!$B$28,INPUTS!$B$29))))</f>
        <v>0</v>
      </c>
      <c r="AU201" s="89" t="n">
        <f aca="true">IF(AU$5=0,AT201,MAX(0,(AT201-AU$4)*(1+NORMINV(RAND(),INPUTS!$B$28,INPUTS!$B$29))))</f>
        <v>0</v>
      </c>
      <c r="AV201" s="89" t="n">
        <f aca="true">IF(AV$5=0,AU201,MAX(0,(AU201-AV$4)*(1+NORMINV(RAND(),INPUTS!$B$28,INPUTS!$B$29))))</f>
        <v>0</v>
      </c>
      <c r="AW201" s="89" t="n">
        <f aca="true">IF(AW$5=0,AV201,MAX(0,(AV201-AW$4)*(1+NORMINV(RAND(),INPUTS!$B$28,INPUTS!$B$29))))</f>
        <v>0</v>
      </c>
      <c r="AX201" s="89" t="n">
        <f aca="true">IF(AX$5=0,AW201,MAX(0,(AW201-AX$4)*(1+NORMINV(RAND(),INPUTS!$B$28,INPUTS!$B$29))))</f>
        <v>0</v>
      </c>
      <c r="AY201" s="89" t="n">
        <f aca="true">IF(AY$5=0,AX201,MAX(0,(AX201-AY$4)*(1+NORMINV(RAND(),INPUTS!$B$28,INPUTS!$B$29))))</f>
        <v>0</v>
      </c>
      <c r="AZ201" s="89" t="n">
        <f aca="true">IF(AZ$5=0,AY201,MAX(0,(AY201-AZ$4)*(1+NORMINV(RAND(),INPUTS!$B$28,INPUTS!$B$29))))</f>
        <v>0</v>
      </c>
      <c r="BA201" s="89" t="n">
        <f aca="true">IF(BA$5=0,AZ201,MAX(0,(AZ201-BA$4)*(1+NORMINV(RAND(),INPUTS!$B$28,INPUTS!$B$29))))</f>
        <v>0</v>
      </c>
      <c r="BB201" s="89" t="n">
        <f aca="true">IF(BB$5=0,BA201,MAX(0,(BA201-BB$4)*(1+NORMINV(RAND(),INPUTS!$B$28,INPUTS!$B$29))))</f>
        <v>0</v>
      </c>
      <c r="BC201" s="89" t="n">
        <f aca="true">IF(BC$5=0,BB201,MAX(0,(BB201-BC$4)*(1+NORMINV(RAND(),INPUTS!$B$28,INPUTS!$B$29))))</f>
        <v>0</v>
      </c>
      <c r="BD201" s="89" t="n">
        <f aca="true">IF(BD$5=0,BC201,MAX(0,(BC201-BD$4)*(1+NORMINV(RAND(),INPUTS!$B$28,INPUTS!$B$29))))</f>
        <v>0</v>
      </c>
      <c r="BE201" s="89" t="n">
        <f aca="true">IF(BE$5=0,BD201,MAX(0,(BD201-BE$4)*(1+NORMINV(RAND(),INPUTS!$B$28,INPUTS!$B$29))))</f>
        <v>0</v>
      </c>
      <c r="BF201" s="89" t="n">
        <f aca="true">IF(BF$5=0,BE201,MAX(0,(BE201-BF$4)*(1+NORMINV(RAND(),INPUTS!$B$28,INPUTS!$B$29))))</f>
        <v>0</v>
      </c>
      <c r="BG201" s="89" t="n">
        <f aca="true">IF(BG$5=0,BF201,MAX(0,(BF201-BG$4)*(1+NORMINV(RAND(),INPUTS!$B$28,INPUTS!$B$29))))</f>
        <v>0</v>
      </c>
      <c r="BH201" s="89" t="n">
        <f aca="true">IF(BH$5=0,BG201,MAX(0,(BG201-BH$4)*(1+NORMINV(RAND(),INPUTS!$B$28,INPUTS!$B$29))))</f>
        <v>0</v>
      </c>
      <c r="BI201" s="89" t="n">
        <f aca="true">IF(BI$5=0,BH201,MAX(0,(BH201-BI$4)*(1+NORMINV(RAND(),INPUTS!$B$28,INPUTS!$B$29))))</f>
        <v>0</v>
      </c>
      <c r="BJ201" s="89" t="n">
        <f aca="true">IF(BJ$5=0,BI201,MAX(0,(BI201-BJ$4)*(1+NORMINV(RAND(),INPUTS!$B$28,INPUTS!$B$29))))</f>
        <v>0</v>
      </c>
    </row>
    <row r="202" customFormat="false" ht="15" hidden="false" customHeight="true" outlineLevel="0" collapsed="false">
      <c r="A202" s="87" t="n">
        <v>195</v>
      </c>
      <c r="B202" s="88" t="n">
        <f aca="false">LOOKUP(9.99E+307,C202:BJ202)</f>
        <v>3261033.59443671</v>
      </c>
      <c r="C202" s="89" t="n">
        <f aca="true">IF(C$5=0,INPUTS!$B$35,MAX(0,(INPUTS!$B$35-C$4)*(1+NORMINV(RAND(),INPUTS!$B$28,INPUTS!$B$29))))</f>
        <v>1413934.28770322</v>
      </c>
      <c r="D202" s="89" t="n">
        <f aca="true">IF(D$5=0,C202,MAX(0,(C202-D$4)*(1+NORMINV(RAND(),INPUTS!$B$28,INPUTS!$B$29))))</f>
        <v>1417982.22061622</v>
      </c>
      <c r="E202" s="89" t="n">
        <f aca="true">IF(E$5=0,D202,MAX(0,(D202-E$4)*(1+NORMINV(RAND(),INPUTS!$B$28,INPUTS!$B$29))))</f>
        <v>1495695.22664256</v>
      </c>
      <c r="F202" s="89" t="n">
        <f aca="true">IF(F$5=0,E202,MAX(0,(E202-F$4)*(1+NORMINV(RAND(),INPUTS!$B$28,INPUTS!$B$29))))</f>
        <v>1473803.63596162</v>
      </c>
      <c r="G202" s="89" t="n">
        <f aca="true">IF(G$5=0,F202,MAX(0,(F202-G$4)*(1+NORMINV(RAND(),INPUTS!$B$28,INPUTS!$B$29))))</f>
        <v>1418446.45056479</v>
      </c>
      <c r="H202" s="89" t="n">
        <f aca="true">IF(H$5=0,G202,MAX(0,(G202-H$4)*(1+NORMINV(RAND(),INPUTS!$B$28,INPUTS!$B$29))))</f>
        <v>1390255.57043758</v>
      </c>
      <c r="I202" s="89" t="n">
        <f aca="true">IF(I$5=0,H202,MAX(0,(H202-I$4)*(1+NORMINV(RAND(),INPUTS!$B$28,INPUTS!$B$29))))</f>
        <v>1106310.57734903</v>
      </c>
      <c r="J202" s="89" t="n">
        <f aca="true">IF(J$5=0,I202,MAX(0,(I202-J$4)*(1+NORMINV(RAND(),INPUTS!$B$28,INPUTS!$B$29))))</f>
        <v>1104285.73362926</v>
      </c>
      <c r="K202" s="89" t="n">
        <f aca="true">IF(K$5=0,J202,MAX(0,(J202-K$4)*(1+NORMINV(RAND(),INPUTS!$B$28,INPUTS!$B$29))))</f>
        <v>903110.08483702</v>
      </c>
      <c r="L202" s="89" t="n">
        <f aca="true">IF(L$5=0,K202,MAX(0,(K202-L$4)*(1+NORMINV(RAND(),INPUTS!$B$28,INPUTS!$B$29))))</f>
        <v>1049456.34517562</v>
      </c>
      <c r="M202" s="89" t="n">
        <f aca="true">IF(M$5=0,L202,MAX(0,(L202-M$4)*(1+NORMINV(RAND(),INPUTS!$B$28,INPUTS!$B$29))))</f>
        <v>1033977.89698929</v>
      </c>
      <c r="N202" s="89" t="n">
        <f aca="true">IF(N$5=0,M202,MAX(0,(M202-N$4)*(1+NORMINV(RAND(),INPUTS!$B$28,INPUTS!$B$29))))</f>
        <v>1025990.02964449</v>
      </c>
      <c r="O202" s="89" t="n">
        <f aca="true">IF(O$5=0,N202,MAX(0,(N202-O$4)*(1+NORMINV(RAND(),INPUTS!$B$28,INPUTS!$B$29))))</f>
        <v>1294362.20642058</v>
      </c>
      <c r="P202" s="89" t="n">
        <f aca="true">IF(P$5=0,O202,MAX(0,(O202-P$4)*(1+NORMINV(RAND(),INPUTS!$B$28,INPUTS!$B$29))))</f>
        <v>1403510.98569536</v>
      </c>
      <c r="Q202" s="89" t="n">
        <f aca="true">IF(Q$5=0,P202,MAX(0,(P202-Q$4)*(1+NORMINV(RAND(),INPUTS!$B$28,INPUTS!$B$29))))</f>
        <v>1497138.46633589</v>
      </c>
      <c r="R202" s="89" t="n">
        <f aca="true">IF(R$5=0,Q202,MAX(0,(Q202-R$4)*(1+NORMINV(RAND(),INPUTS!$B$28,INPUTS!$B$29))))</f>
        <v>1439903.01118572</v>
      </c>
      <c r="S202" s="89" t="n">
        <f aca="true">IF(S$5=0,R202,MAX(0,(R202-S$4)*(1+NORMINV(RAND(),INPUTS!$B$28,INPUTS!$B$29))))</f>
        <v>1571845.28437794</v>
      </c>
      <c r="T202" s="89" t="n">
        <f aca="true">IF(T$5=0,S202,MAX(0,(S202-T$4)*(1+NORMINV(RAND(),INPUTS!$B$28,INPUTS!$B$29))))</f>
        <v>1669233.55538658</v>
      </c>
      <c r="U202" s="89" t="n">
        <f aca="true">IF(U$5=0,T202,MAX(0,(T202-U$4)*(1+NORMINV(RAND(),INPUTS!$B$28,INPUTS!$B$29))))</f>
        <v>2271152.34542106</v>
      </c>
      <c r="V202" s="89" t="n">
        <f aca="true">IF(V$5=0,U202,MAX(0,(U202-V$4)*(1+NORMINV(RAND(),INPUTS!$B$28,INPUTS!$B$29))))</f>
        <v>2476499.10924825</v>
      </c>
      <c r="W202" s="89" t="n">
        <f aca="true">IF(W$5=0,V202,MAX(0,(V202-W$4)*(1+NORMINV(RAND(),INPUTS!$B$28,INPUTS!$B$29))))</f>
        <v>2218947.77932366</v>
      </c>
      <c r="X202" s="89" t="n">
        <f aca="true">IF(X$5=0,W202,MAX(0,(W202-X$4)*(1+NORMINV(RAND(),INPUTS!$B$28,INPUTS!$B$29))))</f>
        <v>2626400.55278185</v>
      </c>
      <c r="Y202" s="89" t="n">
        <f aca="true">IF(Y$5=0,X202,MAX(0,(X202-Y$4)*(1+NORMINV(RAND(),INPUTS!$B$28,INPUTS!$B$29))))</f>
        <v>2391909.60201717</v>
      </c>
      <c r="Z202" s="89" t="n">
        <f aca="true">IF(Z$5=0,Y202,MAX(0,(Y202-Z$4)*(1+NORMINV(RAND(),INPUTS!$B$28,INPUTS!$B$29))))</f>
        <v>2236144.04342622</v>
      </c>
      <c r="AA202" s="89" t="n">
        <f aca="true">IF(AA$5=0,Z202,MAX(0,(Z202-AA$4)*(1+NORMINV(RAND(),INPUTS!$B$28,INPUTS!$B$29))))</f>
        <v>2486331.31305068</v>
      </c>
      <c r="AB202" s="89" t="n">
        <f aca="true">IF(AB$5=0,AA202,MAX(0,(AA202-AB$4)*(1+NORMINV(RAND(),INPUTS!$B$28,INPUTS!$B$29))))</f>
        <v>2214057.22038038</v>
      </c>
      <c r="AC202" s="89" t="n">
        <f aca="true">IF(AC$5=0,AB202,MAX(0,(AB202-AC$4)*(1+NORMINV(RAND(),INPUTS!$B$28,INPUTS!$B$29))))</f>
        <v>2376059.54868204</v>
      </c>
      <c r="AD202" s="89" t="n">
        <f aca="true">IF(AD$5=0,AC202,MAX(0,(AC202-AD$4)*(1+NORMINV(RAND(),INPUTS!$B$28,INPUTS!$B$29))))</f>
        <v>2709164.22465209</v>
      </c>
      <c r="AE202" s="89" t="n">
        <f aca="true">IF(AE$5=0,AD202,MAX(0,(AD202-AE$4)*(1+NORMINV(RAND(),INPUTS!$B$28,INPUTS!$B$29))))</f>
        <v>2884649.79258562</v>
      </c>
      <c r="AF202" s="89" t="n">
        <f aca="true">IF(AF$5=0,AE202,MAX(0,(AE202-AF$4)*(1+NORMINV(RAND(),INPUTS!$B$28,INPUTS!$B$29))))</f>
        <v>2982687.3287925</v>
      </c>
      <c r="AG202" s="89" t="n">
        <f aca="true">IF(AG$5=0,AF202,MAX(0,(AF202-AG$4)*(1+NORMINV(RAND(),INPUTS!$B$28,INPUTS!$B$29))))</f>
        <v>2751839.20124983</v>
      </c>
      <c r="AH202" s="89" t="n">
        <f aca="true">IF(AH$5=0,AG202,MAX(0,(AG202-AH$4)*(1+NORMINV(RAND(),INPUTS!$B$28,INPUTS!$B$29))))</f>
        <v>2885684.16644873</v>
      </c>
      <c r="AI202" s="89" t="n">
        <f aca="true">IF(AI$5=0,AH202,MAX(0,(AH202-AI$4)*(1+NORMINV(RAND(),INPUTS!$B$28,INPUTS!$B$29))))</f>
        <v>3246835.79771971</v>
      </c>
      <c r="AJ202" s="89" t="n">
        <f aca="true">IF(AJ$5=0,AI202,MAX(0,(AI202-AJ$4)*(1+NORMINV(RAND(),INPUTS!$B$28,INPUTS!$B$29))))</f>
        <v>3428239.47596886</v>
      </c>
      <c r="AK202" s="89" t="n">
        <f aca="true">IF(AK$5=0,AJ202,MAX(0,(AJ202-AK$4)*(1+NORMINV(RAND(),INPUTS!$B$28,INPUTS!$B$29))))</f>
        <v>3502573.01876077</v>
      </c>
      <c r="AL202" s="89" t="n">
        <f aca="true">IF(AL$5=0,AK202,MAX(0,(AK202-AL$4)*(1+NORMINV(RAND(),INPUTS!$B$28,INPUTS!$B$29))))</f>
        <v>3261033.59443671</v>
      </c>
      <c r="AM202" s="89" t="n">
        <f aca="true">IF(AM$5=0,AL202,MAX(0,(AL202-AM$4)*(1+NORMINV(RAND(),INPUTS!$B$28,INPUTS!$B$29))))</f>
        <v>3261033.59443671</v>
      </c>
      <c r="AN202" s="89" t="n">
        <f aca="true">IF(AN$5=0,AM202,MAX(0,(AM202-AN$4)*(1+NORMINV(RAND(),INPUTS!$B$28,INPUTS!$B$29))))</f>
        <v>3261033.59443671</v>
      </c>
      <c r="AO202" s="89" t="n">
        <f aca="true">IF(AO$5=0,AN202,MAX(0,(AN202-AO$4)*(1+NORMINV(RAND(),INPUTS!$B$28,INPUTS!$B$29))))</f>
        <v>3261033.59443671</v>
      </c>
      <c r="AP202" s="89" t="n">
        <f aca="true">IF(AP$5=0,AO202,MAX(0,(AO202-AP$4)*(1+NORMINV(RAND(),INPUTS!$B$28,INPUTS!$B$29))))</f>
        <v>3261033.59443671</v>
      </c>
      <c r="AQ202" s="89" t="n">
        <f aca="true">IF(AQ$5=0,AP202,MAX(0,(AP202-AQ$4)*(1+NORMINV(RAND(),INPUTS!$B$28,INPUTS!$B$29))))</f>
        <v>3261033.59443671</v>
      </c>
      <c r="AR202" s="89" t="n">
        <f aca="true">IF(AR$5=0,AQ202,MAX(0,(AQ202-AR$4)*(1+NORMINV(RAND(),INPUTS!$B$28,INPUTS!$B$29))))</f>
        <v>3261033.59443671</v>
      </c>
      <c r="AS202" s="89" t="n">
        <f aca="true">IF(AS$5=0,AR202,MAX(0,(AR202-AS$4)*(1+NORMINV(RAND(),INPUTS!$B$28,INPUTS!$B$29))))</f>
        <v>3261033.59443671</v>
      </c>
      <c r="AT202" s="89" t="n">
        <f aca="true">IF(AT$5=0,AS202,MAX(0,(AS202-AT$4)*(1+NORMINV(RAND(),INPUTS!$B$28,INPUTS!$B$29))))</f>
        <v>3261033.59443671</v>
      </c>
      <c r="AU202" s="89" t="n">
        <f aca="true">IF(AU$5=0,AT202,MAX(0,(AT202-AU$4)*(1+NORMINV(RAND(),INPUTS!$B$28,INPUTS!$B$29))))</f>
        <v>3261033.59443671</v>
      </c>
      <c r="AV202" s="89" t="n">
        <f aca="true">IF(AV$5=0,AU202,MAX(0,(AU202-AV$4)*(1+NORMINV(RAND(),INPUTS!$B$28,INPUTS!$B$29))))</f>
        <v>3261033.59443671</v>
      </c>
      <c r="AW202" s="89" t="n">
        <f aca="true">IF(AW$5=0,AV202,MAX(0,(AV202-AW$4)*(1+NORMINV(RAND(),INPUTS!$B$28,INPUTS!$B$29))))</f>
        <v>3261033.59443671</v>
      </c>
      <c r="AX202" s="89" t="n">
        <f aca="true">IF(AX$5=0,AW202,MAX(0,(AW202-AX$4)*(1+NORMINV(RAND(),INPUTS!$B$28,INPUTS!$B$29))))</f>
        <v>3261033.59443671</v>
      </c>
      <c r="AY202" s="89" t="n">
        <f aca="true">IF(AY$5=0,AX202,MAX(0,(AX202-AY$4)*(1+NORMINV(RAND(),INPUTS!$B$28,INPUTS!$B$29))))</f>
        <v>3261033.59443671</v>
      </c>
      <c r="AZ202" s="89" t="n">
        <f aca="true">IF(AZ$5=0,AY202,MAX(0,(AY202-AZ$4)*(1+NORMINV(RAND(),INPUTS!$B$28,INPUTS!$B$29))))</f>
        <v>3261033.59443671</v>
      </c>
      <c r="BA202" s="89" t="n">
        <f aca="true">IF(BA$5=0,AZ202,MAX(0,(AZ202-BA$4)*(1+NORMINV(RAND(),INPUTS!$B$28,INPUTS!$B$29))))</f>
        <v>3261033.59443671</v>
      </c>
      <c r="BB202" s="89" t="n">
        <f aca="true">IF(BB$5=0,BA202,MAX(0,(BA202-BB$4)*(1+NORMINV(RAND(),INPUTS!$B$28,INPUTS!$B$29))))</f>
        <v>3261033.59443671</v>
      </c>
      <c r="BC202" s="89" t="n">
        <f aca="true">IF(BC$5=0,BB202,MAX(0,(BB202-BC$4)*(1+NORMINV(RAND(),INPUTS!$B$28,INPUTS!$B$29))))</f>
        <v>3261033.59443671</v>
      </c>
      <c r="BD202" s="89" t="n">
        <f aca="true">IF(BD$5=0,BC202,MAX(0,(BC202-BD$4)*(1+NORMINV(RAND(),INPUTS!$B$28,INPUTS!$B$29))))</f>
        <v>3261033.59443671</v>
      </c>
      <c r="BE202" s="89" t="n">
        <f aca="true">IF(BE$5=0,BD202,MAX(0,(BD202-BE$4)*(1+NORMINV(RAND(),INPUTS!$B$28,INPUTS!$B$29))))</f>
        <v>3261033.59443671</v>
      </c>
      <c r="BF202" s="89" t="n">
        <f aca="true">IF(BF$5=0,BE202,MAX(0,(BE202-BF$4)*(1+NORMINV(RAND(),INPUTS!$B$28,INPUTS!$B$29))))</f>
        <v>3261033.59443671</v>
      </c>
      <c r="BG202" s="89" t="n">
        <f aca="true">IF(BG$5=0,BF202,MAX(0,(BF202-BG$4)*(1+NORMINV(RAND(),INPUTS!$B$28,INPUTS!$B$29))))</f>
        <v>3261033.59443671</v>
      </c>
      <c r="BH202" s="89" t="n">
        <f aca="true">IF(BH$5=0,BG202,MAX(0,(BG202-BH$4)*(1+NORMINV(RAND(),INPUTS!$B$28,INPUTS!$B$29))))</f>
        <v>3261033.59443671</v>
      </c>
      <c r="BI202" s="89" t="n">
        <f aca="true">IF(BI$5=0,BH202,MAX(0,(BH202-BI$4)*(1+NORMINV(RAND(),INPUTS!$B$28,INPUTS!$B$29))))</f>
        <v>3261033.59443671</v>
      </c>
      <c r="BJ202" s="89" t="n">
        <f aca="true">IF(BJ$5=0,BI202,MAX(0,(BI202-BJ$4)*(1+NORMINV(RAND(),INPUTS!$B$28,INPUTS!$B$29))))</f>
        <v>3261033.59443671</v>
      </c>
    </row>
    <row r="203" customFormat="false" ht="15" hidden="false" customHeight="true" outlineLevel="0" collapsed="false">
      <c r="A203" s="87" t="n">
        <v>196</v>
      </c>
      <c r="B203" s="88" t="n">
        <f aca="false">LOOKUP(9.99E+307,C203:BJ203)</f>
        <v>17183527.4571958</v>
      </c>
      <c r="C203" s="89" t="n">
        <f aca="true">IF(C$5=0,INPUTS!$B$35,MAX(0,(INPUTS!$B$35-C$4)*(1+NORMINV(RAND(),INPUTS!$B$28,INPUTS!$B$29))))</f>
        <v>1686451.75773716</v>
      </c>
      <c r="D203" s="89" t="n">
        <f aca="true">IF(D$5=0,C203,MAX(0,(C203-D$4)*(1+NORMINV(RAND(),INPUTS!$B$28,INPUTS!$B$29))))</f>
        <v>1752527.30910782</v>
      </c>
      <c r="E203" s="89" t="n">
        <f aca="true">IF(E$5=0,D203,MAX(0,(D203-E$4)*(1+NORMINV(RAND(),INPUTS!$B$28,INPUTS!$B$29))))</f>
        <v>1920326.61518656</v>
      </c>
      <c r="F203" s="89" t="n">
        <f aca="true">IF(F$5=0,E203,MAX(0,(E203-F$4)*(1+NORMINV(RAND(),INPUTS!$B$28,INPUTS!$B$29))))</f>
        <v>2236347.11735178</v>
      </c>
      <c r="G203" s="89" t="n">
        <f aca="true">IF(G$5=0,F203,MAX(0,(F203-G$4)*(1+NORMINV(RAND(),INPUTS!$B$28,INPUTS!$B$29))))</f>
        <v>2159476.87147092</v>
      </c>
      <c r="H203" s="89" t="n">
        <f aca="true">IF(H$5=0,G203,MAX(0,(G203-H$4)*(1+NORMINV(RAND(),INPUTS!$B$28,INPUTS!$B$29))))</f>
        <v>2302876.25248914</v>
      </c>
      <c r="I203" s="89" t="n">
        <f aca="true">IF(I$5=0,H203,MAX(0,(H203-I$4)*(1+NORMINV(RAND(),INPUTS!$B$28,INPUTS!$B$29))))</f>
        <v>2731683.87798789</v>
      </c>
      <c r="J203" s="89" t="n">
        <f aca="true">IF(J$5=0,I203,MAX(0,(I203-J$4)*(1+NORMINV(RAND(),INPUTS!$B$28,INPUTS!$B$29))))</f>
        <v>2914534.93644259</v>
      </c>
      <c r="K203" s="89" t="n">
        <f aca="true">IF(K$5=0,J203,MAX(0,(J203-K$4)*(1+NORMINV(RAND(),INPUTS!$B$28,INPUTS!$B$29))))</f>
        <v>2982622.16529083</v>
      </c>
      <c r="L203" s="89" t="n">
        <f aca="true">IF(L$5=0,K203,MAX(0,(K203-L$4)*(1+NORMINV(RAND(),INPUTS!$B$28,INPUTS!$B$29))))</f>
        <v>3356442.69800828</v>
      </c>
      <c r="M203" s="89" t="n">
        <f aca="true">IF(M$5=0,L203,MAX(0,(L203-M$4)*(1+NORMINV(RAND(),INPUTS!$B$28,INPUTS!$B$29))))</f>
        <v>3516418.10348528</v>
      </c>
      <c r="N203" s="89" t="n">
        <f aca="true">IF(N$5=0,M203,MAX(0,(M203-N$4)*(1+NORMINV(RAND(),INPUTS!$B$28,INPUTS!$B$29))))</f>
        <v>4376257.75312998</v>
      </c>
      <c r="O203" s="89" t="n">
        <f aca="true">IF(O$5=0,N203,MAX(0,(N203-O$4)*(1+NORMINV(RAND(),INPUTS!$B$28,INPUTS!$B$29))))</f>
        <v>5252245.07160468</v>
      </c>
      <c r="P203" s="89" t="n">
        <f aca="true">IF(P$5=0,O203,MAX(0,(O203-P$4)*(1+NORMINV(RAND(),INPUTS!$B$28,INPUTS!$B$29))))</f>
        <v>6055815.79148767</v>
      </c>
      <c r="Q203" s="89" t="n">
        <f aca="true">IF(Q$5=0,P203,MAX(0,(P203-Q$4)*(1+NORMINV(RAND(),INPUTS!$B$28,INPUTS!$B$29))))</f>
        <v>5635574.88774896</v>
      </c>
      <c r="R203" s="89" t="n">
        <f aca="true">IF(R$5=0,Q203,MAX(0,(Q203-R$4)*(1+NORMINV(RAND(),INPUTS!$B$28,INPUTS!$B$29))))</f>
        <v>4563002.00739419</v>
      </c>
      <c r="S203" s="89" t="n">
        <f aca="true">IF(S$5=0,R203,MAX(0,(R203-S$4)*(1+NORMINV(RAND(),INPUTS!$B$28,INPUTS!$B$29))))</f>
        <v>4542993.26881348</v>
      </c>
      <c r="T203" s="89" t="n">
        <f aca="true">IF(T$5=0,S203,MAX(0,(S203-T$4)*(1+NORMINV(RAND(),INPUTS!$B$28,INPUTS!$B$29))))</f>
        <v>4859564.89243415</v>
      </c>
      <c r="U203" s="89" t="n">
        <f aca="true">IF(U$5=0,T203,MAX(0,(T203-U$4)*(1+NORMINV(RAND(),INPUTS!$B$28,INPUTS!$B$29))))</f>
        <v>4804631.05547223</v>
      </c>
      <c r="V203" s="89" t="n">
        <f aca="true">IF(V$5=0,U203,MAX(0,(U203-V$4)*(1+NORMINV(RAND(),INPUTS!$B$28,INPUTS!$B$29))))</f>
        <v>4487117.62989087</v>
      </c>
      <c r="W203" s="89" t="n">
        <f aca="true">IF(W$5=0,V203,MAX(0,(V203-W$4)*(1+NORMINV(RAND(),INPUTS!$B$28,INPUTS!$B$29))))</f>
        <v>4903357.44298846</v>
      </c>
      <c r="X203" s="89" t="n">
        <f aca="true">IF(X$5=0,W203,MAX(0,(W203-X$4)*(1+NORMINV(RAND(),INPUTS!$B$28,INPUTS!$B$29))))</f>
        <v>5270700.56103023</v>
      </c>
      <c r="Y203" s="89" t="n">
        <f aca="true">IF(Y$5=0,X203,MAX(0,(X203-Y$4)*(1+NORMINV(RAND(),INPUTS!$B$28,INPUTS!$B$29))))</f>
        <v>6133114.13748234</v>
      </c>
      <c r="Z203" s="89" t="n">
        <f aca="true">IF(Z$5=0,Y203,MAX(0,(Y203-Z$4)*(1+NORMINV(RAND(),INPUTS!$B$28,INPUTS!$B$29))))</f>
        <v>6721388.84564989</v>
      </c>
      <c r="AA203" s="89" t="n">
        <f aca="true">IF(AA$5=0,Z203,MAX(0,(Z203-AA$4)*(1+NORMINV(RAND(),INPUTS!$B$28,INPUTS!$B$29))))</f>
        <v>8399906.71870054</v>
      </c>
      <c r="AB203" s="89" t="n">
        <f aca="true">IF(AB$5=0,AA203,MAX(0,(AA203-AB$4)*(1+NORMINV(RAND(),INPUTS!$B$28,INPUTS!$B$29))))</f>
        <v>8087461.76110245</v>
      </c>
      <c r="AC203" s="89" t="n">
        <f aca="true">IF(AC$5=0,AB203,MAX(0,(AB203-AC$4)*(1+NORMINV(RAND(),INPUTS!$B$28,INPUTS!$B$29))))</f>
        <v>8685620.14857562</v>
      </c>
      <c r="AD203" s="89" t="n">
        <f aca="true">IF(AD$5=0,AC203,MAX(0,(AC203-AD$4)*(1+NORMINV(RAND(),INPUTS!$B$28,INPUTS!$B$29))))</f>
        <v>8344217.58043882</v>
      </c>
      <c r="AE203" s="89" t="n">
        <f aca="true">IF(AE$5=0,AD203,MAX(0,(AD203-AE$4)*(1+NORMINV(RAND(),INPUTS!$B$28,INPUTS!$B$29))))</f>
        <v>8727606.97210836</v>
      </c>
      <c r="AF203" s="89" t="n">
        <f aca="true">IF(AF$5=0,AE203,MAX(0,(AE203-AF$4)*(1+NORMINV(RAND(),INPUTS!$B$28,INPUTS!$B$29))))</f>
        <v>9758016.8629707</v>
      </c>
      <c r="AG203" s="89" t="n">
        <f aca="true">IF(AG$5=0,AF203,MAX(0,(AF203-AG$4)*(1+NORMINV(RAND(),INPUTS!$B$28,INPUTS!$B$29))))</f>
        <v>10498883.3143087</v>
      </c>
      <c r="AH203" s="89" t="n">
        <f aca="true">IF(AH$5=0,AG203,MAX(0,(AG203-AH$4)*(1+NORMINV(RAND(),INPUTS!$B$28,INPUTS!$B$29))))</f>
        <v>13101042.5635003</v>
      </c>
      <c r="AI203" s="89" t="n">
        <f aca="true">IF(AI$5=0,AH203,MAX(0,(AH203-AI$4)*(1+NORMINV(RAND(),INPUTS!$B$28,INPUTS!$B$29))))</f>
        <v>12778382.3465541</v>
      </c>
      <c r="AJ203" s="89" t="n">
        <f aca="true">IF(AJ$5=0,AI203,MAX(0,(AI203-AJ$4)*(1+NORMINV(RAND(),INPUTS!$B$28,INPUTS!$B$29))))</f>
        <v>13336472.5711975</v>
      </c>
      <c r="AK203" s="89" t="n">
        <f aca="true">IF(AK$5=0,AJ203,MAX(0,(AJ203-AK$4)*(1+NORMINV(RAND(),INPUTS!$B$28,INPUTS!$B$29))))</f>
        <v>17397987.7500439</v>
      </c>
      <c r="AL203" s="89" t="n">
        <f aca="true">IF(AL$5=0,AK203,MAX(0,(AK203-AL$4)*(1+NORMINV(RAND(),INPUTS!$B$28,INPUTS!$B$29))))</f>
        <v>17183527.4571958</v>
      </c>
      <c r="AM203" s="89" t="n">
        <f aca="true">IF(AM$5=0,AL203,MAX(0,(AL203-AM$4)*(1+NORMINV(RAND(),INPUTS!$B$28,INPUTS!$B$29))))</f>
        <v>17183527.4571958</v>
      </c>
      <c r="AN203" s="89" t="n">
        <f aca="true">IF(AN$5=0,AM203,MAX(0,(AM203-AN$4)*(1+NORMINV(RAND(),INPUTS!$B$28,INPUTS!$B$29))))</f>
        <v>17183527.4571958</v>
      </c>
      <c r="AO203" s="89" t="n">
        <f aca="true">IF(AO$5=0,AN203,MAX(0,(AN203-AO$4)*(1+NORMINV(RAND(),INPUTS!$B$28,INPUTS!$B$29))))</f>
        <v>17183527.4571958</v>
      </c>
      <c r="AP203" s="89" t="n">
        <f aca="true">IF(AP$5=0,AO203,MAX(0,(AO203-AP$4)*(1+NORMINV(RAND(),INPUTS!$B$28,INPUTS!$B$29))))</f>
        <v>17183527.4571958</v>
      </c>
      <c r="AQ203" s="89" t="n">
        <f aca="true">IF(AQ$5=0,AP203,MAX(0,(AP203-AQ$4)*(1+NORMINV(RAND(),INPUTS!$B$28,INPUTS!$B$29))))</f>
        <v>17183527.4571958</v>
      </c>
      <c r="AR203" s="89" t="n">
        <f aca="true">IF(AR$5=0,AQ203,MAX(0,(AQ203-AR$4)*(1+NORMINV(RAND(),INPUTS!$B$28,INPUTS!$B$29))))</f>
        <v>17183527.4571958</v>
      </c>
      <c r="AS203" s="89" t="n">
        <f aca="true">IF(AS$5=0,AR203,MAX(0,(AR203-AS$4)*(1+NORMINV(RAND(),INPUTS!$B$28,INPUTS!$B$29))))</f>
        <v>17183527.4571958</v>
      </c>
      <c r="AT203" s="89" t="n">
        <f aca="true">IF(AT$5=0,AS203,MAX(0,(AS203-AT$4)*(1+NORMINV(RAND(),INPUTS!$B$28,INPUTS!$B$29))))</f>
        <v>17183527.4571958</v>
      </c>
      <c r="AU203" s="89" t="n">
        <f aca="true">IF(AU$5=0,AT203,MAX(0,(AT203-AU$4)*(1+NORMINV(RAND(),INPUTS!$B$28,INPUTS!$B$29))))</f>
        <v>17183527.4571958</v>
      </c>
      <c r="AV203" s="89" t="n">
        <f aca="true">IF(AV$5=0,AU203,MAX(0,(AU203-AV$4)*(1+NORMINV(RAND(),INPUTS!$B$28,INPUTS!$B$29))))</f>
        <v>17183527.4571958</v>
      </c>
      <c r="AW203" s="89" t="n">
        <f aca="true">IF(AW$5=0,AV203,MAX(0,(AV203-AW$4)*(1+NORMINV(RAND(),INPUTS!$B$28,INPUTS!$B$29))))</f>
        <v>17183527.4571958</v>
      </c>
      <c r="AX203" s="89" t="n">
        <f aca="true">IF(AX$5=0,AW203,MAX(0,(AW203-AX$4)*(1+NORMINV(RAND(),INPUTS!$B$28,INPUTS!$B$29))))</f>
        <v>17183527.4571958</v>
      </c>
      <c r="AY203" s="89" t="n">
        <f aca="true">IF(AY$5=0,AX203,MAX(0,(AX203-AY$4)*(1+NORMINV(RAND(),INPUTS!$B$28,INPUTS!$B$29))))</f>
        <v>17183527.4571958</v>
      </c>
      <c r="AZ203" s="89" t="n">
        <f aca="true">IF(AZ$5=0,AY203,MAX(0,(AY203-AZ$4)*(1+NORMINV(RAND(),INPUTS!$B$28,INPUTS!$B$29))))</f>
        <v>17183527.4571958</v>
      </c>
      <c r="BA203" s="89" t="n">
        <f aca="true">IF(BA$5=0,AZ203,MAX(0,(AZ203-BA$4)*(1+NORMINV(RAND(),INPUTS!$B$28,INPUTS!$B$29))))</f>
        <v>17183527.4571958</v>
      </c>
      <c r="BB203" s="89" t="n">
        <f aca="true">IF(BB$5=0,BA203,MAX(0,(BA203-BB$4)*(1+NORMINV(RAND(),INPUTS!$B$28,INPUTS!$B$29))))</f>
        <v>17183527.4571958</v>
      </c>
      <c r="BC203" s="89" t="n">
        <f aca="true">IF(BC$5=0,BB203,MAX(0,(BB203-BC$4)*(1+NORMINV(RAND(),INPUTS!$B$28,INPUTS!$B$29))))</f>
        <v>17183527.4571958</v>
      </c>
      <c r="BD203" s="89" t="n">
        <f aca="true">IF(BD$5=0,BC203,MAX(0,(BC203-BD$4)*(1+NORMINV(RAND(),INPUTS!$B$28,INPUTS!$B$29))))</f>
        <v>17183527.4571958</v>
      </c>
      <c r="BE203" s="89" t="n">
        <f aca="true">IF(BE$5=0,BD203,MAX(0,(BD203-BE$4)*(1+NORMINV(RAND(),INPUTS!$B$28,INPUTS!$B$29))))</f>
        <v>17183527.4571958</v>
      </c>
      <c r="BF203" s="89" t="n">
        <f aca="true">IF(BF$5=0,BE203,MAX(0,(BE203-BF$4)*(1+NORMINV(RAND(),INPUTS!$B$28,INPUTS!$B$29))))</f>
        <v>17183527.4571958</v>
      </c>
      <c r="BG203" s="89" t="n">
        <f aca="true">IF(BG$5=0,BF203,MAX(0,(BF203-BG$4)*(1+NORMINV(RAND(),INPUTS!$B$28,INPUTS!$B$29))))</f>
        <v>17183527.4571958</v>
      </c>
      <c r="BH203" s="89" t="n">
        <f aca="true">IF(BH$5=0,BG203,MAX(0,(BG203-BH$4)*(1+NORMINV(RAND(),INPUTS!$B$28,INPUTS!$B$29))))</f>
        <v>17183527.4571958</v>
      </c>
      <c r="BI203" s="89" t="n">
        <f aca="true">IF(BI$5=0,BH203,MAX(0,(BH203-BI$4)*(1+NORMINV(RAND(),INPUTS!$B$28,INPUTS!$B$29))))</f>
        <v>17183527.4571958</v>
      </c>
      <c r="BJ203" s="89" t="n">
        <f aca="true">IF(BJ$5=0,BI203,MAX(0,(BI203-BJ$4)*(1+NORMINV(RAND(),INPUTS!$B$28,INPUTS!$B$29))))</f>
        <v>17183527.4571958</v>
      </c>
    </row>
    <row r="204" customFormat="false" ht="15" hidden="false" customHeight="true" outlineLevel="0" collapsed="false">
      <c r="A204" s="87" t="n">
        <v>197</v>
      </c>
      <c r="B204" s="88" t="n">
        <f aca="false">LOOKUP(9.99E+307,C204:BJ204)</f>
        <v>2989313.89277095</v>
      </c>
      <c r="C204" s="89" t="n">
        <f aca="true">IF(C$5=0,INPUTS!$B$35,MAX(0,(INPUTS!$B$35-C$4)*(1+NORMINV(RAND(),INPUTS!$B$28,INPUTS!$B$29))))</f>
        <v>1452559.69414694</v>
      </c>
      <c r="D204" s="89" t="n">
        <f aca="true">IF(D$5=0,C204,MAX(0,(C204-D$4)*(1+NORMINV(RAND(),INPUTS!$B$28,INPUTS!$B$29))))</f>
        <v>1185879.59383421</v>
      </c>
      <c r="E204" s="89" t="n">
        <f aca="true">IF(E$5=0,D204,MAX(0,(D204-E$4)*(1+NORMINV(RAND(),INPUTS!$B$28,INPUTS!$B$29))))</f>
        <v>1086774.06651183</v>
      </c>
      <c r="F204" s="89" t="n">
        <f aca="true">IF(F$5=0,E204,MAX(0,(E204-F$4)*(1+NORMINV(RAND(),INPUTS!$B$28,INPUTS!$B$29))))</f>
        <v>1148189.76992149</v>
      </c>
      <c r="G204" s="89" t="n">
        <f aca="true">IF(G$5=0,F204,MAX(0,(F204-G$4)*(1+NORMINV(RAND(),INPUTS!$B$28,INPUTS!$B$29))))</f>
        <v>1181938.87390912</v>
      </c>
      <c r="H204" s="89" t="n">
        <f aca="true">IF(H$5=0,G204,MAX(0,(G204-H$4)*(1+NORMINV(RAND(),INPUTS!$B$28,INPUTS!$B$29))))</f>
        <v>1050748.09874218</v>
      </c>
      <c r="I204" s="89" t="n">
        <f aca="true">IF(I$5=0,H204,MAX(0,(H204-I$4)*(1+NORMINV(RAND(),INPUTS!$B$28,INPUTS!$B$29))))</f>
        <v>1033781.50476362</v>
      </c>
      <c r="J204" s="89" t="n">
        <f aca="true">IF(J$5=0,I204,MAX(0,(I204-J$4)*(1+NORMINV(RAND(),INPUTS!$B$28,INPUTS!$B$29))))</f>
        <v>1009600.38981402</v>
      </c>
      <c r="K204" s="89" t="n">
        <f aca="true">IF(K$5=0,J204,MAX(0,(J204-K$4)*(1+NORMINV(RAND(),INPUTS!$B$28,INPUTS!$B$29))))</f>
        <v>1031647.51895955</v>
      </c>
      <c r="L204" s="89" t="n">
        <f aca="true">IF(L$5=0,K204,MAX(0,(K204-L$4)*(1+NORMINV(RAND(),INPUTS!$B$28,INPUTS!$B$29))))</f>
        <v>964386.312042477</v>
      </c>
      <c r="M204" s="89" t="n">
        <f aca="true">IF(M$5=0,L204,MAX(0,(L204-M$4)*(1+NORMINV(RAND(),INPUTS!$B$28,INPUTS!$B$29))))</f>
        <v>954571.510647647</v>
      </c>
      <c r="N204" s="89" t="n">
        <f aca="true">IF(N$5=0,M204,MAX(0,(M204-N$4)*(1+NORMINV(RAND(),INPUTS!$B$28,INPUTS!$B$29))))</f>
        <v>925229.355815141</v>
      </c>
      <c r="O204" s="89" t="n">
        <f aca="true">IF(O$5=0,N204,MAX(0,(N204-O$4)*(1+NORMINV(RAND(),INPUTS!$B$28,INPUTS!$B$29))))</f>
        <v>804749.873429728</v>
      </c>
      <c r="P204" s="89" t="n">
        <f aca="true">IF(P$5=0,O204,MAX(0,(O204-P$4)*(1+NORMINV(RAND(),INPUTS!$B$28,INPUTS!$B$29))))</f>
        <v>817984.467594212</v>
      </c>
      <c r="Q204" s="89" t="n">
        <f aca="true">IF(Q$5=0,P204,MAX(0,(P204-Q$4)*(1+NORMINV(RAND(),INPUTS!$B$28,INPUTS!$B$29))))</f>
        <v>915046.784903039</v>
      </c>
      <c r="R204" s="89" t="n">
        <f aca="true">IF(R$5=0,Q204,MAX(0,(Q204-R$4)*(1+NORMINV(RAND(),INPUTS!$B$28,INPUTS!$B$29))))</f>
        <v>1014343.53272224</v>
      </c>
      <c r="S204" s="89" t="n">
        <f aca="true">IF(S$5=0,R204,MAX(0,(R204-S$4)*(1+NORMINV(RAND(),INPUTS!$B$28,INPUTS!$B$29))))</f>
        <v>1172097.84989562</v>
      </c>
      <c r="T204" s="89" t="n">
        <f aca="true">IF(T$5=0,S204,MAX(0,(S204-T$4)*(1+NORMINV(RAND(),INPUTS!$B$28,INPUTS!$B$29))))</f>
        <v>1447194.5903056</v>
      </c>
      <c r="U204" s="89" t="n">
        <f aca="true">IF(U$5=0,T204,MAX(0,(T204-U$4)*(1+NORMINV(RAND(),INPUTS!$B$28,INPUTS!$B$29))))</f>
        <v>1358271.83149466</v>
      </c>
      <c r="V204" s="89" t="n">
        <f aca="true">IF(V$5=0,U204,MAX(0,(U204-V$4)*(1+NORMINV(RAND(),INPUTS!$B$28,INPUTS!$B$29))))</f>
        <v>1506007.99884458</v>
      </c>
      <c r="W204" s="89" t="n">
        <f aca="true">IF(W$5=0,V204,MAX(0,(V204-W$4)*(1+NORMINV(RAND(),INPUTS!$B$28,INPUTS!$B$29))))</f>
        <v>1394803.64590313</v>
      </c>
      <c r="X204" s="89" t="n">
        <f aca="true">IF(X$5=0,W204,MAX(0,(W204-X$4)*(1+NORMINV(RAND(),INPUTS!$B$28,INPUTS!$B$29))))</f>
        <v>1654043.54667944</v>
      </c>
      <c r="Y204" s="89" t="n">
        <f aca="true">IF(Y$5=0,X204,MAX(0,(X204-Y$4)*(1+NORMINV(RAND(),INPUTS!$B$28,INPUTS!$B$29))))</f>
        <v>1908053.96851575</v>
      </c>
      <c r="Z204" s="89" t="n">
        <f aca="true">IF(Z$5=0,Y204,MAX(0,(Y204-Z$4)*(1+NORMINV(RAND(),INPUTS!$B$28,INPUTS!$B$29))))</f>
        <v>2097233.91626871</v>
      </c>
      <c r="AA204" s="89" t="n">
        <f aca="true">IF(AA$5=0,Z204,MAX(0,(Z204-AA$4)*(1+NORMINV(RAND(),INPUTS!$B$28,INPUTS!$B$29))))</f>
        <v>1960358.07501391</v>
      </c>
      <c r="AB204" s="89" t="n">
        <f aca="true">IF(AB$5=0,AA204,MAX(0,(AA204-AB$4)*(1+NORMINV(RAND(),INPUTS!$B$28,INPUTS!$B$29))))</f>
        <v>1893174.63310966</v>
      </c>
      <c r="AC204" s="89" t="n">
        <f aca="true">IF(AC$5=0,AB204,MAX(0,(AB204-AC$4)*(1+NORMINV(RAND(),INPUTS!$B$28,INPUTS!$B$29))))</f>
        <v>1677742.2798575</v>
      </c>
      <c r="AD204" s="89" t="n">
        <f aca="true">IF(AD$5=0,AC204,MAX(0,(AC204-AD$4)*(1+NORMINV(RAND(),INPUTS!$B$28,INPUTS!$B$29))))</f>
        <v>1811509.58504983</v>
      </c>
      <c r="AE204" s="89" t="n">
        <f aca="true">IF(AE$5=0,AD204,MAX(0,(AD204-AE$4)*(1+NORMINV(RAND(),INPUTS!$B$28,INPUTS!$B$29))))</f>
        <v>1911597.23864676</v>
      </c>
      <c r="AF204" s="89" t="n">
        <f aca="true">IF(AF$5=0,AE204,MAX(0,(AE204-AF$4)*(1+NORMINV(RAND(),INPUTS!$B$28,INPUTS!$B$29))))</f>
        <v>1676601.43477602</v>
      </c>
      <c r="AG204" s="89" t="n">
        <f aca="true">IF(AG$5=0,AF204,MAX(0,(AF204-AG$4)*(1+NORMINV(RAND(),INPUTS!$B$28,INPUTS!$B$29))))</f>
        <v>1850137.56323852</v>
      </c>
      <c r="AH204" s="89" t="n">
        <f aca="true">IF(AH$5=0,AG204,MAX(0,(AG204-AH$4)*(1+NORMINV(RAND(),INPUTS!$B$28,INPUTS!$B$29))))</f>
        <v>1882810.349261</v>
      </c>
      <c r="AI204" s="89" t="n">
        <f aca="true">IF(AI$5=0,AH204,MAX(0,(AH204-AI$4)*(1+NORMINV(RAND(),INPUTS!$B$28,INPUTS!$B$29))))</f>
        <v>2215324.49574373</v>
      </c>
      <c r="AJ204" s="89" t="n">
        <f aca="true">IF(AJ$5=0,AI204,MAX(0,(AI204-AJ$4)*(1+NORMINV(RAND(),INPUTS!$B$28,INPUTS!$B$29))))</f>
        <v>2518159.27098743</v>
      </c>
      <c r="AK204" s="89" t="n">
        <f aca="true">IF(AK$5=0,AJ204,MAX(0,(AJ204-AK$4)*(1+NORMINV(RAND(),INPUTS!$B$28,INPUTS!$B$29))))</f>
        <v>2689148.02553674</v>
      </c>
      <c r="AL204" s="89" t="n">
        <f aca="true">IF(AL$5=0,AK204,MAX(0,(AK204-AL$4)*(1+NORMINV(RAND(),INPUTS!$B$28,INPUTS!$B$29))))</f>
        <v>2989313.89277095</v>
      </c>
      <c r="AM204" s="89" t="n">
        <f aca="true">IF(AM$5=0,AL204,MAX(0,(AL204-AM$4)*(1+NORMINV(RAND(),INPUTS!$B$28,INPUTS!$B$29))))</f>
        <v>2989313.89277095</v>
      </c>
      <c r="AN204" s="89" t="n">
        <f aca="true">IF(AN$5=0,AM204,MAX(0,(AM204-AN$4)*(1+NORMINV(RAND(),INPUTS!$B$28,INPUTS!$B$29))))</f>
        <v>2989313.89277095</v>
      </c>
      <c r="AO204" s="89" t="n">
        <f aca="true">IF(AO$5=0,AN204,MAX(0,(AN204-AO$4)*(1+NORMINV(RAND(),INPUTS!$B$28,INPUTS!$B$29))))</f>
        <v>2989313.89277095</v>
      </c>
      <c r="AP204" s="89" t="n">
        <f aca="true">IF(AP$5=0,AO204,MAX(0,(AO204-AP$4)*(1+NORMINV(RAND(),INPUTS!$B$28,INPUTS!$B$29))))</f>
        <v>2989313.89277095</v>
      </c>
      <c r="AQ204" s="89" t="n">
        <f aca="true">IF(AQ$5=0,AP204,MAX(0,(AP204-AQ$4)*(1+NORMINV(RAND(),INPUTS!$B$28,INPUTS!$B$29))))</f>
        <v>2989313.89277095</v>
      </c>
      <c r="AR204" s="89" t="n">
        <f aca="true">IF(AR$5=0,AQ204,MAX(0,(AQ204-AR$4)*(1+NORMINV(RAND(),INPUTS!$B$28,INPUTS!$B$29))))</f>
        <v>2989313.89277095</v>
      </c>
      <c r="AS204" s="89" t="n">
        <f aca="true">IF(AS$5=0,AR204,MAX(0,(AR204-AS$4)*(1+NORMINV(RAND(),INPUTS!$B$28,INPUTS!$B$29))))</f>
        <v>2989313.89277095</v>
      </c>
      <c r="AT204" s="89" t="n">
        <f aca="true">IF(AT$5=0,AS204,MAX(0,(AS204-AT$4)*(1+NORMINV(RAND(),INPUTS!$B$28,INPUTS!$B$29))))</f>
        <v>2989313.89277095</v>
      </c>
      <c r="AU204" s="89" t="n">
        <f aca="true">IF(AU$5=0,AT204,MAX(0,(AT204-AU$4)*(1+NORMINV(RAND(),INPUTS!$B$28,INPUTS!$B$29))))</f>
        <v>2989313.89277095</v>
      </c>
      <c r="AV204" s="89" t="n">
        <f aca="true">IF(AV$5=0,AU204,MAX(0,(AU204-AV$4)*(1+NORMINV(RAND(),INPUTS!$B$28,INPUTS!$B$29))))</f>
        <v>2989313.89277095</v>
      </c>
      <c r="AW204" s="89" t="n">
        <f aca="true">IF(AW$5=0,AV204,MAX(0,(AV204-AW$4)*(1+NORMINV(RAND(),INPUTS!$B$28,INPUTS!$B$29))))</f>
        <v>2989313.89277095</v>
      </c>
      <c r="AX204" s="89" t="n">
        <f aca="true">IF(AX$5=0,AW204,MAX(0,(AW204-AX$4)*(1+NORMINV(RAND(),INPUTS!$B$28,INPUTS!$B$29))))</f>
        <v>2989313.89277095</v>
      </c>
      <c r="AY204" s="89" t="n">
        <f aca="true">IF(AY$5=0,AX204,MAX(0,(AX204-AY$4)*(1+NORMINV(RAND(),INPUTS!$B$28,INPUTS!$B$29))))</f>
        <v>2989313.89277095</v>
      </c>
      <c r="AZ204" s="89" t="n">
        <f aca="true">IF(AZ$5=0,AY204,MAX(0,(AY204-AZ$4)*(1+NORMINV(RAND(),INPUTS!$B$28,INPUTS!$B$29))))</f>
        <v>2989313.89277095</v>
      </c>
      <c r="BA204" s="89" t="n">
        <f aca="true">IF(BA$5=0,AZ204,MAX(0,(AZ204-BA$4)*(1+NORMINV(RAND(),INPUTS!$B$28,INPUTS!$B$29))))</f>
        <v>2989313.89277095</v>
      </c>
      <c r="BB204" s="89" t="n">
        <f aca="true">IF(BB$5=0,BA204,MAX(0,(BA204-BB$4)*(1+NORMINV(RAND(),INPUTS!$B$28,INPUTS!$B$29))))</f>
        <v>2989313.89277095</v>
      </c>
      <c r="BC204" s="89" t="n">
        <f aca="true">IF(BC$5=0,BB204,MAX(0,(BB204-BC$4)*(1+NORMINV(RAND(),INPUTS!$B$28,INPUTS!$B$29))))</f>
        <v>2989313.89277095</v>
      </c>
      <c r="BD204" s="89" t="n">
        <f aca="true">IF(BD$5=0,BC204,MAX(0,(BC204-BD$4)*(1+NORMINV(RAND(),INPUTS!$B$28,INPUTS!$B$29))))</f>
        <v>2989313.89277095</v>
      </c>
      <c r="BE204" s="89" t="n">
        <f aca="true">IF(BE$5=0,BD204,MAX(0,(BD204-BE$4)*(1+NORMINV(RAND(),INPUTS!$B$28,INPUTS!$B$29))))</f>
        <v>2989313.89277095</v>
      </c>
      <c r="BF204" s="89" t="n">
        <f aca="true">IF(BF$5=0,BE204,MAX(0,(BE204-BF$4)*(1+NORMINV(RAND(),INPUTS!$B$28,INPUTS!$B$29))))</f>
        <v>2989313.89277095</v>
      </c>
      <c r="BG204" s="89" t="n">
        <f aca="true">IF(BG$5=0,BF204,MAX(0,(BF204-BG$4)*(1+NORMINV(RAND(),INPUTS!$B$28,INPUTS!$B$29))))</f>
        <v>2989313.89277095</v>
      </c>
      <c r="BH204" s="89" t="n">
        <f aca="true">IF(BH$5=0,BG204,MAX(0,(BG204-BH$4)*(1+NORMINV(RAND(),INPUTS!$B$28,INPUTS!$B$29))))</f>
        <v>2989313.89277095</v>
      </c>
      <c r="BI204" s="89" t="n">
        <f aca="true">IF(BI$5=0,BH204,MAX(0,(BH204-BI$4)*(1+NORMINV(RAND(),INPUTS!$B$28,INPUTS!$B$29))))</f>
        <v>2989313.89277095</v>
      </c>
      <c r="BJ204" s="89" t="n">
        <f aca="true">IF(BJ$5=0,BI204,MAX(0,(BI204-BJ$4)*(1+NORMINV(RAND(),INPUTS!$B$28,INPUTS!$B$29))))</f>
        <v>2989313.89277095</v>
      </c>
    </row>
    <row r="205" customFormat="false" ht="15" hidden="false" customHeight="true" outlineLevel="0" collapsed="false">
      <c r="A205" s="87" t="n">
        <v>198</v>
      </c>
      <c r="B205" s="88" t="n">
        <f aca="false">LOOKUP(9.99E+307,C205:BJ205)</f>
        <v>18436998.5475322</v>
      </c>
      <c r="C205" s="89" t="n">
        <f aca="true">IF(C$5=0,INPUTS!$B$35,MAX(0,(INPUTS!$B$35-C$4)*(1+NORMINV(RAND(),INPUTS!$B$28,INPUTS!$B$29))))</f>
        <v>1432270.3998171</v>
      </c>
      <c r="D205" s="89" t="n">
        <f aca="true">IF(D$5=0,C205,MAX(0,(C205-D$4)*(1+NORMINV(RAND(),INPUTS!$B$28,INPUTS!$B$29))))</f>
        <v>1538000.07306857</v>
      </c>
      <c r="E205" s="89" t="n">
        <f aca="true">IF(E$5=0,D205,MAX(0,(D205-E$4)*(1+NORMINV(RAND(),INPUTS!$B$28,INPUTS!$B$29))))</f>
        <v>1627942.69080718</v>
      </c>
      <c r="F205" s="89" t="n">
        <f aca="true">IF(F$5=0,E205,MAX(0,(E205-F$4)*(1+NORMINV(RAND(),INPUTS!$B$28,INPUTS!$B$29))))</f>
        <v>1634345.53901484</v>
      </c>
      <c r="G205" s="89" t="n">
        <f aca="true">IF(G$5=0,F205,MAX(0,(F205-G$4)*(1+NORMINV(RAND(),INPUTS!$B$28,INPUTS!$B$29))))</f>
        <v>1900041.7556092</v>
      </c>
      <c r="H205" s="89" t="n">
        <f aca="true">IF(H$5=0,G205,MAX(0,(G205-H$4)*(1+NORMINV(RAND(),INPUTS!$B$28,INPUTS!$B$29))))</f>
        <v>1774329.1038328</v>
      </c>
      <c r="I205" s="89" t="n">
        <f aca="true">IF(I$5=0,H205,MAX(0,(H205-I$4)*(1+NORMINV(RAND(),INPUTS!$B$28,INPUTS!$B$29))))</f>
        <v>1689405.84792827</v>
      </c>
      <c r="J205" s="89" t="n">
        <f aca="true">IF(J$5=0,I205,MAX(0,(I205-J$4)*(1+NORMINV(RAND(),INPUTS!$B$28,INPUTS!$B$29))))</f>
        <v>1920183.24903652</v>
      </c>
      <c r="K205" s="89" t="n">
        <f aca="true">IF(K$5=0,J205,MAX(0,(J205-K$4)*(1+NORMINV(RAND(),INPUTS!$B$28,INPUTS!$B$29))))</f>
        <v>1844256.10213317</v>
      </c>
      <c r="L205" s="89" t="n">
        <f aca="true">IF(L$5=0,K205,MAX(0,(K205-L$4)*(1+NORMINV(RAND(),INPUTS!$B$28,INPUTS!$B$29))))</f>
        <v>2197777.51983352</v>
      </c>
      <c r="M205" s="89" t="n">
        <f aca="true">IF(M$5=0,L205,MAX(0,(L205-M$4)*(1+NORMINV(RAND(),INPUTS!$B$28,INPUTS!$B$29))))</f>
        <v>2284142.84575677</v>
      </c>
      <c r="N205" s="89" t="n">
        <f aca="true">IF(N$5=0,M205,MAX(0,(M205-N$4)*(1+NORMINV(RAND(),INPUTS!$B$28,INPUTS!$B$29))))</f>
        <v>2348379.63259377</v>
      </c>
      <c r="O205" s="89" t="n">
        <f aca="true">IF(O$5=0,N205,MAX(0,(N205-O$4)*(1+NORMINV(RAND(),INPUTS!$B$28,INPUTS!$B$29))))</f>
        <v>2193147.11618717</v>
      </c>
      <c r="P205" s="89" t="n">
        <f aca="true">IF(P$5=0,O205,MAX(0,(O205-P$4)*(1+NORMINV(RAND(),INPUTS!$B$28,INPUTS!$B$29))))</f>
        <v>2581801.27875867</v>
      </c>
      <c r="Q205" s="89" t="n">
        <f aca="true">IF(Q$5=0,P205,MAX(0,(P205-Q$4)*(1+NORMINV(RAND(),INPUTS!$B$28,INPUTS!$B$29))))</f>
        <v>2561066.32407427</v>
      </c>
      <c r="R205" s="89" t="n">
        <f aca="true">IF(R$5=0,Q205,MAX(0,(Q205-R$4)*(1+NORMINV(RAND(),INPUTS!$B$28,INPUTS!$B$29))))</f>
        <v>2584652.31431484</v>
      </c>
      <c r="S205" s="89" t="n">
        <f aca="true">IF(S$5=0,R205,MAX(0,(R205-S$4)*(1+NORMINV(RAND(),INPUTS!$B$28,INPUTS!$B$29))))</f>
        <v>2872193.05245905</v>
      </c>
      <c r="T205" s="89" t="n">
        <f aca="true">IF(T$5=0,S205,MAX(0,(S205-T$4)*(1+NORMINV(RAND(),INPUTS!$B$28,INPUTS!$B$29))))</f>
        <v>3158175.07591218</v>
      </c>
      <c r="U205" s="89" t="n">
        <f aca="true">IF(U$5=0,T205,MAX(0,(T205-U$4)*(1+NORMINV(RAND(),INPUTS!$B$28,INPUTS!$B$29))))</f>
        <v>3562874.96815153</v>
      </c>
      <c r="V205" s="89" t="n">
        <f aca="true">IF(V$5=0,U205,MAX(0,(U205-V$4)*(1+NORMINV(RAND(),INPUTS!$B$28,INPUTS!$B$29))))</f>
        <v>3911229.17092802</v>
      </c>
      <c r="W205" s="89" t="n">
        <f aca="true">IF(W$5=0,V205,MAX(0,(V205-W$4)*(1+NORMINV(RAND(),INPUTS!$B$28,INPUTS!$B$29))))</f>
        <v>3494164.73181677</v>
      </c>
      <c r="X205" s="89" t="n">
        <f aca="true">IF(X$5=0,W205,MAX(0,(W205-X$4)*(1+NORMINV(RAND(),INPUTS!$B$28,INPUTS!$B$29))))</f>
        <v>3278405.22201297</v>
      </c>
      <c r="Y205" s="89" t="n">
        <f aca="true">IF(Y$5=0,X205,MAX(0,(X205-Y$4)*(1+NORMINV(RAND(),INPUTS!$B$28,INPUTS!$B$29))))</f>
        <v>3287157.36303101</v>
      </c>
      <c r="Z205" s="89" t="n">
        <f aca="true">IF(Z$5=0,Y205,MAX(0,(Y205-Z$4)*(1+NORMINV(RAND(),INPUTS!$B$28,INPUTS!$B$29))))</f>
        <v>3354126.2815613</v>
      </c>
      <c r="AA205" s="89" t="n">
        <f aca="true">IF(AA$5=0,Z205,MAX(0,(Z205-AA$4)*(1+NORMINV(RAND(),INPUTS!$B$28,INPUTS!$B$29))))</f>
        <v>3344396.09234016</v>
      </c>
      <c r="AB205" s="89" t="n">
        <f aca="true">IF(AB$5=0,AA205,MAX(0,(AA205-AB$4)*(1+NORMINV(RAND(),INPUTS!$B$28,INPUTS!$B$29))))</f>
        <v>3944023.52475387</v>
      </c>
      <c r="AC205" s="89" t="n">
        <f aca="true">IF(AC$5=0,AB205,MAX(0,(AB205-AC$4)*(1+NORMINV(RAND(),INPUTS!$B$28,INPUTS!$B$29))))</f>
        <v>4678939.47141211</v>
      </c>
      <c r="AD205" s="89" t="n">
        <f aca="true">IF(AD$5=0,AC205,MAX(0,(AC205-AD$4)*(1+NORMINV(RAND(),INPUTS!$B$28,INPUTS!$B$29))))</f>
        <v>4895393.83153927</v>
      </c>
      <c r="AE205" s="89" t="n">
        <f aca="true">IF(AE$5=0,AD205,MAX(0,(AD205-AE$4)*(1+NORMINV(RAND(),INPUTS!$B$28,INPUTS!$B$29))))</f>
        <v>5953873.89520019</v>
      </c>
      <c r="AF205" s="89" t="n">
        <f aca="true">IF(AF$5=0,AE205,MAX(0,(AE205-AF$4)*(1+NORMINV(RAND(),INPUTS!$B$28,INPUTS!$B$29))))</f>
        <v>6448846.01918587</v>
      </c>
      <c r="AG205" s="89" t="n">
        <f aca="true">IF(AG$5=0,AF205,MAX(0,(AF205-AG$4)*(1+NORMINV(RAND(),INPUTS!$B$28,INPUTS!$B$29))))</f>
        <v>7197644.79391008</v>
      </c>
      <c r="AH205" s="89" t="n">
        <f aca="true">IF(AH$5=0,AG205,MAX(0,(AG205-AH$4)*(1+NORMINV(RAND(),INPUTS!$B$28,INPUTS!$B$29))))</f>
        <v>10278614.6136873</v>
      </c>
      <c r="AI205" s="89" t="n">
        <f aca="true">IF(AI$5=0,AH205,MAX(0,(AH205-AI$4)*(1+NORMINV(RAND(),INPUTS!$B$28,INPUTS!$B$29))))</f>
        <v>10813271.6591052</v>
      </c>
      <c r="AJ205" s="89" t="n">
        <f aca="true">IF(AJ$5=0,AI205,MAX(0,(AI205-AJ$4)*(1+NORMINV(RAND(),INPUTS!$B$28,INPUTS!$B$29))))</f>
        <v>13443339.4184922</v>
      </c>
      <c r="AK205" s="89" t="n">
        <f aca="true">IF(AK$5=0,AJ205,MAX(0,(AJ205-AK$4)*(1+NORMINV(RAND(),INPUTS!$B$28,INPUTS!$B$29))))</f>
        <v>15801478.6067968</v>
      </c>
      <c r="AL205" s="89" t="n">
        <f aca="true">IF(AL$5=0,AK205,MAX(0,(AK205-AL$4)*(1+NORMINV(RAND(),INPUTS!$B$28,INPUTS!$B$29))))</f>
        <v>18436998.5475322</v>
      </c>
      <c r="AM205" s="89" t="n">
        <f aca="true">IF(AM$5=0,AL205,MAX(0,(AL205-AM$4)*(1+NORMINV(RAND(),INPUTS!$B$28,INPUTS!$B$29))))</f>
        <v>18436998.5475322</v>
      </c>
      <c r="AN205" s="89" t="n">
        <f aca="true">IF(AN$5=0,AM205,MAX(0,(AM205-AN$4)*(1+NORMINV(RAND(),INPUTS!$B$28,INPUTS!$B$29))))</f>
        <v>18436998.5475322</v>
      </c>
      <c r="AO205" s="89" t="n">
        <f aca="true">IF(AO$5=0,AN205,MAX(0,(AN205-AO$4)*(1+NORMINV(RAND(),INPUTS!$B$28,INPUTS!$B$29))))</f>
        <v>18436998.5475322</v>
      </c>
      <c r="AP205" s="89" t="n">
        <f aca="true">IF(AP$5=0,AO205,MAX(0,(AO205-AP$4)*(1+NORMINV(RAND(),INPUTS!$B$28,INPUTS!$B$29))))</f>
        <v>18436998.5475322</v>
      </c>
      <c r="AQ205" s="89" t="n">
        <f aca="true">IF(AQ$5=0,AP205,MAX(0,(AP205-AQ$4)*(1+NORMINV(RAND(),INPUTS!$B$28,INPUTS!$B$29))))</f>
        <v>18436998.5475322</v>
      </c>
      <c r="AR205" s="89" t="n">
        <f aca="true">IF(AR$5=0,AQ205,MAX(0,(AQ205-AR$4)*(1+NORMINV(RAND(),INPUTS!$B$28,INPUTS!$B$29))))</f>
        <v>18436998.5475322</v>
      </c>
      <c r="AS205" s="89" t="n">
        <f aca="true">IF(AS$5=0,AR205,MAX(0,(AR205-AS$4)*(1+NORMINV(RAND(),INPUTS!$B$28,INPUTS!$B$29))))</f>
        <v>18436998.5475322</v>
      </c>
      <c r="AT205" s="89" t="n">
        <f aca="true">IF(AT$5=0,AS205,MAX(0,(AS205-AT$4)*(1+NORMINV(RAND(),INPUTS!$B$28,INPUTS!$B$29))))</f>
        <v>18436998.5475322</v>
      </c>
      <c r="AU205" s="89" t="n">
        <f aca="true">IF(AU$5=0,AT205,MAX(0,(AT205-AU$4)*(1+NORMINV(RAND(),INPUTS!$B$28,INPUTS!$B$29))))</f>
        <v>18436998.5475322</v>
      </c>
      <c r="AV205" s="89" t="n">
        <f aca="true">IF(AV$5=0,AU205,MAX(0,(AU205-AV$4)*(1+NORMINV(RAND(),INPUTS!$B$28,INPUTS!$B$29))))</f>
        <v>18436998.5475322</v>
      </c>
      <c r="AW205" s="89" t="n">
        <f aca="true">IF(AW$5=0,AV205,MAX(0,(AV205-AW$4)*(1+NORMINV(RAND(),INPUTS!$B$28,INPUTS!$B$29))))</f>
        <v>18436998.5475322</v>
      </c>
      <c r="AX205" s="89" t="n">
        <f aca="true">IF(AX$5=0,AW205,MAX(0,(AW205-AX$4)*(1+NORMINV(RAND(),INPUTS!$B$28,INPUTS!$B$29))))</f>
        <v>18436998.5475322</v>
      </c>
      <c r="AY205" s="89" t="n">
        <f aca="true">IF(AY$5=0,AX205,MAX(0,(AX205-AY$4)*(1+NORMINV(RAND(),INPUTS!$B$28,INPUTS!$B$29))))</f>
        <v>18436998.5475322</v>
      </c>
      <c r="AZ205" s="89" t="n">
        <f aca="true">IF(AZ$5=0,AY205,MAX(0,(AY205-AZ$4)*(1+NORMINV(RAND(),INPUTS!$B$28,INPUTS!$B$29))))</f>
        <v>18436998.5475322</v>
      </c>
      <c r="BA205" s="89" t="n">
        <f aca="true">IF(BA$5=0,AZ205,MAX(0,(AZ205-BA$4)*(1+NORMINV(RAND(),INPUTS!$B$28,INPUTS!$B$29))))</f>
        <v>18436998.5475322</v>
      </c>
      <c r="BB205" s="89" t="n">
        <f aca="true">IF(BB$5=0,BA205,MAX(0,(BA205-BB$4)*(1+NORMINV(RAND(),INPUTS!$B$28,INPUTS!$B$29))))</f>
        <v>18436998.5475322</v>
      </c>
      <c r="BC205" s="89" t="n">
        <f aca="true">IF(BC$5=0,BB205,MAX(0,(BB205-BC$4)*(1+NORMINV(RAND(),INPUTS!$B$28,INPUTS!$B$29))))</f>
        <v>18436998.5475322</v>
      </c>
      <c r="BD205" s="89" t="n">
        <f aca="true">IF(BD$5=0,BC205,MAX(0,(BC205-BD$4)*(1+NORMINV(RAND(),INPUTS!$B$28,INPUTS!$B$29))))</f>
        <v>18436998.5475322</v>
      </c>
      <c r="BE205" s="89" t="n">
        <f aca="true">IF(BE$5=0,BD205,MAX(0,(BD205-BE$4)*(1+NORMINV(RAND(),INPUTS!$B$28,INPUTS!$B$29))))</f>
        <v>18436998.5475322</v>
      </c>
      <c r="BF205" s="89" t="n">
        <f aca="true">IF(BF$5=0,BE205,MAX(0,(BE205-BF$4)*(1+NORMINV(RAND(),INPUTS!$B$28,INPUTS!$B$29))))</f>
        <v>18436998.5475322</v>
      </c>
      <c r="BG205" s="89" t="n">
        <f aca="true">IF(BG$5=0,BF205,MAX(0,(BF205-BG$4)*(1+NORMINV(RAND(),INPUTS!$B$28,INPUTS!$B$29))))</f>
        <v>18436998.5475322</v>
      </c>
      <c r="BH205" s="89" t="n">
        <f aca="true">IF(BH$5=0,BG205,MAX(0,(BG205-BH$4)*(1+NORMINV(RAND(),INPUTS!$B$28,INPUTS!$B$29))))</f>
        <v>18436998.5475322</v>
      </c>
      <c r="BI205" s="89" t="n">
        <f aca="true">IF(BI$5=0,BH205,MAX(0,(BH205-BI$4)*(1+NORMINV(RAND(),INPUTS!$B$28,INPUTS!$B$29))))</f>
        <v>18436998.5475322</v>
      </c>
      <c r="BJ205" s="89" t="n">
        <f aca="true">IF(BJ$5=0,BI205,MAX(0,(BI205-BJ$4)*(1+NORMINV(RAND(),INPUTS!$B$28,INPUTS!$B$29))))</f>
        <v>18436998.5475322</v>
      </c>
    </row>
    <row r="206" customFormat="false" ht="15" hidden="false" customHeight="true" outlineLevel="0" collapsed="false">
      <c r="A206" s="87" t="n">
        <v>199</v>
      </c>
      <c r="B206" s="88" t="n">
        <f aca="false">LOOKUP(9.99E+307,C206:BJ206)</f>
        <v>6726449.04931469</v>
      </c>
      <c r="C206" s="89" t="n">
        <f aca="true">IF(C$5=0,INPUTS!$B$35,MAX(0,(INPUTS!$B$35-C$4)*(1+NORMINV(RAND(),INPUTS!$B$28,INPUTS!$B$29))))</f>
        <v>1577872.96909068</v>
      </c>
      <c r="D206" s="89" t="n">
        <f aca="true">IF(D$5=0,C206,MAX(0,(C206-D$4)*(1+NORMINV(RAND(),INPUTS!$B$28,INPUTS!$B$29))))</f>
        <v>1767556.63286833</v>
      </c>
      <c r="E206" s="89" t="n">
        <f aca="true">IF(E$5=0,D206,MAX(0,(D206-E$4)*(1+NORMINV(RAND(),INPUTS!$B$28,INPUTS!$B$29))))</f>
        <v>1678061.11199774</v>
      </c>
      <c r="F206" s="89" t="n">
        <f aca="true">IF(F$5=0,E206,MAX(0,(E206-F$4)*(1+NORMINV(RAND(),INPUTS!$B$28,INPUTS!$B$29))))</f>
        <v>1467682.41028814</v>
      </c>
      <c r="G206" s="89" t="n">
        <f aca="true">IF(G$5=0,F206,MAX(0,(F206-G$4)*(1+NORMINV(RAND(),INPUTS!$B$28,INPUTS!$B$29))))</f>
        <v>1409210.14640289</v>
      </c>
      <c r="H206" s="89" t="n">
        <f aca="true">IF(H$5=0,G206,MAX(0,(G206-H$4)*(1+NORMINV(RAND(),INPUTS!$B$28,INPUTS!$B$29))))</f>
        <v>1421823.05130693</v>
      </c>
      <c r="I206" s="89" t="n">
        <f aca="true">IF(I$5=0,H206,MAX(0,(H206-I$4)*(1+NORMINV(RAND(),INPUTS!$B$28,INPUTS!$B$29))))</f>
        <v>1186465.94965712</v>
      </c>
      <c r="J206" s="89" t="n">
        <f aca="true">IF(J$5=0,I206,MAX(0,(I206-J$4)*(1+NORMINV(RAND(),INPUTS!$B$28,INPUTS!$B$29))))</f>
        <v>1514331.24835115</v>
      </c>
      <c r="K206" s="89" t="n">
        <f aca="true">IF(K$5=0,J206,MAX(0,(J206-K$4)*(1+NORMINV(RAND(),INPUTS!$B$28,INPUTS!$B$29))))</f>
        <v>1688864.46876483</v>
      </c>
      <c r="L206" s="89" t="n">
        <f aca="true">IF(L$5=0,K206,MAX(0,(K206-L$4)*(1+NORMINV(RAND(),INPUTS!$B$28,INPUTS!$B$29))))</f>
        <v>1605427.82096231</v>
      </c>
      <c r="M206" s="89" t="n">
        <f aca="true">IF(M$5=0,L206,MAX(0,(L206-M$4)*(1+NORMINV(RAND(),INPUTS!$B$28,INPUTS!$B$29))))</f>
        <v>1615455.62660884</v>
      </c>
      <c r="N206" s="89" t="n">
        <f aca="true">IF(N$5=0,M206,MAX(0,(M206-N$4)*(1+NORMINV(RAND(),INPUTS!$B$28,INPUTS!$B$29))))</f>
        <v>1625940.27930414</v>
      </c>
      <c r="O206" s="89" t="n">
        <f aca="true">IF(O$5=0,N206,MAX(0,(N206-O$4)*(1+NORMINV(RAND(),INPUTS!$B$28,INPUTS!$B$29))))</f>
        <v>1814619.90767267</v>
      </c>
      <c r="P206" s="89" t="n">
        <f aca="true">IF(P$5=0,O206,MAX(0,(O206-P$4)*(1+NORMINV(RAND(),INPUTS!$B$28,INPUTS!$B$29))))</f>
        <v>1572354.15551782</v>
      </c>
      <c r="Q206" s="89" t="n">
        <f aca="true">IF(Q$5=0,P206,MAX(0,(P206-Q$4)*(1+NORMINV(RAND(),INPUTS!$B$28,INPUTS!$B$29))))</f>
        <v>1594293.08816642</v>
      </c>
      <c r="R206" s="89" t="n">
        <f aca="true">IF(R$5=0,Q206,MAX(0,(Q206-R$4)*(1+NORMINV(RAND(),INPUTS!$B$28,INPUTS!$B$29))))</f>
        <v>1815622.37902932</v>
      </c>
      <c r="S206" s="89" t="n">
        <f aca="true">IF(S$5=0,R206,MAX(0,(R206-S$4)*(1+NORMINV(RAND(),INPUTS!$B$28,INPUTS!$B$29))))</f>
        <v>1494885.80623275</v>
      </c>
      <c r="T206" s="89" t="n">
        <f aca="true">IF(T$5=0,S206,MAX(0,(S206-T$4)*(1+NORMINV(RAND(),INPUTS!$B$28,INPUTS!$B$29))))</f>
        <v>1568203.38066788</v>
      </c>
      <c r="U206" s="89" t="n">
        <f aca="true">IF(U$5=0,T206,MAX(0,(T206-U$4)*(1+NORMINV(RAND(),INPUTS!$B$28,INPUTS!$B$29))))</f>
        <v>1628165.24230213</v>
      </c>
      <c r="V206" s="89" t="n">
        <f aca="true">IF(V$5=0,U206,MAX(0,(U206-V$4)*(1+NORMINV(RAND(),INPUTS!$B$28,INPUTS!$B$29))))</f>
        <v>1645460.30395155</v>
      </c>
      <c r="W206" s="89" t="n">
        <f aca="true">IF(W$5=0,V206,MAX(0,(V206-W$4)*(1+NORMINV(RAND(),INPUTS!$B$28,INPUTS!$B$29))))</f>
        <v>1917262.47929235</v>
      </c>
      <c r="X206" s="89" t="n">
        <f aca="true">IF(X$5=0,W206,MAX(0,(W206-X$4)*(1+NORMINV(RAND(),INPUTS!$B$28,INPUTS!$B$29))))</f>
        <v>2056201.83348884</v>
      </c>
      <c r="Y206" s="89" t="n">
        <f aca="true">IF(Y$5=0,X206,MAX(0,(X206-Y$4)*(1+NORMINV(RAND(),INPUTS!$B$28,INPUTS!$B$29))))</f>
        <v>2182669.4580628</v>
      </c>
      <c r="Z206" s="89" t="n">
        <f aca="true">IF(Z$5=0,Y206,MAX(0,(Y206-Z$4)*(1+NORMINV(RAND(),INPUTS!$B$28,INPUTS!$B$29))))</f>
        <v>2289617.54427592</v>
      </c>
      <c r="AA206" s="89" t="n">
        <f aca="true">IF(AA$5=0,Z206,MAX(0,(Z206-AA$4)*(1+NORMINV(RAND(),INPUTS!$B$28,INPUTS!$B$29))))</f>
        <v>3021446.58436309</v>
      </c>
      <c r="AB206" s="89" t="n">
        <f aca="true">IF(AB$5=0,AA206,MAX(0,(AA206-AB$4)*(1+NORMINV(RAND(),INPUTS!$B$28,INPUTS!$B$29))))</f>
        <v>3428058.30807743</v>
      </c>
      <c r="AC206" s="89" t="n">
        <f aca="true">IF(AC$5=0,AB206,MAX(0,(AB206-AC$4)*(1+NORMINV(RAND(),INPUTS!$B$28,INPUTS!$B$29))))</f>
        <v>3501744.99598676</v>
      </c>
      <c r="AD206" s="89" t="n">
        <f aca="true">IF(AD$5=0,AC206,MAX(0,(AC206-AD$4)*(1+NORMINV(RAND(),INPUTS!$B$28,INPUTS!$B$29))))</f>
        <v>3462980.34545156</v>
      </c>
      <c r="AE206" s="89" t="n">
        <f aca="true">IF(AE$5=0,AD206,MAX(0,(AD206-AE$4)*(1+NORMINV(RAND(),INPUTS!$B$28,INPUTS!$B$29))))</f>
        <v>3667506.87900002</v>
      </c>
      <c r="AF206" s="89" t="n">
        <f aca="true">IF(AF$5=0,AE206,MAX(0,(AE206-AF$4)*(1+NORMINV(RAND(),INPUTS!$B$28,INPUTS!$B$29))))</f>
        <v>4530027.94051131</v>
      </c>
      <c r="AG206" s="89" t="n">
        <f aca="true">IF(AG$5=0,AF206,MAX(0,(AF206-AG$4)*(1+NORMINV(RAND(),INPUTS!$B$28,INPUTS!$B$29))))</f>
        <v>5203141.78429231</v>
      </c>
      <c r="AH206" s="89" t="n">
        <f aca="true">IF(AH$5=0,AG206,MAX(0,(AG206-AH$4)*(1+NORMINV(RAND(),INPUTS!$B$28,INPUTS!$B$29))))</f>
        <v>5339862.44148977</v>
      </c>
      <c r="AI206" s="89" t="n">
        <f aca="true">IF(AI$5=0,AH206,MAX(0,(AH206-AI$4)*(1+NORMINV(RAND(),INPUTS!$B$28,INPUTS!$B$29))))</f>
        <v>4920607.84060736</v>
      </c>
      <c r="AJ206" s="89" t="n">
        <f aca="true">IF(AJ$5=0,AI206,MAX(0,(AI206-AJ$4)*(1+NORMINV(RAND(),INPUTS!$B$28,INPUTS!$B$29))))</f>
        <v>5713157.3130943</v>
      </c>
      <c r="AK206" s="89" t="n">
        <f aca="true">IF(AK$5=0,AJ206,MAX(0,(AJ206-AK$4)*(1+NORMINV(RAND(),INPUTS!$B$28,INPUTS!$B$29))))</f>
        <v>6289255.43166833</v>
      </c>
      <c r="AL206" s="89" t="n">
        <f aca="true">IF(AL$5=0,AK206,MAX(0,(AK206-AL$4)*(1+NORMINV(RAND(),INPUTS!$B$28,INPUTS!$B$29))))</f>
        <v>6726449.04931469</v>
      </c>
      <c r="AM206" s="89" t="n">
        <f aca="true">IF(AM$5=0,AL206,MAX(0,(AL206-AM$4)*(1+NORMINV(RAND(),INPUTS!$B$28,INPUTS!$B$29))))</f>
        <v>6726449.04931469</v>
      </c>
      <c r="AN206" s="89" t="n">
        <f aca="true">IF(AN$5=0,AM206,MAX(0,(AM206-AN$4)*(1+NORMINV(RAND(),INPUTS!$B$28,INPUTS!$B$29))))</f>
        <v>6726449.04931469</v>
      </c>
      <c r="AO206" s="89" t="n">
        <f aca="true">IF(AO$5=0,AN206,MAX(0,(AN206-AO$4)*(1+NORMINV(RAND(),INPUTS!$B$28,INPUTS!$B$29))))</f>
        <v>6726449.04931469</v>
      </c>
      <c r="AP206" s="89" t="n">
        <f aca="true">IF(AP$5=0,AO206,MAX(0,(AO206-AP$4)*(1+NORMINV(RAND(),INPUTS!$B$28,INPUTS!$B$29))))</f>
        <v>6726449.04931469</v>
      </c>
      <c r="AQ206" s="89" t="n">
        <f aca="true">IF(AQ$5=0,AP206,MAX(0,(AP206-AQ$4)*(1+NORMINV(RAND(),INPUTS!$B$28,INPUTS!$B$29))))</f>
        <v>6726449.04931469</v>
      </c>
      <c r="AR206" s="89" t="n">
        <f aca="true">IF(AR$5=0,AQ206,MAX(0,(AQ206-AR$4)*(1+NORMINV(RAND(),INPUTS!$B$28,INPUTS!$B$29))))</f>
        <v>6726449.04931469</v>
      </c>
      <c r="AS206" s="89" t="n">
        <f aca="true">IF(AS$5=0,AR206,MAX(0,(AR206-AS$4)*(1+NORMINV(RAND(),INPUTS!$B$28,INPUTS!$B$29))))</f>
        <v>6726449.04931469</v>
      </c>
      <c r="AT206" s="89" t="n">
        <f aca="true">IF(AT$5=0,AS206,MAX(0,(AS206-AT$4)*(1+NORMINV(RAND(),INPUTS!$B$28,INPUTS!$B$29))))</f>
        <v>6726449.04931469</v>
      </c>
      <c r="AU206" s="89" t="n">
        <f aca="true">IF(AU$5=0,AT206,MAX(0,(AT206-AU$4)*(1+NORMINV(RAND(),INPUTS!$B$28,INPUTS!$B$29))))</f>
        <v>6726449.04931469</v>
      </c>
      <c r="AV206" s="89" t="n">
        <f aca="true">IF(AV$5=0,AU206,MAX(0,(AU206-AV$4)*(1+NORMINV(RAND(),INPUTS!$B$28,INPUTS!$B$29))))</f>
        <v>6726449.04931469</v>
      </c>
      <c r="AW206" s="89" t="n">
        <f aca="true">IF(AW$5=0,AV206,MAX(0,(AV206-AW$4)*(1+NORMINV(RAND(),INPUTS!$B$28,INPUTS!$B$29))))</f>
        <v>6726449.04931469</v>
      </c>
      <c r="AX206" s="89" t="n">
        <f aca="true">IF(AX$5=0,AW206,MAX(0,(AW206-AX$4)*(1+NORMINV(RAND(),INPUTS!$B$28,INPUTS!$B$29))))</f>
        <v>6726449.04931469</v>
      </c>
      <c r="AY206" s="89" t="n">
        <f aca="true">IF(AY$5=0,AX206,MAX(0,(AX206-AY$4)*(1+NORMINV(RAND(),INPUTS!$B$28,INPUTS!$B$29))))</f>
        <v>6726449.04931469</v>
      </c>
      <c r="AZ206" s="89" t="n">
        <f aca="true">IF(AZ$5=0,AY206,MAX(0,(AY206-AZ$4)*(1+NORMINV(RAND(),INPUTS!$B$28,INPUTS!$B$29))))</f>
        <v>6726449.04931469</v>
      </c>
      <c r="BA206" s="89" t="n">
        <f aca="true">IF(BA$5=0,AZ206,MAX(0,(AZ206-BA$4)*(1+NORMINV(RAND(),INPUTS!$B$28,INPUTS!$B$29))))</f>
        <v>6726449.04931469</v>
      </c>
      <c r="BB206" s="89" t="n">
        <f aca="true">IF(BB$5=0,BA206,MAX(0,(BA206-BB$4)*(1+NORMINV(RAND(),INPUTS!$B$28,INPUTS!$B$29))))</f>
        <v>6726449.04931469</v>
      </c>
      <c r="BC206" s="89" t="n">
        <f aca="true">IF(BC$5=0,BB206,MAX(0,(BB206-BC$4)*(1+NORMINV(RAND(),INPUTS!$B$28,INPUTS!$B$29))))</f>
        <v>6726449.04931469</v>
      </c>
      <c r="BD206" s="89" t="n">
        <f aca="true">IF(BD$5=0,BC206,MAX(0,(BC206-BD$4)*(1+NORMINV(RAND(),INPUTS!$B$28,INPUTS!$B$29))))</f>
        <v>6726449.04931469</v>
      </c>
      <c r="BE206" s="89" t="n">
        <f aca="true">IF(BE$5=0,BD206,MAX(0,(BD206-BE$4)*(1+NORMINV(RAND(),INPUTS!$B$28,INPUTS!$B$29))))</f>
        <v>6726449.04931469</v>
      </c>
      <c r="BF206" s="89" t="n">
        <f aca="true">IF(BF$5=0,BE206,MAX(0,(BE206-BF$4)*(1+NORMINV(RAND(),INPUTS!$B$28,INPUTS!$B$29))))</f>
        <v>6726449.04931469</v>
      </c>
      <c r="BG206" s="89" t="n">
        <f aca="true">IF(BG$5=0,BF206,MAX(0,(BF206-BG$4)*(1+NORMINV(RAND(),INPUTS!$B$28,INPUTS!$B$29))))</f>
        <v>6726449.04931469</v>
      </c>
      <c r="BH206" s="89" t="n">
        <f aca="true">IF(BH$5=0,BG206,MAX(0,(BG206-BH$4)*(1+NORMINV(RAND(),INPUTS!$B$28,INPUTS!$B$29))))</f>
        <v>6726449.04931469</v>
      </c>
      <c r="BI206" s="89" t="n">
        <f aca="true">IF(BI$5=0,BH206,MAX(0,(BH206-BI$4)*(1+NORMINV(RAND(),INPUTS!$B$28,INPUTS!$B$29))))</f>
        <v>6726449.04931469</v>
      </c>
      <c r="BJ206" s="89" t="n">
        <f aca="true">IF(BJ$5=0,BI206,MAX(0,(BI206-BJ$4)*(1+NORMINV(RAND(),INPUTS!$B$28,INPUTS!$B$29))))</f>
        <v>6726449.04931469</v>
      </c>
    </row>
    <row r="207" customFormat="false" ht="15" hidden="false" customHeight="true" outlineLevel="0" collapsed="false">
      <c r="A207" s="87" t="n">
        <v>200</v>
      </c>
      <c r="B207" s="88" t="n">
        <f aca="false">LOOKUP(9.99E+307,C207:BJ207)</f>
        <v>3208716.20775868</v>
      </c>
      <c r="C207" s="89" t="n">
        <f aca="true">IF(C$5=0,INPUTS!$B$35,MAX(0,(INPUTS!$B$35-C$4)*(1+NORMINV(RAND(),INPUTS!$B$28,INPUTS!$B$29))))</f>
        <v>1795991.05297704</v>
      </c>
      <c r="D207" s="89" t="n">
        <f aca="true">IF(D$5=0,C207,MAX(0,(C207-D$4)*(1+NORMINV(RAND(),INPUTS!$B$28,INPUTS!$B$29))))</f>
        <v>1691821.55604301</v>
      </c>
      <c r="E207" s="89" t="n">
        <f aca="true">IF(E$5=0,D207,MAX(0,(D207-E$4)*(1+NORMINV(RAND(),INPUTS!$B$28,INPUTS!$B$29))))</f>
        <v>2112079.30125931</v>
      </c>
      <c r="F207" s="89" t="n">
        <f aca="true">IF(F$5=0,E207,MAX(0,(E207-F$4)*(1+NORMINV(RAND(),INPUTS!$B$28,INPUTS!$B$29))))</f>
        <v>1987161.09770797</v>
      </c>
      <c r="G207" s="89" t="n">
        <f aca="true">IF(G$5=0,F207,MAX(0,(F207-G$4)*(1+NORMINV(RAND(),INPUTS!$B$28,INPUTS!$B$29))))</f>
        <v>1974897.36917287</v>
      </c>
      <c r="H207" s="89" t="n">
        <f aca="true">IF(H$5=0,G207,MAX(0,(G207-H$4)*(1+NORMINV(RAND(),INPUTS!$B$28,INPUTS!$B$29))))</f>
        <v>2078315.35868041</v>
      </c>
      <c r="I207" s="89" t="n">
        <f aca="true">IF(I$5=0,H207,MAX(0,(H207-I$4)*(1+NORMINV(RAND(),INPUTS!$B$28,INPUTS!$B$29))))</f>
        <v>2654907.86003475</v>
      </c>
      <c r="J207" s="89" t="n">
        <f aca="true">IF(J$5=0,I207,MAX(0,(I207-J$4)*(1+NORMINV(RAND(),INPUTS!$B$28,INPUTS!$B$29))))</f>
        <v>3286604.15945877</v>
      </c>
      <c r="K207" s="89" t="n">
        <f aca="true">IF(K$5=0,J207,MAX(0,(J207-K$4)*(1+NORMINV(RAND(),INPUTS!$B$28,INPUTS!$B$29))))</f>
        <v>3741859.47104839</v>
      </c>
      <c r="L207" s="89" t="n">
        <f aca="true">IF(L$5=0,K207,MAX(0,(K207-L$4)*(1+NORMINV(RAND(),INPUTS!$B$28,INPUTS!$B$29))))</f>
        <v>4078875.52389665</v>
      </c>
      <c r="M207" s="89" t="n">
        <f aca="true">IF(M$5=0,L207,MAX(0,(L207-M$4)*(1+NORMINV(RAND(),INPUTS!$B$28,INPUTS!$B$29))))</f>
        <v>4042920.17586645</v>
      </c>
      <c r="N207" s="89" t="n">
        <f aca="true">IF(N$5=0,M207,MAX(0,(M207-N$4)*(1+NORMINV(RAND(),INPUTS!$B$28,INPUTS!$B$29))))</f>
        <v>4263845.53403149</v>
      </c>
      <c r="O207" s="89" t="n">
        <f aca="true">IF(O$5=0,N207,MAX(0,(N207-O$4)*(1+NORMINV(RAND(),INPUTS!$B$28,INPUTS!$B$29))))</f>
        <v>4059527.82483937</v>
      </c>
      <c r="P207" s="89" t="n">
        <f aca="true">IF(P$5=0,O207,MAX(0,(O207-P$4)*(1+NORMINV(RAND(),INPUTS!$B$28,INPUTS!$B$29))))</f>
        <v>3494325.37088741</v>
      </c>
      <c r="Q207" s="89" t="n">
        <f aca="true">IF(Q$5=0,P207,MAX(0,(P207-Q$4)*(1+NORMINV(RAND(),INPUTS!$B$28,INPUTS!$B$29))))</f>
        <v>3611739.04097482</v>
      </c>
      <c r="R207" s="89" t="n">
        <f aca="true">IF(R$5=0,Q207,MAX(0,(Q207-R$4)*(1+NORMINV(RAND(),INPUTS!$B$28,INPUTS!$B$29))))</f>
        <v>3433551.85268438</v>
      </c>
      <c r="S207" s="89" t="n">
        <f aca="true">IF(S$5=0,R207,MAX(0,(R207-S$4)*(1+NORMINV(RAND(),INPUTS!$B$28,INPUTS!$B$29))))</f>
        <v>2937564.95463675</v>
      </c>
      <c r="T207" s="89" t="n">
        <f aca="true">IF(T$5=0,S207,MAX(0,(S207-T$4)*(1+NORMINV(RAND(),INPUTS!$B$28,INPUTS!$B$29))))</f>
        <v>2482403.48517727</v>
      </c>
      <c r="U207" s="89" t="n">
        <f aca="true">IF(U$5=0,T207,MAX(0,(T207-U$4)*(1+NORMINV(RAND(),INPUTS!$B$28,INPUTS!$B$29))))</f>
        <v>2943252.99286846</v>
      </c>
      <c r="V207" s="89" t="n">
        <f aca="true">IF(V$5=0,U207,MAX(0,(U207-V$4)*(1+NORMINV(RAND(),INPUTS!$B$28,INPUTS!$B$29))))</f>
        <v>2875346.79862711</v>
      </c>
      <c r="W207" s="89" t="n">
        <f aca="true">IF(W$5=0,V207,MAX(0,(V207-W$4)*(1+NORMINV(RAND(),INPUTS!$B$28,INPUTS!$B$29))))</f>
        <v>3371086.93878499</v>
      </c>
      <c r="X207" s="89" t="n">
        <f aca="true">IF(X$5=0,W207,MAX(0,(W207-X$4)*(1+NORMINV(RAND(),INPUTS!$B$28,INPUTS!$B$29))))</f>
        <v>3643076.20263404</v>
      </c>
      <c r="Y207" s="89" t="n">
        <f aca="true">IF(Y$5=0,X207,MAX(0,(X207-Y$4)*(1+NORMINV(RAND(),INPUTS!$B$28,INPUTS!$B$29))))</f>
        <v>4187343.02646158</v>
      </c>
      <c r="Z207" s="89" t="n">
        <f aca="true">IF(Z$5=0,Y207,MAX(0,(Y207-Z$4)*(1+NORMINV(RAND(),INPUTS!$B$28,INPUTS!$B$29))))</f>
        <v>4156356.91754052</v>
      </c>
      <c r="AA207" s="89" t="n">
        <f aca="true">IF(AA$5=0,Z207,MAX(0,(Z207-AA$4)*(1+NORMINV(RAND(),INPUTS!$B$28,INPUTS!$B$29))))</f>
        <v>3579247.56977427</v>
      </c>
      <c r="AB207" s="89" t="n">
        <f aca="true">IF(AB$5=0,AA207,MAX(0,(AA207-AB$4)*(1+NORMINV(RAND(),INPUTS!$B$28,INPUTS!$B$29))))</f>
        <v>3618515.26248713</v>
      </c>
      <c r="AC207" s="89" t="n">
        <f aca="true">IF(AC$5=0,AB207,MAX(0,(AB207-AC$4)*(1+NORMINV(RAND(),INPUTS!$B$28,INPUTS!$B$29))))</f>
        <v>2676433.01164126</v>
      </c>
      <c r="AD207" s="89" t="n">
        <f aca="true">IF(AD$5=0,AC207,MAX(0,(AC207-AD$4)*(1+NORMINV(RAND(),INPUTS!$B$28,INPUTS!$B$29))))</f>
        <v>2682433.07933565</v>
      </c>
      <c r="AE207" s="89" t="n">
        <f aca="true">IF(AE$5=0,AD207,MAX(0,(AD207-AE$4)*(1+NORMINV(RAND(),INPUTS!$B$28,INPUTS!$B$29))))</f>
        <v>2633719.99302696</v>
      </c>
      <c r="AF207" s="89" t="n">
        <f aca="true">IF(AF$5=0,AE207,MAX(0,(AE207-AF$4)*(1+NORMINV(RAND(),INPUTS!$B$28,INPUTS!$B$29))))</f>
        <v>3043306.2010792</v>
      </c>
      <c r="AG207" s="89" t="n">
        <f aca="true">IF(AG$5=0,AF207,MAX(0,(AF207-AG$4)*(1+NORMINV(RAND(),INPUTS!$B$28,INPUTS!$B$29))))</f>
        <v>2829251.59501686</v>
      </c>
      <c r="AH207" s="89" t="n">
        <f aca="true">IF(AH$5=0,AG207,MAX(0,(AG207-AH$4)*(1+NORMINV(RAND(),INPUTS!$B$28,INPUTS!$B$29))))</f>
        <v>2893076.97684234</v>
      </c>
      <c r="AI207" s="89" t="n">
        <f aca="true">IF(AI$5=0,AH207,MAX(0,(AH207-AI$4)*(1+NORMINV(RAND(),INPUTS!$B$28,INPUTS!$B$29))))</f>
        <v>2886429.74481023</v>
      </c>
      <c r="AJ207" s="89" t="n">
        <f aca="true">IF(AJ$5=0,AI207,MAX(0,(AI207-AJ$4)*(1+NORMINV(RAND(),INPUTS!$B$28,INPUTS!$B$29))))</f>
        <v>3040388.41245899</v>
      </c>
      <c r="AK207" s="89" t="n">
        <f aca="true">IF(AK$5=0,AJ207,MAX(0,(AJ207-AK$4)*(1+NORMINV(RAND(),INPUTS!$B$28,INPUTS!$B$29))))</f>
        <v>3150440.29881413</v>
      </c>
      <c r="AL207" s="89" t="n">
        <f aca="true">IF(AL$5=0,AK207,MAX(0,(AK207-AL$4)*(1+NORMINV(RAND(),INPUTS!$B$28,INPUTS!$B$29))))</f>
        <v>3208716.20775868</v>
      </c>
      <c r="AM207" s="89" t="n">
        <f aca="true">IF(AM$5=0,AL207,MAX(0,(AL207-AM$4)*(1+NORMINV(RAND(),INPUTS!$B$28,INPUTS!$B$29))))</f>
        <v>3208716.20775868</v>
      </c>
      <c r="AN207" s="89" t="n">
        <f aca="true">IF(AN$5=0,AM207,MAX(0,(AM207-AN$4)*(1+NORMINV(RAND(),INPUTS!$B$28,INPUTS!$B$29))))</f>
        <v>3208716.20775868</v>
      </c>
      <c r="AO207" s="89" t="n">
        <f aca="true">IF(AO$5=0,AN207,MAX(0,(AN207-AO$4)*(1+NORMINV(RAND(),INPUTS!$B$28,INPUTS!$B$29))))</f>
        <v>3208716.20775868</v>
      </c>
      <c r="AP207" s="89" t="n">
        <f aca="true">IF(AP$5=0,AO207,MAX(0,(AO207-AP$4)*(1+NORMINV(RAND(),INPUTS!$B$28,INPUTS!$B$29))))</f>
        <v>3208716.20775868</v>
      </c>
      <c r="AQ207" s="89" t="n">
        <f aca="true">IF(AQ$5=0,AP207,MAX(0,(AP207-AQ$4)*(1+NORMINV(RAND(),INPUTS!$B$28,INPUTS!$B$29))))</f>
        <v>3208716.20775868</v>
      </c>
      <c r="AR207" s="89" t="n">
        <f aca="true">IF(AR$5=0,AQ207,MAX(0,(AQ207-AR$4)*(1+NORMINV(RAND(),INPUTS!$B$28,INPUTS!$B$29))))</f>
        <v>3208716.20775868</v>
      </c>
      <c r="AS207" s="89" t="n">
        <f aca="true">IF(AS$5=0,AR207,MAX(0,(AR207-AS$4)*(1+NORMINV(RAND(),INPUTS!$B$28,INPUTS!$B$29))))</f>
        <v>3208716.20775868</v>
      </c>
      <c r="AT207" s="89" t="n">
        <f aca="true">IF(AT$5=0,AS207,MAX(0,(AS207-AT$4)*(1+NORMINV(RAND(),INPUTS!$B$28,INPUTS!$B$29))))</f>
        <v>3208716.20775868</v>
      </c>
      <c r="AU207" s="89" t="n">
        <f aca="true">IF(AU$5=0,AT207,MAX(0,(AT207-AU$4)*(1+NORMINV(RAND(),INPUTS!$B$28,INPUTS!$B$29))))</f>
        <v>3208716.20775868</v>
      </c>
      <c r="AV207" s="89" t="n">
        <f aca="true">IF(AV$5=0,AU207,MAX(0,(AU207-AV$4)*(1+NORMINV(RAND(),INPUTS!$B$28,INPUTS!$B$29))))</f>
        <v>3208716.20775868</v>
      </c>
      <c r="AW207" s="89" t="n">
        <f aca="true">IF(AW$5=0,AV207,MAX(0,(AV207-AW$4)*(1+NORMINV(RAND(),INPUTS!$B$28,INPUTS!$B$29))))</f>
        <v>3208716.20775868</v>
      </c>
      <c r="AX207" s="89" t="n">
        <f aca="true">IF(AX$5=0,AW207,MAX(0,(AW207-AX$4)*(1+NORMINV(RAND(),INPUTS!$B$28,INPUTS!$B$29))))</f>
        <v>3208716.20775868</v>
      </c>
      <c r="AY207" s="89" t="n">
        <f aca="true">IF(AY$5=0,AX207,MAX(0,(AX207-AY$4)*(1+NORMINV(RAND(),INPUTS!$B$28,INPUTS!$B$29))))</f>
        <v>3208716.20775868</v>
      </c>
      <c r="AZ207" s="89" t="n">
        <f aca="true">IF(AZ$5=0,AY207,MAX(0,(AY207-AZ$4)*(1+NORMINV(RAND(),INPUTS!$B$28,INPUTS!$B$29))))</f>
        <v>3208716.20775868</v>
      </c>
      <c r="BA207" s="89" t="n">
        <f aca="true">IF(BA$5=0,AZ207,MAX(0,(AZ207-BA$4)*(1+NORMINV(RAND(),INPUTS!$B$28,INPUTS!$B$29))))</f>
        <v>3208716.20775868</v>
      </c>
      <c r="BB207" s="89" t="n">
        <f aca="true">IF(BB$5=0,BA207,MAX(0,(BA207-BB$4)*(1+NORMINV(RAND(),INPUTS!$B$28,INPUTS!$B$29))))</f>
        <v>3208716.20775868</v>
      </c>
      <c r="BC207" s="89" t="n">
        <f aca="true">IF(BC$5=0,BB207,MAX(0,(BB207-BC$4)*(1+NORMINV(RAND(),INPUTS!$B$28,INPUTS!$B$29))))</f>
        <v>3208716.20775868</v>
      </c>
      <c r="BD207" s="89" t="n">
        <f aca="true">IF(BD$5=0,BC207,MAX(0,(BC207-BD$4)*(1+NORMINV(RAND(),INPUTS!$B$28,INPUTS!$B$29))))</f>
        <v>3208716.20775868</v>
      </c>
      <c r="BE207" s="89" t="n">
        <f aca="true">IF(BE$5=0,BD207,MAX(0,(BD207-BE$4)*(1+NORMINV(RAND(),INPUTS!$B$28,INPUTS!$B$29))))</f>
        <v>3208716.20775868</v>
      </c>
      <c r="BF207" s="89" t="n">
        <f aca="true">IF(BF$5=0,BE207,MAX(0,(BE207-BF$4)*(1+NORMINV(RAND(),INPUTS!$B$28,INPUTS!$B$29))))</f>
        <v>3208716.20775868</v>
      </c>
      <c r="BG207" s="89" t="n">
        <f aca="true">IF(BG$5=0,BF207,MAX(0,(BF207-BG$4)*(1+NORMINV(RAND(),INPUTS!$B$28,INPUTS!$B$29))))</f>
        <v>3208716.20775868</v>
      </c>
      <c r="BH207" s="89" t="n">
        <f aca="true">IF(BH$5=0,BG207,MAX(0,(BG207-BH$4)*(1+NORMINV(RAND(),INPUTS!$B$28,INPUTS!$B$29))))</f>
        <v>3208716.20775868</v>
      </c>
      <c r="BI207" s="89" t="n">
        <f aca="true">IF(BI$5=0,BH207,MAX(0,(BH207-BI$4)*(1+NORMINV(RAND(),INPUTS!$B$28,INPUTS!$B$29))))</f>
        <v>3208716.20775868</v>
      </c>
      <c r="BJ207" s="89" t="n">
        <f aca="true">IF(BJ$5=0,BI207,MAX(0,(BI207-BJ$4)*(1+NORMINV(RAND(),INPUTS!$B$28,INPUTS!$B$29))))</f>
        <v>3208716.20775868</v>
      </c>
    </row>
    <row r="209" customFormat="false" ht="15" hidden="false" customHeight="true" outlineLevel="0" collapsed="false">
      <c r="A209" s="19"/>
      <c r="B209" s="19"/>
      <c r="C209" s="19"/>
      <c r="D209" s="19"/>
    </row>
    <row r="210" customFormat="false" ht="27.75" hidden="false" customHeight="true" outlineLevel="0" collapsed="false">
      <c r="A210" s="90" t="s">
        <v>190</v>
      </c>
      <c r="B210" s="23"/>
      <c r="C210" s="23"/>
      <c r="D210" s="19"/>
    </row>
    <row r="211" customFormat="false" ht="25.5" hidden="false" customHeight="true" outlineLevel="0" collapsed="false">
      <c r="A211" s="27" t="s">
        <v>191</v>
      </c>
      <c r="B211" s="91" t="n">
        <f aca="false">COUNTIF(B8:B207,"&gt;0")/200</f>
        <v>0.94</v>
      </c>
      <c r="C211" s="19"/>
      <c r="D211" s="19"/>
    </row>
    <row r="212" customFormat="false" ht="21.75" hidden="false" customHeight="true" outlineLevel="0" collapsed="false">
      <c r="A212" s="24" t="s">
        <v>192</v>
      </c>
      <c r="B212" s="92" t="n">
        <f aca="false">MEDIAN(B8:B207)</f>
        <v>3623977.60898597</v>
      </c>
      <c r="C212" s="19"/>
      <c r="D212" s="19"/>
    </row>
    <row r="213" customFormat="false" ht="21.75" hidden="false" customHeight="true" outlineLevel="0" collapsed="false">
      <c r="A213" s="27" t="s">
        <v>193</v>
      </c>
      <c r="B213" s="93" t="n">
        <f aca="false">PERCENTILE(B8:B207,0.1)</f>
        <v>307678.86131945</v>
      </c>
      <c r="C213" s="19"/>
      <c r="D213" s="19"/>
    </row>
    <row r="214" customFormat="false" ht="21.75" hidden="false" customHeight="true" outlineLevel="0" collapsed="false">
      <c r="A214" s="24" t="s">
        <v>194</v>
      </c>
      <c r="B214" s="94" t="n">
        <f aca="false">PERCENTILE(B8:B207,0.9)</f>
        <v>14503054.3872478</v>
      </c>
      <c r="C214" s="19"/>
      <c r="D214" s="19"/>
    </row>
    <row r="215" customFormat="false" ht="15" hidden="false" customHeight="true" outlineLevel="0" collapsed="false">
      <c r="A215" s="19"/>
      <c r="B215" s="19"/>
      <c r="C215" s="19"/>
      <c r="D215" s="19"/>
    </row>
    <row r="216" customFormat="false" ht="15" hidden="false" customHeight="true" outlineLevel="0" collapsed="false">
      <c r="A216" s="95" t="s">
        <v>195</v>
      </c>
      <c r="B216" s="19"/>
      <c r="C216" s="19"/>
      <c r="D216" s="19"/>
    </row>
    <row r="217" customFormat="false" ht="15" hidden="false" customHeight="true" outlineLevel="0" collapsed="false">
      <c r="A217" s="21"/>
      <c r="B217" s="21"/>
      <c r="C217" s="21"/>
      <c r="D217" s="2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68"/>
  </cols>
  <sheetData>
    <row r="1" customFormat="false" ht="30" hidden="false" customHeight="true" outlineLevel="0" collapsed="false">
      <c r="A1" s="42" t="s">
        <v>196</v>
      </c>
      <c r="B1" s="42"/>
      <c r="C1" s="42"/>
    </row>
    <row r="2" customFormat="false" ht="15.75" hidden="false" customHeight="true" outlineLevel="0" collapsed="false">
      <c r="A2" s="81" t="s">
        <v>197</v>
      </c>
      <c r="B2" s="21"/>
      <c r="C2" s="21"/>
    </row>
    <row r="3" customFormat="false" ht="15" hidden="false" customHeight="true" outlineLevel="0" collapsed="false">
      <c r="A3" s="21"/>
      <c r="B3" s="21"/>
      <c r="C3" s="21"/>
    </row>
    <row r="4" customFormat="false" ht="27.75" hidden="false" customHeight="true" outlineLevel="0" collapsed="false">
      <c r="A4" s="44" t="s">
        <v>198</v>
      </c>
      <c r="B4" s="44" t="s">
        <v>199</v>
      </c>
      <c r="C4" s="44" t="s">
        <v>200</v>
      </c>
    </row>
    <row r="5" customFormat="false" ht="33.75" hidden="false" customHeight="true" outlineLevel="0" collapsed="false">
      <c r="A5" s="96" t="s">
        <v>201</v>
      </c>
      <c r="B5" s="97" t="str">
        <f aca="false">IF(INPUTS!B33&lt;=0.04,"✓ OK","⚠ HIGH — "&amp;TEXT(INPUTS!B33,"0.0%"))</f>
        <v>⚠ HIGH — 4.0%</v>
      </c>
      <c r="C5" s="98" t="str">
        <f aca="false">IF(INPUTS!B33&lt;=0.04,"Initial rate "&amp;TEXT(INPUTS!B33,"0.0%")&amp;" within guideline.","Exceeds 4% rule. At a 35+ yr horizon target 3.3%. Reduce spending or grow portfolio.")</f>
        <v>Exceeds 4% rule. At a 35+ yr horizon target 3.3%. Reduce spending or grow portfolio.</v>
      </c>
    </row>
    <row r="6" customFormat="false" ht="33.75" hidden="false" customHeight="true" outlineLevel="0" collapsed="false">
      <c r="A6" s="99" t="s">
        <v>202</v>
      </c>
      <c r="B6" s="97" t="str">
        <f aca="false">IF(INPUTS!$B$32=0,"✓ FUNDED",IF(SUM(BRIDGE!J4:K28)=0,"✓ FUNDED","⚠ GAP"))</f>
        <v>✓ FUNDED</v>
      </c>
      <c r="C6" s="100" t="str">
        <f aca="false">IF(INPUTS!$B$32=0,"No bridge needed — retiring at or after 59½.",IF(SUM(BRIDGE!J4:K28)=0,"Taxable+cash covers every bridge year.","Taxable runs out — "&amp;TEXT(SUM(BRIDGE!J4:K28),"$#,##0")&amp;" must come from Roth/401k before 59½ (penalty + tax risk)."))</f>
        <v>Taxable+cash covers every bridge year.</v>
      </c>
    </row>
    <row r="7" customFormat="false" ht="33.75" hidden="false" customHeight="true" outlineLevel="0" collapsed="false">
      <c r="A7" s="96" t="s">
        <v>203</v>
      </c>
      <c r="B7" s="97" t="str">
        <f aca="false">IF(INPUTS!$B$32=0,"✓ CLEAN",IF(SUM(BRIDGE!K4:K28)=0,"✓ CLEAN","✗ PENALTY RISK"))</f>
        <v>✓ CLEAN</v>
      </c>
      <c r="C7" s="98" t="str">
        <f aca="false">IF(INPUTS!$B$32=0,"No bridge — no early 401k withdrawals needed.",IF(SUM(BRIDGE!K4:K28)=0,"No early 401k withdrawals.","401k tapped for "&amp;TEXT(SUM(BRIDGE!K4:K28),"$#,##0")&amp;" before 59½ — 10% penalty unless Rule of 55 or 72(t) SEPP applies."))</f>
        <v>No early 401k withdrawals.</v>
      </c>
    </row>
    <row r="8" customFormat="false" ht="33.75" hidden="false" customHeight="true" outlineLevel="0" collapsed="false">
      <c r="A8" s="99" t="s">
        <v>204</v>
      </c>
      <c r="B8" s="97" t="str">
        <f aca="false">IF(INPUTS!B18&gt;=INPUTS!B22,"✓ OK","⚠ THIN")</f>
        <v>✓ OK</v>
      </c>
      <c r="C8" s="100" t="str">
        <f aca="false">"Cash covers "&amp;TEXT(INPUTS!B18/INPUTS!B22,"0.0")&amp;" years of spending. 1–2 yrs protects against selling in a downturn."</f>
        <v>Cash covers 1.4 years of spending. 1–2 yrs protects against selling in a downturn.</v>
      </c>
    </row>
    <row r="9" customFormat="false" ht="33.75" hidden="false" customHeight="true" outlineLevel="0" collapsed="false">
      <c r="A9" s="96" t="s">
        <v>205</v>
      </c>
      <c r="B9" s="97" t="str">
        <f aca="false">IF(COUNTIF('ROTH LADDER'!G6:G30,"⚠*")=0,"✓ OK","⚠ "&amp;COUNTIF('ROTH LADDER'!G6:G30,"⚠*")&amp;" YR(S) OVER")</f>
        <v>✓ OK</v>
      </c>
      <c r="C9" s="98" t="str">
        <f aca="false">IF(COUNTIF('ROTH LADDER'!G6:G30,"⚠*")=0,"MAGI under est. 400% FPL cliff every bridge year.","Conversions push MAGI over the cliff in "&amp;COUNTIF('ROTH LADDER'!G6:G30,"⚠*")&amp;" year(s) — reduce conversion or lose the ACA subsidy.")</f>
        <v>MAGI under est. 400% FPL cliff every bridge year.</v>
      </c>
    </row>
    <row r="10" customFormat="false" ht="33.75" hidden="false" customHeight="true" outlineLevel="0" collapsed="false">
      <c r="A10" s="99" t="s">
        <v>206</v>
      </c>
      <c r="B10" s="97" t="str">
        <f aca="false">IF(INPUTS!B7&lt;70,"💡 CONSIDER 70","✓ MAXED")</f>
        <v>💡 CONSIDER 70</v>
      </c>
      <c r="C10" s="100" t="str">
        <f aca="false">IF(INPUTS!B7&lt;70,"Delaying from "&amp;INPUTS!B7&amp;" to 70 adds ~"&amp;TEXT(INPUTS!B25*0.08*(70-INPUTS!B7),"$#,##0")&amp;"/yr permanently (8%/yr).","Claiming at 70 = maximum benefit.")</f>
        <v>Delaying from 67 to 70 adds ~$5,760/yr permanently (8%/yr).</v>
      </c>
    </row>
    <row r="11" customFormat="false" ht="33.75" hidden="false" customHeight="true" outlineLevel="0" collapsed="false">
      <c r="A11" s="96" t="s">
        <v>207</v>
      </c>
      <c r="B11" s="97" t="str">
        <f aca="false">IF(INPUTS!B22+INPUTS!B24&lt;IF(INPUTS!B9="MFJ",218000,109000),"✓ OK","⚠ REVIEW")</f>
        <v>✓ OK</v>
      </c>
      <c r="C11" s="98" t="str">
        <f aca="false">"2026 IRMAA starts at "&amp;IF(INPUTS!B9="MFJ","$218,000 (MFJ)","$109,000 (Single)")&amp;" MAGI (2-yr lookback). Large Roth conversions near Medicare age can trigger surcharges."</f>
        <v>2026 IRMAA starts at $218,000 (MFJ) MAGI (2-yr lookback). Large Roth conversions near Medicare age can trigger surcharges.</v>
      </c>
    </row>
    <row r="12" customFormat="false" ht="33.75" hidden="false" customHeight="true" outlineLevel="0" collapsed="false">
      <c r="A12" s="99" t="s">
        <v>208</v>
      </c>
      <c r="B12" s="97" t="str">
        <f aca="false">IF(IFERROR('POST-59.5'!F51,0)&gt;0,"✓ FUNDED","✗ DEPLETED")</f>
        <v>✓ FUNDED</v>
      </c>
      <c r="C12" s="100" t="str">
        <f aca="false">IF(IFERROR('POST-59.5'!F51,0)&gt;0,"Projected "&amp;TEXT('POST-59.5'!F51,"$#,##0")&amp;" at age "&amp;INPUTS!B8&amp;".","Deterministic projection depletes before age "&amp;INPUTS!B8&amp;" — cut spending, delay retirement, or add income.")</f>
        <v>Projected $5,339,452 at age 90.</v>
      </c>
    </row>
    <row r="13" customFormat="false" ht="33.75" hidden="false" customHeight="true" outlineLevel="0" collapsed="false">
      <c r="A13" s="96" t="s">
        <v>209</v>
      </c>
      <c r="B13" s="97" t="str">
        <f aca="false">IF('MONTE CARLO'!B211&gt;=0.8,"✓ "&amp;TEXT('MONTE CARLO'!B211,"0%"),"⚠ "&amp;TEXT('MONTE CARLO'!B211,"0%"))</f>
        <v>✓ 94%</v>
      </c>
      <c r="C13" s="98" t="str">
        <f aca="false">IF('MONTE CARLO'!B211&gt;=0.9,"Robust across randomized sequences.",IF('MONTE CARLO'!B211&gt;=0.75,"Acceptable — needs spending flexibility in bad markets.","Fragile — plan fails too often under sequence risk."))</f>
        <v>Robust across randomized sequences.</v>
      </c>
    </row>
    <row r="14" customFormat="false" ht="15" hidden="false" customHeight="true" outlineLevel="0" collapsed="false">
      <c r="A14" s="21"/>
      <c r="B14" s="21"/>
      <c r="C14" s="21"/>
    </row>
  </sheetData>
  <mergeCells count="1">
    <mergeCell ref="A1:C1"/>
  </mergeCells>
  <conditionalFormatting sqref="B5:B13">
    <cfRule type="expression" priority="2" aboveAverage="0" equalAverage="0" bottom="0" percent="0" rank="0" text="" dxfId="0">
      <formula>OR(NOT(ISERROR(SEARCH("DEPLETED",B5))),NOT(ISERROR(SEARCH("PENALTY",B5))))</formula>
    </cfRule>
    <cfRule type="expression" priority="3" aboveAverage="0" equalAverage="0" bottom="0" percent="0" rank="0" text="" dxfId="1">
      <formula>OR(NOT(ISERROR(SEARCH("HIGH",B5))),NOT(ISERROR(SEARCH("GAP",B5))),NOT(ISERROR(SEARCH("⚠",B5))))</formula>
    </cfRule>
    <cfRule type="expression" priority="4" aboveAverage="0" equalAverage="0" bottom="0" percent="0" rank="0" text="" dxfId="2">
      <formula>NOT(ISERROR(SEARCH("CONSIDER",B5)))</formula>
    </cfRule>
    <cfRule type="expression" priority="5" aboveAverage="0" equalAverage="0" bottom="0" percent="0" rank="0" text="" dxfId="3">
      <formula>OR(NOT(ISERROR(SEARCH("OK",B5))),NOT(ISERROR(SEARCH("FUNDED",B5))),NOT(ISERROR(SEARCH("CLEAN",B5))),NOT(ISERROR(SEARCH("MAXED",B5))))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5" min="4" style="1" width="12"/>
    <col collapsed="false" customWidth="true" hidden="false" outlineLevel="0" max="6" min="6" style="1" width="30"/>
  </cols>
  <sheetData>
    <row r="1" customFormat="false" ht="30" hidden="false" customHeight="true" outlineLevel="0" collapsed="false">
      <c r="A1" s="42" t="s">
        <v>210</v>
      </c>
      <c r="B1" s="42"/>
      <c r="C1" s="42"/>
      <c r="D1" s="42"/>
      <c r="E1" s="42"/>
      <c r="F1" s="42"/>
    </row>
    <row r="2" customFormat="false" ht="15.75" hidden="false" customHeight="true" outlineLevel="0" collapsed="false">
      <c r="A2" s="81" t="s">
        <v>211</v>
      </c>
      <c r="B2" s="21"/>
      <c r="C2" s="21"/>
      <c r="D2" s="21"/>
      <c r="E2" s="21"/>
      <c r="F2" s="21"/>
    </row>
    <row r="3" customFormat="false" ht="15" hidden="false" customHeight="true" outlineLevel="0" collapsed="false">
      <c r="A3" s="21"/>
      <c r="B3" s="21"/>
      <c r="C3" s="21"/>
      <c r="D3" s="21"/>
      <c r="E3" s="21"/>
      <c r="F3" s="21"/>
    </row>
    <row r="4" customFormat="false" ht="27.75" hidden="false" customHeight="true" outlineLevel="0" collapsed="false">
      <c r="A4" s="44" t="s">
        <v>212</v>
      </c>
      <c r="B4" s="44" t="s">
        <v>213</v>
      </c>
      <c r="C4" s="44" t="s">
        <v>214</v>
      </c>
      <c r="D4" s="44" t="s">
        <v>215</v>
      </c>
      <c r="E4" s="44" t="s">
        <v>216</v>
      </c>
      <c r="F4" s="44" t="s">
        <v>217</v>
      </c>
    </row>
    <row r="5" customFormat="false" ht="21.75" hidden="false" customHeight="true" outlineLevel="0" collapsed="false">
      <c r="A5" s="101" t="s">
        <v>218</v>
      </c>
      <c r="B5" s="102" t="n">
        <v>0.4</v>
      </c>
      <c r="C5" s="103" t="n">
        <f aca="false">INPUTS!B15*0.6+INPUTS!B16*0.55+INPUTS!B17*0.7</f>
        <v>672500</v>
      </c>
      <c r="D5" s="104" t="n">
        <f aca="false">C5/$C$11</f>
        <v>0.548979591836735</v>
      </c>
      <c r="E5" s="105" t="n">
        <f aca="false">D5-B5</f>
        <v>0.148979591836735</v>
      </c>
      <c r="F5" s="106" t="str">
        <f aca="false">IF(E5&lt;-0.05,"ADD — underweight",IF(E5&gt;0.05,"TRIM — overweight","Hold"))</f>
        <v>TRIM — overweight</v>
      </c>
    </row>
    <row r="6" customFormat="false" ht="21.75" hidden="false" customHeight="true" outlineLevel="0" collapsed="false">
      <c r="A6" s="107" t="s">
        <v>219</v>
      </c>
      <c r="B6" s="102" t="n">
        <v>0.15</v>
      </c>
      <c r="C6" s="108" t="n">
        <f aca="false">INPUTS!B15*0.25+INPUTS!B16*0.15</f>
        <v>185000</v>
      </c>
      <c r="D6" s="109" t="n">
        <f aca="false">C6/$C$11</f>
        <v>0.151020408163265</v>
      </c>
      <c r="E6" s="110" t="n">
        <f aca="false">D6-B6</f>
        <v>0.00102040816326532</v>
      </c>
      <c r="F6" s="111" t="str">
        <f aca="false">IF(E6&lt;-0.05,"ADD — underweight",IF(E6&gt;0.05,"TRIM — overweight","Hold"))</f>
        <v>Hold</v>
      </c>
    </row>
    <row r="7" customFormat="false" ht="21.75" hidden="false" customHeight="true" outlineLevel="0" collapsed="false">
      <c r="A7" s="101" t="s">
        <v>220</v>
      </c>
      <c r="B7" s="102" t="n">
        <v>0.05</v>
      </c>
      <c r="C7" s="103" t="n">
        <f aca="false">INPUTS!B17*0.3</f>
        <v>45000</v>
      </c>
      <c r="D7" s="104" t="n">
        <f aca="false">C7/$C$11</f>
        <v>0.036734693877551</v>
      </c>
      <c r="E7" s="105" t="n">
        <f aca="false">D7-B7</f>
        <v>-0.013265306122449</v>
      </c>
      <c r="F7" s="106" t="str">
        <f aca="false">IF(E7&lt;-0.05,"ADD — underweight",IF(E7&gt;0.05,"TRIM — overweight","Hold"))</f>
        <v>Hold</v>
      </c>
    </row>
    <row r="8" customFormat="false" ht="21.75" hidden="false" customHeight="true" outlineLevel="0" collapsed="false">
      <c r="A8" s="107" t="s">
        <v>221</v>
      </c>
      <c r="B8" s="102" t="n">
        <v>0.25</v>
      </c>
      <c r="C8" s="108" t="n">
        <f aca="false">INPUTS!B16*0.3</f>
        <v>195000</v>
      </c>
      <c r="D8" s="109" t="n">
        <f aca="false">C8/$C$11</f>
        <v>0.159183673469388</v>
      </c>
      <c r="E8" s="110" t="n">
        <f aca="false">D8-B8</f>
        <v>-0.0908163265306123</v>
      </c>
      <c r="F8" s="111" t="str">
        <f aca="false">IF(E8&lt;-0.05,"ADD — underweight",IF(E8&gt;0.05,"TRIM — overweight","Hold"))</f>
        <v>ADD — underweight</v>
      </c>
    </row>
    <row r="9" customFormat="false" ht="21.75" hidden="false" customHeight="true" outlineLevel="0" collapsed="false">
      <c r="A9" s="101" t="s">
        <v>222</v>
      </c>
      <c r="B9" s="102" t="n">
        <v>0.1</v>
      </c>
      <c r="C9" s="103" t="n">
        <f aca="false">INPUTS!B18</f>
        <v>75000</v>
      </c>
      <c r="D9" s="104" t="n">
        <f aca="false">C9/$C$11</f>
        <v>0.0612244897959184</v>
      </c>
      <c r="E9" s="105" t="n">
        <f aca="false">D9-B9</f>
        <v>-0.0387755102040816</v>
      </c>
      <c r="F9" s="106" t="str">
        <f aca="false">IF(E9&lt;-0.05,"ADD — underweight",IF(E9&gt;0.05,"TRIM — overweight","Hold"))</f>
        <v>Hold</v>
      </c>
    </row>
    <row r="10" customFormat="false" ht="21.75" hidden="false" customHeight="true" outlineLevel="0" collapsed="false">
      <c r="A10" s="107" t="s">
        <v>223</v>
      </c>
      <c r="B10" s="102" t="n">
        <v>0.05</v>
      </c>
      <c r="C10" s="108" t="n">
        <f aca="false">INPUTS!B15*0.15</f>
        <v>52500</v>
      </c>
      <c r="D10" s="109" t="n">
        <f aca="false">C10/$C$11</f>
        <v>0.0428571428571429</v>
      </c>
      <c r="E10" s="110" t="n">
        <f aca="false">D10-B10</f>
        <v>-0.00714285714285715</v>
      </c>
      <c r="F10" s="111" t="str">
        <f aca="false">IF(E10&lt;-0.05,"ADD — underweight",IF(E10&gt;0.05,"TRIM — overweight","Hold"))</f>
        <v>Hold</v>
      </c>
    </row>
    <row r="11" customFormat="false" ht="21.75" hidden="false" customHeight="true" outlineLevel="0" collapsed="false">
      <c r="A11" s="112" t="s">
        <v>224</v>
      </c>
      <c r="B11" s="113" t="n">
        <f aca="false">SUM(B5:B10)</f>
        <v>1</v>
      </c>
      <c r="C11" s="114" t="n">
        <f aca="false">SUM(C5:C10)</f>
        <v>1225000</v>
      </c>
      <c r="D11" s="115"/>
      <c r="E11" s="116"/>
      <c r="F11" s="117"/>
    </row>
    <row r="12" customFormat="false" ht="15" hidden="false" customHeight="true" outlineLevel="0" collapsed="false">
      <c r="A12" s="21"/>
      <c r="B12" s="21"/>
      <c r="C12" s="21"/>
      <c r="D12" s="21"/>
      <c r="E12" s="21"/>
      <c r="F12" s="21"/>
    </row>
    <row r="13" customFormat="false" ht="15" hidden="false" customHeight="true" outlineLevel="0" collapsed="false">
      <c r="A13" s="118" t="s">
        <v>225</v>
      </c>
      <c r="B13" s="21"/>
      <c r="C13" s="21"/>
      <c r="D13" s="21"/>
      <c r="E13" s="21"/>
      <c r="F13" s="2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2026-06-10T01:38:01Z</dcterms:created>
  <dc:creator>openpyxl</dc:creator>
  <dc:description/>
  <dc:language>en-US</dc:language>
  <cp:lastModifiedBy/>
  <dcterms:modified xsi:type="dcterms:W3CDTF">2026-08-18T23:43:38Z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