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INPUTS" sheetId="2" state="visible" r:id="rId4"/>
    <sheet name="BRIDGE" sheetId="3" state="visible" r:id="rId5"/>
    <sheet name="TAX ESTIMATE" sheetId="4" state="visible" r:id="rId6"/>
    <sheet name="ROTH LADDER" sheetId="5" state="visible" r:id="rId7"/>
    <sheet name="POST-59½" sheetId="6" state="visible" r:id="rId8"/>
    <sheet name="RISK FLAGS" sheetId="7" state="visible" r:id="rId9"/>
    <sheet name="REBALANCE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<sst xmlns="http://schemas.openxmlformats.org/spreadsheetml/2006/main" count="153" uniqueCount="139">
  <si>
    <t xml:space="preserve">BridgeToRetired</t>
  </si>
  <si>
    <t xml:space="preserve">PRO RETIREMENT BRIDGE PLANNER</t>
  </si>
  <si>
    <t xml:space="preserve">Version 1.0  ·  2026 Tax Year  ·  bridgetoretired.com</t>
  </si>
  <si>
    <t xml:space="preserve">WHAT'S INSIDE</t>
  </si>
  <si>
    <t xml:space="preserve">  INPUTS</t>
  </si>
  <si>
    <t xml:space="preserve">Enter your retirement assumptions — age, balances, spending, inflation</t>
  </si>
  <si>
    <t xml:space="preserve">  BRIDGE</t>
  </si>
  <si>
    <t xml:space="preserve">Year-by-year bridge funding plan from retirement to age 59½</t>
  </si>
  <si>
    <t xml:space="preserve">  ROTH LADDER</t>
  </si>
  <si>
    <t xml:space="preserve">Roth conversion schedule to minimize taxes across bridge years</t>
  </si>
  <si>
    <t xml:space="preserve">  TAX ESTIMATE</t>
  </si>
  <si>
    <t xml:space="preserve">Federal tax estimate for each bridge year — bracket management</t>
  </si>
  <si>
    <t xml:space="preserve">  POST-59½</t>
  </si>
  <si>
    <t xml:space="preserve">Portfolio projection from 59½ through age 90</t>
  </si>
  <si>
    <t xml:space="preserve">  RISK FLAGS</t>
  </si>
  <si>
    <t xml:space="preserve">Automated risk detection — sequence risk, ACA cliffs, IRMAA triggers</t>
  </si>
  <si>
    <t xml:space="preserve">  REBALANCE</t>
  </si>
  <si>
    <t xml:space="preserve">Annual rebalance tracker — target vs actual allocation</t>
  </si>
  <si>
    <t xml:space="preserve">COLOR CODING GUIDE</t>
  </si>
  <si>
    <t xml:space="preserve">  Blue text   = Input cells — change these to your numbers</t>
  </si>
  <si>
    <t xml:space="preserve">  Green text  = Linked from another sheet</t>
  </si>
  <si>
    <t xml:space="preserve">  Black text  = Formula / calculated — do not edit</t>
  </si>
  <si>
    <t xml:space="preserve">  Gold highlight = Key result or flag</t>
  </si>
  <si>
    <t xml:space="preserve">⚠  Not financial advice. For modeling purposes only. Consult a fee-only advisor.</t>
  </si>
  <si>
    <t xml:space="preserve">RETIREMENT INPUTS</t>
  </si>
  <si>
    <t xml:space="preserve">  Blue cells are inputs. Change any value and all sheets update automatically.</t>
  </si>
  <si>
    <t xml:space="preserve">  PERSONAL DETAILS</t>
  </si>
  <si>
    <t xml:space="preserve">  Current Age</t>
  </si>
  <si>
    <t xml:space="preserve">Your age today</t>
  </si>
  <si>
    <t xml:space="preserve">  Planned Retirement Age</t>
  </si>
  <si>
    <t xml:space="preserve">Age you stop working</t>
  </si>
  <si>
    <t xml:space="preserve">  Social Security Claiming Age</t>
  </si>
  <si>
    <t xml:space="preserve">62 / 67 / 70 recommended</t>
  </si>
  <si>
    <t xml:space="preserve">  Life Expectancy (planning age)</t>
  </si>
  <si>
    <t xml:space="preserve">Conservative = 90–95</t>
  </si>
  <si>
    <t xml:space="preserve">  State of Residence</t>
  </si>
  <si>
    <t xml:space="preserve">TX</t>
  </si>
  <si>
    <t xml:space="preserve">Affects tax estimates</t>
  </si>
  <si>
    <t xml:space="preserve">  PORTFOLIO BALANCES (TODAY)</t>
  </si>
  <si>
    <t xml:space="preserve">  Taxable Brokerage Account</t>
  </si>
  <si>
    <t xml:space="preserve">Stocks, ETFs, index funds</t>
  </si>
  <si>
    <t xml:space="preserve">  Traditional 401k / IRA</t>
  </si>
  <si>
    <t xml:space="preserve">Pre-tax retirement accounts</t>
  </si>
  <si>
    <t xml:space="preserve">  Roth IRA / Roth 401k</t>
  </si>
  <si>
    <t xml:space="preserve">After-tax retirement accounts</t>
  </si>
  <si>
    <t xml:space="preserve">  Cash / Money Market</t>
  </si>
  <si>
    <t xml:space="preserve">Emergency + bridge buffer</t>
  </si>
  <si>
    <t xml:space="preserve">  Other Assets</t>
  </si>
  <si>
    <t xml:space="preserve">Real estate equity, etc.</t>
  </si>
  <si>
    <t xml:space="preserve">  TOTAL PORTFOLIO</t>
  </si>
  <si>
    <t xml:space="preserve">  SPENDING &amp; INCOME</t>
  </si>
  <si>
    <t xml:space="preserve">  Annual Spending (today's $)</t>
  </si>
  <si>
    <t xml:space="preserve">All living expenses</t>
  </si>
  <si>
    <t xml:space="preserve">  Inflation Rate</t>
  </si>
  <si>
    <t xml:space="preserve">2.5% default</t>
  </si>
  <si>
    <t xml:space="preserve">  Other Retirement Income</t>
  </si>
  <si>
    <t xml:space="preserve">Pension, rental, part-time</t>
  </si>
  <si>
    <t xml:space="preserve">  Estimated Social Security</t>
  </si>
  <si>
    <t xml:space="preserve">Annual SS at claiming age</t>
  </si>
  <si>
    <t xml:space="preserve">  RETURN ASSUMPTIONS</t>
  </si>
  <si>
    <t xml:space="preserve">  Portfolio Return (nominal)</t>
  </si>
  <si>
    <t xml:space="preserve">6.5% default</t>
  </si>
  <si>
    <t xml:space="preserve">  Equity Allocation</t>
  </si>
  <si>
    <t xml:space="preserve">65% stocks default</t>
  </si>
  <si>
    <t xml:space="preserve">  Bond / Cash Allocation</t>
  </si>
  <si>
    <t xml:space="preserve">Auto-calculated</t>
  </si>
  <si>
    <t xml:space="preserve">  BRIDGE METRICS (AUTO-CALCULATED)</t>
  </si>
  <si>
    <t xml:space="preserve">  Bridge Length (years)</t>
  </si>
  <si>
    <t xml:space="preserve">  Withdrawal Rate</t>
  </si>
  <si>
    <t xml:space="preserve">  Taxable Bridge Coverage</t>
  </si>
  <si>
    <t xml:space="preserve">BRIDGE FUNDING PLAN  ·  Retirement to Age 59½</t>
  </si>
  <si>
    <t xml:space="preserve">Year</t>
  </si>
  <si>
    <t xml:space="preserve">Age</t>
  </si>
  <si>
    <t xml:space="preserve">Spending
(Inflated)</t>
  </si>
  <si>
    <t xml:space="preserve">Taxable
Withdrawal</t>
  </si>
  <si>
    <t xml:space="preserve">Roth
Withdrawal</t>
  </si>
  <si>
    <t xml:space="preserve">Other
Income</t>
  </si>
  <si>
    <t xml:space="preserve">Net
Needed</t>
  </si>
  <si>
    <t xml:space="preserve">Taxable
Balance</t>
  </si>
  <si>
    <t xml:space="preserve">Roth
Balance</t>
  </si>
  <si>
    <t xml:space="preserve">401k
Balance</t>
  </si>
  <si>
    <t xml:space="preserve">Total
Portfolio</t>
  </si>
  <si>
    <t xml:space="preserve">FEDERAL TAX ESTIMATE  ·  Bridge Years</t>
  </si>
  <si>
    <t xml:space="preserve">  Simplified estimate — single filer. Consult CPA for full tax planning.</t>
  </si>
  <si>
    <t xml:space="preserve">  2026 FEDERAL TAX BRACKETS (Married Filing Jointly)</t>
  </si>
  <si>
    <t xml:space="preserve">  Rate</t>
  </si>
  <si>
    <t xml:space="preserve">From</t>
  </si>
  <si>
    <t xml:space="preserve">To</t>
  </si>
  <si>
    <t xml:space="preserve">  10%</t>
  </si>
  <si>
    <t xml:space="preserve">  12%</t>
  </si>
  <si>
    <t xml:space="preserve">  22%</t>
  </si>
  <si>
    <t xml:space="preserve">  24%</t>
  </si>
  <si>
    <t xml:space="preserve">  32%</t>
  </si>
  <si>
    <t xml:space="preserve">  35%</t>
  </si>
  <si>
    <t xml:space="preserve">  37%</t>
  </si>
  <si>
    <t xml:space="preserve">No limit</t>
  </si>
  <si>
    <t xml:space="preserve">  ESTIMATED TAX BY YEAR</t>
  </si>
  <si>
    <t xml:space="preserve">Gross Income</t>
  </si>
  <si>
    <t xml:space="preserve">Std Deduction</t>
  </si>
  <si>
    <t xml:space="preserve">Taxable Income</t>
  </si>
  <si>
    <t xml:space="preserve">Est. Tax</t>
  </si>
  <si>
    <t xml:space="preserve">ROTH CONVERSION LADDER  ·  5-Year Pipeline</t>
  </si>
  <si>
    <t xml:space="preserve">  Convert Traditional 401k/IRA to Roth each year. Conversions are accessible penalty-free after 5 years.</t>
  </si>
  <si>
    <t xml:space="preserve">12% Bracket
Remaining</t>
  </si>
  <si>
    <t xml:space="preserve">Conversion
Amount</t>
  </si>
  <si>
    <t xml:space="preserve">Tax on
Conversion</t>
  </si>
  <si>
    <t xml:space="preserve">Net Roth
Added</t>
  </si>
  <si>
    <t xml:space="preserve">Available
(5yr later)</t>
  </si>
  <si>
    <t xml:space="preserve">Not yet available</t>
  </si>
  <si>
    <t xml:space="preserve">POST-59½ PROJECTION  ·  Full Portfolio Access Phase</t>
  </si>
  <si>
    <t xml:space="preserve">Spending</t>
  </si>
  <si>
    <t xml:space="preserve">SS Income</t>
  </si>
  <si>
    <t xml:space="preserve">Portfolio
Withdrawal</t>
  </si>
  <si>
    <t xml:space="preserve">AUTOMATED RISK FLAGS</t>
  </si>
  <si>
    <t xml:space="preserve">  Flags update automatically as you change INPUTS. Green = OK · Red = Review needed.</t>
  </si>
  <si>
    <t xml:space="preserve">Risk Check</t>
  </si>
  <si>
    <t xml:space="preserve">Status</t>
  </si>
  <si>
    <t xml:space="preserve">Notes</t>
  </si>
  <si>
    <t xml:space="preserve">  Withdrawal Rate &gt; 4%</t>
  </si>
  <si>
    <t xml:space="preserve">  Taxable Bridge Gap</t>
  </si>
  <si>
    <t xml:space="preserve">  Cash Buffer &lt; 1 Year</t>
  </si>
  <si>
    <t xml:space="preserve">  ACA Subsidy Cliff Risk</t>
  </si>
  <si>
    <t xml:space="preserve">  SS Delay Opportunity</t>
  </si>
  <si>
    <t xml:space="preserve">  IRMAA Medicare Trigger</t>
  </si>
  <si>
    <t xml:space="preserve">  Portfolio Survives to 90</t>
  </si>
  <si>
    <t xml:space="preserve">ANNUAL REBALANCE TRACKER</t>
  </si>
  <si>
    <t xml:space="preserve">Asset Class</t>
  </si>
  <si>
    <t xml:space="preserve">Target %</t>
  </si>
  <si>
    <t xml:space="preserve">Current Value</t>
  </si>
  <si>
    <t xml:space="preserve">Current %</t>
  </si>
  <si>
    <t xml:space="preserve">Drift</t>
  </si>
  <si>
    <t xml:space="preserve">Action</t>
  </si>
  <si>
    <t xml:space="preserve">  US Total Market</t>
  </si>
  <si>
    <t xml:space="preserve">  International</t>
  </si>
  <si>
    <t xml:space="preserve">  Small Cap Value</t>
  </si>
  <si>
    <t xml:space="preserve">  Bonds (Total)</t>
  </si>
  <si>
    <t xml:space="preserve">  Cash / MM</t>
  </si>
  <si>
    <t xml:space="preserve">  Real Estate (REIT)</t>
  </si>
  <si>
    <t xml:space="preserve">  TOTAL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</si>
</sst>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"/>
    <numFmt numFmtId="166" formatCode="@"/>
    <numFmt numFmtId="167" formatCode="\$#,##0"/>
    <numFmt numFmtId="168" formatCode="0.0%"/>
    <numFmt numFmtId="169" formatCode="0%"/>
    <numFmt numFmtId="170" formatCode="0.0"/>
    <numFmt numFmtId="171" formatCode="\+0.0%;\-0.0%;\-"/>
  </numFmts>
  <fonts count="3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color rgb="FFE8B84B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sz val="9"/>
      <color rgb="FF8896A8"/>
      <name val="Arial"/>
      <family val="0"/>
      <charset val="1"/>
    </font>
    <font>
      <b val="true"/>
      <sz val="10"/>
      <color rgb="FFE8B84B"/>
      <name val="Arial"/>
      <family val="0"/>
      <charset val="1"/>
    </font>
    <font>
      <b val="true"/>
      <sz val="10"/>
      <color rgb="FF0D1420"/>
      <name val="Arial"/>
      <family val="0"/>
      <charset val="1"/>
    </font>
    <font>
      <sz val="9"/>
      <color rgb="FF444444"/>
      <name val="Arial"/>
      <family val="0"/>
      <charset val="1"/>
    </font>
    <font>
      <sz val="9"/>
      <color rgb="FF0000FF"/>
      <name val="Arial"/>
      <family val="0"/>
      <charset val="1"/>
    </font>
    <font>
      <sz val="9"/>
      <color rgb="FF008000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color rgb="FFE8B84B"/>
      <name val="Arial"/>
      <family val="0"/>
      <charset val="1"/>
    </font>
    <font>
      <i val="true"/>
      <sz val="8"/>
      <color rgb="FF8896A8"/>
      <name val="Arial"/>
      <family val="0"/>
      <charset val="1"/>
    </font>
    <font>
      <b val="true"/>
      <sz val="14"/>
      <color rgb="FF0D1420"/>
      <name val="Arial"/>
      <family val="0"/>
      <charset val="1"/>
    </font>
    <font>
      <i val="true"/>
      <sz val="9"/>
      <color rgb="FF8896A8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333333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1"/>
      <color rgb="FFE8B84B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3"/>
      <color rgb="FF0D142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10"/>
      <color rgb="FF8896A8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9"/>
      <color rgb="FF2D3D52"/>
      <name val="Arial"/>
      <family val="0"/>
      <charset val="1"/>
    </font>
    <font>
      <b val="true"/>
      <sz val="9"/>
      <color rgb="FF0D1420"/>
      <name val="Arial"/>
      <family val="0"/>
      <charset val="1"/>
    </font>
    <font>
      <sz val="9"/>
      <color rgb="FF333333"/>
      <name val="Arial"/>
      <family val="0"/>
      <charset val="1"/>
    </font>
    <font>
      <b val="true"/>
      <sz val="10"/>
      <color rgb="FF4ADE80"/>
      <name val="Arial"/>
      <family val="0"/>
      <charset val="1"/>
    </font>
    <font>
      <b val="true"/>
      <sz val="10"/>
      <name val="Arial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0D1420"/>
        <bgColor rgb="FF141C28"/>
      </patternFill>
    </fill>
    <fill>
      <patternFill patternType="solid">
        <fgColor rgb="FFE8B84B"/>
        <bgColor rgb="FFFFCC99"/>
      </patternFill>
    </fill>
    <fill>
      <patternFill patternType="solid">
        <fgColor rgb="FFF0F4F8"/>
        <bgColor rgb="FFEEF2F6"/>
      </patternFill>
    </fill>
    <fill>
      <patternFill patternType="solid">
        <fgColor rgb="FFF8FAFC"/>
        <bgColor rgb="FFF5F8FB"/>
      </patternFill>
    </fill>
    <fill>
      <patternFill patternType="solid">
        <fgColor rgb="FFFFFFFF"/>
        <bgColor rgb="FFF8FAFC"/>
      </patternFill>
    </fill>
    <fill>
      <patternFill patternType="solid">
        <fgColor rgb="FFFFFBF0"/>
        <bgColor rgb="FFF8FAFC"/>
      </patternFill>
    </fill>
    <fill>
      <patternFill patternType="solid">
        <fgColor rgb="FF1E2A3A"/>
        <bgColor rgb="FF141C28"/>
      </patternFill>
    </fill>
    <fill>
      <patternFill patternType="solid">
        <fgColor rgb="FF2D3D52"/>
        <bgColor rgb="FF333333"/>
      </patternFill>
    </fill>
    <fill>
      <patternFill patternType="solid">
        <fgColor rgb="FF141C28"/>
        <bgColor rgb="FF0D1420"/>
      </patternFill>
    </fill>
    <fill>
      <patternFill patternType="solid">
        <fgColor rgb="FFF5F8FB"/>
        <bgColor rgb="FFF8FAFC"/>
      </patternFill>
    </fill>
    <fill>
      <patternFill patternType="solid">
        <fgColor rgb="FFEEF2F6"/>
        <bgColor rgb="FFF0F4F8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thin">
        <color rgb="FFE0E6EE"/>
      </left>
      <right style="thin">
        <color rgb="FFE0E6EE"/>
      </right>
      <top style="thin">
        <color rgb="FFE0E6EE"/>
      </top>
      <bottom style="thin">
        <color rgb="FFE0E6EE"/>
      </bottom>
      <diagonal/>
    </border>
    <border diagonalUp="false" diagonalDown="false">
      <left style="thin">
        <color rgb="FFE0E6EE"/>
      </left>
      <right/>
      <top style="thin">
        <color rgb="FFE0E6EE"/>
      </top>
      <bottom style="thin">
        <color rgb="FFE0E6EE"/>
      </bottom>
      <diagonal/>
    </border>
    <border diagonalUp="false" diagonalDown="false">
      <left/>
      <right/>
      <top/>
      <bottom style="thin">
        <color rgb="FFCCCCCC"/>
      </bottom>
      <diagonal/>
    </border>
    <border diagonalUp="false" diagonalDown="false">
      <left/>
      <right/>
      <top/>
      <bottom style="thin">
        <color rgb="FFE8B84B"/>
      </bottom>
      <diagonal/>
    </border>
    <border diagonalUp="false" diagonalDown="false">
      <left style="thin">
        <color rgb="FF1E2A3A"/>
      </left>
      <right style="thin">
        <color rgb="FF1E2A3A"/>
      </right>
      <top style="thin">
        <color rgb="FF1E2A3A"/>
      </top>
      <bottom style="thin">
        <color rgb="FF1E2A3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3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6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5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9" fillId="7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6" fontId="19" fillId="7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7" fillId="8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9" fillId="7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7" fillId="9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7" fontId="20" fillId="1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19" fillId="7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21" fillId="4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7" fillId="9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8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8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9" fontId="8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22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3" fillId="2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25" fillId="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21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19" fillId="7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25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24" fillId="11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25" fillId="11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21" fillId="11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25" fillId="11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26" fillId="1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7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28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7" fillId="11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28" fillId="11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8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3" fillId="9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8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8" fillId="11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23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4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4" fillId="11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29" fillId="11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29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21" fillId="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1" fillId="11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7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8" fillId="6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0" fillId="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11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0" fillId="11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1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6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9" fontId="19" fillId="7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21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1" fontId="30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30" fillId="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8" fillId="11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8" fontId="21" fillId="11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1" fontId="30" fillId="11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30" fillId="11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7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17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D1420"/>
      <rgbColor rgb="FF808000"/>
      <rgbColor rgb="FF800080"/>
      <rgbColor rgb="FF008080"/>
      <rgbColor rgb="FFCCCCCC"/>
      <rgbColor rgb="FF808080"/>
      <rgbColor rgb="FF9999FF"/>
      <rgbColor rgb="FF993366"/>
      <rgbColor rgb="FFFFFBF0"/>
      <rgbColor rgb="FFEEF2F6"/>
      <rgbColor rgb="FF660066"/>
      <rgbColor rgb="FFF87171"/>
      <rgbColor rgb="FF0066CC"/>
      <rgbColor rgb="FFE0E6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0F4F8"/>
      <rgbColor rgb="FFF5F8FB"/>
      <rgbColor rgb="FFF8FAFC"/>
      <rgbColor rgb="FF99CCFF"/>
      <rgbColor rgb="FFFF99CC"/>
      <rgbColor rgb="FFCC99FF"/>
      <rgbColor rgb="FFFFCC99"/>
      <rgbColor rgb="FF3366FF"/>
      <rgbColor rgb="FF2DD4BF"/>
      <rgbColor rgb="FF99CC00"/>
      <rgbColor rgb="FFE8B84B"/>
      <rgbColor rgb="FFFF9900"/>
      <rgbColor rgb="FFFF6600"/>
      <rgbColor rgb="FF666699"/>
      <rgbColor rgb="FF8896A8"/>
      <rgbColor rgb="FF1E2A3A"/>
      <rgbColor rgb="FF4ADE80"/>
      <rgbColor rgb="FF141C28"/>
      <rgbColor rgb="FF444444"/>
      <rgbColor rgb="FF993300"/>
      <rgbColor rgb="FF993366"/>
      <rgbColor rgb="FF2D3D52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8B84B"/>
    <pageSetUpPr fitToPage="false"/>
  </sheetPr>
  <dimension ref="A1:E2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40"/>
    <col collapsed="false" customWidth="true" hidden="false" outlineLevel="0" max="3" min="3" style="1" width="25"/>
    <col collapsed="false" customWidth="true" hidden="false" outlineLevel="0" max="4" min="4" style="1" width="20"/>
  </cols>
  <sheetData>
    <row r="1" customFormat="false" ht="15" hidden="false" customHeight="true" outlineLevel="0" collapsed="false"/>
    <row r="2" customFormat="false" ht="18" hidden="false" customHeight="true" outlineLevel="0" collapsed="false">
      <c r="A2" s="2"/>
      <c r="B2" s="2"/>
      <c r="C2" s="2"/>
      <c r="D2" s="2"/>
      <c r="E2" s="2"/>
    </row>
    <row r="3" customFormat="false" ht="18" hidden="false" customHeight="true" outlineLevel="0" collapsed="false">
      <c r="A3" s="2"/>
      <c r="B3" s="3" t="s">
        <v>0</v>
      </c>
      <c r="C3" s="3"/>
      <c r="D3" s="3"/>
      <c r="E3" s="2"/>
    </row>
    <row r="4" customFormat="false" ht="18" hidden="false" customHeight="true" outlineLevel="0" collapsed="false">
      <c r="A4" s="2"/>
      <c r="B4" s="4" t="s">
        <v>1</v>
      </c>
      <c r="C4" s="4"/>
      <c r="D4" s="4"/>
      <c r="E4" s="2"/>
    </row>
    <row r="5" customFormat="false" ht="18" hidden="false" customHeight="true" outlineLevel="0" collapsed="false">
      <c r="A5" s="2"/>
      <c r="B5" s="5" t="s">
        <v>2</v>
      </c>
      <c r="C5" s="5"/>
      <c r="D5" s="5"/>
      <c r="E5" s="2"/>
    </row>
    <row r="6" customFormat="false" ht="18" hidden="false" customHeight="true" outlineLevel="0" collapsed="false">
      <c r="A6" s="2"/>
      <c r="B6" s="2"/>
      <c r="C6" s="2"/>
      <c r="D6" s="2"/>
      <c r="E6" s="2"/>
    </row>
    <row r="7" customFormat="false" ht="3" hidden="false" customHeight="true" outlineLevel="0" collapsed="false">
      <c r="A7" s="2"/>
      <c r="B7" s="6"/>
      <c r="C7" s="6"/>
      <c r="D7" s="6"/>
      <c r="E7" s="2"/>
    </row>
    <row r="8" customFormat="false" ht="18" hidden="false" customHeight="true" outlineLevel="0" collapsed="false">
      <c r="A8" s="2"/>
      <c r="B8" s="2"/>
      <c r="C8" s="2"/>
      <c r="D8" s="2"/>
      <c r="E8" s="2"/>
    </row>
    <row r="9" customFormat="false" ht="18" hidden="false" customHeight="true" outlineLevel="0" collapsed="false">
      <c r="A9" s="2"/>
      <c r="B9" s="7" t="s">
        <v>3</v>
      </c>
      <c r="C9" s="7"/>
      <c r="D9" s="7"/>
      <c r="E9" s="2"/>
    </row>
    <row r="10" customFormat="false" ht="18" hidden="false" customHeight="true" outlineLevel="0" collapsed="false">
      <c r="A10" s="2"/>
      <c r="B10" s="2"/>
      <c r="C10" s="2"/>
      <c r="D10" s="2"/>
      <c r="E10" s="2"/>
    </row>
    <row r="11" customFormat="false" ht="21.75" hidden="false" customHeight="true" outlineLevel="0" collapsed="false">
      <c r="A11" s="2"/>
      <c r="B11" s="8" t="s">
        <v>4</v>
      </c>
      <c r="C11" s="9" t="s">
        <v>5</v>
      </c>
      <c r="D11" s="9"/>
      <c r="E11" s="2"/>
    </row>
    <row r="12" customFormat="false" ht="21.75" hidden="false" customHeight="true" outlineLevel="0" collapsed="false">
      <c r="B12" s="8" t="s">
        <v>6</v>
      </c>
      <c r="C12" s="9" t="s">
        <v>7</v>
      </c>
      <c r="D12" s="9"/>
    </row>
    <row r="13" customFormat="false" ht="21.75" hidden="false" customHeight="true" outlineLevel="0" collapsed="false">
      <c r="B13" s="8" t="s">
        <v>8</v>
      </c>
      <c r="C13" s="9" t="s">
        <v>9</v>
      </c>
      <c r="D13" s="9"/>
    </row>
    <row r="14" customFormat="false" ht="21.75" hidden="false" customHeight="true" outlineLevel="0" collapsed="false">
      <c r="B14" s="8" t="s">
        <v>10</v>
      </c>
      <c r="C14" s="9" t="s">
        <v>11</v>
      </c>
      <c r="D14" s="9"/>
    </row>
    <row r="15" customFormat="false" ht="21.75" hidden="false" customHeight="true" outlineLevel="0" collapsed="false">
      <c r="B15" s="8" t="s">
        <v>12</v>
      </c>
      <c r="C15" s="9" t="s">
        <v>13</v>
      </c>
      <c r="D15" s="9"/>
    </row>
    <row r="16" customFormat="false" ht="21.75" hidden="false" customHeight="true" outlineLevel="0" collapsed="false">
      <c r="B16" s="8" t="s">
        <v>14</v>
      </c>
      <c r="C16" s="9" t="s">
        <v>15</v>
      </c>
      <c r="D16" s="9"/>
    </row>
    <row r="17" customFormat="false" ht="21.75" hidden="false" customHeight="true" outlineLevel="0" collapsed="false">
      <c r="B17" s="8" t="s">
        <v>16</v>
      </c>
      <c r="C17" s="9" t="s">
        <v>17</v>
      </c>
      <c r="D17" s="9"/>
    </row>
    <row r="20" customFormat="false" ht="15" hidden="false" customHeight="true" outlineLevel="0" collapsed="false">
      <c r="B20" s="10" t="s">
        <v>18</v>
      </c>
      <c r="C20" s="10"/>
      <c r="D20" s="10"/>
    </row>
    <row r="22" customFormat="false" ht="15.75" hidden="false" customHeight="true" outlineLevel="0" collapsed="false">
      <c r="B22" s="11" t="s">
        <v>19</v>
      </c>
      <c r="C22" s="11"/>
      <c r="D22" s="11"/>
    </row>
    <row r="23" customFormat="false" ht="15.75" hidden="false" customHeight="true" outlineLevel="0" collapsed="false">
      <c r="B23" s="12" t="s">
        <v>20</v>
      </c>
      <c r="C23" s="12"/>
      <c r="D23" s="12"/>
    </row>
    <row r="24" customFormat="false" ht="15.75" hidden="false" customHeight="true" outlineLevel="0" collapsed="false">
      <c r="B24" s="13" t="s">
        <v>21</v>
      </c>
      <c r="C24" s="13"/>
      <c r="D24" s="13"/>
    </row>
    <row r="25" customFormat="false" ht="15.75" hidden="false" customHeight="true" outlineLevel="0" collapsed="false">
      <c r="B25" s="14" t="s">
        <v>22</v>
      </c>
      <c r="C25" s="14"/>
      <c r="D25" s="14"/>
    </row>
    <row r="28" customFormat="false" ht="15" hidden="false" customHeight="true" outlineLevel="0" collapsed="false">
      <c r="B28" s="15" t="s">
        <v>23</v>
      </c>
      <c r="C28" s="15"/>
      <c r="D28" s="15"/>
    </row>
  </sheetData>
  <mergeCells count="18">
    <mergeCell ref="B3:D3"/>
    <mergeCell ref="B4:D4"/>
    <mergeCell ref="B5:D5"/>
    <mergeCell ref="B7:D7"/>
    <mergeCell ref="B9:D9"/>
    <mergeCell ref="C11:D11"/>
    <mergeCell ref="C12:D12"/>
    <mergeCell ref="C13:D13"/>
    <mergeCell ref="C14:D14"/>
    <mergeCell ref="C15:D15"/>
    <mergeCell ref="C16:D16"/>
    <mergeCell ref="C17:D17"/>
    <mergeCell ref="B20:D20"/>
    <mergeCell ref="B22:D22"/>
    <mergeCell ref="B23:D23"/>
    <mergeCell ref="B24:D24"/>
    <mergeCell ref="B25:D25"/>
    <mergeCell ref="B28:D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D1420"/>
    <pageSetUpPr fitToPage="false"/>
  </sheetPr>
  <dimension ref="B2:D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6"/>
    <col collapsed="false" customWidth="true" hidden="false" outlineLevel="0" max="3" min="3" style="1" width="18"/>
    <col collapsed="false" customWidth="true" hidden="false" outlineLevel="0" max="4" min="4" style="1" width="22"/>
    <col collapsed="false" customWidth="true" hidden="false" outlineLevel="0" max="5" min="5" style="1" width="3"/>
  </cols>
  <sheetData>
    <row r="2" customFormat="false" ht="25.5" hidden="false" customHeight="true" outlineLevel="0" collapsed="false">
      <c r="B2" s="16" t="s">
        <v>24</v>
      </c>
      <c r="C2" s="16"/>
      <c r="D2" s="16"/>
    </row>
    <row r="3" customFormat="false" ht="15" hidden="false" customHeight="true" outlineLevel="0" collapsed="false">
      <c r="B3" s="17" t="s">
        <v>25</v>
      </c>
      <c r="C3" s="17"/>
      <c r="D3" s="17"/>
    </row>
    <row r="5" customFormat="false" ht="21.75" hidden="false" customHeight="true" outlineLevel="0" collapsed="false">
      <c r="B5" s="18" t="s">
        <v>26</v>
      </c>
      <c r="C5" s="18"/>
      <c r="D5" s="18"/>
    </row>
    <row r="6" customFormat="false" ht="18" hidden="false" customHeight="true" outlineLevel="0" collapsed="false">
      <c r="B6" s="19" t="s">
        <v>27</v>
      </c>
      <c r="C6" s="20" t="n">
        <v>52</v>
      </c>
      <c r="D6" s="21" t="s">
        <v>28</v>
      </c>
    </row>
    <row r="7" customFormat="false" ht="18" hidden="false" customHeight="true" outlineLevel="0" collapsed="false">
      <c r="B7" s="19" t="s">
        <v>29</v>
      </c>
      <c r="C7" s="20" t="n">
        <v>55</v>
      </c>
      <c r="D7" s="21" t="s">
        <v>30</v>
      </c>
    </row>
    <row r="8" customFormat="false" ht="18" hidden="false" customHeight="true" outlineLevel="0" collapsed="false">
      <c r="B8" s="19" t="s">
        <v>31</v>
      </c>
      <c r="C8" s="20" t="n">
        <v>67</v>
      </c>
      <c r="D8" s="21" t="s">
        <v>32</v>
      </c>
    </row>
    <row r="9" customFormat="false" ht="18" hidden="false" customHeight="true" outlineLevel="0" collapsed="false">
      <c r="B9" s="19" t="s">
        <v>33</v>
      </c>
      <c r="C9" s="20" t="n">
        <v>90</v>
      </c>
      <c r="D9" s="21" t="s">
        <v>34</v>
      </c>
    </row>
    <row r="10" customFormat="false" ht="18" hidden="false" customHeight="true" outlineLevel="0" collapsed="false">
      <c r="B10" s="19" t="s">
        <v>35</v>
      </c>
      <c r="C10" s="22" t="s">
        <v>36</v>
      </c>
      <c r="D10" s="21" t="s">
        <v>37</v>
      </c>
    </row>
    <row r="12" customFormat="false" ht="21.75" hidden="false" customHeight="true" outlineLevel="0" collapsed="false">
      <c r="B12" s="23" t="s">
        <v>38</v>
      </c>
      <c r="C12" s="23"/>
      <c r="D12" s="23"/>
    </row>
    <row r="13" customFormat="false" ht="18" hidden="false" customHeight="true" outlineLevel="0" collapsed="false">
      <c r="B13" s="19" t="s">
        <v>39</v>
      </c>
      <c r="C13" s="24" t="n">
        <v>350000</v>
      </c>
      <c r="D13" s="21" t="s">
        <v>40</v>
      </c>
    </row>
    <row r="14" customFormat="false" ht="18" hidden="false" customHeight="true" outlineLevel="0" collapsed="false">
      <c r="B14" s="19" t="s">
        <v>41</v>
      </c>
      <c r="C14" s="24" t="n">
        <v>650000</v>
      </c>
      <c r="D14" s="21" t="s">
        <v>42</v>
      </c>
    </row>
    <row r="15" customFormat="false" ht="18" hidden="false" customHeight="true" outlineLevel="0" collapsed="false">
      <c r="B15" s="19" t="s">
        <v>43</v>
      </c>
      <c r="C15" s="24" t="n">
        <v>150000</v>
      </c>
      <c r="D15" s="21" t="s">
        <v>44</v>
      </c>
    </row>
    <row r="16" customFormat="false" ht="18" hidden="false" customHeight="true" outlineLevel="0" collapsed="false">
      <c r="B16" s="19" t="s">
        <v>45</v>
      </c>
      <c r="C16" s="24" t="n">
        <v>75000</v>
      </c>
      <c r="D16" s="21" t="s">
        <v>46</v>
      </c>
    </row>
    <row r="17" customFormat="false" ht="18" hidden="false" customHeight="true" outlineLevel="0" collapsed="false">
      <c r="B17" s="19" t="s">
        <v>47</v>
      </c>
      <c r="C17" s="24" t="n">
        <v>0</v>
      </c>
      <c r="D17" s="21" t="s">
        <v>48</v>
      </c>
    </row>
    <row r="18" customFormat="false" ht="13.5" hidden="false" customHeight="true" outlineLevel="0" collapsed="false"/>
    <row r="19" customFormat="false" ht="19.5" hidden="false" customHeight="true" outlineLevel="0" collapsed="false">
      <c r="B19" s="25" t="s">
        <v>49</v>
      </c>
      <c r="C19" s="26" t="n">
        <f aca="false">SUM(C13:C17)</f>
        <v>1225000</v>
      </c>
    </row>
    <row r="21" customFormat="false" ht="21.75" hidden="false" customHeight="true" outlineLevel="0" collapsed="false">
      <c r="B21" s="18" t="s">
        <v>50</v>
      </c>
      <c r="C21" s="18"/>
      <c r="D21" s="18"/>
    </row>
    <row r="22" customFormat="false" ht="18" hidden="false" customHeight="true" outlineLevel="0" collapsed="false">
      <c r="B22" s="19" t="s">
        <v>51</v>
      </c>
      <c r="C22" s="24" t="n">
        <v>55000</v>
      </c>
      <c r="D22" s="21" t="s">
        <v>52</v>
      </c>
    </row>
    <row r="23" customFormat="false" ht="18" hidden="false" customHeight="true" outlineLevel="0" collapsed="false">
      <c r="B23" s="19" t="s">
        <v>53</v>
      </c>
      <c r="C23" s="27" t="n">
        <v>0.025</v>
      </c>
      <c r="D23" s="21" t="s">
        <v>54</v>
      </c>
    </row>
    <row r="24" customFormat="false" ht="18" hidden="false" customHeight="true" outlineLevel="0" collapsed="false">
      <c r="B24" s="19" t="s">
        <v>55</v>
      </c>
      <c r="C24" s="24" t="n">
        <v>0</v>
      </c>
      <c r="D24" s="21" t="s">
        <v>56</v>
      </c>
    </row>
    <row r="25" customFormat="false" ht="18" hidden="false" customHeight="true" outlineLevel="0" collapsed="false">
      <c r="B25" s="19" t="s">
        <v>57</v>
      </c>
      <c r="C25" s="24" t="n">
        <v>24000</v>
      </c>
      <c r="D25" s="21" t="s">
        <v>58</v>
      </c>
    </row>
    <row r="27" customFormat="false" ht="21.75" hidden="false" customHeight="true" outlineLevel="0" collapsed="false">
      <c r="B27" s="23" t="s">
        <v>59</v>
      </c>
      <c r="C27" s="23"/>
      <c r="D27" s="23"/>
    </row>
    <row r="28" customFormat="false" ht="18" hidden="false" customHeight="true" outlineLevel="0" collapsed="false">
      <c r="B28" s="19" t="s">
        <v>60</v>
      </c>
      <c r="C28" s="27" t="n">
        <v>0.065</v>
      </c>
      <c r="D28" s="21" t="s">
        <v>61</v>
      </c>
    </row>
    <row r="29" customFormat="false" ht="18" hidden="false" customHeight="true" outlineLevel="0" collapsed="false">
      <c r="B29" s="19" t="s">
        <v>62</v>
      </c>
      <c r="C29" s="27" t="n">
        <v>0.65</v>
      </c>
      <c r="D29" s="21" t="s">
        <v>63</v>
      </c>
    </row>
    <row r="30" customFormat="false" ht="18" hidden="false" customHeight="true" outlineLevel="0" collapsed="false">
      <c r="B30" s="19" t="s">
        <v>64</v>
      </c>
      <c r="C30" s="28" t="n">
        <f aca="false">1-C29</f>
        <v>0.35</v>
      </c>
      <c r="D30" s="21" t="s">
        <v>65</v>
      </c>
    </row>
    <row r="32" customFormat="false" ht="21.75" hidden="false" customHeight="true" outlineLevel="0" collapsed="false">
      <c r="B32" s="29" t="s">
        <v>66</v>
      </c>
      <c r="C32" s="29"/>
      <c r="D32" s="29"/>
    </row>
    <row r="33" customFormat="false" ht="18" hidden="false" customHeight="true" outlineLevel="0" collapsed="false">
      <c r="B33" s="30" t="s">
        <v>67</v>
      </c>
      <c r="C33" s="31" t="n">
        <f aca="false">MAX(0,59.5-C7)</f>
        <v>4.5</v>
      </c>
    </row>
    <row r="34" customFormat="false" ht="18" hidden="false" customHeight="true" outlineLevel="0" collapsed="false">
      <c r="B34" s="30" t="s">
        <v>68</v>
      </c>
      <c r="C34" s="32" t="n">
        <f aca="false">C22/C19</f>
        <v>0.0448979591836735</v>
      </c>
    </row>
    <row r="35" customFormat="false" ht="18" hidden="false" customHeight="true" outlineLevel="0" collapsed="false">
      <c r="B35" s="30" t="s">
        <v>69</v>
      </c>
      <c r="C35" s="33" t="n">
        <f aca="false">IFERROR(C13/(C22*C33),0)</f>
        <v>1.41414141414141</v>
      </c>
    </row>
  </sheetData>
  <mergeCells count="7">
    <mergeCell ref="B2:D2"/>
    <mergeCell ref="B3:D3"/>
    <mergeCell ref="B5:D5"/>
    <mergeCell ref="B12:D12"/>
    <mergeCell ref="B21:D21"/>
    <mergeCell ref="B27:D27"/>
    <mergeCell ref="B32:D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E2A3A"/>
    <pageSetUpPr fitToPage="false"/>
  </sheetPr>
  <dimension ref="B2:L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8"/>
    <col collapsed="false" customWidth="true" hidden="false" outlineLevel="0" max="3" min="3" style="1" width="14"/>
    <col collapsed="false" customWidth="true" hidden="false" outlineLevel="0" max="7" min="4" style="1" width="16"/>
    <col collapsed="false" customWidth="true" hidden="false" outlineLevel="0" max="11" min="8" style="1" width="14"/>
    <col collapsed="false" customWidth="true" hidden="false" outlineLevel="0" max="12" min="12" style="1" width="3"/>
  </cols>
  <sheetData>
    <row r="2" customFormat="false" ht="25.5" hidden="false" customHeight="true" outlineLevel="0" collapsed="false">
      <c r="B2" s="34" t="s">
        <v>70</v>
      </c>
      <c r="C2" s="34"/>
      <c r="D2" s="34"/>
      <c r="E2" s="34"/>
      <c r="F2" s="34"/>
      <c r="G2" s="34"/>
      <c r="H2" s="34"/>
      <c r="I2" s="34"/>
      <c r="J2" s="34"/>
      <c r="K2" s="34"/>
    </row>
    <row r="3" customFormat="false" ht="36" hidden="false" customHeight="true" outlineLevel="0" collapsed="false">
      <c r="B3" s="35" t="s">
        <v>71</v>
      </c>
      <c r="C3" s="35" t="s">
        <v>72</v>
      </c>
      <c r="D3" s="35" t="s">
        <v>73</v>
      </c>
      <c r="E3" s="35" t="s">
        <v>74</v>
      </c>
      <c r="F3" s="35" t="s">
        <v>75</v>
      </c>
      <c r="G3" s="35" t="s">
        <v>76</v>
      </c>
      <c r="H3" s="35" t="s">
        <v>77</v>
      </c>
      <c r="I3" s="35" t="s">
        <v>78</v>
      </c>
      <c r="J3" s="35" t="s">
        <v>79</v>
      </c>
      <c r="K3" s="35" t="s">
        <v>80</v>
      </c>
      <c r="L3" s="35" t="s">
        <v>81</v>
      </c>
    </row>
    <row r="4" customFormat="false" ht="18" hidden="false" customHeight="true" outlineLevel="0" collapsed="false">
      <c r="B4" s="36" t="n">
        <v>1</v>
      </c>
      <c r="C4" s="37" t="n">
        <f aca="false">INPUTS!$C$7+0</f>
        <v>55</v>
      </c>
      <c r="D4" s="38" t="n">
        <f aca="false">INPUTS!$C$22*(1+INPUTS!$C$23)^0</f>
        <v>55000</v>
      </c>
      <c r="E4" s="38" t="n">
        <f aca="false">MIN(D4-INPUTS!$C$24,INPUTS!$C$13)</f>
        <v>55000</v>
      </c>
      <c r="F4" s="39" t="n">
        <v>0</v>
      </c>
      <c r="G4" s="40" t="n">
        <f aca="false">INPUTS!$C$24</f>
        <v>0</v>
      </c>
      <c r="H4" s="38" t="n">
        <f aca="false">MAX(0,D4-E4-F4-G4)</f>
        <v>0</v>
      </c>
      <c r="I4" s="38" t="n">
        <f aca="false">INPUTS!$C$13*(1+INPUTS!$C$28)-E4</f>
        <v>317750</v>
      </c>
      <c r="J4" s="38" t="n">
        <f aca="false">INPUTS!$C$15*(1+INPUTS!$C$28)-F4</f>
        <v>159750</v>
      </c>
      <c r="K4" s="38" t="n">
        <f aca="false">INPUTS!$C$14*(1+INPUTS!$C$28)</f>
        <v>692250</v>
      </c>
      <c r="L4" s="41" t="n">
        <f aca="false">I4+J4+K4</f>
        <v>1169750</v>
      </c>
    </row>
    <row r="5" customFormat="false" ht="18" hidden="false" customHeight="true" outlineLevel="0" collapsed="false">
      <c r="B5" s="42" t="n">
        <v>2</v>
      </c>
      <c r="C5" s="43" t="n">
        <f aca="false">INPUTS!$C$7+1</f>
        <v>56</v>
      </c>
      <c r="D5" s="44" t="n">
        <f aca="false">D4*(1+INPUTS!$C$23)</f>
        <v>56375</v>
      </c>
      <c r="E5" s="44" t="n">
        <f aca="false">MIN(D5-INPUTS!$C$24,H4)</f>
        <v>0</v>
      </c>
      <c r="F5" s="39" t="n">
        <v>0</v>
      </c>
      <c r="G5" s="45" t="n">
        <f aca="false">INPUTS!$C$24</f>
        <v>0</v>
      </c>
      <c r="H5" s="44" t="n">
        <f aca="false">MAX(0,D5-E5-F5-G5)</f>
        <v>56375</v>
      </c>
      <c r="I5" s="44" t="n">
        <f aca="false">MAX(0,I4*(1+INPUTS!$C$28)-E5)</f>
        <v>338403.75</v>
      </c>
      <c r="J5" s="44" t="n">
        <f aca="false">J4*(1+INPUTS!$C$28)-F5</f>
        <v>170133.75</v>
      </c>
      <c r="K5" s="44" t="n">
        <f aca="false">K4*(1+INPUTS!$C$28)</f>
        <v>737246.25</v>
      </c>
      <c r="L5" s="41" t="n">
        <f aca="false">I5+J5+K5</f>
        <v>1245783.75</v>
      </c>
    </row>
    <row r="6" customFormat="false" ht="18" hidden="false" customHeight="true" outlineLevel="0" collapsed="false">
      <c r="B6" s="36" t="n">
        <v>3</v>
      </c>
      <c r="C6" s="37" t="n">
        <f aca="false">INPUTS!$C$7+2</f>
        <v>57</v>
      </c>
      <c r="D6" s="38" t="n">
        <f aca="false">D5*(1+INPUTS!$C$23)</f>
        <v>57784.375</v>
      </c>
      <c r="E6" s="38" t="n">
        <f aca="false">MIN(D6-INPUTS!$C$24,H5)</f>
        <v>56375</v>
      </c>
      <c r="F6" s="39" t="n">
        <v>0</v>
      </c>
      <c r="G6" s="40" t="n">
        <f aca="false">INPUTS!$C$24</f>
        <v>0</v>
      </c>
      <c r="H6" s="38" t="n">
        <f aca="false">MAX(0,D6-E6-F6-G6)</f>
        <v>1409.37499999999</v>
      </c>
      <c r="I6" s="38" t="n">
        <f aca="false">MAX(0,I5*(1+INPUTS!$C$28)-E6)</f>
        <v>304024.99375</v>
      </c>
      <c r="J6" s="38" t="n">
        <f aca="false">J5*(1+INPUTS!$C$28)-F6</f>
        <v>181192.44375</v>
      </c>
      <c r="K6" s="38" t="n">
        <f aca="false">K5*(1+INPUTS!$C$28)</f>
        <v>785167.25625</v>
      </c>
      <c r="L6" s="41" t="n">
        <f aca="false">I6+J6+K6</f>
        <v>1270384.69375</v>
      </c>
    </row>
    <row r="7" customFormat="false" ht="18" hidden="false" customHeight="true" outlineLevel="0" collapsed="false">
      <c r="B7" s="42" t="n">
        <v>4</v>
      </c>
      <c r="C7" s="43" t="n">
        <f aca="false">INPUTS!$C$7+3</f>
        <v>58</v>
      </c>
      <c r="D7" s="44" t="n">
        <f aca="false">D6*(1+INPUTS!$C$23)</f>
        <v>59228.984375</v>
      </c>
      <c r="E7" s="44" t="n">
        <f aca="false">MIN(D7-INPUTS!$C$24,H6)</f>
        <v>1409.37499999999</v>
      </c>
      <c r="F7" s="39" t="n">
        <v>0</v>
      </c>
      <c r="G7" s="45" t="n">
        <f aca="false">INPUTS!$C$24</f>
        <v>0</v>
      </c>
      <c r="H7" s="44" t="n">
        <f aca="false">MAX(0,D7-E7-F7-G7)</f>
        <v>57819.609375</v>
      </c>
      <c r="I7" s="44" t="n">
        <f aca="false">MAX(0,I6*(1+INPUTS!$C$28)-E7)</f>
        <v>322377.24334375</v>
      </c>
      <c r="J7" s="44" t="n">
        <f aca="false">J6*(1+INPUTS!$C$28)-F7</f>
        <v>192969.95259375</v>
      </c>
      <c r="K7" s="44" t="n">
        <f aca="false">K6*(1+INPUTS!$C$28)</f>
        <v>836203.12790625</v>
      </c>
      <c r="L7" s="41" t="n">
        <f aca="false">I7+J7+K7</f>
        <v>1351550.32384375</v>
      </c>
    </row>
    <row r="8" customFormat="false" ht="18" hidden="false" customHeight="true" outlineLevel="0" collapsed="false">
      <c r="B8" s="36" t="n">
        <v>5</v>
      </c>
      <c r="C8" s="37" t="n">
        <f aca="false">INPUTS!$C$7+4</f>
        <v>59</v>
      </c>
      <c r="D8" s="38" t="n">
        <f aca="false">D7*(1+INPUTS!$C$23)</f>
        <v>60709.708984375</v>
      </c>
      <c r="E8" s="38" t="n">
        <f aca="false">MIN(D8-INPUTS!$C$24,H7)</f>
        <v>57819.609375</v>
      </c>
      <c r="F8" s="39" t="n">
        <v>0</v>
      </c>
      <c r="G8" s="40" t="n">
        <f aca="false">INPUTS!$C$24</f>
        <v>0</v>
      </c>
      <c r="H8" s="38" t="n">
        <f aca="false">MAX(0,D8-E8-F8-G8)</f>
        <v>2890.09960937499</v>
      </c>
      <c r="I8" s="38" t="n">
        <f aca="false">MAX(0,I7*(1+INPUTS!$C$28)-E8)</f>
        <v>285512.154786094</v>
      </c>
      <c r="J8" s="38" t="n">
        <f aca="false">J7*(1+INPUTS!$C$28)-F8</f>
        <v>205512.999512344</v>
      </c>
      <c r="K8" s="38" t="n">
        <f aca="false">K7*(1+INPUTS!$C$28)</f>
        <v>890556.331220156</v>
      </c>
      <c r="L8" s="41" t="n">
        <f aca="false">I8+J8+K8</f>
        <v>1381581.48551859</v>
      </c>
    </row>
    <row r="9" customFormat="false" ht="18" hidden="false" customHeight="true" outlineLevel="0" collapsed="false">
      <c r="B9" s="42" t="n">
        <v>6</v>
      </c>
      <c r="C9" s="43" t="n">
        <f aca="false">INPUTS!$C$7+5</f>
        <v>60</v>
      </c>
      <c r="D9" s="44" t="n">
        <f aca="false">D8*(1+INPUTS!$C$23)</f>
        <v>62227.4517089843</v>
      </c>
      <c r="E9" s="44" t="n">
        <f aca="false">MIN(D9-INPUTS!$C$24,H8)</f>
        <v>2890.09960937499</v>
      </c>
      <c r="F9" s="39" t="n">
        <v>0</v>
      </c>
      <c r="G9" s="45" t="n">
        <f aca="false">INPUTS!$C$24</f>
        <v>0</v>
      </c>
      <c r="H9" s="44" t="n">
        <f aca="false">MAX(0,D9-E9-F9-G9)</f>
        <v>59337.3520996094</v>
      </c>
      <c r="I9" s="44" t="n">
        <f aca="false">MAX(0,I8*(1+INPUTS!$C$28)-E9)</f>
        <v>301180.345237815</v>
      </c>
      <c r="J9" s="44" t="n">
        <f aca="false">J8*(1+INPUTS!$C$28)-F9</f>
        <v>218871.344480646</v>
      </c>
      <c r="K9" s="44" t="n">
        <f aca="false">K8*(1+INPUTS!$C$28)</f>
        <v>948442.492749466</v>
      </c>
      <c r="L9" s="41" t="n">
        <f aca="false">I9+J9+K9</f>
        <v>1468494.18246793</v>
      </c>
    </row>
    <row r="10" customFormat="false" ht="18" hidden="false" customHeight="true" outlineLevel="0" collapsed="false">
      <c r="B10" s="36" t="n">
        <v>7</v>
      </c>
      <c r="C10" s="37" t="n">
        <f aca="false">INPUTS!$C$7+6</f>
        <v>61</v>
      </c>
      <c r="D10" s="38" t="n">
        <f aca="false">D9*(1+INPUTS!$C$23)</f>
        <v>63783.138001709</v>
      </c>
      <c r="E10" s="38" t="n">
        <f aca="false">MIN(D10-INPUTS!$C$24,H9)</f>
        <v>59337.3520996094</v>
      </c>
      <c r="F10" s="39" t="n">
        <v>0</v>
      </c>
      <c r="G10" s="40" t="n">
        <f aca="false">INPUTS!$C$24</f>
        <v>0</v>
      </c>
      <c r="H10" s="38" t="n">
        <f aca="false">MAX(0,D10-E10-F10-G10)</f>
        <v>4445.78590209959</v>
      </c>
      <c r="I10" s="38" t="n">
        <f aca="false">MAX(0,I9*(1+INPUTS!$C$28)-E10)</f>
        <v>261419.715578663</v>
      </c>
      <c r="J10" s="38" t="n">
        <f aca="false">J9*(1+INPUTS!$C$28)-F10</f>
        <v>233097.981871888</v>
      </c>
      <c r="K10" s="38" t="n">
        <f aca="false">K9*(1+INPUTS!$C$28)</f>
        <v>1010091.25477818</v>
      </c>
      <c r="L10" s="41" t="n">
        <f aca="false">I10+J10+K10</f>
        <v>1504608.95222873</v>
      </c>
    </row>
    <row r="11" customFormat="false" ht="18" hidden="false" customHeight="true" outlineLevel="0" collapsed="false">
      <c r="B11" s="42" t="n">
        <v>8</v>
      </c>
      <c r="C11" s="43" t="n">
        <f aca="false">INPUTS!$C$7+7</f>
        <v>62</v>
      </c>
      <c r="D11" s="44" t="n">
        <f aca="false">D10*(1+INPUTS!$C$23)</f>
        <v>65377.7164517517</v>
      </c>
      <c r="E11" s="44" t="n">
        <f aca="false">MIN(D11-INPUTS!$C$24,H10)</f>
        <v>4445.78590209959</v>
      </c>
      <c r="F11" s="39" t="n">
        <v>0</v>
      </c>
      <c r="G11" s="45" t="n">
        <f aca="false">INPUTS!$C$24</f>
        <v>0</v>
      </c>
      <c r="H11" s="44" t="n">
        <f aca="false">MAX(0,D11-E11-F11-G11)</f>
        <v>60931.9305496521</v>
      </c>
      <c r="I11" s="44" t="n">
        <f aca="false">MAX(0,I10*(1+INPUTS!$C$28)-E11)</f>
        <v>273966.211189177</v>
      </c>
      <c r="J11" s="44" t="n">
        <f aca="false">J10*(1+INPUTS!$C$28)-F11</f>
        <v>248249.350693561</v>
      </c>
      <c r="K11" s="44" t="n">
        <f aca="false">K10*(1+INPUTS!$C$28)</f>
        <v>1075747.18633876</v>
      </c>
      <c r="L11" s="41" t="n">
        <f aca="false">I11+J11+K11</f>
        <v>1597962.7482215</v>
      </c>
    </row>
    <row r="12" customFormat="false" ht="18" hidden="false" customHeight="true" outlineLevel="0" collapsed="false">
      <c r="B12" s="36" t="n">
        <v>9</v>
      </c>
      <c r="C12" s="37" t="n">
        <f aca="false">INPUTS!$C$7+8</f>
        <v>63</v>
      </c>
      <c r="D12" s="38" t="n">
        <f aca="false">D11*(1+INPUTS!$C$23)</f>
        <v>67012.1593630454</v>
      </c>
      <c r="E12" s="38" t="n">
        <f aca="false">MIN(D12-INPUTS!$C$24,H11)</f>
        <v>60931.9305496521</v>
      </c>
      <c r="F12" s="39" t="n">
        <v>0</v>
      </c>
      <c r="G12" s="40" t="n">
        <f aca="false">INPUTS!$C$24</f>
        <v>0</v>
      </c>
      <c r="H12" s="38" t="n">
        <f aca="false">MAX(0,D12-E12-F12-G12)</f>
        <v>6080.22881339337</v>
      </c>
      <c r="I12" s="38" t="n">
        <f aca="false">MAX(0,I11*(1+INPUTS!$C$28)-E12)</f>
        <v>230842.084366821</v>
      </c>
      <c r="J12" s="38" t="n">
        <f aca="false">J11*(1+INPUTS!$C$28)-F12</f>
        <v>264385.558488642</v>
      </c>
      <c r="K12" s="38" t="n">
        <f aca="false">K11*(1+INPUTS!$C$28)</f>
        <v>1145670.75345078</v>
      </c>
      <c r="L12" s="41" t="n">
        <f aca="false">I12+J12+K12</f>
        <v>1640898.39630625</v>
      </c>
    </row>
    <row r="13" customFormat="false" ht="18" hidden="false" customHeight="true" outlineLevel="0" collapsed="false">
      <c r="B13" s="42" t="n">
        <v>10</v>
      </c>
      <c r="C13" s="43" t="n">
        <f aca="false">INPUTS!$C$7+9</f>
        <v>64</v>
      </c>
      <c r="D13" s="44" t="n">
        <f aca="false">D12*(1+INPUTS!$C$23)</f>
        <v>68687.4633471216</v>
      </c>
      <c r="E13" s="44" t="n">
        <f aca="false">MIN(D13-INPUTS!$C$24,H12)</f>
        <v>6080.22881339337</v>
      </c>
      <c r="F13" s="39" t="n">
        <v>0</v>
      </c>
      <c r="G13" s="45" t="n">
        <f aca="false">INPUTS!$C$24</f>
        <v>0</v>
      </c>
      <c r="H13" s="44" t="n">
        <f aca="false">MAX(0,D13-E13-F13-G13)</f>
        <v>62607.2345337282</v>
      </c>
      <c r="I13" s="44" t="n">
        <f aca="false">MAX(0,I12*(1+INPUTS!$C$28)-E13)</f>
        <v>239766.591037271</v>
      </c>
      <c r="J13" s="44" t="n">
        <f aca="false">J12*(1+INPUTS!$C$28)-F13</f>
        <v>281570.619790404</v>
      </c>
      <c r="K13" s="44" t="n">
        <f aca="false">K12*(1+INPUTS!$C$28)</f>
        <v>1220139.35242508</v>
      </c>
      <c r="L13" s="41" t="n">
        <f aca="false">I13+J13+K13</f>
        <v>1741476.56325276</v>
      </c>
    </row>
    <row r="14" customFormat="false" ht="18" hidden="false" customHeight="true" outlineLevel="0" collapsed="false">
      <c r="B14" s="36" t="n">
        <v>11</v>
      </c>
      <c r="C14" s="37" t="n">
        <f aca="false">INPUTS!$C$7+10</f>
        <v>65</v>
      </c>
      <c r="D14" s="38" t="n">
        <f aca="false">D13*(1+INPUTS!$C$23)</f>
        <v>70404.6499307996</v>
      </c>
      <c r="E14" s="38" t="n">
        <f aca="false">MIN(D14-INPUTS!$C$24,H13)</f>
        <v>62607.2345337282</v>
      </c>
      <c r="F14" s="39" t="n">
        <v>0</v>
      </c>
      <c r="G14" s="40" t="n">
        <f aca="false">INPUTS!$C$24</f>
        <v>0</v>
      </c>
      <c r="H14" s="38" t="n">
        <f aca="false">MAX(0,D14-E14-F14-G14)</f>
        <v>7797.4153970714</v>
      </c>
      <c r="I14" s="38" t="n">
        <f aca="false">MAX(0,I13*(1+INPUTS!$C$28)-E14)</f>
        <v>192744.184920966</v>
      </c>
      <c r="J14" s="38" t="n">
        <f aca="false">J13*(1+INPUTS!$C$28)-F14</f>
        <v>299872.71007678</v>
      </c>
      <c r="K14" s="38" t="n">
        <f aca="false">K13*(1+INPUTS!$C$28)</f>
        <v>1299448.41033271</v>
      </c>
      <c r="L14" s="41" t="n">
        <f aca="false">I14+J14+K14</f>
        <v>1792065.30533046</v>
      </c>
    </row>
    <row r="15" customFormat="false" ht="18" hidden="false" customHeight="true" outlineLevel="0" collapsed="false">
      <c r="B15" s="42" t="n">
        <v>12</v>
      </c>
      <c r="C15" s="43" t="n">
        <f aca="false">INPUTS!$C$7+11</f>
        <v>66</v>
      </c>
      <c r="D15" s="44" t="n">
        <f aca="false">D14*(1+INPUTS!$C$23)</f>
        <v>72164.7661790696</v>
      </c>
      <c r="E15" s="44" t="n">
        <f aca="false">MIN(D15-INPUTS!$C$24,H14)</f>
        <v>7797.4153970714</v>
      </c>
      <c r="F15" s="39" t="n">
        <v>0</v>
      </c>
      <c r="G15" s="45" t="n">
        <f aca="false">INPUTS!$C$24</f>
        <v>0</v>
      </c>
      <c r="H15" s="44" t="n">
        <f aca="false">MAX(0,D15-E15-F15-G15)</f>
        <v>64367.3507819982</v>
      </c>
      <c r="I15" s="44" t="n">
        <f aca="false">MAX(0,I14*(1+INPUTS!$C$28)-E15)</f>
        <v>197475.141543757</v>
      </c>
      <c r="J15" s="44" t="n">
        <f aca="false">J14*(1+INPUTS!$C$28)-F15</f>
        <v>319364.436231771</v>
      </c>
      <c r="K15" s="44" t="n">
        <f aca="false">K14*(1+INPUTS!$C$28)</f>
        <v>1383912.55700434</v>
      </c>
      <c r="L15" s="41" t="n">
        <f aca="false">I15+J15+K15</f>
        <v>1900752.13477987</v>
      </c>
    </row>
    <row r="16" customFormat="false" ht="18" hidden="false" customHeight="true" outlineLevel="0" collapsed="false">
      <c r="B16" s="36" t="n">
        <v>13</v>
      </c>
      <c r="C16" s="37" t="n">
        <f aca="false">INPUTS!$C$7+12</f>
        <v>67</v>
      </c>
      <c r="D16" s="38" t="n">
        <f aca="false">D15*(1+INPUTS!$C$23)</f>
        <v>73968.8853335463</v>
      </c>
      <c r="E16" s="38" t="n">
        <f aca="false">MIN(D16-INPUTS!$C$24,H15)</f>
        <v>64367.3507819982</v>
      </c>
      <c r="F16" s="39" t="n">
        <v>0</v>
      </c>
      <c r="G16" s="40" t="n">
        <f aca="false">INPUTS!$C$24</f>
        <v>0</v>
      </c>
      <c r="H16" s="38" t="n">
        <f aca="false">MAX(0,D16-E16-F16-G16)</f>
        <v>9601.53455154814</v>
      </c>
      <c r="I16" s="38" t="n">
        <f aca="false">MAX(0,I15*(1+INPUTS!$C$28)-E16)</f>
        <v>145943.674962103</v>
      </c>
      <c r="J16" s="38" t="n">
        <f aca="false">J15*(1+INPUTS!$C$28)-F16</f>
        <v>340123.124586836</v>
      </c>
      <c r="K16" s="38" t="n">
        <f aca="false">K15*(1+INPUTS!$C$28)</f>
        <v>1473866.87320962</v>
      </c>
      <c r="L16" s="41" t="n">
        <f aca="false">I16+J16+K16</f>
        <v>1959933.67275856</v>
      </c>
    </row>
    <row r="17" customFormat="false" ht="18" hidden="false" customHeight="true" outlineLevel="0" collapsed="false">
      <c r="B17" s="42" t="n">
        <v>14</v>
      </c>
      <c r="C17" s="43" t="n">
        <f aca="false">INPUTS!$C$7+13</f>
        <v>68</v>
      </c>
      <c r="D17" s="44" t="n">
        <f aca="false">D16*(1+INPUTS!$C$23)</f>
        <v>75818.107466885</v>
      </c>
      <c r="E17" s="44" t="n">
        <f aca="false">MIN(D17-INPUTS!$C$24,H16)</f>
        <v>9601.53455154814</v>
      </c>
      <c r="F17" s="39" t="n">
        <v>0</v>
      </c>
      <c r="G17" s="45" t="n">
        <f aca="false">INPUTS!$C$24</f>
        <v>0</v>
      </c>
      <c r="H17" s="44" t="n">
        <f aca="false">MAX(0,D17-E17-F17-G17)</f>
        <v>66216.5729153368</v>
      </c>
      <c r="I17" s="44" t="n">
        <f aca="false">MAX(0,I16*(1+INPUTS!$C$28)-E17)</f>
        <v>145828.479283092</v>
      </c>
      <c r="J17" s="44" t="n">
        <f aca="false">J16*(1+INPUTS!$C$28)-F17</f>
        <v>362231.12768498</v>
      </c>
      <c r="K17" s="44" t="n">
        <f aca="false">K16*(1+INPUTS!$C$28)</f>
        <v>1569668.21996825</v>
      </c>
      <c r="L17" s="41" t="n">
        <f aca="false">I17+J17+K17</f>
        <v>2077727.82693632</v>
      </c>
    </row>
    <row r="18" customFormat="false" ht="18" hidden="false" customHeight="true" outlineLevel="0" collapsed="false">
      <c r="B18" s="36" t="n">
        <v>15</v>
      </c>
      <c r="C18" s="37" t="n">
        <f aca="false">INPUTS!$C$7+14</f>
        <v>69</v>
      </c>
      <c r="D18" s="38" t="n">
        <f aca="false">D17*(1+INPUTS!$C$23)</f>
        <v>77713.5601535571</v>
      </c>
      <c r="E18" s="38" t="n">
        <f aca="false">MIN(D18-INPUTS!$C$24,H17)</f>
        <v>66216.5729153368</v>
      </c>
      <c r="F18" s="39" t="n">
        <v>0</v>
      </c>
      <c r="G18" s="40" t="n">
        <f aca="false">INPUTS!$C$24</f>
        <v>0</v>
      </c>
      <c r="H18" s="38" t="n">
        <f aca="false">MAX(0,D18-E18-F18-G18)</f>
        <v>11496.9872382203</v>
      </c>
      <c r="I18" s="38" t="n">
        <f aca="false">MAX(0,I17*(1+INPUTS!$C$28)-E18)</f>
        <v>89090.7575211558</v>
      </c>
      <c r="J18" s="38" t="n">
        <f aca="false">J17*(1+INPUTS!$C$28)-F18</f>
        <v>385776.150984504</v>
      </c>
      <c r="K18" s="38" t="n">
        <f aca="false">K17*(1+INPUTS!$C$28)</f>
        <v>1671696.65426618</v>
      </c>
      <c r="L18" s="41" t="n">
        <f aca="false">I18+J18+K18</f>
        <v>2146563.56277184</v>
      </c>
    </row>
    <row r="19" customFormat="false" ht="18" hidden="false" customHeight="true" outlineLevel="0" collapsed="false">
      <c r="B19" s="42" t="n">
        <v>16</v>
      </c>
      <c r="C19" s="43" t="n">
        <f aca="false">INPUTS!$C$7+15</f>
        <v>70</v>
      </c>
      <c r="D19" s="44" t="n">
        <f aca="false">D18*(1+INPUTS!$C$23)</f>
        <v>79656.399157396</v>
      </c>
      <c r="E19" s="44" t="n">
        <f aca="false">MIN(D19-INPUTS!$C$24,H18)</f>
        <v>11496.9872382203</v>
      </c>
      <c r="F19" s="39" t="n">
        <v>0</v>
      </c>
      <c r="G19" s="45" t="n">
        <f aca="false">INPUTS!$C$24</f>
        <v>0</v>
      </c>
      <c r="H19" s="44" t="n">
        <f aca="false">MAX(0,D19-E19-F19-G19)</f>
        <v>68159.4119191758</v>
      </c>
      <c r="I19" s="44" t="n">
        <f aca="false">MAX(0,I18*(1+INPUTS!$C$28)-E19)</f>
        <v>83384.6695218106</v>
      </c>
      <c r="J19" s="44" t="n">
        <f aca="false">J18*(1+INPUTS!$C$28)-F19</f>
        <v>410851.600798497</v>
      </c>
      <c r="K19" s="44" t="n">
        <f aca="false">K18*(1+INPUTS!$C$28)</f>
        <v>1780356.93679349</v>
      </c>
      <c r="L19" s="41" t="n">
        <f aca="false">I19+J19+K19</f>
        <v>2274593.20711379</v>
      </c>
    </row>
    <row r="20" customFormat="false" ht="18" hidden="false" customHeight="true" outlineLevel="0" collapsed="false">
      <c r="B20" s="36" t="n">
        <v>17</v>
      </c>
      <c r="C20" s="37" t="n">
        <f aca="false">INPUTS!$C$7+16</f>
        <v>71</v>
      </c>
      <c r="D20" s="38" t="n">
        <f aca="false">D19*(1+INPUTS!$C$23)</f>
        <v>81647.8091363309</v>
      </c>
      <c r="E20" s="38" t="n">
        <f aca="false">MIN(D20-INPUTS!$C$24,H19)</f>
        <v>68159.4119191758</v>
      </c>
      <c r="F20" s="39" t="n">
        <v>0</v>
      </c>
      <c r="G20" s="40" t="n">
        <f aca="false">INPUTS!$C$24</f>
        <v>0</v>
      </c>
      <c r="H20" s="38" t="n">
        <f aca="false">MAX(0,D20-E20-F20-G20)</f>
        <v>13488.3972171552</v>
      </c>
      <c r="I20" s="38" t="n">
        <f aca="false">MAX(0,I19*(1+INPUTS!$C$28)-E20)</f>
        <v>20645.2611215525</v>
      </c>
      <c r="J20" s="38" t="n">
        <f aca="false">J19*(1+INPUTS!$C$28)-F20</f>
        <v>437556.954850399</v>
      </c>
      <c r="K20" s="38" t="n">
        <f aca="false">K19*(1+INPUTS!$C$28)</f>
        <v>1896080.13768506</v>
      </c>
      <c r="L20" s="41" t="n">
        <f aca="false">I20+J20+K20</f>
        <v>2354282.35365701</v>
      </c>
    </row>
    <row r="21" customFormat="false" ht="18" hidden="false" customHeight="true" outlineLevel="0" collapsed="false">
      <c r="B21" s="42" t="n">
        <v>18</v>
      </c>
      <c r="C21" s="43" t="n">
        <f aca="false">INPUTS!$C$7+17</f>
        <v>72</v>
      </c>
      <c r="D21" s="44" t="n">
        <f aca="false">D20*(1+INPUTS!$C$23)</f>
        <v>83689.0043647392</v>
      </c>
      <c r="E21" s="44" t="n">
        <f aca="false">MIN(D21-INPUTS!$C$24,H20)</f>
        <v>13488.3972171552</v>
      </c>
      <c r="F21" s="39" t="n">
        <v>0</v>
      </c>
      <c r="G21" s="45" t="n">
        <f aca="false">INPUTS!$C$24</f>
        <v>0</v>
      </c>
      <c r="H21" s="44" t="n">
        <f aca="false">MAX(0,D21-E21-F21-G21)</f>
        <v>70200.607147584</v>
      </c>
      <c r="I21" s="44" t="n">
        <f aca="false">MAX(0,I20*(1+INPUTS!$C$28)-E21)</f>
        <v>8498.8058772983</v>
      </c>
      <c r="J21" s="44" t="n">
        <f aca="false">J20*(1+INPUTS!$C$28)-F21</f>
        <v>465998.156915675</v>
      </c>
      <c r="K21" s="44" t="n">
        <f aca="false">K20*(1+INPUTS!$C$28)</f>
        <v>2019325.34663459</v>
      </c>
      <c r="L21" s="41" t="n">
        <f aca="false">I21+J21+K21</f>
        <v>2493822.30942756</v>
      </c>
    </row>
    <row r="22" customFormat="false" ht="18" hidden="false" customHeight="true" outlineLevel="0" collapsed="false">
      <c r="B22" s="36" t="n">
        <v>19</v>
      </c>
      <c r="C22" s="37" t="n">
        <f aca="false">INPUTS!$C$7+18</f>
        <v>73</v>
      </c>
      <c r="D22" s="38" t="n">
        <f aca="false">D21*(1+INPUTS!$C$23)</f>
        <v>85781.2294738577</v>
      </c>
      <c r="E22" s="38" t="n">
        <f aca="false">MIN(D22-INPUTS!$C$24,H21)</f>
        <v>70200.607147584</v>
      </c>
      <c r="F22" s="39" t="n">
        <v>0</v>
      </c>
      <c r="G22" s="40" t="n">
        <f aca="false">INPUTS!$C$24</f>
        <v>0</v>
      </c>
      <c r="H22" s="38" t="n">
        <f aca="false">MAX(0,D22-E22-F22-G22)</f>
        <v>15580.6223262736</v>
      </c>
      <c r="I22" s="38" t="n">
        <f aca="false">MAX(0,I21*(1+INPUTS!$C$28)-E22)</f>
        <v>0</v>
      </c>
      <c r="J22" s="38" t="n">
        <f aca="false">J21*(1+INPUTS!$C$28)-F22</f>
        <v>496288.037115194</v>
      </c>
      <c r="K22" s="38" t="n">
        <f aca="false">K21*(1+INPUTS!$C$28)</f>
        <v>2150581.49416584</v>
      </c>
      <c r="L22" s="41" t="n">
        <f aca="false">I22+J22+K22</f>
        <v>2646869.53128103</v>
      </c>
    </row>
    <row r="23" customFormat="false" ht="18" hidden="false" customHeight="true" outlineLevel="0" collapsed="false">
      <c r="B23" s="42" t="n">
        <v>20</v>
      </c>
      <c r="C23" s="43" t="n">
        <f aca="false">INPUTS!$C$7+19</f>
        <v>74</v>
      </c>
      <c r="D23" s="44" t="n">
        <f aca="false">D22*(1+INPUTS!$C$23)</f>
        <v>87925.7602107041</v>
      </c>
      <c r="E23" s="44" t="n">
        <f aca="false">MIN(D23-INPUTS!$C$24,H22)</f>
        <v>15580.6223262736</v>
      </c>
      <c r="F23" s="39" t="n">
        <v>0</v>
      </c>
      <c r="G23" s="45" t="n">
        <f aca="false">INPUTS!$C$24</f>
        <v>0</v>
      </c>
      <c r="H23" s="44" t="n">
        <f aca="false">MAX(0,D23-E23-F23-G23)</f>
        <v>72345.1378844305</v>
      </c>
      <c r="I23" s="44" t="n">
        <f aca="false">MAX(0,I22*(1+INPUTS!$C$28)-E23)</f>
        <v>0</v>
      </c>
      <c r="J23" s="44" t="n">
        <f aca="false">J22*(1+INPUTS!$C$28)-F23</f>
        <v>528546.759527681</v>
      </c>
      <c r="K23" s="44" t="n">
        <f aca="false">K22*(1+INPUTS!$C$28)</f>
        <v>2290369.29128662</v>
      </c>
      <c r="L23" s="41" t="n">
        <f aca="false">I23+J23+K23</f>
        <v>2818916.0508143</v>
      </c>
    </row>
  </sheetData>
  <mergeCells count="1">
    <mergeCell ref="B2:K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D3D52"/>
    <pageSetUpPr fitToPage="false"/>
  </sheetPr>
  <dimension ref="B2:F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0"/>
    <col collapsed="false" customWidth="true" hidden="false" outlineLevel="0" max="4" min="3" style="1" width="18"/>
    <col collapsed="false" customWidth="true" hidden="false" outlineLevel="0" max="5" min="5" style="1" width="22"/>
    <col collapsed="false" customWidth="true" hidden="false" outlineLevel="0" max="6" min="6" style="1" width="3"/>
  </cols>
  <sheetData>
    <row r="2" customFormat="false" ht="25.5" hidden="false" customHeight="true" outlineLevel="0" collapsed="false">
      <c r="B2" s="34" t="s">
        <v>82</v>
      </c>
      <c r="C2" s="34"/>
      <c r="D2" s="34"/>
      <c r="E2" s="34"/>
    </row>
    <row r="3" customFormat="false" ht="15" hidden="false" customHeight="true" outlineLevel="0" collapsed="false">
      <c r="B3" s="17" t="s">
        <v>83</v>
      </c>
      <c r="C3" s="17"/>
      <c r="D3" s="17"/>
      <c r="E3" s="17"/>
    </row>
    <row r="5" customFormat="false" ht="21.75" hidden="false" customHeight="true" outlineLevel="0" collapsed="false">
      <c r="B5" s="18" t="s">
        <v>84</v>
      </c>
      <c r="C5" s="18"/>
      <c r="D5" s="18"/>
    </row>
    <row r="6" customFormat="false" ht="15.75" hidden="false" customHeight="true" outlineLevel="0" collapsed="false">
      <c r="B6" s="46" t="s">
        <v>85</v>
      </c>
      <c r="C6" s="46" t="s">
        <v>86</v>
      </c>
      <c r="D6" s="46" t="s">
        <v>87</v>
      </c>
    </row>
    <row r="7" customFormat="false" ht="15.75" hidden="false" customHeight="true" outlineLevel="0" collapsed="false">
      <c r="B7" s="47" t="s">
        <v>88</v>
      </c>
      <c r="C7" s="48" t="n">
        <v>0</v>
      </c>
      <c r="D7" s="48" t="n">
        <v>23850</v>
      </c>
    </row>
    <row r="8" customFormat="false" ht="15.75" hidden="false" customHeight="true" outlineLevel="0" collapsed="false">
      <c r="B8" s="49" t="s">
        <v>89</v>
      </c>
      <c r="C8" s="50" t="n">
        <v>23850</v>
      </c>
      <c r="D8" s="50" t="n">
        <v>96950</v>
      </c>
    </row>
    <row r="9" customFormat="false" ht="15.75" hidden="false" customHeight="true" outlineLevel="0" collapsed="false">
      <c r="B9" s="47" t="s">
        <v>90</v>
      </c>
      <c r="C9" s="48" t="n">
        <v>96950</v>
      </c>
      <c r="D9" s="48" t="n">
        <v>206700</v>
      </c>
    </row>
    <row r="10" customFormat="false" ht="15.75" hidden="false" customHeight="true" outlineLevel="0" collapsed="false">
      <c r="B10" s="49" t="s">
        <v>91</v>
      </c>
      <c r="C10" s="50" t="n">
        <v>206700</v>
      </c>
      <c r="D10" s="50" t="n">
        <v>394600</v>
      </c>
    </row>
    <row r="11" customFormat="false" ht="15.75" hidden="false" customHeight="true" outlineLevel="0" collapsed="false">
      <c r="B11" s="47" t="s">
        <v>92</v>
      </c>
      <c r="C11" s="48" t="n">
        <v>394600</v>
      </c>
      <c r="D11" s="48" t="n">
        <v>501050</v>
      </c>
    </row>
    <row r="12" customFormat="false" ht="15.75" hidden="false" customHeight="true" outlineLevel="0" collapsed="false">
      <c r="B12" s="49" t="s">
        <v>93</v>
      </c>
      <c r="C12" s="50" t="n">
        <v>501050</v>
      </c>
      <c r="D12" s="50" t="n">
        <v>751600</v>
      </c>
    </row>
    <row r="13" customFormat="false" ht="15.75" hidden="false" customHeight="true" outlineLevel="0" collapsed="false">
      <c r="B13" s="47" t="s">
        <v>94</v>
      </c>
      <c r="C13" s="48" t="n">
        <v>751600</v>
      </c>
      <c r="D13" s="51" t="s">
        <v>95</v>
      </c>
    </row>
    <row r="17" customFormat="false" ht="21.75" hidden="false" customHeight="true" outlineLevel="0" collapsed="false">
      <c r="B17" s="23" t="s">
        <v>96</v>
      </c>
      <c r="C17" s="23"/>
      <c r="D17" s="23"/>
    </row>
    <row r="18" customFormat="false" ht="27.75" hidden="false" customHeight="true" outlineLevel="0" collapsed="false">
      <c r="B18" s="52" t="s">
        <v>71</v>
      </c>
      <c r="C18" s="52" t="s">
        <v>97</v>
      </c>
      <c r="D18" s="52" t="s">
        <v>98</v>
      </c>
      <c r="E18" s="52" t="s">
        <v>99</v>
      </c>
      <c r="F18" s="52" t="s">
        <v>100</v>
      </c>
    </row>
    <row r="19" customFormat="false" ht="18" hidden="false" customHeight="true" outlineLevel="0" collapsed="false">
      <c r="B19" s="36" t="n">
        <v>1</v>
      </c>
      <c r="C19" s="40" t="n">
        <f aca="false">BRIDGE!E4+BRIDGE!F4+INPUTS!$C$24</f>
        <v>55000</v>
      </c>
      <c r="D19" s="39" t="n">
        <v>29200</v>
      </c>
      <c r="E19" s="38" t="n">
        <f aca="false">MAX(0,C19-D19)</f>
        <v>25800</v>
      </c>
      <c r="F19" s="53" t="n">
        <f aca="false">IF(E19&lt;=23850,E19*0.1,IF(E19&lt;=96950,2385+(E19-23850)*0.12,IF(E19&lt;=206700,11142+(E19-96950)*0.22,2385+(E19-23850)*0.12)))</f>
        <v>2619</v>
      </c>
    </row>
    <row r="20" customFormat="false" ht="18" hidden="false" customHeight="true" outlineLevel="0" collapsed="false">
      <c r="B20" s="42" t="n">
        <v>2</v>
      </c>
      <c r="C20" s="45" t="n">
        <f aca="false">BRIDGE!E5+BRIDGE!F5+INPUTS!$C$24</f>
        <v>0</v>
      </c>
      <c r="D20" s="39" t="n">
        <v>29200</v>
      </c>
      <c r="E20" s="44" t="n">
        <f aca="false">MAX(0,C20-D20)</f>
        <v>0</v>
      </c>
      <c r="F20" s="54" t="n">
        <f aca="false">IF(E20&lt;=23850,E20*0.1,IF(E20&lt;=96950,2385+(E20-23850)*0.12,IF(E20&lt;=206700,11142+(E20-96950)*0.22,2385+(E20-23850)*0.12)))</f>
        <v>0</v>
      </c>
    </row>
    <row r="21" customFormat="false" ht="18" hidden="false" customHeight="true" outlineLevel="0" collapsed="false">
      <c r="B21" s="36" t="n">
        <v>3</v>
      </c>
      <c r="C21" s="40" t="n">
        <f aca="false">BRIDGE!E6+BRIDGE!F6+INPUTS!$C$24</f>
        <v>56375</v>
      </c>
      <c r="D21" s="39" t="n">
        <v>29200</v>
      </c>
      <c r="E21" s="38" t="n">
        <f aca="false">MAX(0,C21-D21)</f>
        <v>27175</v>
      </c>
      <c r="F21" s="53" t="n">
        <f aca="false">IF(E21&lt;=23850,E21*0.1,IF(E21&lt;=96950,2385+(E21-23850)*0.12,IF(E21&lt;=206700,11142+(E21-96950)*0.22,2385+(E21-23850)*0.12)))</f>
        <v>2784</v>
      </c>
    </row>
    <row r="22" customFormat="false" ht="18" hidden="false" customHeight="true" outlineLevel="0" collapsed="false">
      <c r="B22" s="42" t="n">
        <v>4</v>
      </c>
      <c r="C22" s="45" t="n">
        <f aca="false">BRIDGE!E7+BRIDGE!F7+INPUTS!$C$24</f>
        <v>1409.37499999999</v>
      </c>
      <c r="D22" s="39" t="n">
        <v>29200</v>
      </c>
      <c r="E22" s="44" t="n">
        <f aca="false">MAX(0,C22-D22)</f>
        <v>0</v>
      </c>
      <c r="F22" s="54" t="n">
        <f aca="false">IF(E22&lt;=23850,E22*0.1,IF(E22&lt;=96950,2385+(E22-23850)*0.12,IF(E22&lt;=206700,11142+(E22-96950)*0.22,2385+(E22-23850)*0.12)))</f>
        <v>0</v>
      </c>
    </row>
    <row r="23" customFormat="false" ht="18" hidden="false" customHeight="true" outlineLevel="0" collapsed="false">
      <c r="B23" s="36" t="n">
        <v>5</v>
      </c>
      <c r="C23" s="40" t="n">
        <f aca="false">BRIDGE!E8+BRIDGE!F8+INPUTS!$C$24</f>
        <v>57819.609375</v>
      </c>
      <c r="D23" s="39" t="n">
        <v>29200</v>
      </c>
      <c r="E23" s="38" t="n">
        <f aca="false">MAX(0,C23-D23)</f>
        <v>28619.609375</v>
      </c>
      <c r="F23" s="53" t="n">
        <f aca="false">IF(E23&lt;=23850,E23*0.1,IF(E23&lt;=96950,2385+(E23-23850)*0.12,IF(E23&lt;=206700,11142+(E23-96950)*0.22,2385+(E23-23850)*0.12)))</f>
        <v>2957.353125</v>
      </c>
    </row>
    <row r="24" customFormat="false" ht="18" hidden="false" customHeight="true" outlineLevel="0" collapsed="false">
      <c r="B24" s="42" t="n">
        <v>6</v>
      </c>
      <c r="C24" s="45" t="n">
        <f aca="false">BRIDGE!E9+BRIDGE!F9+INPUTS!$C$24</f>
        <v>2890.09960937499</v>
      </c>
      <c r="D24" s="39" t="n">
        <v>29200</v>
      </c>
      <c r="E24" s="44" t="n">
        <f aca="false">MAX(0,C24-D24)</f>
        <v>0</v>
      </c>
      <c r="F24" s="54" t="n">
        <f aca="false">IF(E24&lt;=23850,E24*0.1,IF(E24&lt;=96950,2385+(E24-23850)*0.12,IF(E24&lt;=206700,11142+(E24-96950)*0.22,2385+(E24-23850)*0.12)))</f>
        <v>0</v>
      </c>
    </row>
    <row r="25" customFormat="false" ht="18" hidden="false" customHeight="true" outlineLevel="0" collapsed="false">
      <c r="B25" s="36" t="n">
        <v>7</v>
      </c>
      <c r="C25" s="40" t="n">
        <f aca="false">BRIDGE!E10+BRIDGE!F10+INPUTS!$C$24</f>
        <v>59337.3520996094</v>
      </c>
      <c r="D25" s="39" t="n">
        <v>29200</v>
      </c>
      <c r="E25" s="38" t="n">
        <f aca="false">MAX(0,C25-D25)</f>
        <v>30137.3520996094</v>
      </c>
      <c r="F25" s="53" t="n">
        <f aca="false">IF(E25&lt;=23850,E25*0.1,IF(E25&lt;=96950,2385+(E25-23850)*0.12,IF(E25&lt;=206700,11142+(E25-96950)*0.22,2385+(E25-23850)*0.12)))</f>
        <v>3139.48225195312</v>
      </c>
    </row>
    <row r="26" customFormat="false" ht="18" hidden="false" customHeight="true" outlineLevel="0" collapsed="false">
      <c r="B26" s="42" t="n">
        <v>8</v>
      </c>
      <c r="C26" s="45" t="n">
        <f aca="false">BRIDGE!E11+BRIDGE!F11+INPUTS!$C$24</f>
        <v>4445.78590209959</v>
      </c>
      <c r="D26" s="39" t="n">
        <v>29200</v>
      </c>
      <c r="E26" s="44" t="n">
        <f aca="false">MAX(0,C26-D26)</f>
        <v>0</v>
      </c>
      <c r="F26" s="54" t="n">
        <f aca="false">IF(E26&lt;=23850,E26*0.1,IF(E26&lt;=96950,2385+(E26-23850)*0.12,IF(E26&lt;=206700,11142+(E26-96950)*0.22,2385+(E26-23850)*0.12)))</f>
        <v>0</v>
      </c>
    </row>
    <row r="27" customFormat="false" ht="18" hidden="false" customHeight="true" outlineLevel="0" collapsed="false">
      <c r="B27" s="36" t="n">
        <v>9</v>
      </c>
      <c r="C27" s="40" t="n">
        <f aca="false">BRIDGE!E12+BRIDGE!F12+INPUTS!$C$24</f>
        <v>60931.9305496521</v>
      </c>
      <c r="D27" s="39" t="n">
        <v>29200</v>
      </c>
      <c r="E27" s="38" t="n">
        <f aca="false">MAX(0,C27-D27)</f>
        <v>31731.9305496521</v>
      </c>
      <c r="F27" s="53" t="n">
        <f aca="false">IF(E27&lt;=23850,E27*0.1,IF(E27&lt;=96950,2385+(E27-23850)*0.12,IF(E27&lt;=206700,11142+(E27-96950)*0.22,2385+(E27-23850)*0.12)))</f>
        <v>3330.83166595825</v>
      </c>
    </row>
    <row r="28" customFormat="false" ht="18" hidden="false" customHeight="true" outlineLevel="0" collapsed="false">
      <c r="B28" s="42" t="n">
        <v>10</v>
      </c>
      <c r="C28" s="45" t="n">
        <f aca="false">BRIDGE!E13+BRIDGE!F13+INPUTS!$C$24</f>
        <v>6080.22881339337</v>
      </c>
      <c r="D28" s="39" t="n">
        <v>29200</v>
      </c>
      <c r="E28" s="44" t="n">
        <f aca="false">MAX(0,C28-D28)</f>
        <v>0</v>
      </c>
      <c r="F28" s="54" t="n">
        <f aca="false">IF(E28&lt;=23850,E28*0.1,IF(E28&lt;=96950,2385+(E28-23850)*0.12,IF(E28&lt;=206700,11142+(E28-96950)*0.22,2385+(E28-23850)*0.12)))</f>
        <v>0</v>
      </c>
    </row>
  </sheetData>
  <mergeCells count="4">
    <mergeCell ref="B2:E2"/>
    <mergeCell ref="B3:E3"/>
    <mergeCell ref="B5:D5"/>
    <mergeCell ref="B17:D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DD4BF"/>
    <pageSetUpPr fitToPage="false"/>
  </sheetPr>
  <dimension ref="B2:I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8"/>
    <col collapsed="false" customWidth="true" hidden="false" outlineLevel="0" max="3" min="3" style="1" width="14"/>
    <col collapsed="false" customWidth="true" hidden="false" outlineLevel="0" max="8" min="4" style="1" width="18"/>
    <col collapsed="false" customWidth="true" hidden="false" outlineLevel="0" max="9" min="9" style="1" width="3"/>
  </cols>
  <sheetData>
    <row r="2" customFormat="false" ht="25.5" hidden="false" customHeight="true" outlineLevel="0" collapsed="false">
      <c r="B2" s="34" t="s">
        <v>101</v>
      </c>
      <c r="C2" s="34"/>
      <c r="D2" s="34"/>
      <c r="E2" s="34"/>
      <c r="F2" s="34"/>
      <c r="G2" s="34"/>
      <c r="H2" s="34"/>
    </row>
    <row r="3" customFormat="false" ht="15" hidden="false" customHeight="true" outlineLevel="0" collapsed="false">
      <c r="B3" s="17" t="s">
        <v>102</v>
      </c>
      <c r="C3" s="17"/>
      <c r="D3" s="17"/>
      <c r="E3" s="17"/>
      <c r="F3" s="17"/>
      <c r="G3" s="17"/>
      <c r="H3" s="17"/>
    </row>
    <row r="5" customFormat="false" ht="36" hidden="false" customHeight="true" outlineLevel="0" collapsed="false">
      <c r="B5" s="55" t="s">
        <v>71</v>
      </c>
      <c r="C5" s="55" t="s">
        <v>72</v>
      </c>
      <c r="D5" s="55" t="s">
        <v>103</v>
      </c>
      <c r="E5" s="55" t="s">
        <v>104</v>
      </c>
      <c r="F5" s="55" t="s">
        <v>105</v>
      </c>
      <c r="G5" s="55" t="s">
        <v>106</v>
      </c>
      <c r="H5" s="55" t="s">
        <v>79</v>
      </c>
      <c r="I5" s="55" t="s">
        <v>107</v>
      </c>
    </row>
    <row r="6" customFormat="false" ht="18" hidden="false" customHeight="true" outlineLevel="0" collapsed="false">
      <c r="B6" s="36" t="n">
        <v>1</v>
      </c>
      <c r="C6" s="37" t="n">
        <f aca="false">INPUTS!$C$7+0</f>
        <v>55</v>
      </c>
      <c r="D6" s="40" t="n">
        <f aca="false">MAX(0,96950-'TAX ESTIMATE'!C19)</f>
        <v>41950</v>
      </c>
      <c r="E6" s="39" t="n">
        <v>0</v>
      </c>
      <c r="F6" s="38" t="n">
        <f aca="false">E6*0.12</f>
        <v>0</v>
      </c>
      <c r="G6" s="38" t="n">
        <f aca="false">E6-F6</f>
        <v>0</v>
      </c>
      <c r="H6" s="53" t="n">
        <f aca="false">INPUTS!$C$15+G6</f>
        <v>150000</v>
      </c>
      <c r="I6" s="56" t="s">
        <v>108</v>
      </c>
    </row>
    <row r="7" customFormat="false" ht="18" hidden="false" customHeight="true" outlineLevel="0" collapsed="false">
      <c r="B7" s="42" t="n">
        <v>2</v>
      </c>
      <c r="C7" s="43" t="n">
        <f aca="false">INPUTS!$C$7+1</f>
        <v>56</v>
      </c>
      <c r="D7" s="45" t="n">
        <f aca="false">MAX(0,96950-'TAX ESTIMATE'!C20)</f>
        <v>96950</v>
      </c>
      <c r="E7" s="39" t="n">
        <v>0</v>
      </c>
      <c r="F7" s="44" t="n">
        <f aca="false">E7*0.12</f>
        <v>0</v>
      </c>
      <c r="G7" s="44" t="n">
        <f aca="false">E7-F7</f>
        <v>0</v>
      </c>
      <c r="H7" s="54" t="n">
        <f aca="false">H6*(1+INPUTS!$C$28)+G7</f>
        <v>159750</v>
      </c>
      <c r="I7" s="57" t="s">
        <v>108</v>
      </c>
    </row>
    <row r="8" customFormat="false" ht="18" hidden="false" customHeight="true" outlineLevel="0" collapsed="false">
      <c r="B8" s="36" t="n">
        <v>3</v>
      </c>
      <c r="C8" s="37" t="n">
        <f aca="false">INPUTS!$C$7+2</f>
        <v>57</v>
      </c>
      <c r="D8" s="40" t="n">
        <f aca="false">MAX(0,96950-'TAX ESTIMATE'!C21)</f>
        <v>40575</v>
      </c>
      <c r="E8" s="39" t="n">
        <v>0</v>
      </c>
      <c r="F8" s="38" t="n">
        <f aca="false">E8*0.12</f>
        <v>0</v>
      </c>
      <c r="G8" s="38" t="n">
        <f aca="false">E8-F8</f>
        <v>0</v>
      </c>
      <c r="H8" s="53" t="n">
        <f aca="false">H7*(1+INPUTS!$C$28)+G8</f>
        <v>170133.75</v>
      </c>
      <c r="I8" s="56" t="s">
        <v>108</v>
      </c>
    </row>
    <row r="9" customFormat="false" ht="18" hidden="false" customHeight="true" outlineLevel="0" collapsed="false">
      <c r="B9" s="42" t="n">
        <v>4</v>
      </c>
      <c r="C9" s="43" t="n">
        <f aca="false">INPUTS!$C$7+3</f>
        <v>58</v>
      </c>
      <c r="D9" s="45" t="n">
        <f aca="false">MAX(0,96950-'TAX ESTIMATE'!C22)</f>
        <v>95540.625</v>
      </c>
      <c r="E9" s="39" t="n">
        <v>0</v>
      </c>
      <c r="F9" s="44" t="n">
        <f aca="false">E9*0.12</f>
        <v>0</v>
      </c>
      <c r="G9" s="44" t="n">
        <f aca="false">E9-F9</f>
        <v>0</v>
      </c>
      <c r="H9" s="54" t="n">
        <f aca="false">H8*(1+INPUTS!$C$28)+G9</f>
        <v>181192.44375</v>
      </c>
      <c r="I9" s="57" t="s">
        <v>108</v>
      </c>
    </row>
    <row r="10" customFormat="false" ht="18" hidden="false" customHeight="true" outlineLevel="0" collapsed="false">
      <c r="B10" s="36" t="n">
        <v>5</v>
      </c>
      <c r="C10" s="37" t="n">
        <f aca="false">INPUTS!$C$7+4</f>
        <v>59</v>
      </c>
      <c r="D10" s="40" t="n">
        <f aca="false">MAX(0,96950-'TAX ESTIMATE'!C23)</f>
        <v>39130.390625</v>
      </c>
      <c r="E10" s="39" t="n">
        <v>0</v>
      </c>
      <c r="F10" s="38" t="n">
        <f aca="false">E10*0.12</f>
        <v>0</v>
      </c>
      <c r="G10" s="38" t="n">
        <f aca="false">E10-F10</f>
        <v>0</v>
      </c>
      <c r="H10" s="53" t="n">
        <f aca="false">H9*(1+INPUTS!$C$28)+G10</f>
        <v>192969.95259375</v>
      </c>
      <c r="I10" s="56" t="s">
        <v>108</v>
      </c>
    </row>
    <row r="11" customFormat="false" ht="18" hidden="false" customHeight="true" outlineLevel="0" collapsed="false">
      <c r="B11" s="42" t="n">
        <v>6</v>
      </c>
      <c r="C11" s="43" t="n">
        <f aca="false">INPUTS!$C$7+5</f>
        <v>60</v>
      </c>
      <c r="D11" s="45" t="n">
        <f aca="false">MAX(0,96950-'TAX ESTIMATE'!C24)</f>
        <v>94059.900390625</v>
      </c>
      <c r="E11" s="39" t="n">
        <v>0</v>
      </c>
      <c r="F11" s="44" t="n">
        <f aca="false">E11*0.12</f>
        <v>0</v>
      </c>
      <c r="G11" s="44" t="n">
        <f aca="false">E11-F11</f>
        <v>0</v>
      </c>
      <c r="H11" s="54" t="n">
        <f aca="false">H10*(1+INPUTS!$C$28)+G11</f>
        <v>205512.999512344</v>
      </c>
      <c r="I11" s="58" t="n">
        <f aca="false">G6</f>
        <v>0</v>
      </c>
    </row>
    <row r="12" customFormat="false" ht="18" hidden="false" customHeight="true" outlineLevel="0" collapsed="false">
      <c r="B12" s="36" t="n">
        <v>7</v>
      </c>
      <c r="C12" s="37" t="n">
        <f aca="false">INPUTS!$C$7+6</f>
        <v>61</v>
      </c>
      <c r="D12" s="40" t="n">
        <f aca="false">MAX(0,96950-'TAX ESTIMATE'!C25)</f>
        <v>37612.6479003906</v>
      </c>
      <c r="E12" s="39" t="n">
        <v>0</v>
      </c>
      <c r="F12" s="38" t="n">
        <f aca="false">E12*0.12</f>
        <v>0</v>
      </c>
      <c r="G12" s="38" t="n">
        <f aca="false">E12-F12</f>
        <v>0</v>
      </c>
      <c r="H12" s="53" t="n">
        <f aca="false">H11*(1+INPUTS!$C$28)+G12</f>
        <v>218871.344480646</v>
      </c>
      <c r="I12" s="59" t="n">
        <f aca="false">G7</f>
        <v>0</v>
      </c>
    </row>
    <row r="13" customFormat="false" ht="18" hidden="false" customHeight="true" outlineLevel="0" collapsed="false">
      <c r="B13" s="42" t="n">
        <v>8</v>
      </c>
      <c r="C13" s="43" t="n">
        <f aca="false">INPUTS!$C$7+7</f>
        <v>62</v>
      </c>
      <c r="D13" s="45" t="n">
        <f aca="false">MAX(0,96950-'TAX ESTIMATE'!C26)</f>
        <v>92504.2140979004</v>
      </c>
      <c r="E13" s="39" t="n">
        <v>0</v>
      </c>
      <c r="F13" s="44" t="n">
        <f aca="false">E13*0.12</f>
        <v>0</v>
      </c>
      <c r="G13" s="44" t="n">
        <f aca="false">E13-F13</f>
        <v>0</v>
      </c>
      <c r="H13" s="54" t="n">
        <f aca="false">H12*(1+INPUTS!$C$28)+G13</f>
        <v>233097.981871888</v>
      </c>
      <c r="I13" s="58" t="n">
        <f aca="false">G8</f>
        <v>0</v>
      </c>
    </row>
    <row r="14" customFormat="false" ht="18" hidden="false" customHeight="true" outlineLevel="0" collapsed="false">
      <c r="B14" s="36" t="n">
        <v>9</v>
      </c>
      <c r="C14" s="37" t="n">
        <f aca="false">INPUTS!$C$7+8</f>
        <v>63</v>
      </c>
      <c r="D14" s="40" t="n">
        <f aca="false">MAX(0,96950-'TAX ESTIMATE'!C27)</f>
        <v>36018.0694503479</v>
      </c>
      <c r="E14" s="39" t="n">
        <v>0</v>
      </c>
      <c r="F14" s="38" t="n">
        <f aca="false">E14*0.12</f>
        <v>0</v>
      </c>
      <c r="G14" s="38" t="n">
        <f aca="false">E14-F14</f>
        <v>0</v>
      </c>
      <c r="H14" s="53" t="n">
        <f aca="false">H13*(1+INPUTS!$C$28)+G14</f>
        <v>248249.350693561</v>
      </c>
      <c r="I14" s="59" t="n">
        <f aca="false">G9</f>
        <v>0</v>
      </c>
    </row>
    <row r="15" customFormat="false" ht="18" hidden="false" customHeight="true" outlineLevel="0" collapsed="false">
      <c r="B15" s="42" t="n">
        <v>10</v>
      </c>
      <c r="C15" s="43" t="n">
        <f aca="false">INPUTS!$C$7+9</f>
        <v>64</v>
      </c>
      <c r="D15" s="45" t="n">
        <f aca="false">MAX(0,96950-'TAX ESTIMATE'!C28)</f>
        <v>90869.7711866066</v>
      </c>
      <c r="E15" s="39" t="n">
        <v>0</v>
      </c>
      <c r="F15" s="44" t="n">
        <f aca="false">E15*0.12</f>
        <v>0</v>
      </c>
      <c r="G15" s="44" t="n">
        <f aca="false">E15-F15</f>
        <v>0</v>
      </c>
      <c r="H15" s="54" t="n">
        <f aca="false">H14*(1+INPUTS!$C$28)+G15</f>
        <v>264385.558488642</v>
      </c>
      <c r="I15" s="58" t="n">
        <f aca="false">G10</f>
        <v>0</v>
      </c>
    </row>
    <row r="16" customFormat="false" ht="18" hidden="false" customHeight="true" outlineLevel="0" collapsed="false">
      <c r="B16" s="36" t="n">
        <v>11</v>
      </c>
      <c r="C16" s="37" t="n">
        <f aca="false">INPUTS!$C$7+10</f>
        <v>65</v>
      </c>
      <c r="D16" s="40" t="n">
        <f aca="false">MAX(0,96950-'TAX ESTIMATE'!C29)</f>
        <v>96950</v>
      </c>
      <c r="E16" s="39" t="n">
        <v>0</v>
      </c>
      <c r="F16" s="38" t="n">
        <f aca="false">E16*0.12</f>
        <v>0</v>
      </c>
      <c r="G16" s="38" t="n">
        <f aca="false">E16-F16</f>
        <v>0</v>
      </c>
      <c r="H16" s="53" t="n">
        <f aca="false">H15*(1+INPUTS!$C$28)+G16</f>
        <v>281570.619790404</v>
      </c>
      <c r="I16" s="59" t="n">
        <f aca="false">G11</f>
        <v>0</v>
      </c>
    </row>
    <row r="17" customFormat="false" ht="18" hidden="false" customHeight="true" outlineLevel="0" collapsed="false">
      <c r="B17" s="42" t="n">
        <v>12</v>
      </c>
      <c r="C17" s="43" t="n">
        <f aca="false">INPUTS!$C$7+11</f>
        <v>66</v>
      </c>
      <c r="D17" s="45" t="n">
        <f aca="false">MAX(0,96950-'TAX ESTIMATE'!C30)</f>
        <v>96950</v>
      </c>
      <c r="E17" s="39" t="n">
        <v>0</v>
      </c>
      <c r="F17" s="44" t="n">
        <f aca="false">E17*0.12</f>
        <v>0</v>
      </c>
      <c r="G17" s="44" t="n">
        <f aca="false">E17-F17</f>
        <v>0</v>
      </c>
      <c r="H17" s="54" t="n">
        <f aca="false">H16*(1+INPUTS!$C$28)+G17</f>
        <v>299872.71007678</v>
      </c>
      <c r="I17" s="58" t="n">
        <f aca="false">G12</f>
        <v>0</v>
      </c>
    </row>
    <row r="18" customFormat="false" ht="18" hidden="false" customHeight="true" outlineLevel="0" collapsed="false">
      <c r="B18" s="36" t="n">
        <v>13</v>
      </c>
      <c r="C18" s="37" t="n">
        <f aca="false">INPUTS!$C$7+12</f>
        <v>67</v>
      </c>
      <c r="D18" s="40" t="n">
        <f aca="false">MAX(0,96950-'TAX ESTIMATE'!C31)</f>
        <v>96950</v>
      </c>
      <c r="E18" s="39" t="n">
        <v>0</v>
      </c>
      <c r="F18" s="38" t="n">
        <f aca="false">E18*0.12</f>
        <v>0</v>
      </c>
      <c r="G18" s="38" t="n">
        <f aca="false">E18-F18</f>
        <v>0</v>
      </c>
      <c r="H18" s="53" t="n">
        <f aca="false">H17*(1+INPUTS!$C$28)+G18</f>
        <v>319364.436231771</v>
      </c>
      <c r="I18" s="59" t="n">
        <f aca="false">G13</f>
        <v>0</v>
      </c>
    </row>
    <row r="19" customFormat="false" ht="18" hidden="false" customHeight="true" outlineLevel="0" collapsed="false">
      <c r="B19" s="42" t="n">
        <v>14</v>
      </c>
      <c r="C19" s="43" t="n">
        <f aca="false">INPUTS!$C$7+13</f>
        <v>68</v>
      </c>
      <c r="D19" s="45" t="n">
        <f aca="false">MAX(0,96950-'TAX ESTIMATE'!C32)</f>
        <v>96950</v>
      </c>
      <c r="E19" s="39" t="n">
        <v>0</v>
      </c>
      <c r="F19" s="44" t="n">
        <f aca="false">E19*0.12</f>
        <v>0</v>
      </c>
      <c r="G19" s="44" t="n">
        <f aca="false">E19-F19</f>
        <v>0</v>
      </c>
      <c r="H19" s="54" t="n">
        <f aca="false">H18*(1+INPUTS!$C$28)+G19</f>
        <v>340123.124586836</v>
      </c>
      <c r="I19" s="58" t="n">
        <f aca="false">G14</f>
        <v>0</v>
      </c>
    </row>
    <row r="20" customFormat="false" ht="18" hidden="false" customHeight="true" outlineLevel="0" collapsed="false">
      <c r="B20" s="36" t="n">
        <v>15</v>
      </c>
      <c r="C20" s="37" t="n">
        <f aca="false">INPUTS!$C$7+14</f>
        <v>69</v>
      </c>
      <c r="D20" s="40" t="n">
        <f aca="false">MAX(0,96950-'TAX ESTIMATE'!C33)</f>
        <v>96950</v>
      </c>
      <c r="E20" s="39" t="n">
        <v>0</v>
      </c>
      <c r="F20" s="38" t="n">
        <f aca="false">E20*0.12</f>
        <v>0</v>
      </c>
      <c r="G20" s="38" t="n">
        <f aca="false">E20-F20</f>
        <v>0</v>
      </c>
      <c r="H20" s="53" t="n">
        <f aca="false">H19*(1+INPUTS!$C$28)+G20</f>
        <v>362231.12768498</v>
      </c>
      <c r="I20" s="59" t="n">
        <f aca="false">G15</f>
        <v>0</v>
      </c>
    </row>
  </sheetData>
  <mergeCells count="2">
    <mergeCell ref="B2:H2"/>
    <mergeCell ref="B3:H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ADE80"/>
    <pageSetUpPr fitToPage="false"/>
  </sheetPr>
  <dimension ref="B2:I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8"/>
    <col collapsed="false" customWidth="true" hidden="false" outlineLevel="0" max="3" min="3" style="1" width="12"/>
    <col collapsed="false" customWidth="true" hidden="false" outlineLevel="0" max="8" min="4" style="1" width="16"/>
    <col collapsed="false" customWidth="true" hidden="false" outlineLevel="0" max="9" min="9" style="1" width="3"/>
  </cols>
  <sheetData>
    <row r="2" customFormat="false" ht="25.5" hidden="false" customHeight="true" outlineLevel="0" collapsed="false">
      <c r="B2" s="34" t="s">
        <v>109</v>
      </c>
      <c r="C2" s="34"/>
      <c r="D2" s="34"/>
      <c r="E2" s="34"/>
      <c r="F2" s="34"/>
      <c r="G2" s="34"/>
      <c r="H2" s="34"/>
    </row>
    <row r="4" customFormat="false" ht="36" hidden="false" customHeight="true" outlineLevel="0" collapsed="false">
      <c r="B4" s="55" t="s">
        <v>71</v>
      </c>
      <c r="C4" s="55" t="s">
        <v>72</v>
      </c>
      <c r="D4" s="55" t="s">
        <v>110</v>
      </c>
      <c r="E4" s="55" t="s">
        <v>111</v>
      </c>
      <c r="F4" s="55" t="s">
        <v>112</v>
      </c>
      <c r="G4" s="55" t="s">
        <v>78</v>
      </c>
      <c r="H4" s="55" t="s">
        <v>80</v>
      </c>
      <c r="I4" s="55" t="s">
        <v>81</v>
      </c>
    </row>
    <row r="5" customFormat="false" ht="18" hidden="false" customHeight="true" outlineLevel="0" collapsed="false">
      <c r="B5" s="36" t="n">
        <v>1</v>
      </c>
      <c r="C5" s="60" t="n">
        <v>60</v>
      </c>
      <c r="D5" s="38" t="n">
        <f aca="false">INPUTS!$C$22*(1+INPUTS!$C$23)^(MAX(0,59.5-INPUTS!$C$7)+0)</f>
        <v>61463.8957770469</v>
      </c>
      <c r="E5" s="38" t="n">
        <f aca="false">IF(60&gt;=INPUTS!$C$8,INPUTS!$C$25*(1+INPUTS!$C$23)^(60-INPUTS!$C$8),0)</f>
        <v>0</v>
      </c>
      <c r="F5" s="38" t="n">
        <f aca="false">MAX(0,D5-E5-INPUTS!$C$24)</f>
        <v>61463.8957770469</v>
      </c>
      <c r="G5" s="38" t="n">
        <f aca="false">MAX(0,BRIDGE!I23*(1+INPUTS!$C$28)-F5)</f>
        <v>0</v>
      </c>
      <c r="H5" s="38" t="n">
        <f aca="false">BRIDGE!K23*(1+INPUTS!$C$28)</f>
        <v>2439243.29522025</v>
      </c>
      <c r="I5" s="53" t="n">
        <f aca="false">G5+H5</f>
        <v>2439243.29522025</v>
      </c>
    </row>
    <row r="6" customFormat="false" ht="18" hidden="false" customHeight="true" outlineLevel="0" collapsed="false">
      <c r="B6" s="42" t="n">
        <v>2</v>
      </c>
      <c r="C6" s="61" t="n">
        <v>61</v>
      </c>
      <c r="D6" s="44" t="n">
        <f aca="false">INPUTS!$C$22*(1+INPUTS!$C$23)^(MAX(0,59.5-INPUTS!$C$7)+1)</f>
        <v>63000.4931714731</v>
      </c>
      <c r="E6" s="44" t="n">
        <f aca="false">IF(61&gt;=INPUTS!$C$8,INPUTS!$C$25*(1+INPUTS!$C$23)^(61-INPUTS!$C$8),0)</f>
        <v>0</v>
      </c>
      <c r="F6" s="44" t="n">
        <f aca="false">MAX(0,D6-E6-INPUTS!$C$24)</f>
        <v>63000.4931714731</v>
      </c>
      <c r="G6" s="44" t="n">
        <f aca="false">MAX(0,G5*(1+INPUTS!$C$28)-F6)</f>
        <v>0</v>
      </c>
      <c r="H6" s="44" t="n">
        <f aca="false">MAX(0,H5*(1+INPUTS!$C$28)-MAX(0,F6-G5))</f>
        <v>2534793.61623809</v>
      </c>
      <c r="I6" s="54" t="n">
        <f aca="false">G6+H6</f>
        <v>2534793.61623809</v>
      </c>
    </row>
    <row r="7" customFormat="false" ht="18" hidden="false" customHeight="true" outlineLevel="0" collapsed="false">
      <c r="B7" s="36" t="n">
        <v>3</v>
      </c>
      <c r="C7" s="60" t="n">
        <v>62</v>
      </c>
      <c r="D7" s="38" t="n">
        <f aca="false">INPUTS!$C$22*(1+INPUTS!$C$23)^(MAX(0,59.5-INPUTS!$C$7)+2)</f>
        <v>64575.5055007599</v>
      </c>
      <c r="E7" s="38" t="n">
        <f aca="false">IF(62&gt;=INPUTS!$C$8,INPUTS!$C$25*(1+INPUTS!$C$23)^(62-INPUTS!$C$8),0)</f>
        <v>0</v>
      </c>
      <c r="F7" s="38" t="n">
        <f aca="false">MAX(0,D7-E7-INPUTS!$C$24)</f>
        <v>64575.5055007599</v>
      </c>
      <c r="G7" s="38" t="n">
        <f aca="false">MAX(0,G6*(1+INPUTS!$C$28)-F7)</f>
        <v>0</v>
      </c>
      <c r="H7" s="38" t="n">
        <f aca="false">MAX(0,H6*(1+INPUTS!$C$28)-MAX(0,F7-G6))</f>
        <v>2634979.69579281</v>
      </c>
      <c r="I7" s="53" t="n">
        <f aca="false">G7+H7</f>
        <v>2634979.69579281</v>
      </c>
    </row>
    <row r="8" customFormat="false" ht="18" hidden="false" customHeight="true" outlineLevel="0" collapsed="false">
      <c r="B8" s="42" t="n">
        <v>4</v>
      </c>
      <c r="C8" s="61" t="n">
        <v>63</v>
      </c>
      <c r="D8" s="44" t="n">
        <f aca="false">INPUTS!$C$22*(1+INPUTS!$C$23)^(MAX(0,59.5-INPUTS!$C$7)+3)</f>
        <v>66189.8931382789</v>
      </c>
      <c r="E8" s="44" t="n">
        <f aca="false">IF(63&gt;=INPUTS!$C$8,INPUTS!$C$25*(1+INPUTS!$C$23)^(63-INPUTS!$C$8),0)</f>
        <v>0</v>
      </c>
      <c r="F8" s="44" t="n">
        <f aca="false">MAX(0,D8-E8-INPUTS!$C$24)</f>
        <v>66189.8931382789</v>
      </c>
      <c r="G8" s="44" t="n">
        <f aca="false">MAX(0,G7*(1+INPUTS!$C$28)-F8)</f>
        <v>0</v>
      </c>
      <c r="H8" s="44" t="n">
        <f aca="false">MAX(0,H7*(1+INPUTS!$C$28)-MAX(0,F8-G7))</f>
        <v>2740063.48288106</v>
      </c>
      <c r="I8" s="54" t="n">
        <f aca="false">G8+H8</f>
        <v>2740063.48288106</v>
      </c>
    </row>
    <row r="9" customFormat="false" ht="18" hidden="false" customHeight="true" outlineLevel="0" collapsed="false">
      <c r="B9" s="36" t="n">
        <v>5</v>
      </c>
      <c r="C9" s="60" t="n">
        <v>64</v>
      </c>
      <c r="D9" s="38" t="n">
        <f aca="false">INPUTS!$C$22*(1+INPUTS!$C$23)^(MAX(0,59.5-INPUTS!$C$7)+4)</f>
        <v>67844.6404667359</v>
      </c>
      <c r="E9" s="38" t="n">
        <f aca="false">IF(64&gt;=INPUTS!$C$8,INPUTS!$C$25*(1+INPUTS!$C$23)^(64-INPUTS!$C$8),0)</f>
        <v>0</v>
      </c>
      <c r="F9" s="38" t="n">
        <f aca="false">MAX(0,D9-E9-INPUTS!$C$24)</f>
        <v>67844.6404667359</v>
      </c>
      <c r="G9" s="38" t="n">
        <f aca="false">MAX(0,G8*(1+INPUTS!$C$28)-F9)</f>
        <v>0</v>
      </c>
      <c r="H9" s="38" t="n">
        <f aca="false">MAX(0,H8*(1+INPUTS!$C$28)-MAX(0,F9-G8))</f>
        <v>2850322.96880159</v>
      </c>
      <c r="I9" s="53" t="n">
        <f aca="false">G9+H9</f>
        <v>2850322.96880159</v>
      </c>
    </row>
    <row r="10" customFormat="false" ht="18" hidden="false" customHeight="true" outlineLevel="0" collapsed="false">
      <c r="B10" s="42" t="n">
        <v>6</v>
      </c>
      <c r="C10" s="61" t="n">
        <v>65</v>
      </c>
      <c r="D10" s="44" t="n">
        <f aca="false">INPUTS!$C$22*(1+INPUTS!$C$23)^(MAX(0,59.5-INPUTS!$C$7)+5)</f>
        <v>69540.7564784043</v>
      </c>
      <c r="E10" s="44" t="n">
        <f aca="false">IF(65&gt;=INPUTS!$C$8,INPUTS!$C$25*(1+INPUTS!$C$23)^(65-INPUTS!$C$8),0)</f>
        <v>0</v>
      </c>
      <c r="F10" s="44" t="n">
        <f aca="false">MAX(0,D10-E10-INPUTS!$C$24)</f>
        <v>69540.7564784043</v>
      </c>
      <c r="G10" s="44" t="n">
        <f aca="false">MAX(0,G9*(1+INPUTS!$C$28)-F10)</f>
        <v>0</v>
      </c>
      <c r="H10" s="44" t="n">
        <f aca="false">MAX(0,H9*(1+INPUTS!$C$28)-MAX(0,F10-G9))</f>
        <v>2966053.20529529</v>
      </c>
      <c r="I10" s="54" t="n">
        <f aca="false">G10+H10</f>
        <v>2966053.20529529</v>
      </c>
    </row>
    <row r="11" customFormat="false" ht="18" hidden="false" customHeight="true" outlineLevel="0" collapsed="false">
      <c r="B11" s="36" t="n">
        <v>7</v>
      </c>
      <c r="C11" s="60" t="n">
        <v>66</v>
      </c>
      <c r="D11" s="38" t="n">
        <f aca="false">INPUTS!$C$22*(1+INPUTS!$C$23)^(MAX(0,59.5-INPUTS!$C$7)+6)</f>
        <v>71279.2753903644</v>
      </c>
      <c r="E11" s="38" t="n">
        <f aca="false">IF(66&gt;=INPUTS!$C$8,INPUTS!$C$25*(1+INPUTS!$C$23)^(66-INPUTS!$C$8),0)</f>
        <v>0</v>
      </c>
      <c r="F11" s="38" t="n">
        <f aca="false">MAX(0,D11-E11-INPUTS!$C$24)</f>
        <v>71279.2753903644</v>
      </c>
      <c r="G11" s="38" t="n">
        <f aca="false">MAX(0,G10*(1+INPUTS!$C$28)-F11)</f>
        <v>0</v>
      </c>
      <c r="H11" s="38" t="n">
        <f aca="false">MAX(0,H10*(1+INPUTS!$C$28)-MAX(0,F11-G10))</f>
        <v>3087567.38824912</v>
      </c>
      <c r="I11" s="53" t="n">
        <f aca="false">G11+H11</f>
        <v>3087567.38824912</v>
      </c>
    </row>
    <row r="12" customFormat="false" ht="18" hidden="false" customHeight="true" outlineLevel="0" collapsed="false">
      <c r="B12" s="42" t="n">
        <v>8</v>
      </c>
      <c r="C12" s="61" t="n">
        <v>67</v>
      </c>
      <c r="D12" s="44" t="n">
        <f aca="false">INPUTS!$C$22*(1+INPUTS!$C$23)^(MAX(0,59.5-INPUTS!$C$7)+7)</f>
        <v>73061.2572751235</v>
      </c>
      <c r="E12" s="44" t="n">
        <f aca="false">IF(67&gt;=INPUTS!$C$8,INPUTS!$C$25*(1+INPUTS!$C$23)^(67-INPUTS!$C$8),0)</f>
        <v>24000</v>
      </c>
      <c r="F12" s="44" t="n">
        <f aca="false">MAX(0,D12-E12-INPUTS!$C$24)</f>
        <v>49061.2572751235</v>
      </c>
      <c r="G12" s="44" t="n">
        <f aca="false">MAX(0,G11*(1+INPUTS!$C$28)-F12)</f>
        <v>0</v>
      </c>
      <c r="H12" s="44" t="n">
        <f aca="false">MAX(0,H11*(1+INPUTS!$C$28)-MAX(0,F12-G11))</f>
        <v>3239198.01121019</v>
      </c>
      <c r="I12" s="54" t="n">
        <f aca="false">G12+H12</f>
        <v>3239198.01121019</v>
      </c>
    </row>
    <row r="13" customFormat="false" ht="18" hidden="false" customHeight="true" outlineLevel="0" collapsed="false">
      <c r="B13" s="36" t="n">
        <v>9</v>
      </c>
      <c r="C13" s="60" t="n">
        <v>68</v>
      </c>
      <c r="D13" s="38" t="n">
        <f aca="false">INPUTS!$C$22*(1+INPUTS!$C$23)^(MAX(0,59.5-INPUTS!$C$7)+8)</f>
        <v>74887.7887070016</v>
      </c>
      <c r="E13" s="38" t="n">
        <f aca="false">IF(68&gt;=INPUTS!$C$8,INPUTS!$C$25*(1+INPUTS!$C$23)^(68-INPUTS!$C$8),0)</f>
        <v>24600</v>
      </c>
      <c r="F13" s="38" t="n">
        <f aca="false">MAX(0,D13-E13-INPUTS!$C$24)</f>
        <v>50287.7887070016</v>
      </c>
      <c r="G13" s="38" t="n">
        <f aca="false">MAX(0,G12*(1+INPUTS!$C$28)-F13)</f>
        <v>0</v>
      </c>
      <c r="H13" s="38" t="n">
        <f aca="false">MAX(0,H12*(1+INPUTS!$C$28)-MAX(0,F13-G12))</f>
        <v>3399458.09323185</v>
      </c>
      <c r="I13" s="53" t="n">
        <f aca="false">G13+H13</f>
        <v>3399458.09323185</v>
      </c>
    </row>
    <row r="14" customFormat="false" ht="18" hidden="false" customHeight="true" outlineLevel="0" collapsed="false">
      <c r="B14" s="42" t="n">
        <v>10</v>
      </c>
      <c r="C14" s="61" t="n">
        <v>69</v>
      </c>
      <c r="D14" s="44" t="n">
        <f aca="false">INPUTS!$C$22*(1+INPUTS!$C$23)^(MAX(0,59.5-INPUTS!$C$7)+9)</f>
        <v>76759.9834246766</v>
      </c>
      <c r="E14" s="44" t="n">
        <f aca="false">IF(69&gt;=INPUTS!$C$8,INPUTS!$C$25*(1+INPUTS!$C$23)^(69-INPUTS!$C$8),0)</f>
        <v>25215</v>
      </c>
      <c r="F14" s="44" t="n">
        <f aca="false">MAX(0,D14-E14-INPUTS!$C$24)</f>
        <v>51544.9834246766</v>
      </c>
      <c r="G14" s="44" t="n">
        <f aca="false">MAX(0,G13*(1+INPUTS!$C$28)-F14)</f>
        <v>0</v>
      </c>
      <c r="H14" s="44" t="n">
        <f aca="false">MAX(0,H13*(1+INPUTS!$C$28)-MAX(0,F14-G13))</f>
        <v>3568877.88586725</v>
      </c>
      <c r="I14" s="54" t="n">
        <f aca="false">G14+H14</f>
        <v>3568877.88586725</v>
      </c>
    </row>
    <row r="15" customFormat="false" ht="18" hidden="false" customHeight="true" outlineLevel="0" collapsed="false">
      <c r="B15" s="36" t="n">
        <v>11</v>
      </c>
      <c r="C15" s="60" t="n">
        <v>70</v>
      </c>
      <c r="D15" s="38" t="n">
        <f aca="false">INPUTS!$C$22*(1+INPUTS!$C$23)^(MAX(0,59.5-INPUTS!$C$7)+10)</f>
        <v>78678.9830102935</v>
      </c>
      <c r="E15" s="38" t="n">
        <f aca="false">IF(70&gt;=INPUTS!$C$8,INPUTS!$C$25*(1+INPUTS!$C$23)^(70-INPUTS!$C$8),0)</f>
        <v>25845.375</v>
      </c>
      <c r="F15" s="38" t="n">
        <f aca="false">MAX(0,D15-E15-INPUTS!$C$24)</f>
        <v>52833.6080102935</v>
      </c>
      <c r="G15" s="38" t="n">
        <f aca="false">MAX(0,G14*(1+INPUTS!$C$28)-F15)</f>
        <v>0</v>
      </c>
      <c r="H15" s="38" t="n">
        <f aca="false">MAX(0,H14*(1+INPUTS!$C$28)-MAX(0,F15-G14))</f>
        <v>3748021.34043832</v>
      </c>
      <c r="I15" s="53" t="n">
        <f aca="false">G15+H15</f>
        <v>3748021.34043832</v>
      </c>
    </row>
    <row r="16" customFormat="false" ht="18" hidden="false" customHeight="true" outlineLevel="0" collapsed="false">
      <c r="B16" s="42" t="n">
        <v>12</v>
      </c>
      <c r="C16" s="61" t="n">
        <v>71</v>
      </c>
      <c r="D16" s="44" t="n">
        <f aca="false">INPUTS!$C$22*(1+INPUTS!$C$23)^(MAX(0,59.5-INPUTS!$C$7)+11)</f>
        <v>80645.9575855508</v>
      </c>
      <c r="E16" s="44" t="n">
        <f aca="false">IF(71&gt;=INPUTS!$C$8,INPUTS!$C$25*(1+INPUTS!$C$23)^(71-INPUTS!$C$8),0)</f>
        <v>26491.509375</v>
      </c>
      <c r="F16" s="44" t="n">
        <f aca="false">MAX(0,D16-E16-INPUTS!$C$24)</f>
        <v>54154.4482105508</v>
      </c>
      <c r="G16" s="44" t="n">
        <f aca="false">MAX(0,G15*(1+INPUTS!$C$28)-F16)</f>
        <v>0</v>
      </c>
      <c r="H16" s="44" t="n">
        <f aca="false">MAX(0,H15*(1+INPUTS!$C$28)-MAX(0,F16-G15))</f>
        <v>3937488.27935626</v>
      </c>
      <c r="I16" s="54" t="n">
        <f aca="false">G16+H16</f>
        <v>3937488.27935626</v>
      </c>
    </row>
    <row r="17" customFormat="false" ht="18" hidden="false" customHeight="true" outlineLevel="0" collapsed="false">
      <c r="B17" s="36" t="n">
        <v>13</v>
      </c>
      <c r="C17" s="60" t="n">
        <v>72</v>
      </c>
      <c r="D17" s="38" t="n">
        <f aca="false">INPUTS!$C$22*(1+INPUTS!$C$23)^(MAX(0,59.5-INPUTS!$C$7)+12)</f>
        <v>82662.1065251896</v>
      </c>
      <c r="E17" s="38" t="n">
        <f aca="false">IF(72&gt;=INPUTS!$C$8,INPUTS!$C$25*(1+INPUTS!$C$23)^(72-INPUTS!$C$8),0)</f>
        <v>27153.797109375</v>
      </c>
      <c r="F17" s="38" t="n">
        <f aca="false">MAX(0,D17-E17-INPUTS!$C$24)</f>
        <v>55508.3094158146</v>
      </c>
      <c r="G17" s="38" t="n">
        <f aca="false">MAX(0,G16*(1+INPUTS!$C$28)-F17)</f>
        <v>0</v>
      </c>
      <c r="H17" s="38" t="n">
        <f aca="false">MAX(0,H16*(1+INPUTS!$C$28)-MAX(0,F17-G16))</f>
        <v>4137916.70809861</v>
      </c>
      <c r="I17" s="53" t="n">
        <f aca="false">G17+H17</f>
        <v>4137916.70809861</v>
      </c>
    </row>
    <row r="18" customFormat="false" ht="18" hidden="false" customHeight="true" outlineLevel="0" collapsed="false">
      <c r="B18" s="42" t="n">
        <v>14</v>
      </c>
      <c r="C18" s="61" t="n">
        <v>73</v>
      </c>
      <c r="D18" s="44" t="n">
        <f aca="false">INPUTS!$C$22*(1+INPUTS!$C$23)^(MAX(0,59.5-INPUTS!$C$7)+13)</f>
        <v>84728.6591883193</v>
      </c>
      <c r="E18" s="44" t="n">
        <f aca="false">IF(73&gt;=INPUTS!$C$8,INPUTS!$C$25*(1+INPUTS!$C$23)^(73-INPUTS!$C$8),0)</f>
        <v>27832.6420371094</v>
      </c>
      <c r="F18" s="44" t="n">
        <f aca="false">MAX(0,D18-E18-INPUTS!$C$24)</f>
        <v>56896.01715121</v>
      </c>
      <c r="G18" s="44" t="n">
        <f aca="false">MAX(0,G17*(1+INPUTS!$C$28)-F18)</f>
        <v>0</v>
      </c>
      <c r="H18" s="44" t="n">
        <f aca="false">MAX(0,H17*(1+INPUTS!$C$28)-MAX(0,F18-G17))</f>
        <v>4349985.27697381</v>
      </c>
      <c r="I18" s="54" t="n">
        <f aca="false">G18+H18</f>
        <v>4349985.27697381</v>
      </c>
    </row>
    <row r="19" customFormat="false" ht="18" hidden="false" customHeight="true" outlineLevel="0" collapsed="false">
      <c r="B19" s="36" t="n">
        <v>15</v>
      </c>
      <c r="C19" s="60" t="n">
        <v>74</v>
      </c>
      <c r="D19" s="38" t="n">
        <f aca="false">INPUTS!$C$22*(1+INPUTS!$C$23)^(MAX(0,59.5-INPUTS!$C$7)+14)</f>
        <v>86846.8756680273</v>
      </c>
      <c r="E19" s="38" t="n">
        <f aca="false">IF(74&gt;=INPUTS!$C$8,INPUTS!$C$25*(1+INPUTS!$C$23)^(74-INPUTS!$C$8),0)</f>
        <v>28528.4580880371</v>
      </c>
      <c r="F19" s="38" t="n">
        <f aca="false">MAX(0,D19-E19-INPUTS!$C$24)</f>
        <v>58318.4175799902</v>
      </c>
      <c r="G19" s="38" t="n">
        <f aca="false">MAX(0,G18*(1+INPUTS!$C$28)-F19)</f>
        <v>0</v>
      </c>
      <c r="H19" s="38" t="n">
        <f aca="false">MAX(0,H18*(1+INPUTS!$C$28)-MAX(0,F19-G18))</f>
        <v>4574415.90239711</v>
      </c>
      <c r="I19" s="53" t="n">
        <f aca="false">G19+H19</f>
        <v>4574415.90239711</v>
      </c>
    </row>
    <row r="20" customFormat="false" ht="18" hidden="false" customHeight="true" outlineLevel="0" collapsed="false">
      <c r="B20" s="42" t="n">
        <v>16</v>
      </c>
      <c r="C20" s="61" t="n">
        <v>75</v>
      </c>
      <c r="D20" s="44" t="n">
        <f aca="false">INPUTS!$C$22*(1+INPUTS!$C$23)^(MAX(0,59.5-INPUTS!$C$7)+15)</f>
        <v>89018.047559728</v>
      </c>
      <c r="E20" s="44" t="n">
        <f aca="false">IF(75&gt;=INPUTS!$C$8,INPUTS!$C$25*(1+INPUTS!$C$23)^(75-INPUTS!$C$8),0)</f>
        <v>29241.669540238</v>
      </c>
      <c r="F20" s="44" t="n">
        <f aca="false">MAX(0,D20-E20-INPUTS!$C$24)</f>
        <v>59776.3780194899</v>
      </c>
      <c r="G20" s="44" t="n">
        <f aca="false">MAX(0,G19*(1+INPUTS!$C$28)-F20)</f>
        <v>0</v>
      </c>
      <c r="H20" s="44" t="n">
        <f aca="false">MAX(0,H19*(1+INPUTS!$C$28)-MAX(0,F20-G19))</f>
        <v>4811976.55803344</v>
      </c>
      <c r="I20" s="54" t="n">
        <f aca="false">G20+H20</f>
        <v>4811976.55803344</v>
      </c>
    </row>
    <row r="21" customFormat="false" ht="18" hidden="false" customHeight="true" outlineLevel="0" collapsed="false">
      <c r="B21" s="36" t="n">
        <v>17</v>
      </c>
      <c r="C21" s="60" t="n">
        <v>76</v>
      </c>
      <c r="D21" s="38" t="n">
        <f aca="false">INPUTS!$C$22*(1+INPUTS!$C$23)^(MAX(0,59.5-INPUTS!$C$7)+16)</f>
        <v>91243.4987487212</v>
      </c>
      <c r="E21" s="38" t="n">
        <f aca="false">IF(76&gt;=INPUTS!$C$8,INPUTS!$C$25*(1+INPUTS!$C$23)^(76-INPUTS!$C$8),0)</f>
        <v>29972.711278744</v>
      </c>
      <c r="F21" s="38" t="n">
        <f aca="false">MAX(0,D21-E21-INPUTS!$C$24)</f>
        <v>61270.7874699772</v>
      </c>
      <c r="G21" s="38" t="n">
        <f aca="false">MAX(0,G20*(1+INPUTS!$C$28)-F21)</f>
        <v>0</v>
      </c>
      <c r="H21" s="38" t="n">
        <f aca="false">MAX(0,H20*(1+INPUTS!$C$28)-MAX(0,F21-G20))</f>
        <v>5063484.24683563</v>
      </c>
      <c r="I21" s="53" t="n">
        <f aca="false">G21+H21</f>
        <v>5063484.24683563</v>
      </c>
    </row>
    <row r="22" customFormat="false" ht="18" hidden="false" customHeight="true" outlineLevel="0" collapsed="false">
      <c r="B22" s="42" t="n">
        <v>18</v>
      </c>
      <c r="C22" s="61" t="n">
        <v>77</v>
      </c>
      <c r="D22" s="44" t="n">
        <f aca="false">INPUTS!$C$22*(1+INPUTS!$C$23)^(MAX(0,59.5-INPUTS!$C$7)+17)</f>
        <v>93524.5862174392</v>
      </c>
      <c r="E22" s="44" t="n">
        <f aca="false">IF(77&gt;=INPUTS!$C$8,INPUTS!$C$25*(1+INPUTS!$C$23)^(77-INPUTS!$C$8),0)</f>
        <v>30722.0290607126</v>
      </c>
      <c r="F22" s="44" t="n">
        <f aca="false">MAX(0,D22-E22-INPUTS!$C$24)</f>
        <v>62802.5571567266</v>
      </c>
      <c r="G22" s="44" t="n">
        <f aca="false">MAX(0,G21*(1+INPUTS!$C$28)-F22)</f>
        <v>0</v>
      </c>
      <c r="H22" s="44" t="n">
        <f aca="false">MAX(0,H21*(1+INPUTS!$C$28)-MAX(0,F22-G21))</f>
        <v>5329808.16572322</v>
      </c>
      <c r="I22" s="54" t="n">
        <f aca="false">G22+H22</f>
        <v>5329808.16572322</v>
      </c>
    </row>
    <row r="23" customFormat="false" ht="18" hidden="false" customHeight="true" outlineLevel="0" collapsed="false">
      <c r="B23" s="36" t="n">
        <v>19</v>
      </c>
      <c r="C23" s="60" t="n">
        <v>78</v>
      </c>
      <c r="D23" s="38" t="n">
        <f aca="false">INPUTS!$C$22*(1+INPUTS!$C$23)^(MAX(0,59.5-INPUTS!$C$7)+18)</f>
        <v>95862.7008728752</v>
      </c>
      <c r="E23" s="38" t="n">
        <f aca="false">IF(78&gt;=INPUTS!$C$8,INPUTS!$C$25*(1+INPUTS!$C$23)^(78-INPUTS!$C$8),0)</f>
        <v>31490.0797872304</v>
      </c>
      <c r="F23" s="38" t="n">
        <f aca="false">MAX(0,D23-E23-INPUTS!$C$24)</f>
        <v>64372.6210856448</v>
      </c>
      <c r="G23" s="38" t="n">
        <f aca="false">MAX(0,G22*(1+INPUTS!$C$28)-F23)</f>
        <v>0</v>
      </c>
      <c r="H23" s="38" t="n">
        <f aca="false">MAX(0,H22*(1+INPUTS!$C$28)-MAX(0,F23-G22))</f>
        <v>5611873.07540959</v>
      </c>
      <c r="I23" s="53" t="n">
        <f aca="false">G23+H23</f>
        <v>5611873.07540959</v>
      </c>
    </row>
    <row r="24" customFormat="false" ht="18" hidden="false" customHeight="true" outlineLevel="0" collapsed="false">
      <c r="B24" s="42" t="n">
        <v>20</v>
      </c>
      <c r="C24" s="61" t="n">
        <v>79</v>
      </c>
      <c r="D24" s="44" t="n">
        <f aca="false">INPUTS!$C$22*(1+INPUTS!$C$23)^(MAX(0,59.5-INPUTS!$C$7)+19)</f>
        <v>98259.268394697</v>
      </c>
      <c r="E24" s="44" t="n">
        <f aca="false">IF(79&gt;=INPUTS!$C$8,INPUTS!$C$25*(1+INPUTS!$C$23)^(79-INPUTS!$C$8),0)</f>
        <v>32277.3317819111</v>
      </c>
      <c r="F24" s="44" t="n">
        <f aca="false">MAX(0,D24-E24-INPUTS!$C$24)</f>
        <v>65981.9366127859</v>
      </c>
      <c r="G24" s="44" t="n">
        <f aca="false">MAX(0,G23*(1+INPUTS!$C$28)-F24)</f>
        <v>0</v>
      </c>
      <c r="H24" s="44" t="n">
        <f aca="false">MAX(0,H23*(1+INPUTS!$C$28)-MAX(0,F24-G23))</f>
        <v>5910662.88869842</v>
      </c>
      <c r="I24" s="54" t="n">
        <f aca="false">G24+H24</f>
        <v>5910662.88869842</v>
      </c>
    </row>
    <row r="25" customFormat="false" ht="18" hidden="false" customHeight="true" outlineLevel="0" collapsed="false">
      <c r="B25" s="36" t="n">
        <v>21</v>
      </c>
      <c r="C25" s="60" t="n">
        <v>80</v>
      </c>
      <c r="D25" s="38" t="n">
        <f aca="false">INPUTS!$C$22*(1+INPUTS!$C$23)^(MAX(0,59.5-INPUTS!$C$7)+20)</f>
        <v>100715.750104564</v>
      </c>
      <c r="E25" s="38" t="n">
        <f aca="false">IF(80&gt;=INPUTS!$C$8,INPUTS!$C$25*(1+INPUTS!$C$23)^(80-INPUTS!$C$8),0)</f>
        <v>33084.2650764589</v>
      </c>
      <c r="F25" s="38" t="n">
        <f aca="false">MAX(0,D25-E25-INPUTS!$C$24)</f>
        <v>67631.4850281055</v>
      </c>
      <c r="G25" s="38" t="n">
        <f aca="false">MAX(0,G24*(1+INPUTS!$C$28)-F25)</f>
        <v>0</v>
      </c>
      <c r="H25" s="38" t="n">
        <f aca="false">MAX(0,H24*(1+INPUTS!$C$28)-MAX(0,F25-G24))</f>
        <v>6227224.49143571</v>
      </c>
      <c r="I25" s="53" t="n">
        <f aca="false">G25+H25</f>
        <v>6227224.49143571</v>
      </c>
    </row>
    <row r="26" customFormat="false" ht="18" hidden="false" customHeight="true" outlineLevel="0" collapsed="false">
      <c r="B26" s="42" t="n">
        <v>22</v>
      </c>
      <c r="C26" s="61" t="n">
        <v>81</v>
      </c>
      <c r="D26" s="44" t="n">
        <f aca="false">INPUTS!$C$22*(1+INPUTS!$C$23)^(MAX(0,59.5-INPUTS!$C$7)+21)</f>
        <v>103233.643857179</v>
      </c>
      <c r="E26" s="44" t="n">
        <f aca="false">IF(81&gt;=INPUTS!$C$8,INPUTS!$C$25*(1+INPUTS!$C$23)^(81-INPUTS!$C$8),0)</f>
        <v>33911.3717033704</v>
      </c>
      <c r="F26" s="44" t="n">
        <f aca="false">MAX(0,D26-E26-INPUTS!$C$24)</f>
        <v>69322.2721538082</v>
      </c>
      <c r="G26" s="44" t="n">
        <f aca="false">MAX(0,G25*(1+INPUTS!$C$28)-F26)</f>
        <v>0</v>
      </c>
      <c r="H26" s="44" t="n">
        <f aca="false">MAX(0,H25*(1+INPUTS!$C$28)-MAX(0,F26-G25))</f>
        <v>6562671.81122523</v>
      </c>
      <c r="I26" s="54" t="n">
        <f aca="false">G26+H26</f>
        <v>6562671.81122523</v>
      </c>
    </row>
    <row r="27" customFormat="false" ht="18" hidden="false" customHeight="true" outlineLevel="0" collapsed="false">
      <c r="B27" s="36" t="n">
        <v>23</v>
      </c>
      <c r="C27" s="60" t="n">
        <v>82</v>
      </c>
      <c r="D27" s="38" t="n">
        <f aca="false">INPUTS!$C$22*(1+INPUTS!$C$23)^(MAX(0,59.5-INPUTS!$C$7)+22)</f>
        <v>105814.484953608</v>
      </c>
      <c r="E27" s="38" t="n">
        <f aca="false">IF(82&gt;=INPUTS!$C$8,INPUTS!$C$25*(1+INPUTS!$C$23)^(82-INPUTS!$C$8),0)</f>
        <v>34759.1559959546</v>
      </c>
      <c r="F27" s="38" t="n">
        <f aca="false">MAX(0,D27-E27-INPUTS!$C$24)</f>
        <v>71055.3289576534</v>
      </c>
      <c r="G27" s="38" t="n">
        <f aca="false">MAX(0,G26*(1+INPUTS!$C$28)-F27)</f>
        <v>0</v>
      </c>
      <c r="H27" s="38" t="n">
        <f aca="false">MAX(0,H26*(1+INPUTS!$C$28)-MAX(0,F27-G26))</f>
        <v>6918190.14999721</v>
      </c>
      <c r="I27" s="53" t="n">
        <f aca="false">G27+H27</f>
        <v>6918190.14999721</v>
      </c>
    </row>
    <row r="28" customFormat="false" ht="18" hidden="false" customHeight="true" outlineLevel="0" collapsed="false">
      <c r="B28" s="42" t="n">
        <v>24</v>
      </c>
      <c r="C28" s="61" t="n">
        <v>83</v>
      </c>
      <c r="D28" s="44" t="n">
        <f aca="false">INPUTS!$C$22*(1+INPUTS!$C$23)^(MAX(0,59.5-INPUTS!$C$7)+23)</f>
        <v>108459.847077448</v>
      </c>
      <c r="E28" s="44" t="n">
        <f aca="false">IF(83&gt;=INPUTS!$C$8,INPUTS!$C$25*(1+INPUTS!$C$23)^(83-INPUTS!$C$8),0)</f>
        <v>35628.1348958535</v>
      </c>
      <c r="F28" s="44" t="n">
        <f aca="false">MAX(0,D28-E28-INPUTS!$C$24)</f>
        <v>72831.7121815947</v>
      </c>
      <c r="G28" s="44" t="n">
        <f aca="false">MAX(0,G27*(1+INPUTS!$C$28)-F28)</f>
        <v>0</v>
      </c>
      <c r="H28" s="44" t="n">
        <f aca="false">MAX(0,H27*(1+INPUTS!$C$28)-MAX(0,F28-G27))</f>
        <v>7295040.79756544</v>
      </c>
      <c r="I28" s="54" t="n">
        <f aca="false">G28+H28</f>
        <v>7295040.79756544</v>
      </c>
    </row>
    <row r="29" customFormat="false" ht="18" hidden="false" customHeight="true" outlineLevel="0" collapsed="false">
      <c r="B29" s="36" t="n">
        <v>25</v>
      </c>
      <c r="C29" s="60" t="n">
        <v>84</v>
      </c>
      <c r="D29" s="38" t="n">
        <f aca="false">INPUTS!$C$22*(1+INPUTS!$C$23)^(MAX(0,59.5-INPUTS!$C$7)+24)</f>
        <v>111171.343254384</v>
      </c>
      <c r="E29" s="38" t="n">
        <f aca="false">IF(84&gt;=INPUTS!$C$8,INPUTS!$C$25*(1+INPUTS!$C$23)^(84-INPUTS!$C$8),0)</f>
        <v>36518.8382682498</v>
      </c>
      <c r="F29" s="38" t="n">
        <f aca="false">MAX(0,D29-E29-INPUTS!$C$24)</f>
        <v>74652.5049861346</v>
      </c>
      <c r="G29" s="38" t="n">
        <f aca="false">MAX(0,G28*(1+INPUTS!$C$28)-F29)</f>
        <v>0</v>
      </c>
      <c r="H29" s="38" t="n">
        <f aca="false">MAX(0,H28*(1+INPUTS!$C$28)-MAX(0,F29-G28))</f>
        <v>7694565.94442105</v>
      </c>
      <c r="I29" s="53" t="n">
        <f aca="false">G29+H29</f>
        <v>7694565.94442105</v>
      </c>
    </row>
    <row r="30" customFormat="false" ht="18" hidden="false" customHeight="true" outlineLevel="0" collapsed="false">
      <c r="B30" s="42" t="n">
        <v>26</v>
      </c>
      <c r="C30" s="61" t="n">
        <v>85</v>
      </c>
      <c r="D30" s="44" t="n">
        <f aca="false">INPUTS!$C$22*(1+INPUTS!$C$23)^(MAX(0,59.5-INPUTS!$C$7)+25)</f>
        <v>113950.626835744</v>
      </c>
      <c r="E30" s="44" t="n">
        <f aca="false">IF(85&gt;=INPUTS!$C$8,INPUTS!$C$25*(1+INPUTS!$C$23)^(85-INPUTS!$C$8),0)</f>
        <v>37431.8092249561</v>
      </c>
      <c r="F30" s="44" t="n">
        <f aca="false">MAX(0,D30-E30-INPUTS!$C$24)</f>
        <v>76518.8176107879</v>
      </c>
      <c r="G30" s="44" t="n">
        <f aca="false">MAX(0,G29*(1+INPUTS!$C$28)-F30)</f>
        <v>0</v>
      </c>
      <c r="H30" s="44" t="n">
        <f aca="false">MAX(0,H29*(1+INPUTS!$C$28)-MAX(0,F30-G29))</f>
        <v>8118193.91319763</v>
      </c>
      <c r="I30" s="54" t="n">
        <f aca="false">G30+H30</f>
        <v>8118193.91319763</v>
      </c>
    </row>
    <row r="31" customFormat="false" ht="18" hidden="false" customHeight="true" outlineLevel="0" collapsed="false">
      <c r="B31" s="36" t="n">
        <v>27</v>
      </c>
      <c r="C31" s="60" t="n">
        <v>86</v>
      </c>
      <c r="D31" s="38" t="n">
        <f aca="false">INPUTS!$C$22*(1+INPUTS!$C$23)^(MAX(0,59.5-INPUTS!$C$7)+26)</f>
        <v>116799.392506638</v>
      </c>
      <c r="E31" s="38" t="n">
        <f aca="false">IF(86&gt;=INPUTS!$C$8,INPUTS!$C$25*(1+INPUTS!$C$23)^(86-INPUTS!$C$8),0)</f>
        <v>38367.60445558</v>
      </c>
      <c r="F31" s="38" t="n">
        <f aca="false">MAX(0,D31-E31-INPUTS!$C$24)</f>
        <v>78431.7880510576</v>
      </c>
      <c r="G31" s="38" t="n">
        <f aca="false">MAX(0,G30*(1+INPUTS!$C$28)-F31)</f>
        <v>0</v>
      </c>
      <c r="H31" s="38" t="n">
        <f aca="false">MAX(0,H30*(1+INPUTS!$C$28)-MAX(0,F31-G30))</f>
        <v>8567444.72950442</v>
      </c>
      <c r="I31" s="53" t="n">
        <f aca="false">G31+H31</f>
        <v>8567444.72950442</v>
      </c>
    </row>
    <row r="32" customFormat="false" ht="18" hidden="false" customHeight="true" outlineLevel="0" collapsed="false">
      <c r="B32" s="42" t="n">
        <v>28</v>
      </c>
      <c r="C32" s="61" t="n">
        <v>87</v>
      </c>
      <c r="D32" s="44" t="n">
        <f aca="false">INPUTS!$C$22*(1+INPUTS!$C$23)^(MAX(0,59.5-INPUTS!$C$7)+27)</f>
        <v>119719.377319304</v>
      </c>
      <c r="E32" s="44" t="n">
        <f aca="false">IF(87&gt;=INPUTS!$C$8,INPUTS!$C$25*(1+INPUTS!$C$23)^(87-INPUTS!$C$8),0)</f>
        <v>39326.7945669695</v>
      </c>
      <c r="F32" s="44" t="n">
        <f aca="false">MAX(0,D32-E32-INPUTS!$C$24)</f>
        <v>80392.582752334</v>
      </c>
      <c r="G32" s="44" t="n">
        <f aca="false">MAX(0,G31*(1+INPUTS!$C$28)-F32)</f>
        <v>0</v>
      </c>
      <c r="H32" s="44" t="n">
        <f aca="false">MAX(0,H31*(1+INPUTS!$C$28)-MAX(0,F32-G31))</f>
        <v>9043936.05416988</v>
      </c>
      <c r="I32" s="54" t="n">
        <f aca="false">G32+H32</f>
        <v>9043936.05416988</v>
      </c>
    </row>
    <row r="33" customFormat="false" ht="18" hidden="false" customHeight="true" outlineLevel="0" collapsed="false">
      <c r="B33" s="36" t="n">
        <v>29</v>
      </c>
      <c r="C33" s="60" t="n">
        <v>88</v>
      </c>
      <c r="D33" s="38" t="n">
        <f aca="false">INPUTS!$C$22*(1+INPUTS!$C$23)^(MAX(0,59.5-INPUTS!$C$7)+28)</f>
        <v>122712.361752286</v>
      </c>
      <c r="E33" s="38" t="n">
        <f aca="false">IF(88&gt;=INPUTS!$C$8,INPUTS!$C$25*(1+INPUTS!$C$23)^(88-INPUTS!$C$8),0)</f>
        <v>40309.9644311437</v>
      </c>
      <c r="F33" s="38" t="n">
        <f aca="false">MAX(0,D33-E33-INPUTS!$C$24)</f>
        <v>82402.3973211424</v>
      </c>
      <c r="G33" s="38" t="n">
        <f aca="false">MAX(0,G32*(1+INPUTS!$C$28)-F33)</f>
        <v>0</v>
      </c>
      <c r="H33" s="38" t="n">
        <f aca="false">MAX(0,H32*(1+INPUTS!$C$28)-MAX(0,F33-G32))</f>
        <v>9549389.50036977</v>
      </c>
      <c r="I33" s="53" t="n">
        <f aca="false">G33+H33</f>
        <v>9549389.50036977</v>
      </c>
    </row>
    <row r="34" customFormat="false" ht="18" hidden="false" customHeight="true" outlineLevel="0" collapsed="false">
      <c r="B34" s="42" t="n">
        <v>30</v>
      </c>
      <c r="C34" s="61" t="n">
        <v>89</v>
      </c>
      <c r="D34" s="44" t="n">
        <f aca="false">INPUTS!$C$22*(1+INPUTS!$C$23)^(MAX(0,59.5-INPUTS!$C$7)+29)</f>
        <v>125780.170796093</v>
      </c>
      <c r="E34" s="44" t="n">
        <f aca="false">IF(89&gt;=INPUTS!$C$8,INPUTS!$C$25*(1+INPUTS!$C$23)^(89-INPUTS!$C$8),0)</f>
        <v>41317.7135419223</v>
      </c>
      <c r="F34" s="44" t="n">
        <f aca="false">MAX(0,D34-E34-INPUTS!$C$24)</f>
        <v>84462.4572541709</v>
      </c>
      <c r="G34" s="44" t="n">
        <f aca="false">MAX(0,G33*(1+INPUTS!$C$28)-F34)</f>
        <v>0</v>
      </c>
      <c r="H34" s="44" t="n">
        <f aca="false">MAX(0,H33*(1+INPUTS!$C$28)-MAX(0,F34-G33))</f>
        <v>10085637.3606396</v>
      </c>
      <c r="I34" s="54" t="n">
        <f aca="false">G34+H34</f>
        <v>10085637.3606396</v>
      </c>
    </row>
    <row r="35" customFormat="false" ht="18" hidden="false" customHeight="true" outlineLevel="0" collapsed="false">
      <c r="B35" s="36" t="n">
        <v>31</v>
      </c>
      <c r="C35" s="60" t="n">
        <v>90</v>
      </c>
      <c r="D35" s="38" t="n">
        <f aca="false">INPUTS!$C$22*(1+INPUTS!$C$23)^(MAX(0,59.5-INPUTS!$C$7)+30)</f>
        <v>128924.675065996</v>
      </c>
      <c r="E35" s="38" t="n">
        <f aca="false">IF(90&gt;=INPUTS!$C$8,INPUTS!$C$25*(1+INPUTS!$C$23)^(90-INPUTS!$C$8),0)</f>
        <v>42350.6563804703</v>
      </c>
      <c r="F35" s="38" t="n">
        <f aca="false">MAX(0,D35-E35-INPUTS!$C$24)</f>
        <v>86574.0186855252</v>
      </c>
      <c r="G35" s="38" t="n">
        <f aca="false">MAX(0,G34*(1+INPUTS!$C$28)-F35)</f>
        <v>0</v>
      </c>
      <c r="H35" s="38" t="n">
        <f aca="false">MAX(0,H34*(1+INPUTS!$C$28)-MAX(0,F35-G34))</f>
        <v>10654629.7703957</v>
      </c>
      <c r="I35" s="53" t="n">
        <f aca="false">G35+H35</f>
        <v>10654629.7703957</v>
      </c>
    </row>
  </sheetData>
  <mergeCells count="1">
    <mergeCell ref="B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87171"/>
    <pageSetUpPr fitToPage="false"/>
  </sheetPr>
  <dimension ref="B2:D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8"/>
    <col collapsed="false" customWidth="true" hidden="false" outlineLevel="0" max="3" min="3" style="1" width="18"/>
    <col collapsed="false" customWidth="true" hidden="false" outlineLevel="0" max="4" min="4" style="1" width="36"/>
    <col collapsed="false" customWidth="true" hidden="false" outlineLevel="0" max="5" min="5" style="1" width="3"/>
  </cols>
  <sheetData>
    <row r="2" customFormat="false" ht="25.5" hidden="false" customHeight="true" outlineLevel="0" collapsed="false">
      <c r="B2" s="34" t="s">
        <v>113</v>
      </c>
      <c r="C2" s="34"/>
      <c r="D2" s="34"/>
    </row>
    <row r="3" customFormat="false" ht="15" hidden="false" customHeight="true" outlineLevel="0" collapsed="false">
      <c r="B3" s="17" t="s">
        <v>114</v>
      </c>
      <c r="C3" s="17"/>
      <c r="D3" s="17"/>
    </row>
    <row r="5" customFormat="false" ht="21.75" hidden="false" customHeight="true" outlineLevel="0" collapsed="false">
      <c r="B5" s="62" t="s">
        <v>115</v>
      </c>
      <c r="C5" s="62" t="s">
        <v>116</v>
      </c>
      <c r="D5" s="62" t="s">
        <v>117</v>
      </c>
    </row>
    <row r="6" customFormat="false" ht="27.75" hidden="false" customHeight="true" outlineLevel="0" collapsed="false">
      <c r="B6" s="63" t="s">
        <v>118</v>
      </c>
      <c r="C6" s="64" t="str">
        <f aca="false">IF(INPUTS!C34&gt;0.04,"⚠  HIGH RISK","✓  OK")</f>
        <v>⚠  HIGH RISK</v>
      </c>
      <c r="D6" s="65" t="str">
        <f aca="false">IF(INPUTS!C34&gt;0.04,"Withdrawal rate "&amp;TEXT(INPUTS!C34,"0.0%")&amp;" exceeds 4% rule. Consider reducing spending or delaying retirement.","Withdrawal rate "&amp;TEXT(INPUTS!C34,"0.0%")&amp;" is within safe range.")</f>
        <v>Withdrawal rate 4.5% exceeds 4% rule. Consider reducing spending or delaying retirement.</v>
      </c>
    </row>
    <row r="7" customFormat="false" ht="27.75" hidden="false" customHeight="true" outlineLevel="0" collapsed="false">
      <c r="B7" s="66" t="s">
        <v>119</v>
      </c>
      <c r="C7" s="67" t="str">
        <f aca="false">IF(INPUTS!C35&lt;1,"⚠  UNDERFUNDED","✓  FUNDED")</f>
        <v>✓  FUNDED</v>
      </c>
      <c r="D7" s="68" t="str">
        <f aca="false">IF(INPUTS!C35&lt;1,"Taxable account covers "&amp;TEXT(INPUTS!C35,"0%")&amp;" of bridge. Gap of $"&amp;TEXT(INPUTS!C22*INPUTS!C33-INPUTS!C13,"#,##0")&amp;". Consider 72(t) SEPP.","Taxable fully funds bridge years.")</f>
        <v>Taxable fully funds bridge years.</v>
      </c>
    </row>
    <row r="8" customFormat="false" ht="27.75" hidden="false" customHeight="true" outlineLevel="0" collapsed="false">
      <c r="B8" s="63" t="s">
        <v>120</v>
      </c>
      <c r="C8" s="64" t="str">
        <f aca="false">IF(INPUTS!C16&lt;INPUTS!C22,"⚠  LOW BUFFER","✓  OK")</f>
        <v>✓  OK</v>
      </c>
      <c r="D8" s="65" t="str">
        <f aca="false">IF(INPUTS!C16&lt;INPUTS!C22,"Cash buffer of $"&amp;TEXT(INPUTS!C16,"#,##0")&amp;" is less than 1 year of spending. Sequence-of-returns risk.","Cash buffer covers "&amp;TEXT(INPUTS!C16/INPUTS!C22,"0.0")&amp;" years of spending.")</f>
        <v>Cash buffer covers 1.4 years of spending.</v>
      </c>
    </row>
    <row r="9" customFormat="false" ht="27.75" hidden="false" customHeight="true" outlineLevel="0" collapsed="false">
      <c r="B9" s="66" t="s">
        <v>121</v>
      </c>
      <c r="C9" s="67" t="str">
        <f aca="false">IF(INPUTS!C22&gt;58000,"⚠  REVIEW ACA","✓  OK")</f>
        <v>✓  OK</v>
      </c>
      <c r="D9" s="68" t="str">
        <f aca="false">IF(INPUTS!C22&gt;58000,"Income may push past ACA cliff. Model MAGI carefully with Roth conversions.","Spending level suggests ACA subsidies likely available.")</f>
        <v>Spending level suggests ACA subsidies likely available.</v>
      </c>
    </row>
    <row r="10" customFormat="false" ht="27.75" hidden="false" customHeight="true" outlineLevel="0" collapsed="false">
      <c r="B10" s="63" t="s">
        <v>122</v>
      </c>
      <c r="C10" s="64" t="str">
        <f aca="false">IF(INPUTS!C8&lt;70,"💡  CONSIDER DELAY","✓  CLAIMING 70")</f>
        <v>💡  CONSIDER DELAY</v>
      </c>
      <c r="D10" s="65" t="str">
        <f aca="false">IF(INPUTS!C8&lt;70,"Delaying SS from "&amp;INPUTS!C8&amp;" to 70 adds "&amp;TEXT((70-INPUTS!C8)*0.08*INPUTS!C25,"$#,##0")&amp;"/yr. Model the breakeven.","Claiming at 70 maximizes lifetime SS benefit.")</f>
        <v>Delaying SS from 67 to 70 adds $5,760/yr. Model the breakeven.</v>
      </c>
    </row>
    <row r="11" customFormat="false" ht="27.75" hidden="false" customHeight="true" outlineLevel="0" collapsed="false">
      <c r="B11" s="66" t="s">
        <v>123</v>
      </c>
      <c r="C11" s="67" t="str">
        <f aca="false">IF(INPUTS!C22&gt;103000,"⚠  IRMAA RISK","✓  OK")</f>
        <v>✓  OK</v>
      </c>
      <c r="D11" s="68" t="str">
        <f aca="false">IF(INPUTS!C22&gt;103000,"Income above $103k triggers Medicare IRMAA surcharges at age 65+. Plan Roth conversions carefully.","Income below IRMAA threshold. Safe for Medicare planning.")</f>
        <v>Income below IRMAA threshold. Safe for Medicare planning.</v>
      </c>
    </row>
    <row r="12" customFormat="false" ht="27.75" hidden="false" customHeight="true" outlineLevel="0" collapsed="false">
      <c r="B12" s="63" t="s">
        <v>124</v>
      </c>
      <c r="C12" s="64" t="str">
        <f aca="false">IF('POST-59½'!I35&gt;0,"✓  FUNDED TO 90","⚠  SHORTFALL")</f>
        <v>✓  FUNDED TO 90</v>
      </c>
      <c r="D12" s="65" t="str">
        <f aca="false">IF('POST-59½'!I35&gt;0,"Portfolio projects to $"&amp;TEXT('POST-59½'!I35,"#,##0")&amp;" at age 90.","Portfolio depleted before age 90. Increase savings or reduce spending.")</f>
        <v>Portfolio projects to $10,654,630 at age 90.</v>
      </c>
    </row>
  </sheetData>
  <mergeCells count="2">
    <mergeCell ref="B2:D2"/>
    <mergeCell ref="B3:D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8B84B"/>
    <pageSetUpPr fitToPage="false"/>
  </sheetPr>
  <dimension ref="B2:H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0"/>
    <col collapsed="false" customWidth="true" hidden="false" outlineLevel="0" max="7" min="3" style="1" width="16"/>
    <col collapsed="false" customWidth="true" hidden="false" outlineLevel="0" max="8" min="8" style="1" width="3"/>
  </cols>
  <sheetData>
    <row r="2" customFormat="false" ht="25.5" hidden="false" customHeight="true" outlineLevel="0" collapsed="false">
      <c r="B2" s="34" t="s">
        <v>125</v>
      </c>
      <c r="C2" s="34"/>
      <c r="D2" s="34"/>
      <c r="E2" s="34"/>
      <c r="F2" s="34"/>
      <c r="G2" s="34"/>
    </row>
    <row r="4" customFormat="false" ht="21.75" hidden="false" customHeight="true" outlineLevel="0" collapsed="false">
      <c r="B4" s="55" t="s">
        <v>126</v>
      </c>
      <c r="C4" s="55" t="s">
        <v>127</v>
      </c>
      <c r="D4" s="55" t="s">
        <v>128</v>
      </c>
      <c r="E4" s="55" t="s">
        <v>129</v>
      </c>
      <c r="F4" s="55" t="s">
        <v>130</v>
      </c>
      <c r="G4" s="55" t="s">
        <v>131</v>
      </c>
      <c r="H4" s="55" t="s">
        <v>117</v>
      </c>
    </row>
    <row r="5" customFormat="false" ht="19.5" hidden="false" customHeight="true" outlineLevel="0" collapsed="false">
      <c r="B5" s="69" t="s">
        <v>132</v>
      </c>
      <c r="C5" s="70" t="n">
        <v>0.4</v>
      </c>
      <c r="D5" s="39" t="n">
        <v>0</v>
      </c>
      <c r="E5" s="71" t="n">
        <f aca="false">IFERROR(D5/SUM(D5:D10),0)</f>
        <v>0</v>
      </c>
      <c r="F5" s="72" t="n">
        <f aca="false">E5-C5</f>
        <v>-0.4</v>
      </c>
      <c r="G5" s="73" t="str">
        <f aca="false">IF(ABS(F5)&gt;0.05,IF(F5&gt;0,"TRIM — overweight","ADD — underweight"),"Hold")</f>
        <v>ADD — underweight</v>
      </c>
    </row>
    <row r="6" customFormat="false" ht="19.5" hidden="false" customHeight="true" outlineLevel="0" collapsed="false">
      <c r="B6" s="74" t="s">
        <v>133</v>
      </c>
      <c r="C6" s="70" t="n">
        <v>0.15</v>
      </c>
      <c r="D6" s="39" t="n">
        <v>0</v>
      </c>
      <c r="E6" s="75" t="n">
        <f aca="false">IFERROR(D6/SUM(D5:D10),0)</f>
        <v>0</v>
      </c>
      <c r="F6" s="76" t="n">
        <f aca="false">E6-C6</f>
        <v>-0.15</v>
      </c>
      <c r="G6" s="77" t="str">
        <f aca="false">IF(ABS(F6)&gt;0.05,IF(F6&gt;0,"TRIM — overweight","ADD — underweight"),"Hold")</f>
        <v>ADD — underweight</v>
      </c>
    </row>
    <row r="7" customFormat="false" ht="19.5" hidden="false" customHeight="true" outlineLevel="0" collapsed="false">
      <c r="B7" s="69" t="s">
        <v>134</v>
      </c>
      <c r="C7" s="70" t="n">
        <v>0.1</v>
      </c>
      <c r="D7" s="39" t="n">
        <v>0</v>
      </c>
      <c r="E7" s="71" t="n">
        <f aca="false">IFERROR(D7/SUM(D5:D10),0)</f>
        <v>0</v>
      </c>
      <c r="F7" s="72" t="n">
        <f aca="false">E7-C7</f>
        <v>-0.1</v>
      </c>
      <c r="G7" s="73" t="str">
        <f aca="false">IF(ABS(F7)&gt;0.05,IF(F7&gt;0,"TRIM — overweight","ADD — underweight"),"Hold")</f>
        <v>ADD — underweight</v>
      </c>
    </row>
    <row r="8" customFormat="false" ht="19.5" hidden="false" customHeight="true" outlineLevel="0" collapsed="false">
      <c r="B8" s="74" t="s">
        <v>135</v>
      </c>
      <c r="C8" s="70" t="n">
        <v>0.25</v>
      </c>
      <c r="D8" s="39" t="n">
        <v>0</v>
      </c>
      <c r="E8" s="75" t="n">
        <f aca="false">IFERROR(D8/SUM(D5:D10),0)</f>
        <v>0</v>
      </c>
      <c r="F8" s="76" t="n">
        <f aca="false">E8-C8</f>
        <v>-0.25</v>
      </c>
      <c r="G8" s="77" t="str">
        <f aca="false">IF(ABS(F8)&gt;0.05,IF(F8&gt;0,"TRIM — overweight","ADD — underweight"),"Hold")</f>
        <v>ADD — underweight</v>
      </c>
    </row>
    <row r="9" customFormat="false" ht="19.5" hidden="false" customHeight="true" outlineLevel="0" collapsed="false">
      <c r="B9" s="69" t="s">
        <v>136</v>
      </c>
      <c r="C9" s="70" t="n">
        <v>0.05</v>
      </c>
      <c r="D9" s="39" t="n">
        <v>0</v>
      </c>
      <c r="E9" s="71" t="n">
        <f aca="false">IFERROR(D9/SUM(D5:D10),0)</f>
        <v>0</v>
      </c>
      <c r="F9" s="72" t="n">
        <f aca="false">E9-C9</f>
        <v>-0.05</v>
      </c>
      <c r="G9" s="73" t="str">
        <f aca="false">IF(ABS(F9)&gt;0.05,IF(F9&gt;0,"TRIM — overweight","ADD — underweight"),"Hold")</f>
        <v>Hold</v>
      </c>
    </row>
    <row r="10" customFormat="false" ht="19.5" hidden="false" customHeight="true" outlineLevel="0" collapsed="false">
      <c r="B10" s="74" t="s">
        <v>137</v>
      </c>
      <c r="C10" s="70" t="n">
        <v>0.05</v>
      </c>
      <c r="D10" s="39" t="n">
        <v>0</v>
      </c>
      <c r="E10" s="75" t="n">
        <f aca="false">IFERROR(D10/SUM(D5:D10),0)</f>
        <v>0</v>
      </c>
      <c r="F10" s="76" t="n">
        <f aca="false">E10-C10</f>
        <v>-0.05</v>
      </c>
      <c r="G10" s="77" t="str">
        <f aca="false">IF(ABS(F10)&gt;0.05,IF(F10&gt;0,"TRIM — overweight","ADD — underweight"),"Hold")</f>
        <v>Hold</v>
      </c>
    </row>
    <row r="11" customFormat="false" ht="19.5" hidden="false" customHeight="true" outlineLevel="0" collapsed="false">
      <c r="B11" s="78" t="s">
        <v>138</v>
      </c>
      <c r="C11" s="79" t="n">
        <f aca="false">SUM(C5:C10)</f>
        <v>1</v>
      </c>
      <c r="D11" s="80" t="n">
        <f aca="false">SUM(D5:D10)</f>
        <v>0</v>
      </c>
    </row>
  </sheetData>
  <mergeCells count="1">
    <mergeCell ref="B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2026-02-25T18:05:02Z</dcterms:created>
  <dc:creator>openpyxl</dc:creator>
  <dc:description/>
  <dc:language>en-US</dc:language>
  <cp:lastModifiedBy/>
  <dcterms:modified xsi:type="dcterms:W3CDTF">2026-02-25T18:05:30Z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