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BRIDGE" sheetId="3" state="visible" r:id="rId5"/>
    <sheet name="TAX ESTIMATE" sheetId="4" state="visible" r:id="rId6"/>
    <sheet name="ROTH LADDER" sheetId="5" state="visible" r:id="rId7"/>
    <sheet name="POST-59.5" sheetId="6" state="visible" r:id="rId8"/>
    <sheet name="MONTE CARLO" sheetId="7" state="visible" r:id="rId9"/>
    <sheet name="RISK FLAGS" sheetId="8" state="visible" r:id="rId10"/>
    <sheet name="REBALANC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<sst xmlns="http://schemas.openxmlformats.org/spreadsheetml/2006/main" count="205" uniqueCount="199">
  <si>
    <t xml:space="preserve">BridgeToRetired</t>
  </si>
  <si>
    <t xml:space="preserve">PRO RETIREMENT BRIDGE PLANNER</t>
  </si>
  <si>
    <t xml:space="preserve">Version 3.0  ·  2026 Tax Year  ·  bridgetoretired.com</t>
  </si>
  <si>
    <t xml:space="preserve">WHAT'S INSIDE</t>
  </si>
  <si>
    <t xml:space="preserve">  INPUTS</t>
  </si>
  <si>
    <t xml:space="preserve">Ages, balances, spending, state, filing status — single entry point for all sheets</t>
  </si>
  <si>
    <t xml:space="preserve">  BRIDGE</t>
  </si>
  <si>
    <t xml:space="preserve">Year-by-year funding plan retirement → 59½ with Taxable → Roth → 401k cascade</t>
  </si>
  <si>
    <t xml:space="preserve">  TAX ESTIMATE</t>
  </si>
  <si>
    <t xml:space="preserve">Federal tax per bridge year — MFJ or Single brackets switchable in INPUTS</t>
  </si>
  <si>
    <t xml:space="preserve">  ROTH LADDER</t>
  </si>
  <si>
    <t xml:space="preserve">Optimal Roth conversions with 12% bracket space and ACA cliff cross-check per year</t>
  </si>
  <si>
    <t xml:space="preserve">  POST-59.5</t>
  </si>
  <si>
    <t xml:space="preserve">Portfolio projection 59½ → life expectancy with Social Security income modeled</t>
  </si>
  <si>
    <t xml:space="preserve">  MONTE CARLO</t>
  </si>
  <si>
    <t xml:space="preserve">200-scenario simulator — plan success rate across randomized return sequences</t>
  </si>
  <si>
    <t xml:space="preserve">  RISK FLAGS</t>
  </si>
  <si>
    <t xml:space="preserve">9 automated checks: withdrawal rate, ACA cliff, IRMAA, SS delay, Monte Carlo</t>
  </si>
  <si>
    <t xml:space="preserve">  REBALANCE</t>
  </si>
  <si>
    <t xml:space="preserve">Annual target vs actual allocation by asset class with drift alerts and signals</t>
  </si>
  <si>
    <t xml:space="preserve">COLOR CODING GUIDE</t>
  </si>
  <si>
    <t xml:space="preserve">  Blue text   = Input cells — change these to your numbers</t>
  </si>
  <si>
    <t xml:space="preserve">  Green text  = Linked from another sheet</t>
  </si>
  <si>
    <t xml:space="preserve">  Black text  = Formula / calculated — do not edit</t>
  </si>
  <si>
    <t xml:space="preserve">  Gold highlight = Key result or flag</t>
  </si>
  <si>
    <t xml:space="preserve">⚠  Not financial advice. For modeling purposes only. Consult a qualified fee-only advisor.</t>
  </si>
  <si>
    <t xml:space="preserve">RETIREMENT INPUTS</t>
  </si>
  <si>
    <t xml:space="preserve">Blue cells are inputs. Change any value — every sheet updates automatically.</t>
  </si>
  <si>
    <t xml:space="preserve">  PERSONAL</t>
  </si>
  <si>
    <t xml:space="preserve">PERSONAL</t>
  </si>
  <si>
    <t xml:space="preserve">  Current Age</t>
  </si>
  <si>
    <t xml:space="preserve">  Planned Retirement Age</t>
  </si>
  <si>
    <t xml:space="preserve">  Social Security Claiming Age</t>
  </si>
  <si>
    <t xml:space="preserve">62 / 67 / 70</t>
  </si>
  <si>
    <t xml:space="preserve">  Life Expectancy (planning age)</t>
  </si>
  <si>
    <t xml:space="preserve">Conservative = 90–95</t>
  </si>
  <si>
    <t xml:space="preserve">  Filing Status</t>
  </si>
  <si>
    <t xml:space="preserve">MFJ</t>
  </si>
  <si>
    <t xml:space="preserve">MFJ or Single — drives TAX ESTIMATE brackets</t>
  </si>
  <si>
    <t xml:space="preserve">  State of Residence</t>
  </si>
  <si>
    <t xml:space="preserve">TX</t>
  </si>
  <si>
    <t xml:space="preserve">No-tax states: AK FL NV NH SD TN TX WA WY</t>
  </si>
  <si>
    <t xml:space="preserve">  State Tax Rate (if any)</t>
  </si>
  <si>
    <t xml:space="preserve">0% for the 9 no-tax states; else your flat est.</t>
  </si>
  <si>
    <t xml:space="preserve">  First Projection Year</t>
  </si>
  <si>
    <t xml:space="preserve">  PORTFOLIO BALANCES</t>
  </si>
  <si>
    <t xml:space="preserve">PORTFOLIO BALANCES (TODAY)</t>
  </si>
  <si>
    <t xml:space="preserve">  Taxable Brokerage</t>
  </si>
  <si>
    <t xml:space="preserve">  Traditional 401k / IRA</t>
  </si>
  <si>
    <t xml:space="preserve">  Roth IRA / Roth 401k</t>
  </si>
  <si>
    <t xml:space="preserve">  Cash / Money Market</t>
  </si>
  <si>
    <t xml:space="preserve">Bridge buffer — counted in taxable cascade</t>
  </si>
  <si>
    <t xml:space="preserve">  SPENDING &amp; INCOME</t>
  </si>
  <si>
    <t xml:space="preserve">SPENDING &amp; INCOME</t>
  </si>
  <si>
    <t xml:space="preserve">  Annual Spending (today $)</t>
  </si>
  <si>
    <t xml:space="preserve">  Inflation Rate</t>
  </si>
  <si>
    <t xml:space="preserve">  RETURN ASSUMPTIONS</t>
  </si>
  <si>
    <t xml:space="preserve">Pension, rental, part-time during bridge</t>
  </si>
  <si>
    <t xml:space="preserve">  Estimated Social Security ($/yr today $)</t>
  </si>
  <si>
    <t xml:space="preserve">At claiming age</t>
  </si>
  <si>
    <t xml:space="preserve">RETURN ASSUMPTIONS</t>
  </si>
  <si>
    <t xml:space="preserve">  AUTO-CALCULATED</t>
  </si>
  <si>
    <t xml:space="preserve">  Portfolio Volatility (std dev)</t>
  </si>
  <si>
    <t xml:space="preserve">Used by MONTE CARLO. 60/40 ≈ 10–12%</t>
  </si>
  <si>
    <t xml:space="preserve">AUTO-CALCULATED</t>
  </si>
  <si>
    <t xml:space="preserve">  Bridge Length (years)</t>
  </si>
  <si>
    <t xml:space="preserve">  Withdrawal Rate</t>
  </si>
  <si>
    <t xml:space="preserve">  Std Deduction (2026)</t>
  </si>
  <si>
    <t xml:space="preserve">BRIDGE FUNDING PLAN  ·  Retirement to Age 59½</t>
  </si>
  <si>
    <t xml:space="preserve">Withdrawal cascade: Taxable+Cash first → Roth → 401k. Rows auto-blank past 59½.</t>
  </si>
  <si>
    <t xml:space="preserve">Year</t>
  </si>
  <si>
    <t xml:space="preserve">Age</t>
  </si>
  <si>
    <t xml:space="preserve">Spending (Inflated)</t>
  </si>
  <si>
    <t xml:space="preserve">Other Income</t>
  </si>
  <si>
    <t xml:space="preserve">Net Needed</t>
  </si>
  <si>
    <t xml:space="preserve">Taxable+Cash Start</t>
  </si>
  <si>
    <t xml:space="preserve">Roth Start</t>
  </si>
  <si>
    <t xml:space="preserve">401k Start</t>
  </si>
  <si>
    <t xml:space="preserve">From Taxable</t>
  </si>
  <si>
    <t xml:space="preserve">From Roth</t>
  </si>
  <si>
    <t xml:space="preserve">From 401k</t>
  </si>
  <si>
    <t xml:space="preserve">Taxable End</t>
  </si>
  <si>
    <t xml:space="preserve">Roth End</t>
  </si>
  <si>
    <t xml:space="preserve">401k End</t>
  </si>
  <si>
    <t xml:space="preserve">Total End</t>
  </si>
  <si>
    <t xml:space="preserve">END OF BRIDGE →</t>
  </si>
  <si>
    <t xml:space="preserve">FEDERAL TAX ESTIMATE  ·  Bridge Years</t>
  </si>
  <si>
    <t xml:space="preserve">  2026 BRACKETS (auto-switch via INPUTS Filing Status)</t>
  </si>
  <si>
    <t xml:space="preserve">Rate</t>
  </si>
  <si>
    <t xml:space="preserve">From</t>
  </si>
  <si>
    <t xml:space="preserve">To</t>
  </si>
  <si>
    <t xml:space="preserve">RateΔ</t>
  </si>
  <si>
    <t xml:space="preserve">  ESTIMATED TAX BY BRIDGE YEAR</t>
  </si>
  <si>
    <t xml:space="preserve">Income (401k+Roth conv.)</t>
  </si>
  <si>
    <t xml:space="preserve">Std Deduction</t>
  </si>
  <si>
    <t xml:space="preserve">Taxable Income</t>
  </si>
  <si>
    <t xml:space="preserve">Fed Tax</t>
  </si>
  <si>
    <t xml:space="preserve">State Tax</t>
  </si>
  <si>
    <t xml:space="preserve">Note</t>
  </si>
  <si>
    <t xml:space="preserve">ROTH CONVERSION LADDER  ·  5-Year Pipeline</t>
  </si>
  <si>
    <t xml:space="preserve">Suggested conversion = remaining 12% bracket space after bridge income. Each rung unlocks penalty-free after 5 years.</t>
  </si>
  <si>
    <t xml:space="preserve">ACA WARNING: conversions count toward MAGI. The cross-check below flags any year total MAGI exceeds the est. 400% FPL cliff (~$81,760 for 2-person household, 2026).</t>
  </si>
  <si>
    <t xml:space="preserve">12% Bracket Space Left</t>
  </si>
  <si>
    <t xml:space="preserve">Suggested Conversion</t>
  </si>
  <si>
    <t xml:space="preserve">Tax on Conv. (12%)</t>
  </si>
  <si>
    <t xml:space="preserve">MAGI (income+conv.)</t>
  </si>
  <si>
    <t xml:space="preserve">ACA Cliff Check</t>
  </si>
  <si>
    <t xml:space="preserve">Unlocks Penalty-Free</t>
  </si>
  <si>
    <t xml:space="preserve">Suggested Conversion = smaller of 12% bracket space and ACA cliff headroom ($81,760 MAGI). Overwrite any year to convert more — the cliff check (col G) will warn you of the subsidy cost.</t>
  </si>
  <si>
    <t xml:space="preserve">POST-59½ PROJECTION  ·  To Life Expectancy</t>
  </si>
  <si>
    <t xml:space="preserve">401k draws first, Roth preserved. Social Security (inflated) reduces withdrawals from claiming age.</t>
  </si>
  <si>
    <t xml:space="preserve">Spending (Infl.)</t>
  </si>
  <si>
    <t xml:space="preserve">SS Income</t>
  </si>
  <si>
    <t xml:space="preserve">Net Withdrawal</t>
  </si>
  <si>
    <t xml:space="preserve">401k+Taxable Bal.</t>
  </si>
  <si>
    <t xml:space="preserve">Roth Bal.</t>
  </si>
  <si>
    <t xml:space="preserve">BALANCE AT LIFE EXPECTANCY →</t>
  </si>
  <si>
    <t xml:space="preserve">MONTE CARLO SIMULATOR  ·  200 Randomized Return Sequences</t>
  </si>
  <si>
    <t xml:space="preserve">Each row = one possible retirement. Returns drawn from Normal(mean=INPUTS return, sd=INPUTS volatility). Press F9 / Ctrl+Shift+F9 to re-run.</t>
  </si>
  <si>
    <t xml:space="preserve">Net Withdrawal →</t>
  </si>
  <si>
    <t xml:space="preserve">Years active →</t>
  </si>
  <si>
    <t xml:space="preserve">Sim #</t>
  </si>
  <si>
    <t xml:space="preserve">Final Balance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</si>
  <si>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</si>
  <si>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</si>
  <si>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</si>
  <si>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</si>
  <si>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</si>
  <si>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</si>
  <si>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</si>
  <si>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</si>
  <si>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</si>
  <si>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</si>
  <si>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</si>
  <si>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</si>
  <si>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</si>
  <si>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</si>
  <si>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</si>
  <si>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</si>
  <si>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</si>
  <si>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</si>
  <si>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</si>
  <si>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</si>
  <si>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</si>
  <si>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</si>
  <si>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</si>
  <si>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</si>
  <si>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</si>
  <si>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</si>
  <si>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</si>
  <si>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</si>
  <si>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</si>
  <si>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</si>
  <si>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</si>
  <si>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</si>
  <si>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</si>
  <si>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</si>
  <si>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</si>
  <si>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</si>
  <si>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</si>
  <si>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</si>
  <si>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</si>
  <si>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</si>
  <si>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RESULTS</t>
  </si>
  <si>
    <t xml:space="preserve">Success Rate (money lasts to life expectancy)</t>
  </si>
  <si>
    <t xml:space="preserve">Median Final Balance</t>
  </si>
  <si>
    <t xml:space="preserve">10th Percentile (bad luck scenario)</t>
  </si>
  <si>
    <t xml:space="preserve">90th Percentile (good luck scenario)</t>
  </si>
  <si>
    <t xml:space="preserve">Guide: 90%+ success = robust. 75–90% = acceptable with flexibility. Below 75% = revisit spending or retirement age.</t>
  </si>
  <si>
    <t xml:space="preserve">AUTOMATED RISK FLAGS</t>
  </si>
  <si>
    <t xml:space="preserve">All flags pull live from BRIDGE, POST-59.5, ROTH LADDER and MONTE CARLO.</t>
  </si>
  <si>
    <t xml:space="preserve">Risk Check</t>
  </si>
  <si>
    <t xml:space="preserve">Status</t>
  </si>
  <si>
    <t xml:space="preserve">Detail</t>
  </si>
  <si>
    <t xml:space="preserve">  Withdrawal rate ≤ 4%?</t>
  </si>
  <si>
    <t xml:space="preserve">  Taxable funds entire bridge?</t>
  </si>
  <si>
    <t xml:space="preserve">  No 401k draws before 59½?</t>
  </si>
  <si>
    <t xml:space="preserve">  Cash buffer ≥ 1 year?</t>
  </si>
  <si>
    <t xml:space="preserve">  ACA cliff clear in all bridge years?</t>
  </si>
  <si>
    <t xml:space="preserve">  SS delay opportunity</t>
  </si>
  <si>
    <t xml:space="preserve">  IRMAA Medicare trigger?</t>
  </si>
  <si>
    <t xml:space="preserve">  Portfolio survives to life expectancy?</t>
  </si>
  <si>
    <t xml:space="preserve">  Monte Carlo success ≥ 80%?</t>
  </si>
  <si>
    <t xml:space="preserve">ANNUAL REBALANCE TRACKER</t>
  </si>
  <si>
    <t xml:space="preserve">Current Value column links to INPUTS balances — update the split below to match your actual holdings.</t>
  </si>
  <si>
    <t xml:space="preserve">Asset Class</t>
  </si>
  <si>
    <t xml:space="preserve">Target %</t>
  </si>
  <si>
    <t xml:space="preserve">Current Value</t>
  </si>
  <si>
    <t xml:space="preserve">Current %</t>
  </si>
  <si>
    <t xml:space="preserve">Drift</t>
  </si>
  <si>
    <t xml:space="preserve">Action</t>
  </si>
  <si>
    <t xml:space="preserve">  US Total Market</t>
  </si>
  <si>
    <t xml:space="preserve">  International</t>
  </si>
  <si>
    <t xml:space="preserve">  Small Cap Value</t>
  </si>
  <si>
    <t xml:space="preserve">  Bonds (Total)</t>
  </si>
  <si>
    <t xml:space="preserve">  Cash / MM</t>
  </si>
  <si>
    <t xml:space="preserve">  Real Estate (REIT)</t>
  </si>
  <si>
    <t xml:space="preserve">  TOTAL</t>
  </si>
  <si>
    <t xml:space="preserve">The default split is an estimate — overwrite Current Value cells with your real holdings for accurate drift.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</si>
</sst>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"/>
    <numFmt numFmtId="167" formatCode="0.0"/>
    <numFmt numFmtId="168" formatCode="General"/>
    <numFmt numFmtId="169" formatCode="0%"/>
    <numFmt numFmtId="170" formatCode="\$#,##0"/>
    <numFmt numFmtId="171" formatCode="#,##0"/>
    <numFmt numFmtId="172" formatCode="\+0.0%;\-0.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22"/>
      <color rgb="FFE8B84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8896A8"/>
      <name val="Calibri"/>
      <family val="0"/>
      <charset val="1"/>
    </font>
    <font>
      <sz val="10"/>
      <color rgb="FFC9A84C"/>
      <name val="Calibri"/>
      <family val="0"/>
      <charset val="1"/>
    </font>
    <font>
      <b val="true"/>
      <sz val="10"/>
      <color rgb="FF2D3D52"/>
      <name val="Calibri"/>
      <family val="0"/>
      <charset val="1"/>
    </font>
    <font>
      <sz val="9"/>
      <color rgb="FF444444"/>
      <name val="Calibri"/>
      <family val="0"/>
      <charset val="1"/>
    </font>
    <font>
      <sz val="9"/>
      <color rgb="FF1A5FBF"/>
      <name val="Calibri"/>
      <family val="0"/>
      <charset val="1"/>
    </font>
    <font>
      <sz val="9"/>
      <color rgb="FF16A34A"/>
      <name val="Calibri"/>
      <family val="0"/>
      <charset val="1"/>
    </font>
    <font>
      <sz val="9"/>
      <color rgb="FF333333"/>
      <name val="Calibri"/>
      <family val="0"/>
      <charset val="1"/>
    </font>
    <font>
      <sz val="9"/>
      <color rgb="FFC9A84C"/>
      <name val="Calibri"/>
      <family val="0"/>
      <charset val="1"/>
    </font>
    <font>
      <i val="true"/>
      <sz val="9"/>
      <color rgb="FF8896A8"/>
      <name val="Calibri"/>
      <family val="0"/>
      <charset val="1"/>
    </font>
    <font>
      <b val="true"/>
      <sz val="10"/>
      <color rgb="FFC9A84C"/>
      <name val="Calibri"/>
      <family val="0"/>
      <charset val="1"/>
    </font>
    <font>
      <sz val="10"/>
      <color rgb="FF2D3D52"/>
      <name val="Calibri"/>
      <family val="0"/>
      <charset val="1"/>
    </font>
    <font>
      <i val="true"/>
      <sz val="8"/>
      <color rgb="FF8896A8"/>
      <name val="Calibri"/>
      <family val="0"/>
      <charset val="1"/>
    </font>
    <font>
      <b val="true"/>
      <sz val="11"/>
      <color rgb="FF1A5FBF"/>
      <name val="Calibri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0"/>
      <color rgb="FF5B9BD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C9A84C"/>
      <name val="Calibri"/>
      <family val="0"/>
      <charset val="1"/>
    </font>
    <font>
      <sz val="9"/>
      <color rgb="FFFFFFFF"/>
      <name val="Arial"/>
      <family val="0"/>
      <charset val="1"/>
    </font>
    <font>
      <sz val="9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92400E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b val="true"/>
      <sz val="9"/>
      <color rgb="FF2D3D52"/>
      <name val="Calibri"/>
      <family val="0"/>
      <charset val="1"/>
    </font>
    <font>
      <sz val="8"/>
      <color rgb="FFAAAAAA"/>
      <name val="Arial"/>
      <family val="0"/>
      <charset val="1"/>
    </font>
    <font>
      <sz val="8"/>
      <color rgb="FF8896A8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FFFFFF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12"/>
      <color rgb="FFC9A84C"/>
      <name val="Calibri"/>
      <family val="0"/>
      <charset val="1"/>
    </font>
    <font>
      <b val="true"/>
      <sz val="14"/>
      <color rgb="FF16A34A"/>
      <name val="Calibri"/>
      <family val="0"/>
      <charset val="1"/>
    </font>
    <font>
      <b val="true"/>
      <sz val="10"/>
      <color rgb="FF0D1420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888888"/>
      <name val="Calibri"/>
      <family val="0"/>
      <charset val="1"/>
    </font>
    <font>
      <sz val="10"/>
      <color rgb="FF444444"/>
      <name val="Calibri"/>
      <family val="0"/>
      <charset val="1"/>
    </font>
    <font>
      <b val="true"/>
      <sz val="10"/>
      <color rgb="FF1A5FBF"/>
      <name val="Calibri"/>
      <family val="0"/>
      <charset val="1"/>
    </font>
    <font>
      <b val="true"/>
      <sz val="9"/>
      <color rgb="FFDC2626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420"/>
        <bgColor rgb="FF0F1A2E"/>
      </patternFill>
    </fill>
    <fill>
      <patternFill patternType="solid">
        <fgColor rgb="FFFFFFFF"/>
        <bgColor rgb="FFF8FAFC"/>
      </patternFill>
    </fill>
    <fill>
      <patternFill patternType="solid">
        <fgColor rgb="FFE8B84B"/>
        <bgColor rgb="FFC9A84C"/>
      </patternFill>
    </fill>
    <fill>
      <patternFill patternType="solid">
        <fgColor rgb="FFF0F4F8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F1A2E"/>
        <bgColor rgb="FF0D1420"/>
      </patternFill>
    </fill>
    <fill>
      <patternFill patternType="solid">
        <fgColor rgb="FF1A2840"/>
        <bgColor rgb="FF1E2A3A"/>
      </patternFill>
    </fill>
    <fill>
      <patternFill patternType="solid">
        <fgColor rgb="FFFFFBF0"/>
        <bgColor rgb="FFFFFBEB"/>
      </patternFill>
    </fill>
    <fill>
      <patternFill patternType="solid">
        <fgColor rgb="FF1E2A3A"/>
        <bgColor rgb="FF1A2840"/>
      </patternFill>
    </fill>
    <fill>
      <patternFill patternType="solid">
        <fgColor rgb="FFFEF3C7"/>
        <bgColor rgb="FFFFF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3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DC2626"/>
      </font>
      <fill>
        <patternFill>
          <bgColor rgb="FFFEF2F2"/>
        </patternFill>
      </fill>
    </dxf>
    <dxf>
      <font>
        <name val="Calibri"/>
        <charset val="1"/>
        <family val="0"/>
        <b val="1"/>
        <color rgb="FFD97706"/>
      </font>
      <fill>
        <patternFill>
          <bgColor rgb="FFFFFBEB"/>
        </patternFill>
      </fill>
    </dxf>
    <dxf>
      <font>
        <name val="Calibri"/>
        <charset val="1"/>
        <family val="0"/>
        <b val="1"/>
        <color rgb="FFC9A84C"/>
      </font>
      <fill>
        <patternFill>
          <bgColor rgb="FFFFFBEB"/>
        </patternFill>
      </fill>
    </dxf>
    <dxf>
      <font>
        <name val="Calibri"/>
        <charset val="1"/>
        <family val="0"/>
        <b val="1"/>
        <color rgb="FF16A34A"/>
      </font>
      <fill>
        <patternFill>
          <bgColor rgb="FFF0FDF4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D1420"/>
      <rgbColor rgb="FF808000"/>
      <rgbColor rgb="FF800080"/>
      <rgbColor rgb="FF008080"/>
      <rgbColor rgb="FFAAAAAA"/>
      <rgbColor rgb="FF888888"/>
      <rgbColor rgb="FF818CF8"/>
      <rgbColor rgb="FF444444"/>
      <rgbColor rgb="FFFEF3C7"/>
      <rgbColor rgb="FFF0FDF4"/>
      <rgbColor rgb="FF660066"/>
      <rgbColor rgb="FFF87171"/>
      <rgbColor rgb="FF1A5FBF"/>
      <rgbColor rgb="FFD1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ADE80"/>
      <rgbColor rgb="FFF0F4F8"/>
      <rgbColor rgb="FFF8FAFC"/>
      <rgbColor rgb="FFFFFBEB"/>
      <rgbColor rgb="FFFFFBF0"/>
      <rgbColor rgb="FFFF99CC"/>
      <rgbColor rgb="FFCC99FF"/>
      <rgbColor rgb="FFFEF2F2"/>
      <rgbColor rgb="FF5B9BD5"/>
      <rgbColor rgb="FF2DD4BF"/>
      <rgbColor rgb="FF99CC00"/>
      <rgbColor rgb="FFE8B84B"/>
      <rgbColor rgb="FFC9A84C"/>
      <rgbColor rgb="FFD97706"/>
      <rgbColor rgb="FF666666"/>
      <rgbColor rgb="FF8896A8"/>
      <rgbColor rgb="FF1A2840"/>
      <rgbColor rgb="FF16A34A"/>
      <rgbColor rgb="FF0F1A2E"/>
      <rgbColor rgb="FF1E2A3A"/>
      <rgbColor rgb="FF92400E"/>
      <rgbColor rgb="FF993366"/>
      <rgbColor rgb="FF2D3D5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60"/>
    <col collapsed="false" customWidth="true" hidden="false" outlineLevel="0" max="8" min="4" style="1" width="3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3"/>
      <c r="G1" s="4"/>
      <c r="H1" s="4"/>
    </row>
    <row r="2" customFormat="false" ht="9.75" hidden="false" customHeight="true" outlineLevel="0" collapsed="false">
      <c r="A2" s="2"/>
      <c r="B2" s="2"/>
      <c r="C2" s="2"/>
      <c r="D2" s="2"/>
      <c r="E2" s="2"/>
      <c r="F2" s="3"/>
      <c r="G2" s="4"/>
      <c r="H2" s="4"/>
    </row>
    <row r="3" customFormat="false" ht="33.75" hidden="false" customHeight="true" outlineLevel="0" collapsed="false">
      <c r="A3" s="2"/>
      <c r="B3" s="5" t="s">
        <v>0</v>
      </c>
      <c r="C3" s="2"/>
      <c r="D3" s="2"/>
      <c r="E3" s="2"/>
      <c r="F3" s="3"/>
      <c r="G3" s="4"/>
      <c r="H3" s="4"/>
    </row>
    <row r="4" customFormat="false" ht="27.75" hidden="false" customHeight="true" outlineLevel="0" collapsed="false">
      <c r="A4" s="2"/>
      <c r="B4" s="6" t="s">
        <v>1</v>
      </c>
      <c r="C4" s="2"/>
      <c r="D4" s="2"/>
      <c r="E4" s="2"/>
      <c r="F4" s="3"/>
      <c r="G4" s="4"/>
      <c r="H4" s="4"/>
    </row>
    <row r="5" customFormat="false" ht="18" hidden="false" customHeight="true" outlineLevel="0" collapsed="false">
      <c r="A5" s="2"/>
      <c r="B5" s="7" t="s">
        <v>2</v>
      </c>
      <c r="C5" s="2"/>
      <c r="D5" s="2"/>
      <c r="E5" s="2"/>
      <c r="F5" s="3"/>
      <c r="G5" s="4"/>
      <c r="H5" s="4"/>
    </row>
    <row r="6" customFormat="false" ht="7.5" hidden="false" customHeight="true" outlineLevel="0" collapsed="false">
      <c r="A6" s="2"/>
      <c r="B6" s="2"/>
      <c r="C6" s="2"/>
      <c r="D6" s="2"/>
      <c r="E6" s="2"/>
      <c r="F6" s="3"/>
      <c r="G6" s="4"/>
      <c r="H6" s="4"/>
    </row>
    <row r="7" customFormat="false" ht="4.5" hidden="false" customHeight="true" outlineLevel="0" collapsed="false">
      <c r="A7" s="8"/>
      <c r="B7" s="8"/>
      <c r="C7" s="8"/>
      <c r="D7" s="8"/>
      <c r="E7" s="8"/>
      <c r="F7" s="3"/>
      <c r="G7" s="4"/>
      <c r="H7" s="4"/>
    </row>
    <row r="8" customFormat="false" ht="12" hidden="false" customHeight="true" outlineLevel="0" collapsed="false">
      <c r="A8" s="2"/>
      <c r="B8" s="2"/>
      <c r="C8" s="2"/>
      <c r="D8" s="2"/>
      <c r="E8" s="2"/>
      <c r="F8" s="3"/>
      <c r="G8" s="4"/>
      <c r="H8" s="4"/>
    </row>
    <row r="9" customFormat="false" ht="15.75" hidden="false" customHeight="true" outlineLevel="0" collapsed="false">
      <c r="A9" s="3"/>
      <c r="B9" s="3"/>
      <c r="C9" s="3"/>
      <c r="D9" s="3"/>
      <c r="E9" s="3"/>
      <c r="F9" s="3"/>
      <c r="G9" s="4"/>
      <c r="H9" s="4"/>
    </row>
    <row r="10" customFormat="false" ht="27.75" hidden="false" customHeight="true" outlineLevel="0" collapsed="false">
      <c r="A10" s="3"/>
      <c r="B10" s="9" t="s">
        <v>3</v>
      </c>
      <c r="C10" s="3"/>
      <c r="D10" s="3"/>
      <c r="E10" s="3"/>
      <c r="F10" s="3"/>
      <c r="G10" s="4"/>
      <c r="H10" s="4"/>
    </row>
    <row r="11" customFormat="false" ht="21.75" hidden="false" customHeight="true" outlineLevel="0" collapsed="false">
      <c r="A11" s="3"/>
      <c r="B11" s="10" t="s">
        <v>4</v>
      </c>
      <c r="C11" s="11" t="s">
        <v>5</v>
      </c>
      <c r="D11" s="3"/>
      <c r="E11" s="3"/>
      <c r="F11" s="3"/>
      <c r="G11" s="4"/>
      <c r="H11" s="4"/>
    </row>
    <row r="12" customFormat="false" ht="21.75" hidden="false" customHeight="true" outlineLevel="0" collapsed="false">
      <c r="A12" s="3"/>
      <c r="B12" s="10" t="s">
        <v>6</v>
      </c>
      <c r="C12" s="11" t="s">
        <v>7</v>
      </c>
      <c r="D12" s="3"/>
      <c r="E12" s="3"/>
      <c r="F12" s="3"/>
      <c r="G12" s="4"/>
      <c r="H12" s="4"/>
    </row>
    <row r="13" customFormat="false" ht="21.75" hidden="false" customHeight="true" outlineLevel="0" collapsed="false">
      <c r="A13" s="3"/>
      <c r="B13" s="10" t="s">
        <v>8</v>
      </c>
      <c r="C13" s="11" t="s">
        <v>9</v>
      </c>
      <c r="D13" s="3"/>
      <c r="E13" s="3"/>
      <c r="F13" s="3"/>
      <c r="G13" s="4"/>
      <c r="H13" s="4"/>
    </row>
    <row r="14" customFormat="false" ht="21.75" hidden="false" customHeight="true" outlineLevel="0" collapsed="false">
      <c r="A14" s="3"/>
      <c r="B14" s="10" t="s">
        <v>10</v>
      </c>
      <c r="C14" s="11" t="s">
        <v>11</v>
      </c>
      <c r="D14" s="3"/>
      <c r="E14" s="3"/>
      <c r="F14" s="3"/>
      <c r="G14" s="4"/>
      <c r="H14" s="4"/>
    </row>
    <row r="15" customFormat="false" ht="21.75" hidden="false" customHeight="true" outlineLevel="0" collapsed="false">
      <c r="A15" s="3"/>
      <c r="B15" s="10" t="s">
        <v>12</v>
      </c>
      <c r="C15" s="11" t="s">
        <v>13</v>
      </c>
      <c r="D15" s="3"/>
      <c r="E15" s="3"/>
      <c r="F15" s="3"/>
      <c r="G15" s="4"/>
      <c r="H15" s="4"/>
    </row>
    <row r="16" customFormat="false" ht="21.75" hidden="false" customHeight="true" outlineLevel="0" collapsed="false">
      <c r="A16" s="3"/>
      <c r="B16" s="10" t="s">
        <v>14</v>
      </c>
      <c r="C16" s="11" t="s">
        <v>15</v>
      </c>
      <c r="D16" s="3"/>
      <c r="E16" s="3"/>
      <c r="F16" s="3"/>
      <c r="G16" s="4"/>
      <c r="H16" s="4"/>
    </row>
    <row r="17" customFormat="false" ht="21.75" hidden="false" customHeight="true" outlineLevel="0" collapsed="false">
      <c r="A17" s="3"/>
      <c r="B17" s="10" t="s">
        <v>16</v>
      </c>
      <c r="C17" s="11" t="s">
        <v>17</v>
      </c>
      <c r="D17" s="3"/>
      <c r="E17" s="3"/>
      <c r="F17" s="3"/>
      <c r="G17" s="4"/>
      <c r="H17" s="4"/>
    </row>
    <row r="18" customFormat="false" ht="21.75" hidden="false" customHeight="true" outlineLevel="0" collapsed="false">
      <c r="A18" s="3"/>
      <c r="B18" s="10" t="s">
        <v>18</v>
      </c>
      <c r="C18" s="11" t="s">
        <v>19</v>
      </c>
      <c r="D18" s="3"/>
      <c r="E18" s="3"/>
      <c r="F18" s="3"/>
      <c r="G18" s="4"/>
      <c r="H18" s="4"/>
    </row>
    <row r="19" customFormat="false" ht="13.5" hidden="false" customHeight="true" outlineLevel="0" collapsed="false">
      <c r="A19" s="3"/>
      <c r="B19" s="3"/>
      <c r="C19" s="3"/>
      <c r="D19" s="3"/>
      <c r="E19" s="3"/>
      <c r="F19" s="3"/>
      <c r="G19" s="4"/>
      <c r="H19" s="4"/>
    </row>
    <row r="20" customFormat="false" ht="25.5" hidden="false" customHeight="true" outlineLevel="0" collapsed="false">
      <c r="A20" s="3"/>
      <c r="B20" s="9" t="s">
        <v>20</v>
      </c>
      <c r="C20" s="3"/>
      <c r="D20" s="3"/>
      <c r="E20" s="3"/>
      <c r="F20" s="3"/>
      <c r="G20" s="4"/>
      <c r="H20" s="4"/>
    </row>
    <row r="21" customFormat="false" ht="6" hidden="false" customHeight="true" outlineLevel="0" collapsed="false">
      <c r="A21" s="3"/>
      <c r="B21" s="3"/>
      <c r="C21" s="3"/>
      <c r="D21" s="3"/>
      <c r="E21" s="3"/>
      <c r="F21" s="3"/>
      <c r="G21" s="4"/>
      <c r="H21" s="4"/>
    </row>
    <row r="22" customFormat="false" ht="18" hidden="false" customHeight="true" outlineLevel="0" collapsed="false">
      <c r="A22" s="3"/>
      <c r="B22" s="12" t="s">
        <v>21</v>
      </c>
      <c r="C22" s="3"/>
      <c r="D22" s="3"/>
      <c r="E22" s="3"/>
      <c r="F22" s="3"/>
      <c r="G22" s="4"/>
      <c r="H22" s="4"/>
    </row>
    <row r="23" customFormat="false" ht="18" hidden="false" customHeight="true" outlineLevel="0" collapsed="false">
      <c r="A23" s="3"/>
      <c r="B23" s="13" t="s">
        <v>22</v>
      </c>
      <c r="C23" s="3"/>
      <c r="D23" s="3"/>
      <c r="E23" s="3"/>
      <c r="F23" s="3"/>
      <c r="G23" s="4"/>
      <c r="H23" s="4"/>
    </row>
    <row r="24" customFormat="false" ht="18" hidden="false" customHeight="true" outlineLevel="0" collapsed="false">
      <c r="A24" s="3"/>
      <c r="B24" s="14" t="s">
        <v>23</v>
      </c>
      <c r="C24" s="3"/>
      <c r="D24" s="3"/>
      <c r="E24" s="3"/>
      <c r="F24" s="3"/>
      <c r="G24" s="4"/>
      <c r="H24" s="4"/>
    </row>
    <row r="25" customFormat="false" ht="18" hidden="false" customHeight="true" outlineLevel="0" collapsed="false">
      <c r="A25" s="3"/>
      <c r="B25" s="15" t="s">
        <v>24</v>
      </c>
      <c r="C25" s="3"/>
      <c r="D25" s="3"/>
      <c r="E25" s="3"/>
      <c r="F25" s="3"/>
      <c r="G25" s="4"/>
      <c r="H25" s="4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</row>
    <row r="27" customFormat="false" ht="18" hidden="false" customHeight="true" outlineLevel="0" collapsed="false">
      <c r="A27" s="3"/>
      <c r="B27" s="16" t="s">
        <v>25</v>
      </c>
      <c r="C27" s="3"/>
      <c r="D27" s="3"/>
      <c r="E27" s="3"/>
      <c r="F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420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46"/>
  </cols>
  <sheetData>
    <row r="1" customFormat="false" ht="33.75" hidden="false" customHeight="true" outlineLevel="0" collapsed="false">
      <c r="A1" s="17" t="s">
        <v>26</v>
      </c>
      <c r="B1" s="17"/>
      <c r="C1" s="17"/>
      <c r="D1" s="17"/>
      <c r="E1" s="18"/>
    </row>
    <row r="2" customFormat="false" ht="18" hidden="false" customHeight="true" outlineLevel="0" collapsed="false">
      <c r="A2" s="19" t="s">
        <v>27</v>
      </c>
      <c r="B2" s="20"/>
      <c r="C2" s="20"/>
      <c r="D2" s="20"/>
      <c r="E2" s="18"/>
    </row>
    <row r="3" customFormat="false" ht="24" hidden="false" customHeight="true" outlineLevel="0" collapsed="false">
      <c r="A3" s="21" t="s">
        <v>28</v>
      </c>
      <c r="B3" s="22"/>
      <c r="C3" s="22"/>
      <c r="D3" s="22"/>
      <c r="E3" s="18"/>
    </row>
    <row r="4" customFormat="false" ht="21.75" hidden="false" customHeight="true" outlineLevel="0" collapsed="false">
      <c r="A4" s="23" t="s">
        <v>29</v>
      </c>
      <c r="B4" s="24"/>
      <c r="C4" s="24"/>
      <c r="D4" s="25"/>
      <c r="E4" s="18"/>
    </row>
    <row r="5" customFormat="false" ht="21.75" hidden="false" customHeight="true" outlineLevel="0" collapsed="false">
      <c r="A5" s="26" t="s">
        <v>30</v>
      </c>
      <c r="B5" s="27" t="n">
        <v>52</v>
      </c>
      <c r="C5" s="28"/>
      <c r="D5" s="29"/>
      <c r="E5" s="18"/>
    </row>
    <row r="6" customFormat="false" ht="21.75" hidden="false" customHeight="true" outlineLevel="0" collapsed="false">
      <c r="A6" s="23" t="s">
        <v>31</v>
      </c>
      <c r="B6" s="27" t="n">
        <v>55</v>
      </c>
      <c r="C6" s="24"/>
      <c r="D6" s="25"/>
      <c r="E6" s="18"/>
    </row>
    <row r="7" customFormat="false" ht="21.75" hidden="false" customHeight="true" outlineLevel="0" collapsed="false">
      <c r="A7" s="26" t="s">
        <v>32</v>
      </c>
      <c r="B7" s="27" t="n">
        <v>67</v>
      </c>
      <c r="C7" s="28"/>
      <c r="D7" s="30" t="s">
        <v>33</v>
      </c>
      <c r="E7" s="18"/>
    </row>
    <row r="8" customFormat="false" ht="21.75" hidden="false" customHeight="true" outlineLevel="0" collapsed="false">
      <c r="A8" s="23" t="s">
        <v>34</v>
      </c>
      <c r="B8" s="27" t="n">
        <v>90</v>
      </c>
      <c r="C8" s="24"/>
      <c r="D8" s="31" t="s">
        <v>35</v>
      </c>
      <c r="E8" s="18"/>
    </row>
    <row r="9" customFormat="false" ht="21.75" hidden="false" customHeight="true" outlineLevel="0" collapsed="false">
      <c r="A9" s="26" t="s">
        <v>36</v>
      </c>
      <c r="B9" s="27" t="s">
        <v>37</v>
      </c>
      <c r="C9" s="28"/>
      <c r="D9" s="30" t="s">
        <v>38</v>
      </c>
      <c r="E9" s="18"/>
    </row>
    <row r="10" customFormat="false" ht="21.75" hidden="false" customHeight="true" outlineLevel="0" collapsed="false">
      <c r="A10" s="23" t="s">
        <v>39</v>
      </c>
      <c r="B10" s="27" t="s">
        <v>40</v>
      </c>
      <c r="C10" s="24"/>
      <c r="D10" s="31" t="s">
        <v>41</v>
      </c>
      <c r="E10" s="18"/>
    </row>
    <row r="11" customFormat="false" ht="21.75" hidden="false" customHeight="true" outlineLevel="0" collapsed="false">
      <c r="A11" s="26" t="s">
        <v>42</v>
      </c>
      <c r="B11" s="32" t="n">
        <v>0</v>
      </c>
      <c r="C11" s="28"/>
      <c r="D11" s="30" t="s">
        <v>43</v>
      </c>
      <c r="E11" s="18"/>
    </row>
    <row r="12" customFormat="false" ht="21.75" hidden="false" customHeight="true" outlineLevel="0" collapsed="false">
      <c r="A12" s="23" t="s">
        <v>44</v>
      </c>
      <c r="B12" s="27" t="n">
        <v>2026</v>
      </c>
      <c r="C12" s="24"/>
      <c r="D12" s="25"/>
      <c r="E12" s="18"/>
    </row>
    <row r="13" customFormat="false" ht="24" hidden="false" customHeight="true" outlineLevel="0" collapsed="false">
      <c r="A13" s="21" t="s">
        <v>45</v>
      </c>
      <c r="B13" s="22"/>
      <c r="C13" s="22"/>
      <c r="D13" s="22"/>
      <c r="E13" s="18"/>
    </row>
    <row r="14" customFormat="false" ht="21.75" hidden="false" customHeight="true" outlineLevel="0" collapsed="false">
      <c r="A14" s="23" t="s">
        <v>46</v>
      </c>
      <c r="B14" s="24"/>
      <c r="C14" s="24"/>
      <c r="D14" s="25"/>
      <c r="E14" s="18"/>
    </row>
    <row r="15" customFormat="false" ht="21.75" hidden="false" customHeight="true" outlineLevel="0" collapsed="false">
      <c r="A15" s="26" t="s">
        <v>47</v>
      </c>
      <c r="B15" s="33" t="n">
        <v>350000</v>
      </c>
      <c r="C15" s="28"/>
      <c r="D15" s="29"/>
      <c r="E15" s="18"/>
    </row>
    <row r="16" customFormat="false" ht="21.75" hidden="false" customHeight="true" outlineLevel="0" collapsed="false">
      <c r="A16" s="23" t="s">
        <v>48</v>
      </c>
      <c r="B16" s="33" t="n">
        <v>650000</v>
      </c>
      <c r="C16" s="24"/>
      <c r="D16" s="25"/>
      <c r="E16" s="18"/>
    </row>
    <row r="17" customFormat="false" ht="21.75" hidden="false" customHeight="true" outlineLevel="0" collapsed="false">
      <c r="A17" s="26" t="s">
        <v>49</v>
      </c>
      <c r="B17" s="33" t="n">
        <v>150000</v>
      </c>
      <c r="C17" s="28"/>
      <c r="D17" s="29"/>
      <c r="E17" s="18"/>
    </row>
    <row r="18" customFormat="false" ht="21.75" hidden="false" customHeight="true" outlineLevel="0" collapsed="false">
      <c r="A18" s="23" t="s">
        <v>50</v>
      </c>
      <c r="B18" s="33" t="n">
        <v>75000</v>
      </c>
      <c r="C18" s="24"/>
      <c r="D18" s="31" t="s">
        <v>51</v>
      </c>
      <c r="E18" s="18"/>
    </row>
    <row r="19" customFormat="false" ht="24" hidden="false" customHeight="true" outlineLevel="0" collapsed="false">
      <c r="A19" s="21" t="s">
        <v>52</v>
      </c>
      <c r="B19" s="34" t="n">
        <f aca="false">B15+B16+B17+B18</f>
        <v>1225000</v>
      </c>
      <c r="C19" s="22"/>
      <c r="D19" s="22"/>
      <c r="E19" s="18"/>
    </row>
    <row r="20" customFormat="false" ht="21.75" hidden="false" customHeight="true" outlineLevel="0" collapsed="false">
      <c r="A20" s="35"/>
      <c r="B20" s="24"/>
      <c r="C20" s="24"/>
      <c r="D20" s="25"/>
      <c r="E20" s="18"/>
    </row>
    <row r="21" customFormat="false" ht="21.75" hidden="false" customHeight="true" outlineLevel="0" collapsed="false">
      <c r="A21" s="26" t="s">
        <v>53</v>
      </c>
      <c r="B21" s="28"/>
      <c r="C21" s="28"/>
      <c r="D21" s="29"/>
      <c r="E21" s="18"/>
    </row>
    <row r="22" customFormat="false" ht="21.75" hidden="false" customHeight="true" outlineLevel="0" collapsed="false">
      <c r="A22" s="23" t="s">
        <v>54</v>
      </c>
      <c r="B22" s="33" t="n">
        <v>55000</v>
      </c>
      <c r="C22" s="24"/>
      <c r="D22" s="25"/>
      <c r="E22" s="18"/>
    </row>
    <row r="23" customFormat="false" ht="21.75" hidden="false" customHeight="true" outlineLevel="0" collapsed="false">
      <c r="A23" s="26" t="s">
        <v>55</v>
      </c>
      <c r="B23" s="32" t="n">
        <v>0.025</v>
      </c>
      <c r="C23" s="28"/>
      <c r="D23" s="29"/>
      <c r="E23" s="18"/>
    </row>
    <row r="24" customFormat="false" ht="24" hidden="false" customHeight="true" outlineLevel="0" collapsed="false">
      <c r="A24" s="21" t="s">
        <v>56</v>
      </c>
      <c r="B24" s="36" t="n">
        <v>0</v>
      </c>
      <c r="C24" s="22"/>
      <c r="D24" s="37" t="s">
        <v>57</v>
      </c>
      <c r="E24" s="18"/>
    </row>
    <row r="25" customFormat="false" ht="21.75" hidden="false" customHeight="true" outlineLevel="0" collapsed="false">
      <c r="A25" s="26" t="s">
        <v>58</v>
      </c>
      <c r="B25" s="33" t="n">
        <v>24000</v>
      </c>
      <c r="C25" s="28"/>
      <c r="D25" s="30" t="s">
        <v>59</v>
      </c>
      <c r="E25" s="18"/>
    </row>
    <row r="26" customFormat="false" ht="21.75" hidden="false" customHeight="true" outlineLevel="0" collapsed="false">
      <c r="A26" s="35"/>
      <c r="B26" s="24"/>
      <c r="C26" s="24"/>
      <c r="D26" s="25"/>
      <c r="E26" s="18"/>
    </row>
    <row r="27" customFormat="false" ht="21.75" hidden="false" customHeight="true" outlineLevel="0" collapsed="false">
      <c r="A27" s="26" t="s">
        <v>60</v>
      </c>
      <c r="B27" s="28"/>
      <c r="C27" s="28"/>
      <c r="D27" s="29"/>
      <c r="E27" s="18"/>
    </row>
    <row r="28" customFormat="false" ht="24" hidden="false" customHeight="true" outlineLevel="0" collapsed="false">
      <c r="A28" s="21" t="s">
        <v>61</v>
      </c>
      <c r="B28" s="38" t="n">
        <v>0.065</v>
      </c>
      <c r="C28" s="22"/>
      <c r="D28" s="22"/>
      <c r="E28" s="18"/>
    </row>
    <row r="29" customFormat="false" ht="21.75" hidden="false" customHeight="true" outlineLevel="0" collapsed="false">
      <c r="A29" s="26" t="s">
        <v>62</v>
      </c>
      <c r="B29" s="32" t="n">
        <v>0.12</v>
      </c>
      <c r="C29" s="28"/>
      <c r="D29" s="30" t="s">
        <v>63</v>
      </c>
      <c r="E29" s="18"/>
    </row>
    <row r="30" customFormat="false" ht="21.75" hidden="false" customHeight="true" outlineLevel="0" collapsed="false">
      <c r="A30" s="35"/>
      <c r="B30" s="24"/>
      <c r="C30" s="24"/>
      <c r="D30" s="25"/>
      <c r="E30" s="18"/>
    </row>
    <row r="31" customFormat="false" ht="21.75" hidden="false" customHeight="true" outlineLevel="0" collapsed="false">
      <c r="A31" s="26" t="s">
        <v>64</v>
      </c>
      <c r="B31" s="28"/>
      <c r="C31" s="28"/>
      <c r="D31" s="29"/>
      <c r="E31" s="18"/>
    </row>
    <row r="32" customFormat="false" ht="21.75" hidden="false" customHeight="true" outlineLevel="0" collapsed="false">
      <c r="A32" s="23" t="s">
        <v>65</v>
      </c>
      <c r="B32" s="39" t="n">
        <f aca="false">MAX(0, 59.5 - B6)</f>
        <v>4.5</v>
      </c>
      <c r="C32" s="24"/>
      <c r="D32" s="25"/>
      <c r="E32" s="18"/>
    </row>
    <row r="33" customFormat="false" ht="21.75" hidden="false" customHeight="true" outlineLevel="0" collapsed="false">
      <c r="A33" s="26" t="s">
        <v>66</v>
      </c>
      <c r="B33" s="40" t="n">
        <f aca="false">B22/B19</f>
        <v>0.0448979591836735</v>
      </c>
      <c r="C33" s="28"/>
      <c r="D33" s="29"/>
      <c r="E33" s="18"/>
    </row>
    <row r="34" customFormat="false" ht="21.75" hidden="false" customHeight="true" outlineLevel="0" collapsed="false">
      <c r="A34" s="23" t="s">
        <v>67</v>
      </c>
      <c r="B34" s="41" t="n">
        <f aca="false">IF(B9="MFJ",30000,15000)</f>
        <v>30000</v>
      </c>
      <c r="C34" s="24"/>
      <c r="D34" s="25"/>
      <c r="E34" s="18"/>
    </row>
    <row r="35" customFormat="false" ht="15" hidden="false" customHeight="true" outlineLevel="0" collapsed="false">
      <c r="A35" s="20"/>
      <c r="B35" s="20"/>
      <c r="C35" s="20"/>
      <c r="D35" s="20"/>
      <c r="E35" s="18"/>
    </row>
    <row r="36" customFormat="false" ht="15" hidden="false" customHeight="true" outlineLevel="0" collapsed="false">
      <c r="A36" s="20"/>
      <c r="B36" s="20"/>
      <c r="C36" s="20"/>
      <c r="D36" s="20"/>
      <c r="E36" s="18"/>
    </row>
  </sheetData>
  <mergeCells count="1">
    <mergeCell ref="A1:D1"/>
  </mergeCells>
  <dataValidations count="2">
    <dataValidation allowBlank="false" errorStyle="stop" operator="between" showDropDown="false" showErrorMessage="false" showInputMessage="false" sqref="B9" type="list">
      <formula1>"MFJ,Single"</formula1>
      <formula2>0</formula2>
    </dataValidation>
    <dataValidation allowBlank="false" errorStyle="stop" operator="between" showDropDown="false" showErrorMessage="false" showInputMessage="false" sqref="B10" type="list">
      <formula1>"AL,AK,AZ,AR,CA,CO,CT,DE,FL,GA,HI,ID,IL,IN,IA,KS,KY,LA,ME,MD,MA,MI,MN,MS,MO,MT,NE,NV,NH,NJ,NM,NY,NC,ND,OH,OK,OR,PA,RI,SC,SD,TN,TX,UT,VT,VA,WA,WV,WI,WY"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A3A"/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1" min="10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5" min="14" style="1" width="16"/>
  </cols>
  <sheetData>
    <row r="1" customFormat="false" ht="30" hidden="false" customHeight="true" outlineLevel="0" collapsed="false">
      <c r="A1" s="42" t="s">
        <v>68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.75" hidden="false" customHeight="true" outlineLevel="0" collapsed="false">
      <c r="A2" s="43" t="s">
        <v>69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customFormat="false" ht="31.5" hidden="false" customHeight="true" outlineLevel="0" collapsed="false">
      <c r="A3" s="44" t="s">
        <v>70</v>
      </c>
      <c r="B3" s="44" t="s">
        <v>71</v>
      </c>
      <c r="C3" s="44" t="s">
        <v>72</v>
      </c>
      <c r="D3" s="44" t="s">
        <v>73</v>
      </c>
      <c r="E3" s="44" t="s">
        <v>74</v>
      </c>
      <c r="F3" s="44" t="s">
        <v>75</v>
      </c>
      <c r="G3" s="44" t="s">
        <v>76</v>
      </c>
      <c r="H3" s="44" t="s">
        <v>77</v>
      </c>
      <c r="I3" s="44" t="s">
        <v>78</v>
      </c>
      <c r="J3" s="44" t="s">
        <v>79</v>
      </c>
      <c r="K3" s="44" t="s">
        <v>80</v>
      </c>
      <c r="L3" s="44" t="s">
        <v>81</v>
      </c>
      <c r="M3" s="44" t="s">
        <v>82</v>
      </c>
      <c r="N3" s="44" t="s">
        <v>83</v>
      </c>
      <c r="O3" s="44" t="s">
        <v>84</v>
      </c>
    </row>
    <row r="4" customFormat="false" ht="18.75" hidden="false" customHeight="true" outlineLevel="0" collapsed="false">
      <c r="A4" s="45" t="n">
        <f aca="false">IF(INPUTS!$B$32=0,"No bridge needed — retiring at or after age 59½. See POST-59.5 for your projection.",IF(0&gt;=INPUTS!$B$32,"",INPUTS!$B$12+(INPUTS!$B$6-INPUTS!$B$5)+0))</f>
        <v>2029</v>
      </c>
      <c r="B4" s="45" t="n">
        <f aca="false">IF(INPUTS!$B$32=0,"",IF(0&gt;=INPUTS!$B$32,"",INPUTS!$B$6+0))</f>
        <v>55</v>
      </c>
      <c r="C4" s="46" t="n">
        <f aca="false">IF(INPUTS!$B$32=0,"",IF(0&gt;=INPUTS!$B$32,"",INPUTS!$B$22*(1+INPUTS!$B$23)^(INPUTS!$B$6-INPUTS!$B$5+0)))</f>
        <v>59228.984375</v>
      </c>
      <c r="D4" s="46" t="n">
        <f aca="false">IF(INPUTS!$B$32=0,"",IF(0&gt;=INPUTS!$B$32,"",INPUTS!$B$24))</f>
        <v>0</v>
      </c>
      <c r="E4" s="46" t="n">
        <f aca="false">IF(INPUTS!$B$32=0,"",IF(0&gt;=INPUTS!$B$32,"",MAX(0,C4-D4)))</f>
        <v>59228.984375</v>
      </c>
      <c r="F4" s="46" t="n">
        <f aca="false">IF(INPUTS!$B$32=0,"",IF(0&gt;=INPUTS!$B$32,"",INPUTS!$B$15+INPUTS!$B$18))</f>
        <v>425000</v>
      </c>
      <c r="G4" s="46" t="n">
        <f aca="false">IF(INPUTS!$B$32=0,"",IF(0&gt;=INPUTS!$B$32,"",INPUTS!$B$17))</f>
        <v>150000</v>
      </c>
      <c r="H4" s="46" t="n">
        <f aca="false">IF(INPUTS!$B$32=0,"",IF(0&gt;=INPUTS!$B$32,"",INPUTS!$B$16))</f>
        <v>650000</v>
      </c>
      <c r="I4" s="46" t="n">
        <f aca="false">IF(INPUTS!$B$32=0,"",IF(0&gt;=INPUTS!$B$32,"",MIN(E4,F4)))</f>
        <v>59228.984375</v>
      </c>
      <c r="J4" s="46" t="n">
        <f aca="false">IF(INPUTS!$B$32=0,"",IF(0&gt;=INPUTS!$B$32,"",MIN(E4-I4,G4)))</f>
        <v>0</v>
      </c>
      <c r="K4" s="46" t="n">
        <f aca="false">IF(INPUTS!$B$32=0,"",IF(0&gt;=INPUTS!$B$32,"",MIN(E4-I4-J4,H4)))</f>
        <v>0</v>
      </c>
      <c r="L4" s="46" t="n">
        <f aca="false">IF(INPUTS!$B$32=0,"",IF(0&gt;=INPUTS!$B$32,"",(F4-I4)*(1+INPUTS!$B$28)))</f>
        <v>389546.131640625</v>
      </c>
      <c r="M4" s="46" t="n">
        <f aca="false">IF(INPUTS!$B$32=0,"",IF(0&gt;=INPUTS!$B$32,"",(G4-J4)*(1+INPUTS!$B$28)))</f>
        <v>159750</v>
      </c>
      <c r="N4" s="46" t="n">
        <f aca="false">IF(INPUTS!$B$32=0,"",IF(0&gt;=INPUTS!$B$32,"",(H4-K4)*(1+INPUTS!$B$28)))</f>
        <v>692250</v>
      </c>
      <c r="O4" s="46" t="n">
        <f aca="false">IF(INPUTS!$B$32=0,"",IF(0&gt;=INPUTS!$B$32,"",L4+M4+N4))</f>
        <v>1241546.13164063</v>
      </c>
    </row>
    <row r="5" customFormat="false" ht="18.75" hidden="false" customHeight="true" outlineLevel="0" collapsed="false">
      <c r="A5" s="47" t="n">
        <f aca="false">IF(INPUTS!$B$32=0,"",IF(1&gt;=INPUTS!$B$32,"",INPUTS!$B$12+(INPUTS!$B$6-INPUTS!$B$5)+1))</f>
        <v>2030</v>
      </c>
      <c r="B5" s="47" t="n">
        <f aca="false">IF(INPUTS!$B$32=0,"",IF(1&gt;=INPUTS!$B$32,"",INPUTS!$B$6+1))</f>
        <v>56</v>
      </c>
      <c r="C5" s="48" t="n">
        <f aca="false">IF(INPUTS!$B$32=0,"",IF(1&gt;=INPUTS!$B$32,"",INPUTS!$B$22*(1+INPUTS!$B$23)^(INPUTS!$B$6-INPUTS!$B$5+1)))</f>
        <v>60709.708984375</v>
      </c>
      <c r="D5" s="48" t="n">
        <f aca="false">IF(INPUTS!$B$32=0,"",IF(1&gt;=INPUTS!$B$32,"",INPUTS!$B$24))</f>
        <v>0</v>
      </c>
      <c r="E5" s="48" t="n">
        <f aca="false">IF(INPUTS!$B$32=0,"",IF(1&gt;=INPUTS!$B$32,"",MAX(0,C5-D5)))</f>
        <v>60709.708984375</v>
      </c>
      <c r="F5" s="48" t="n">
        <f aca="false">IF(INPUTS!$B$32=0,"",IF(1&gt;=INPUTS!$B$32,"",L4))</f>
        <v>389546.131640625</v>
      </c>
      <c r="G5" s="48" t="n">
        <f aca="false">IF(INPUTS!$B$32=0,"",IF(1&gt;=INPUTS!$B$32,"",M4))</f>
        <v>159750</v>
      </c>
      <c r="H5" s="48" t="n">
        <f aca="false">IF(INPUTS!$B$32=0,"",IF(1&gt;=INPUTS!$B$32,"",N4))</f>
        <v>692250</v>
      </c>
      <c r="I5" s="48" t="n">
        <f aca="false">IF(INPUTS!$B$32=0,"",IF(1&gt;=INPUTS!$B$32,"",MIN(E5,F5)))</f>
        <v>60709.708984375</v>
      </c>
      <c r="J5" s="48" t="n">
        <f aca="false">IF(INPUTS!$B$32=0,"",IF(1&gt;=INPUTS!$B$32,"",MIN(E5-I5,G5)))</f>
        <v>0</v>
      </c>
      <c r="K5" s="48" t="n">
        <f aca="false">IF(INPUTS!$B$32=0,"",IF(1&gt;=INPUTS!$B$32,"",MIN(E5-I5-J5,H5)))</f>
        <v>0</v>
      </c>
      <c r="L5" s="48" t="n">
        <f aca="false">IF(INPUTS!$B$32=0,"",IF(1&gt;=INPUTS!$B$32,"",(F5-I5)*(1+INPUTS!$B$28)))</f>
        <v>350210.790128906</v>
      </c>
      <c r="M5" s="48" t="n">
        <f aca="false">IF(INPUTS!$B$32=0,"",IF(1&gt;=INPUTS!$B$32,"",(G5-J5)*(1+INPUTS!$B$28)))</f>
        <v>170133.75</v>
      </c>
      <c r="N5" s="48" t="n">
        <f aca="false">IF(INPUTS!$B$32=0,"",IF(1&gt;=INPUTS!$B$32,"",(H5-K5)*(1+INPUTS!$B$28)))</f>
        <v>737246.25</v>
      </c>
      <c r="O5" s="48" t="n">
        <f aca="false">IF(INPUTS!$B$32=0,"",IF(1&gt;=INPUTS!$B$32,"",L5+M5+N5))</f>
        <v>1257590.79012891</v>
      </c>
    </row>
    <row r="6" customFormat="false" ht="18.75" hidden="false" customHeight="true" outlineLevel="0" collapsed="false">
      <c r="A6" s="45" t="n">
        <f aca="false">IF(INPUTS!$B$32=0,"",IF(2&gt;=INPUTS!$B$32,"",INPUTS!$B$12+(INPUTS!$B$6-INPUTS!$B$5)+2))</f>
        <v>2031</v>
      </c>
      <c r="B6" s="45" t="n">
        <f aca="false">IF(INPUTS!$B$32=0,"",IF(2&gt;=INPUTS!$B$32,"",INPUTS!$B$6+2))</f>
        <v>57</v>
      </c>
      <c r="C6" s="46" t="n">
        <f aca="false">IF(INPUTS!$B$32=0,"",IF(2&gt;=INPUTS!$B$32,"",INPUTS!$B$22*(1+INPUTS!$B$23)^(INPUTS!$B$6-INPUTS!$B$5+2)))</f>
        <v>62227.4517089843</v>
      </c>
      <c r="D6" s="46" t="n">
        <f aca="false">IF(INPUTS!$B$32=0,"",IF(2&gt;=INPUTS!$B$32,"",INPUTS!$B$24))</f>
        <v>0</v>
      </c>
      <c r="E6" s="46" t="n">
        <f aca="false">IF(INPUTS!$B$32=0,"",IF(2&gt;=INPUTS!$B$32,"",MAX(0,C6-D6)))</f>
        <v>62227.4517089843</v>
      </c>
      <c r="F6" s="46" t="n">
        <f aca="false">IF(INPUTS!$B$32=0,"",IF(2&gt;=INPUTS!$B$32,"",L5))</f>
        <v>350210.790128906</v>
      </c>
      <c r="G6" s="46" t="n">
        <f aca="false">IF(INPUTS!$B$32=0,"",IF(2&gt;=INPUTS!$B$32,"",M5))</f>
        <v>170133.75</v>
      </c>
      <c r="H6" s="46" t="n">
        <f aca="false">IF(INPUTS!$B$32=0,"",IF(2&gt;=INPUTS!$B$32,"",N5))</f>
        <v>737246.25</v>
      </c>
      <c r="I6" s="46" t="n">
        <f aca="false">IF(INPUTS!$B$32=0,"",IF(2&gt;=INPUTS!$B$32,"",MIN(E6,F6)))</f>
        <v>62227.4517089843</v>
      </c>
      <c r="J6" s="46" t="n">
        <f aca="false">IF(INPUTS!$B$32=0,"",IF(2&gt;=INPUTS!$B$32,"",MIN(E6-I6,G6)))</f>
        <v>0</v>
      </c>
      <c r="K6" s="46" t="n">
        <f aca="false">IF(INPUTS!$B$32=0,"",IF(2&gt;=INPUTS!$B$32,"",MIN(E6-I6-J6,H6)))</f>
        <v>0</v>
      </c>
      <c r="L6" s="46" t="n">
        <f aca="false">IF(INPUTS!$B$32=0,"",IF(2&gt;=INPUTS!$B$32,"",(F6-I6)*(1+INPUTS!$B$28)))</f>
        <v>306702.255417217</v>
      </c>
      <c r="M6" s="46" t="n">
        <f aca="false">IF(INPUTS!$B$32=0,"",IF(2&gt;=INPUTS!$B$32,"",(G6-J6)*(1+INPUTS!$B$28)))</f>
        <v>181192.44375</v>
      </c>
      <c r="N6" s="46" t="n">
        <f aca="false">IF(INPUTS!$B$32=0,"",IF(2&gt;=INPUTS!$B$32,"",(H6-K6)*(1+INPUTS!$B$28)))</f>
        <v>785167.25625</v>
      </c>
      <c r="O6" s="46" t="n">
        <f aca="false">IF(INPUTS!$B$32=0,"",IF(2&gt;=INPUTS!$B$32,"",L6+M6+N6))</f>
        <v>1273061.95541722</v>
      </c>
    </row>
    <row r="7" customFormat="false" ht="18.75" hidden="false" customHeight="true" outlineLevel="0" collapsed="false">
      <c r="A7" s="47" t="n">
        <f aca="false">IF(INPUTS!$B$32=0,"",IF(3&gt;=INPUTS!$B$32,"",INPUTS!$B$12+(INPUTS!$B$6-INPUTS!$B$5)+3))</f>
        <v>2032</v>
      </c>
      <c r="B7" s="47" t="n">
        <f aca="false">IF(INPUTS!$B$32=0,"",IF(3&gt;=INPUTS!$B$32,"",INPUTS!$B$6+3))</f>
        <v>58</v>
      </c>
      <c r="C7" s="48" t="n">
        <f aca="false">IF(INPUTS!$B$32=0,"",IF(3&gt;=INPUTS!$B$32,"",INPUTS!$B$22*(1+INPUTS!$B$23)^(INPUTS!$B$6-INPUTS!$B$5+3)))</f>
        <v>63783.138001709</v>
      </c>
      <c r="D7" s="48" t="n">
        <f aca="false">IF(INPUTS!$B$32=0,"",IF(3&gt;=INPUTS!$B$32,"",INPUTS!$B$24))</f>
        <v>0</v>
      </c>
      <c r="E7" s="48" t="n">
        <f aca="false">IF(INPUTS!$B$32=0,"",IF(3&gt;=INPUTS!$B$32,"",MAX(0,C7-D7)))</f>
        <v>63783.138001709</v>
      </c>
      <c r="F7" s="48" t="n">
        <f aca="false">IF(INPUTS!$B$32=0,"",IF(3&gt;=INPUTS!$B$32,"",L6))</f>
        <v>306702.255417217</v>
      </c>
      <c r="G7" s="48" t="n">
        <f aca="false">IF(INPUTS!$B$32=0,"",IF(3&gt;=INPUTS!$B$32,"",M6))</f>
        <v>181192.44375</v>
      </c>
      <c r="H7" s="48" t="n">
        <f aca="false">IF(INPUTS!$B$32=0,"",IF(3&gt;=INPUTS!$B$32,"",N6))</f>
        <v>785167.25625</v>
      </c>
      <c r="I7" s="48" t="n">
        <f aca="false">IF(INPUTS!$B$32=0,"",IF(3&gt;=INPUTS!$B$32,"",MIN(E7,F7)))</f>
        <v>63783.138001709</v>
      </c>
      <c r="J7" s="48" t="n">
        <f aca="false">IF(INPUTS!$B$32=0,"",IF(3&gt;=INPUTS!$B$32,"",MIN(E7-I7,G7)))</f>
        <v>0</v>
      </c>
      <c r="K7" s="48" t="n">
        <f aca="false">IF(INPUTS!$B$32=0,"",IF(3&gt;=INPUTS!$B$32,"",MIN(E7-I7-J7,H7)))</f>
        <v>0</v>
      </c>
      <c r="L7" s="48" t="n">
        <f aca="false">IF(INPUTS!$B$32=0,"",IF(3&gt;=INPUTS!$B$32,"",(F7-I7)*(1+INPUTS!$B$28)))</f>
        <v>258708.860047516</v>
      </c>
      <c r="M7" s="48" t="n">
        <f aca="false">IF(INPUTS!$B$32=0,"",IF(3&gt;=INPUTS!$B$32,"",(G7-J7)*(1+INPUTS!$B$28)))</f>
        <v>192969.95259375</v>
      </c>
      <c r="N7" s="48" t="n">
        <f aca="false">IF(INPUTS!$B$32=0,"",IF(3&gt;=INPUTS!$B$32,"",(H7-K7)*(1+INPUTS!$B$28)))</f>
        <v>836203.12790625</v>
      </c>
      <c r="O7" s="48" t="n">
        <f aca="false">IF(INPUTS!$B$32=0,"",IF(3&gt;=INPUTS!$B$32,"",L7+M7+N7))</f>
        <v>1287881.94054752</v>
      </c>
    </row>
    <row r="8" customFormat="false" ht="18.75" hidden="false" customHeight="true" outlineLevel="0" collapsed="false">
      <c r="A8" s="45" t="n">
        <f aca="false">IF(INPUTS!$B$32=0,"",IF(4&gt;=INPUTS!$B$32,"",INPUTS!$B$12+(INPUTS!$B$6-INPUTS!$B$5)+4))</f>
        <v>2033</v>
      </c>
      <c r="B8" s="45" t="n">
        <f aca="false">IF(INPUTS!$B$32=0,"",IF(4&gt;=INPUTS!$B$32,"",INPUTS!$B$6+4))</f>
        <v>59</v>
      </c>
      <c r="C8" s="46" t="n">
        <f aca="false">IF(INPUTS!$B$32=0,"",IF(4&gt;=INPUTS!$B$32,"",INPUTS!$B$22*(1+INPUTS!$B$23)^(INPUTS!$B$6-INPUTS!$B$5+4)))</f>
        <v>65377.7164517517</v>
      </c>
      <c r="D8" s="46" t="n">
        <f aca="false">IF(INPUTS!$B$32=0,"",IF(4&gt;=INPUTS!$B$32,"",INPUTS!$B$24))</f>
        <v>0</v>
      </c>
      <c r="E8" s="46" t="n">
        <f aca="false">IF(INPUTS!$B$32=0,"",IF(4&gt;=INPUTS!$B$32,"",MAX(0,C8-D8)))</f>
        <v>65377.7164517517</v>
      </c>
      <c r="F8" s="46" t="n">
        <f aca="false">IF(INPUTS!$B$32=0,"",IF(4&gt;=INPUTS!$B$32,"",L7))</f>
        <v>258708.860047516</v>
      </c>
      <c r="G8" s="46" t="n">
        <f aca="false">IF(INPUTS!$B$32=0,"",IF(4&gt;=INPUTS!$B$32,"",M7))</f>
        <v>192969.95259375</v>
      </c>
      <c r="H8" s="46" t="n">
        <f aca="false">IF(INPUTS!$B$32=0,"",IF(4&gt;=INPUTS!$B$32,"",N7))</f>
        <v>836203.12790625</v>
      </c>
      <c r="I8" s="46" t="n">
        <f aca="false">IF(INPUTS!$B$32=0,"",IF(4&gt;=INPUTS!$B$32,"",MIN(E8,F8)))</f>
        <v>65377.7164517517</v>
      </c>
      <c r="J8" s="46" t="n">
        <f aca="false">IF(INPUTS!$B$32=0,"",IF(4&gt;=INPUTS!$B$32,"",MIN(E8-I8,G8)))</f>
        <v>0</v>
      </c>
      <c r="K8" s="46" t="n">
        <f aca="false">IF(INPUTS!$B$32=0,"",IF(4&gt;=INPUTS!$B$32,"",MIN(E8-I8-J8,H8)))</f>
        <v>0</v>
      </c>
      <c r="L8" s="46" t="n">
        <f aca="false">IF(INPUTS!$B$32=0,"",IF(4&gt;=INPUTS!$B$32,"",(F8-I8)*(1+INPUTS!$B$28)))</f>
        <v>205897.667929489</v>
      </c>
      <c r="M8" s="46" t="n">
        <f aca="false">IF(INPUTS!$B$32=0,"",IF(4&gt;=INPUTS!$B$32,"",(G8-J8)*(1+INPUTS!$B$28)))</f>
        <v>205512.999512344</v>
      </c>
      <c r="N8" s="46" t="n">
        <f aca="false">IF(INPUTS!$B$32=0,"",IF(4&gt;=INPUTS!$B$32,"",(H8-K8)*(1+INPUTS!$B$28)))</f>
        <v>890556.331220156</v>
      </c>
      <c r="O8" s="46" t="n">
        <f aca="false">IF(INPUTS!$B$32=0,"",IF(4&gt;=INPUTS!$B$32,"",L8+M8+N8))</f>
        <v>1301966.99866199</v>
      </c>
    </row>
    <row r="9" customFormat="false" ht="18.75" hidden="false" customHeight="true" outlineLevel="0" collapsed="false">
      <c r="A9" s="47" t="str">
        <f aca="false">IF(INPUTS!$B$32=0,"",IF(5&gt;=INPUTS!$B$32,"",INPUTS!$B$12+(INPUTS!$B$6-INPUTS!$B$5)+5))</f>
        <v/>
      </c>
      <c r="B9" s="47" t="str">
        <f aca="false">IF(INPUTS!$B$32=0,"",IF(5&gt;=INPUTS!$B$32,"",INPUTS!$B$6+5))</f>
        <v/>
      </c>
      <c r="C9" s="48" t="str">
        <f aca="false">IF(INPUTS!$B$32=0,"",IF(5&gt;=INPUTS!$B$32,"",INPUTS!$B$22*(1+INPUTS!$B$23)^(INPUTS!$B$6-INPUTS!$B$5+5)))</f>
        <v/>
      </c>
      <c r="D9" s="48" t="str">
        <f aca="false">IF(INPUTS!$B$32=0,"",IF(5&gt;=INPUTS!$B$32,"",INPUTS!$B$24))</f>
        <v/>
      </c>
      <c r="E9" s="48" t="str">
        <f aca="false">IF(INPUTS!$B$32=0,"",IF(5&gt;=INPUTS!$B$32,"",MAX(0,C9-D9)))</f>
        <v/>
      </c>
      <c r="F9" s="48" t="str">
        <f aca="false">IF(INPUTS!$B$32=0,"",IF(5&gt;=INPUTS!$B$32,"",L8))</f>
        <v/>
      </c>
      <c r="G9" s="48" t="str">
        <f aca="false">IF(INPUTS!$B$32=0,"",IF(5&gt;=INPUTS!$B$32,"",M8))</f>
        <v/>
      </c>
      <c r="H9" s="48" t="str">
        <f aca="false">IF(INPUTS!$B$32=0,"",IF(5&gt;=INPUTS!$B$32,"",N8))</f>
        <v/>
      </c>
      <c r="I9" s="48" t="str">
        <f aca="false">IF(INPUTS!$B$32=0,"",IF(5&gt;=INPUTS!$B$32,"",MIN(E9,F9)))</f>
        <v/>
      </c>
      <c r="J9" s="48" t="str">
        <f aca="false">IF(INPUTS!$B$32=0,"",IF(5&gt;=INPUTS!$B$32,"",MIN(E9-I9,G9)))</f>
        <v/>
      </c>
      <c r="K9" s="48" t="str">
        <f aca="false">IF(INPUTS!$B$32=0,"",IF(5&gt;=INPUTS!$B$32,"",MIN(E9-I9-J9,H9)))</f>
        <v/>
      </c>
      <c r="L9" s="48" t="str">
        <f aca="false">IF(INPUTS!$B$32=0,"",IF(5&gt;=INPUTS!$B$32,"",(F9-I9)*(1+INPUTS!$B$28)))</f>
        <v/>
      </c>
      <c r="M9" s="48" t="str">
        <f aca="false">IF(INPUTS!$B$32=0,"",IF(5&gt;=INPUTS!$B$32,"",(G9-J9)*(1+INPUTS!$B$28)))</f>
        <v/>
      </c>
      <c r="N9" s="48" t="str">
        <f aca="false">IF(INPUTS!$B$32=0,"",IF(5&gt;=INPUTS!$B$32,"",(H9-K9)*(1+INPUTS!$B$28)))</f>
        <v/>
      </c>
      <c r="O9" s="48" t="str">
        <f aca="false">IF(INPUTS!$B$32=0,"",IF(5&gt;=INPUTS!$B$32,"",L9+M9+N9))</f>
        <v/>
      </c>
    </row>
    <row r="10" customFormat="false" ht="18.75" hidden="false" customHeight="true" outlineLevel="0" collapsed="false">
      <c r="A10" s="45" t="str">
        <f aca="false">IF(INPUTS!$B$32=0,"",IF(6&gt;=INPUTS!$B$32,"",INPUTS!$B$12+(INPUTS!$B$6-INPUTS!$B$5)+6))</f>
        <v/>
      </c>
      <c r="B10" s="45" t="str">
        <f aca="false">IF(INPUTS!$B$32=0,"",IF(6&gt;=INPUTS!$B$32,"",INPUTS!$B$6+6))</f>
        <v/>
      </c>
      <c r="C10" s="46" t="str">
        <f aca="false">IF(INPUTS!$B$32=0,"",IF(6&gt;=INPUTS!$B$32,"",INPUTS!$B$22*(1+INPUTS!$B$23)^(INPUTS!$B$6-INPUTS!$B$5+6)))</f>
        <v/>
      </c>
      <c r="D10" s="46" t="str">
        <f aca="false">IF(INPUTS!$B$32=0,"",IF(6&gt;=INPUTS!$B$32,"",INPUTS!$B$24))</f>
        <v/>
      </c>
      <c r="E10" s="46" t="str">
        <f aca="false">IF(INPUTS!$B$32=0,"",IF(6&gt;=INPUTS!$B$32,"",MAX(0,C10-D10)))</f>
        <v/>
      </c>
      <c r="F10" s="46" t="str">
        <f aca="false">IF(INPUTS!$B$32=0,"",IF(6&gt;=INPUTS!$B$32,"",L9))</f>
        <v/>
      </c>
      <c r="G10" s="46" t="str">
        <f aca="false">IF(INPUTS!$B$32=0,"",IF(6&gt;=INPUTS!$B$32,"",M9))</f>
        <v/>
      </c>
      <c r="H10" s="46" t="str">
        <f aca="false">IF(INPUTS!$B$32=0,"",IF(6&gt;=INPUTS!$B$32,"",N9))</f>
        <v/>
      </c>
      <c r="I10" s="46" t="str">
        <f aca="false">IF(INPUTS!$B$32=0,"",IF(6&gt;=INPUTS!$B$32,"",MIN(E10,F10)))</f>
        <v/>
      </c>
      <c r="J10" s="46" t="str">
        <f aca="false">IF(INPUTS!$B$32=0,"",IF(6&gt;=INPUTS!$B$32,"",MIN(E10-I10,G10)))</f>
        <v/>
      </c>
      <c r="K10" s="46" t="str">
        <f aca="false">IF(INPUTS!$B$32=0,"",IF(6&gt;=INPUTS!$B$32,"",MIN(E10-I10-J10,H10)))</f>
        <v/>
      </c>
      <c r="L10" s="46" t="str">
        <f aca="false">IF(INPUTS!$B$32=0,"",IF(6&gt;=INPUTS!$B$32,"",(F10-I10)*(1+INPUTS!$B$28)))</f>
        <v/>
      </c>
      <c r="M10" s="46" t="str">
        <f aca="false">IF(INPUTS!$B$32=0,"",IF(6&gt;=INPUTS!$B$32,"",(G10-J10)*(1+INPUTS!$B$28)))</f>
        <v/>
      </c>
      <c r="N10" s="46" t="str">
        <f aca="false">IF(INPUTS!$B$32=0,"",IF(6&gt;=INPUTS!$B$32,"",(H10-K10)*(1+INPUTS!$B$28)))</f>
        <v/>
      </c>
      <c r="O10" s="46" t="str">
        <f aca="false">IF(INPUTS!$B$32=0,"",IF(6&gt;=INPUTS!$B$32,"",L10+M10+N10))</f>
        <v/>
      </c>
    </row>
    <row r="11" customFormat="false" ht="18.75" hidden="false" customHeight="true" outlineLevel="0" collapsed="false">
      <c r="A11" s="47" t="str">
        <f aca="false">IF(INPUTS!$B$32=0,"",IF(7&gt;=INPUTS!$B$32,"",INPUTS!$B$12+(INPUTS!$B$6-INPUTS!$B$5)+7))</f>
        <v/>
      </c>
      <c r="B11" s="47" t="str">
        <f aca="false">IF(INPUTS!$B$32=0,"",IF(7&gt;=INPUTS!$B$32,"",INPUTS!$B$6+7))</f>
        <v/>
      </c>
      <c r="C11" s="48" t="str">
        <f aca="false">IF(INPUTS!$B$32=0,"",IF(7&gt;=INPUTS!$B$32,"",INPUTS!$B$22*(1+INPUTS!$B$23)^(INPUTS!$B$6-INPUTS!$B$5+7)))</f>
        <v/>
      </c>
      <c r="D11" s="48" t="str">
        <f aca="false">IF(INPUTS!$B$32=0,"",IF(7&gt;=INPUTS!$B$32,"",INPUTS!$B$24))</f>
        <v/>
      </c>
      <c r="E11" s="48" t="str">
        <f aca="false">IF(INPUTS!$B$32=0,"",IF(7&gt;=INPUTS!$B$32,"",MAX(0,C11-D11)))</f>
        <v/>
      </c>
      <c r="F11" s="48" t="str">
        <f aca="false">IF(INPUTS!$B$32=0,"",IF(7&gt;=INPUTS!$B$32,"",L10))</f>
        <v/>
      </c>
      <c r="G11" s="48" t="str">
        <f aca="false">IF(INPUTS!$B$32=0,"",IF(7&gt;=INPUTS!$B$32,"",M10))</f>
        <v/>
      </c>
      <c r="H11" s="48" t="str">
        <f aca="false">IF(INPUTS!$B$32=0,"",IF(7&gt;=INPUTS!$B$32,"",N10))</f>
        <v/>
      </c>
      <c r="I11" s="48" t="str">
        <f aca="false">IF(INPUTS!$B$32=0,"",IF(7&gt;=INPUTS!$B$32,"",MIN(E11,F11)))</f>
        <v/>
      </c>
      <c r="J11" s="48" t="str">
        <f aca="false">IF(INPUTS!$B$32=0,"",IF(7&gt;=INPUTS!$B$32,"",MIN(E11-I11,G11)))</f>
        <v/>
      </c>
      <c r="K11" s="48" t="str">
        <f aca="false">IF(INPUTS!$B$32=0,"",IF(7&gt;=INPUTS!$B$32,"",MIN(E11-I11-J11,H11)))</f>
        <v/>
      </c>
      <c r="L11" s="48" t="str">
        <f aca="false">IF(INPUTS!$B$32=0,"",IF(7&gt;=INPUTS!$B$32,"",(F11-I11)*(1+INPUTS!$B$28)))</f>
        <v/>
      </c>
      <c r="M11" s="48" t="str">
        <f aca="false">IF(INPUTS!$B$32=0,"",IF(7&gt;=INPUTS!$B$32,"",(G11-J11)*(1+INPUTS!$B$28)))</f>
        <v/>
      </c>
      <c r="N11" s="48" t="str">
        <f aca="false">IF(INPUTS!$B$32=0,"",IF(7&gt;=INPUTS!$B$32,"",(H11-K11)*(1+INPUTS!$B$28)))</f>
        <v/>
      </c>
      <c r="O11" s="48" t="str">
        <f aca="false">IF(INPUTS!$B$32=0,"",IF(7&gt;=INPUTS!$B$32,"",L11+M11+N11))</f>
        <v/>
      </c>
    </row>
    <row r="12" customFormat="false" ht="18.75" hidden="false" customHeight="true" outlineLevel="0" collapsed="false">
      <c r="A12" s="45" t="str">
        <f aca="false">IF(INPUTS!$B$32=0,"",IF(8&gt;=INPUTS!$B$32,"",INPUTS!$B$12+(INPUTS!$B$6-INPUTS!$B$5)+8))</f>
        <v/>
      </c>
      <c r="B12" s="45" t="str">
        <f aca="false">IF(INPUTS!$B$32=0,"",IF(8&gt;=INPUTS!$B$32,"",INPUTS!$B$6+8))</f>
        <v/>
      </c>
      <c r="C12" s="46" t="str">
        <f aca="false">IF(INPUTS!$B$32=0,"",IF(8&gt;=INPUTS!$B$32,"",INPUTS!$B$22*(1+INPUTS!$B$23)^(INPUTS!$B$6-INPUTS!$B$5+8)))</f>
        <v/>
      </c>
      <c r="D12" s="46" t="str">
        <f aca="false">IF(INPUTS!$B$32=0,"",IF(8&gt;=INPUTS!$B$32,"",INPUTS!$B$24))</f>
        <v/>
      </c>
      <c r="E12" s="46" t="str">
        <f aca="false">IF(INPUTS!$B$32=0,"",IF(8&gt;=INPUTS!$B$32,"",MAX(0,C12-D12)))</f>
        <v/>
      </c>
      <c r="F12" s="46" t="str">
        <f aca="false">IF(INPUTS!$B$32=0,"",IF(8&gt;=INPUTS!$B$32,"",L11))</f>
        <v/>
      </c>
      <c r="G12" s="46" t="str">
        <f aca="false">IF(INPUTS!$B$32=0,"",IF(8&gt;=INPUTS!$B$32,"",M11))</f>
        <v/>
      </c>
      <c r="H12" s="46" t="str">
        <f aca="false">IF(INPUTS!$B$32=0,"",IF(8&gt;=INPUTS!$B$32,"",N11))</f>
        <v/>
      </c>
      <c r="I12" s="46" t="str">
        <f aca="false">IF(INPUTS!$B$32=0,"",IF(8&gt;=INPUTS!$B$32,"",MIN(E12,F12)))</f>
        <v/>
      </c>
      <c r="J12" s="46" t="str">
        <f aca="false">IF(INPUTS!$B$32=0,"",IF(8&gt;=INPUTS!$B$32,"",MIN(E12-I12,G12)))</f>
        <v/>
      </c>
      <c r="K12" s="46" t="str">
        <f aca="false">IF(INPUTS!$B$32=0,"",IF(8&gt;=INPUTS!$B$32,"",MIN(E12-I12-J12,H12)))</f>
        <v/>
      </c>
      <c r="L12" s="46" t="str">
        <f aca="false">IF(INPUTS!$B$32=0,"",IF(8&gt;=INPUTS!$B$32,"",(F12-I12)*(1+INPUTS!$B$28)))</f>
        <v/>
      </c>
      <c r="M12" s="46" t="str">
        <f aca="false">IF(INPUTS!$B$32=0,"",IF(8&gt;=INPUTS!$B$32,"",(G12-J12)*(1+INPUTS!$B$28)))</f>
        <v/>
      </c>
      <c r="N12" s="46" t="str">
        <f aca="false">IF(INPUTS!$B$32=0,"",IF(8&gt;=INPUTS!$B$32,"",(H12-K12)*(1+INPUTS!$B$28)))</f>
        <v/>
      </c>
      <c r="O12" s="46" t="str">
        <f aca="false">IF(INPUTS!$B$32=0,"",IF(8&gt;=INPUTS!$B$32,"",L12+M12+N12))</f>
        <v/>
      </c>
    </row>
    <row r="13" customFormat="false" ht="18.75" hidden="false" customHeight="true" outlineLevel="0" collapsed="false">
      <c r="A13" s="47" t="str">
        <f aca="false">IF(INPUTS!$B$32=0,"",IF(9&gt;=INPUTS!$B$32,"",INPUTS!$B$12+(INPUTS!$B$6-INPUTS!$B$5)+9))</f>
        <v/>
      </c>
      <c r="B13" s="47" t="str">
        <f aca="false">IF(INPUTS!$B$32=0,"",IF(9&gt;=INPUTS!$B$32,"",INPUTS!$B$6+9))</f>
        <v/>
      </c>
      <c r="C13" s="48" t="str">
        <f aca="false">IF(INPUTS!$B$32=0,"",IF(9&gt;=INPUTS!$B$32,"",INPUTS!$B$22*(1+INPUTS!$B$23)^(INPUTS!$B$6-INPUTS!$B$5+9)))</f>
        <v/>
      </c>
      <c r="D13" s="48" t="str">
        <f aca="false">IF(INPUTS!$B$32=0,"",IF(9&gt;=INPUTS!$B$32,"",INPUTS!$B$24))</f>
        <v/>
      </c>
      <c r="E13" s="48" t="str">
        <f aca="false">IF(INPUTS!$B$32=0,"",IF(9&gt;=INPUTS!$B$32,"",MAX(0,C13-D13)))</f>
        <v/>
      </c>
      <c r="F13" s="48" t="str">
        <f aca="false">IF(INPUTS!$B$32=0,"",IF(9&gt;=INPUTS!$B$32,"",L12))</f>
        <v/>
      </c>
      <c r="G13" s="48" t="str">
        <f aca="false">IF(INPUTS!$B$32=0,"",IF(9&gt;=INPUTS!$B$32,"",M12))</f>
        <v/>
      </c>
      <c r="H13" s="48" t="str">
        <f aca="false">IF(INPUTS!$B$32=0,"",IF(9&gt;=INPUTS!$B$32,"",N12))</f>
        <v/>
      </c>
      <c r="I13" s="48" t="str">
        <f aca="false">IF(INPUTS!$B$32=0,"",IF(9&gt;=INPUTS!$B$32,"",MIN(E13,F13)))</f>
        <v/>
      </c>
      <c r="J13" s="48" t="str">
        <f aca="false">IF(INPUTS!$B$32=0,"",IF(9&gt;=INPUTS!$B$32,"",MIN(E13-I13,G13)))</f>
        <v/>
      </c>
      <c r="K13" s="48" t="str">
        <f aca="false">IF(INPUTS!$B$32=0,"",IF(9&gt;=INPUTS!$B$32,"",MIN(E13-I13-J13,H13)))</f>
        <v/>
      </c>
      <c r="L13" s="48" t="str">
        <f aca="false">IF(INPUTS!$B$32=0,"",IF(9&gt;=INPUTS!$B$32,"",(F13-I13)*(1+INPUTS!$B$28)))</f>
        <v/>
      </c>
      <c r="M13" s="48" t="str">
        <f aca="false">IF(INPUTS!$B$32=0,"",IF(9&gt;=INPUTS!$B$32,"",(G13-J13)*(1+INPUTS!$B$28)))</f>
        <v/>
      </c>
      <c r="N13" s="48" t="str">
        <f aca="false">IF(INPUTS!$B$32=0,"",IF(9&gt;=INPUTS!$B$32,"",(H13-K13)*(1+INPUTS!$B$28)))</f>
        <v/>
      </c>
      <c r="O13" s="48" t="str">
        <f aca="false">IF(INPUTS!$B$32=0,"",IF(9&gt;=INPUTS!$B$32,"",L13+M13+N13))</f>
        <v/>
      </c>
    </row>
    <row r="14" customFormat="false" ht="18.75" hidden="false" customHeight="true" outlineLevel="0" collapsed="false">
      <c r="A14" s="45" t="str">
        <f aca="false">IF(INPUTS!$B$32=0,"",IF(10&gt;=INPUTS!$B$32,"",INPUTS!$B$12+(INPUTS!$B$6-INPUTS!$B$5)+10))</f>
        <v/>
      </c>
      <c r="B14" s="45" t="str">
        <f aca="false">IF(INPUTS!$B$32=0,"",IF(10&gt;=INPUTS!$B$32,"",INPUTS!$B$6+10))</f>
        <v/>
      </c>
      <c r="C14" s="46" t="str">
        <f aca="false">IF(INPUTS!$B$32=0,"",IF(10&gt;=INPUTS!$B$32,"",INPUTS!$B$22*(1+INPUTS!$B$23)^(INPUTS!$B$6-INPUTS!$B$5+10)))</f>
        <v/>
      </c>
      <c r="D14" s="46" t="str">
        <f aca="false">IF(INPUTS!$B$32=0,"",IF(10&gt;=INPUTS!$B$32,"",INPUTS!$B$24))</f>
        <v/>
      </c>
      <c r="E14" s="46" t="str">
        <f aca="false">IF(INPUTS!$B$32=0,"",IF(10&gt;=INPUTS!$B$32,"",MAX(0,C14-D14)))</f>
        <v/>
      </c>
      <c r="F14" s="46" t="str">
        <f aca="false">IF(INPUTS!$B$32=0,"",IF(10&gt;=INPUTS!$B$32,"",L13))</f>
        <v/>
      </c>
      <c r="G14" s="46" t="str">
        <f aca="false">IF(INPUTS!$B$32=0,"",IF(10&gt;=INPUTS!$B$32,"",M13))</f>
        <v/>
      </c>
      <c r="H14" s="46" t="str">
        <f aca="false">IF(INPUTS!$B$32=0,"",IF(10&gt;=INPUTS!$B$32,"",N13))</f>
        <v/>
      </c>
      <c r="I14" s="46" t="str">
        <f aca="false">IF(INPUTS!$B$32=0,"",IF(10&gt;=INPUTS!$B$32,"",MIN(E14,F14)))</f>
        <v/>
      </c>
      <c r="J14" s="46" t="str">
        <f aca="false">IF(INPUTS!$B$32=0,"",IF(10&gt;=INPUTS!$B$32,"",MIN(E14-I14,G14)))</f>
        <v/>
      </c>
      <c r="K14" s="46" t="str">
        <f aca="false">IF(INPUTS!$B$32=0,"",IF(10&gt;=INPUTS!$B$32,"",MIN(E14-I14-J14,H14)))</f>
        <v/>
      </c>
      <c r="L14" s="46" t="str">
        <f aca="false">IF(INPUTS!$B$32=0,"",IF(10&gt;=INPUTS!$B$32,"",(F14-I14)*(1+INPUTS!$B$28)))</f>
        <v/>
      </c>
      <c r="M14" s="46" t="str">
        <f aca="false">IF(INPUTS!$B$32=0,"",IF(10&gt;=INPUTS!$B$32,"",(G14-J14)*(1+INPUTS!$B$28)))</f>
        <v/>
      </c>
      <c r="N14" s="46" t="str">
        <f aca="false">IF(INPUTS!$B$32=0,"",IF(10&gt;=INPUTS!$B$32,"",(H14-K14)*(1+INPUTS!$B$28)))</f>
        <v/>
      </c>
      <c r="O14" s="46" t="str">
        <f aca="false">IF(INPUTS!$B$32=0,"",IF(10&gt;=INPUTS!$B$32,"",L14+M14+N14))</f>
        <v/>
      </c>
    </row>
    <row r="15" customFormat="false" ht="18.75" hidden="false" customHeight="true" outlineLevel="0" collapsed="false">
      <c r="A15" s="47" t="str">
        <f aca="false">IF(INPUTS!$B$32=0,"",IF(11&gt;=INPUTS!$B$32,"",INPUTS!$B$12+(INPUTS!$B$6-INPUTS!$B$5)+11))</f>
        <v/>
      </c>
      <c r="B15" s="47" t="str">
        <f aca="false">IF(INPUTS!$B$32=0,"",IF(11&gt;=INPUTS!$B$32,"",INPUTS!$B$6+11))</f>
        <v/>
      </c>
      <c r="C15" s="48" t="str">
        <f aca="false">IF(INPUTS!$B$32=0,"",IF(11&gt;=INPUTS!$B$32,"",INPUTS!$B$22*(1+INPUTS!$B$23)^(INPUTS!$B$6-INPUTS!$B$5+11)))</f>
        <v/>
      </c>
      <c r="D15" s="48" t="str">
        <f aca="false">IF(INPUTS!$B$32=0,"",IF(11&gt;=INPUTS!$B$32,"",INPUTS!$B$24))</f>
        <v/>
      </c>
      <c r="E15" s="48" t="str">
        <f aca="false">IF(INPUTS!$B$32=0,"",IF(11&gt;=INPUTS!$B$32,"",MAX(0,C15-D15)))</f>
        <v/>
      </c>
      <c r="F15" s="48" t="str">
        <f aca="false">IF(INPUTS!$B$32=0,"",IF(11&gt;=INPUTS!$B$32,"",L14))</f>
        <v/>
      </c>
      <c r="G15" s="48" t="str">
        <f aca="false">IF(INPUTS!$B$32=0,"",IF(11&gt;=INPUTS!$B$32,"",M14))</f>
        <v/>
      </c>
      <c r="H15" s="48" t="str">
        <f aca="false">IF(INPUTS!$B$32=0,"",IF(11&gt;=INPUTS!$B$32,"",N14))</f>
        <v/>
      </c>
      <c r="I15" s="48" t="str">
        <f aca="false">IF(INPUTS!$B$32=0,"",IF(11&gt;=INPUTS!$B$32,"",MIN(E15,F15)))</f>
        <v/>
      </c>
      <c r="J15" s="48" t="str">
        <f aca="false">IF(INPUTS!$B$32=0,"",IF(11&gt;=INPUTS!$B$32,"",MIN(E15-I15,G15)))</f>
        <v/>
      </c>
      <c r="K15" s="48" t="str">
        <f aca="false">IF(INPUTS!$B$32=0,"",IF(11&gt;=INPUTS!$B$32,"",MIN(E15-I15-J15,H15)))</f>
        <v/>
      </c>
      <c r="L15" s="48" t="str">
        <f aca="false">IF(INPUTS!$B$32=0,"",IF(11&gt;=INPUTS!$B$32,"",(F15-I15)*(1+INPUTS!$B$28)))</f>
        <v/>
      </c>
      <c r="M15" s="48" t="str">
        <f aca="false">IF(INPUTS!$B$32=0,"",IF(11&gt;=INPUTS!$B$32,"",(G15-J15)*(1+INPUTS!$B$28)))</f>
        <v/>
      </c>
      <c r="N15" s="48" t="str">
        <f aca="false">IF(INPUTS!$B$32=0,"",IF(11&gt;=INPUTS!$B$32,"",(H15-K15)*(1+INPUTS!$B$28)))</f>
        <v/>
      </c>
      <c r="O15" s="48" t="str">
        <f aca="false">IF(INPUTS!$B$32=0,"",IF(11&gt;=INPUTS!$B$32,"",L15+M15+N15))</f>
        <v/>
      </c>
    </row>
    <row r="16" customFormat="false" ht="18.75" hidden="false" customHeight="true" outlineLevel="0" collapsed="false">
      <c r="A16" s="45" t="str">
        <f aca="false">IF(INPUTS!$B$32=0,"",IF(12&gt;=INPUTS!$B$32,"",INPUTS!$B$12+(INPUTS!$B$6-INPUTS!$B$5)+12))</f>
        <v/>
      </c>
      <c r="B16" s="45" t="str">
        <f aca="false">IF(INPUTS!$B$32=0,"",IF(12&gt;=INPUTS!$B$32,"",INPUTS!$B$6+12))</f>
        <v/>
      </c>
      <c r="C16" s="46" t="str">
        <f aca="false">IF(INPUTS!$B$32=0,"",IF(12&gt;=INPUTS!$B$32,"",INPUTS!$B$22*(1+INPUTS!$B$23)^(INPUTS!$B$6-INPUTS!$B$5+12)))</f>
        <v/>
      </c>
      <c r="D16" s="46" t="str">
        <f aca="false">IF(INPUTS!$B$32=0,"",IF(12&gt;=INPUTS!$B$32,"",INPUTS!$B$24))</f>
        <v/>
      </c>
      <c r="E16" s="46" t="str">
        <f aca="false">IF(INPUTS!$B$32=0,"",IF(12&gt;=INPUTS!$B$32,"",MAX(0,C16-D16)))</f>
        <v/>
      </c>
      <c r="F16" s="46" t="str">
        <f aca="false">IF(INPUTS!$B$32=0,"",IF(12&gt;=INPUTS!$B$32,"",L15))</f>
        <v/>
      </c>
      <c r="G16" s="46" t="str">
        <f aca="false">IF(INPUTS!$B$32=0,"",IF(12&gt;=INPUTS!$B$32,"",M15))</f>
        <v/>
      </c>
      <c r="H16" s="46" t="str">
        <f aca="false">IF(INPUTS!$B$32=0,"",IF(12&gt;=INPUTS!$B$32,"",N15))</f>
        <v/>
      </c>
      <c r="I16" s="46" t="str">
        <f aca="false">IF(INPUTS!$B$32=0,"",IF(12&gt;=INPUTS!$B$32,"",MIN(E16,F16)))</f>
        <v/>
      </c>
      <c r="J16" s="46" t="str">
        <f aca="false">IF(INPUTS!$B$32=0,"",IF(12&gt;=INPUTS!$B$32,"",MIN(E16-I16,G16)))</f>
        <v/>
      </c>
      <c r="K16" s="46" t="str">
        <f aca="false">IF(INPUTS!$B$32=0,"",IF(12&gt;=INPUTS!$B$32,"",MIN(E16-I16-J16,H16)))</f>
        <v/>
      </c>
      <c r="L16" s="46" t="str">
        <f aca="false">IF(INPUTS!$B$32=0,"",IF(12&gt;=INPUTS!$B$32,"",(F16-I16)*(1+INPUTS!$B$28)))</f>
        <v/>
      </c>
      <c r="M16" s="46" t="str">
        <f aca="false">IF(INPUTS!$B$32=0,"",IF(12&gt;=INPUTS!$B$32,"",(G16-J16)*(1+INPUTS!$B$28)))</f>
        <v/>
      </c>
      <c r="N16" s="46" t="str">
        <f aca="false">IF(INPUTS!$B$32=0,"",IF(12&gt;=INPUTS!$B$32,"",(H16-K16)*(1+INPUTS!$B$28)))</f>
        <v/>
      </c>
      <c r="O16" s="46" t="str">
        <f aca="false">IF(INPUTS!$B$32=0,"",IF(12&gt;=INPUTS!$B$32,"",L16+M16+N16))</f>
        <v/>
      </c>
    </row>
    <row r="17" customFormat="false" ht="18.75" hidden="false" customHeight="true" outlineLevel="0" collapsed="false">
      <c r="A17" s="47" t="str">
        <f aca="false">IF(INPUTS!$B$32=0,"",IF(13&gt;=INPUTS!$B$32,"",INPUTS!$B$12+(INPUTS!$B$6-INPUTS!$B$5)+13))</f>
        <v/>
      </c>
      <c r="B17" s="47" t="str">
        <f aca="false">IF(INPUTS!$B$32=0,"",IF(13&gt;=INPUTS!$B$32,"",INPUTS!$B$6+13))</f>
        <v/>
      </c>
      <c r="C17" s="48" t="str">
        <f aca="false">IF(INPUTS!$B$32=0,"",IF(13&gt;=INPUTS!$B$32,"",INPUTS!$B$22*(1+INPUTS!$B$23)^(INPUTS!$B$6-INPUTS!$B$5+13)))</f>
        <v/>
      </c>
      <c r="D17" s="48" t="str">
        <f aca="false">IF(INPUTS!$B$32=0,"",IF(13&gt;=INPUTS!$B$32,"",INPUTS!$B$24))</f>
        <v/>
      </c>
      <c r="E17" s="48" t="str">
        <f aca="false">IF(INPUTS!$B$32=0,"",IF(13&gt;=INPUTS!$B$32,"",MAX(0,C17-D17)))</f>
        <v/>
      </c>
      <c r="F17" s="48" t="str">
        <f aca="false">IF(INPUTS!$B$32=0,"",IF(13&gt;=INPUTS!$B$32,"",L16))</f>
        <v/>
      </c>
      <c r="G17" s="48" t="str">
        <f aca="false">IF(INPUTS!$B$32=0,"",IF(13&gt;=INPUTS!$B$32,"",M16))</f>
        <v/>
      </c>
      <c r="H17" s="48" t="str">
        <f aca="false">IF(INPUTS!$B$32=0,"",IF(13&gt;=INPUTS!$B$32,"",N16))</f>
        <v/>
      </c>
      <c r="I17" s="48" t="str">
        <f aca="false">IF(INPUTS!$B$32=0,"",IF(13&gt;=INPUTS!$B$32,"",MIN(E17,F17)))</f>
        <v/>
      </c>
      <c r="J17" s="48" t="str">
        <f aca="false">IF(INPUTS!$B$32=0,"",IF(13&gt;=INPUTS!$B$32,"",MIN(E17-I17,G17)))</f>
        <v/>
      </c>
      <c r="K17" s="48" t="str">
        <f aca="false">IF(INPUTS!$B$32=0,"",IF(13&gt;=INPUTS!$B$32,"",MIN(E17-I17-J17,H17)))</f>
        <v/>
      </c>
      <c r="L17" s="48" t="str">
        <f aca="false">IF(INPUTS!$B$32=0,"",IF(13&gt;=INPUTS!$B$32,"",(F17-I17)*(1+INPUTS!$B$28)))</f>
        <v/>
      </c>
      <c r="M17" s="48" t="str">
        <f aca="false">IF(INPUTS!$B$32=0,"",IF(13&gt;=INPUTS!$B$32,"",(G17-J17)*(1+INPUTS!$B$28)))</f>
        <v/>
      </c>
      <c r="N17" s="48" t="str">
        <f aca="false">IF(INPUTS!$B$32=0,"",IF(13&gt;=INPUTS!$B$32,"",(H17-K17)*(1+INPUTS!$B$28)))</f>
        <v/>
      </c>
      <c r="O17" s="48" t="str">
        <f aca="false">IF(INPUTS!$B$32=0,"",IF(13&gt;=INPUTS!$B$32,"",L17+M17+N17))</f>
        <v/>
      </c>
    </row>
    <row r="18" customFormat="false" ht="18.75" hidden="false" customHeight="true" outlineLevel="0" collapsed="false">
      <c r="A18" s="45" t="str">
        <f aca="false">IF(INPUTS!$B$32=0,"",IF(14&gt;=INPUTS!$B$32,"",INPUTS!$B$12+(INPUTS!$B$6-INPUTS!$B$5)+14))</f>
        <v/>
      </c>
      <c r="B18" s="45" t="str">
        <f aca="false">IF(INPUTS!$B$32=0,"",IF(14&gt;=INPUTS!$B$32,"",INPUTS!$B$6+14))</f>
        <v/>
      </c>
      <c r="C18" s="46" t="str">
        <f aca="false">IF(INPUTS!$B$32=0,"",IF(14&gt;=INPUTS!$B$32,"",INPUTS!$B$22*(1+INPUTS!$B$23)^(INPUTS!$B$6-INPUTS!$B$5+14)))</f>
        <v/>
      </c>
      <c r="D18" s="46" t="str">
        <f aca="false">IF(INPUTS!$B$32=0,"",IF(14&gt;=INPUTS!$B$32,"",INPUTS!$B$24))</f>
        <v/>
      </c>
      <c r="E18" s="46" t="str">
        <f aca="false">IF(INPUTS!$B$32=0,"",IF(14&gt;=INPUTS!$B$32,"",MAX(0,C18-D18)))</f>
        <v/>
      </c>
      <c r="F18" s="46" t="str">
        <f aca="false">IF(INPUTS!$B$32=0,"",IF(14&gt;=INPUTS!$B$32,"",L17))</f>
        <v/>
      </c>
      <c r="G18" s="46" t="str">
        <f aca="false">IF(INPUTS!$B$32=0,"",IF(14&gt;=INPUTS!$B$32,"",M17))</f>
        <v/>
      </c>
      <c r="H18" s="46" t="str">
        <f aca="false">IF(INPUTS!$B$32=0,"",IF(14&gt;=INPUTS!$B$32,"",N17))</f>
        <v/>
      </c>
      <c r="I18" s="46" t="str">
        <f aca="false">IF(INPUTS!$B$32=0,"",IF(14&gt;=INPUTS!$B$32,"",MIN(E18,F18)))</f>
        <v/>
      </c>
      <c r="J18" s="46" t="str">
        <f aca="false">IF(INPUTS!$B$32=0,"",IF(14&gt;=INPUTS!$B$32,"",MIN(E18-I18,G18)))</f>
        <v/>
      </c>
      <c r="K18" s="46" t="str">
        <f aca="false">IF(INPUTS!$B$32=0,"",IF(14&gt;=INPUTS!$B$32,"",MIN(E18-I18-J18,H18)))</f>
        <v/>
      </c>
      <c r="L18" s="46" t="str">
        <f aca="false">IF(INPUTS!$B$32=0,"",IF(14&gt;=INPUTS!$B$32,"",(F18-I18)*(1+INPUTS!$B$28)))</f>
        <v/>
      </c>
      <c r="M18" s="46" t="str">
        <f aca="false">IF(INPUTS!$B$32=0,"",IF(14&gt;=INPUTS!$B$32,"",(G18-J18)*(1+INPUTS!$B$28)))</f>
        <v/>
      </c>
      <c r="N18" s="46" t="str">
        <f aca="false">IF(INPUTS!$B$32=0,"",IF(14&gt;=INPUTS!$B$32,"",(H18-K18)*(1+INPUTS!$B$28)))</f>
        <v/>
      </c>
      <c r="O18" s="46" t="str">
        <f aca="false">IF(INPUTS!$B$32=0,"",IF(14&gt;=INPUTS!$B$32,"",L18+M18+N18))</f>
        <v/>
      </c>
    </row>
    <row r="19" customFormat="false" ht="18.75" hidden="false" customHeight="true" outlineLevel="0" collapsed="false">
      <c r="A19" s="4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</row>
    <row r="20" customFormat="false" ht="21.75" hidden="false" customHeight="true" outlineLevel="0" collapsed="false">
      <c r="A20" s="49" t="s">
        <v>85</v>
      </c>
      <c r="B20" s="50"/>
      <c r="C20" s="51" t="n">
        <f aca="false">IF(INPUTS!$B$32=0,INPUTS!$B$22,IFERROR(LOOKUP(9.99E+307,C4:C18),INPUTS!$B$22))</f>
        <v>65377.7164517517</v>
      </c>
      <c r="D20" s="50"/>
      <c r="E20" s="50"/>
      <c r="F20" s="50"/>
      <c r="G20" s="50"/>
      <c r="H20" s="50"/>
      <c r="I20" s="50"/>
      <c r="J20" s="50"/>
      <c r="K20" s="50"/>
      <c r="L20" s="51" t="n">
        <f aca="false">IF(INPUTS!$B$32=0,INPUTS!$B$15+INPUTS!$B$18,IFERROR(LOOKUP(9.99E+307,L4:L18),INPUTS!$B$15+INPUTS!$B$18))</f>
        <v>205897.667929489</v>
      </c>
      <c r="M20" s="51" t="n">
        <f aca="false">IF(INPUTS!$B$32=0,INPUTS!$B$17,IFERROR(LOOKUP(9.99E+307,M4:M18),INPUTS!$B$17))</f>
        <v>205512.999512344</v>
      </c>
      <c r="N20" s="51" t="n">
        <f aca="false">IF(INPUTS!$B$32=0,INPUTS!$B$16,IFERROR(LOOKUP(9.99E+307,N4:N18),INPUTS!$B$16))</f>
        <v>890556.331220156</v>
      </c>
      <c r="O20" s="50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D52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15"/>
    <col collapsed="false" customWidth="true" hidden="false" outlineLevel="0" max="7" min="7" style="1" width="30"/>
  </cols>
  <sheetData>
    <row r="1" customFormat="false" ht="30" hidden="false" customHeight="true" outlineLevel="0" collapsed="false">
      <c r="A1" s="42" t="s">
        <v>86</v>
      </c>
      <c r="B1" s="42"/>
      <c r="C1" s="42"/>
      <c r="D1" s="42"/>
      <c r="E1" s="42"/>
      <c r="F1" s="42"/>
      <c r="G1" s="42"/>
    </row>
    <row r="2" customFormat="false" ht="15.75" hidden="false" customHeight="true" outlineLevel="0" collapsed="false">
      <c r="A2" s="7" t="str">
        <f aca="false">IF(INPUTS!B9="MFJ","Using 2026 MFJ brackets + $30,000 standard deduction.","Using 2026 Single brackets + $15,000 standard deduction.")</f>
        <v>Using 2026 MFJ brackets + $30,000 standard deduction.</v>
      </c>
      <c r="B2" s="52"/>
      <c r="C2" s="52"/>
      <c r="D2" s="52"/>
      <c r="E2" s="52"/>
      <c r="F2" s="52"/>
      <c r="G2" s="52"/>
    </row>
    <row r="3" customFormat="false" ht="15" hidden="false" customHeight="true" outlineLevel="0" collapsed="false">
      <c r="A3" s="52"/>
      <c r="B3" s="52"/>
      <c r="C3" s="52"/>
      <c r="D3" s="52"/>
      <c r="E3" s="52"/>
      <c r="F3" s="52"/>
      <c r="G3" s="52"/>
    </row>
    <row r="4" customFormat="false" ht="21.75" hidden="false" customHeight="true" outlineLevel="0" collapsed="false">
      <c r="A4" s="21" t="s">
        <v>87</v>
      </c>
      <c r="B4" s="52"/>
      <c r="C4" s="52"/>
      <c r="D4" s="52"/>
      <c r="E4" s="52"/>
      <c r="F4" s="52"/>
      <c r="G4" s="52"/>
    </row>
    <row r="5" customFormat="false" ht="27.75" hidden="false" customHeight="true" outlineLevel="0" collapsed="false">
      <c r="A5" s="44" t="s">
        <v>88</v>
      </c>
      <c r="B5" s="44" t="s">
        <v>89</v>
      </c>
      <c r="C5" s="44" t="s">
        <v>90</v>
      </c>
      <c r="D5" s="44" t="s">
        <v>91</v>
      </c>
      <c r="E5" s="52"/>
      <c r="F5" s="52"/>
      <c r="G5" s="52"/>
    </row>
    <row r="6" customFormat="false" ht="18" hidden="false" customHeight="true" outlineLevel="0" collapsed="false">
      <c r="A6" s="53" t="n">
        <v>0.1</v>
      </c>
      <c r="B6" s="54" t="n">
        <f aca="false">IF(INPUTS!$B$9="MFJ",0,0)</f>
        <v>0</v>
      </c>
      <c r="C6" s="54" t="n">
        <f aca="false">IF(INPUTS!$B$9="MFJ",23850,11925)</f>
        <v>23850</v>
      </c>
      <c r="D6" s="53" t="n">
        <v>0.1</v>
      </c>
      <c r="E6" s="52"/>
      <c r="F6" s="52"/>
      <c r="G6" s="52"/>
    </row>
    <row r="7" customFormat="false" ht="18" hidden="false" customHeight="true" outlineLevel="0" collapsed="false">
      <c r="A7" s="55" t="n">
        <v>0.12</v>
      </c>
      <c r="B7" s="56" t="n">
        <f aca="false">IF(INPUTS!$B$9="MFJ",23850,11925)</f>
        <v>23850</v>
      </c>
      <c r="C7" s="56" t="n">
        <f aca="false">IF(INPUTS!$B$9="MFJ",96950,48475)</f>
        <v>96950</v>
      </c>
      <c r="D7" s="55" t="n">
        <v>0.02</v>
      </c>
      <c r="E7" s="52"/>
      <c r="F7" s="52"/>
      <c r="G7" s="52"/>
    </row>
    <row r="8" customFormat="false" ht="18" hidden="false" customHeight="true" outlineLevel="0" collapsed="false">
      <c r="A8" s="53" t="n">
        <v>0.22</v>
      </c>
      <c r="B8" s="54" t="n">
        <f aca="false">IF(INPUTS!$B$9="MFJ",96950,48475)</f>
        <v>96950</v>
      </c>
      <c r="C8" s="54" t="n">
        <f aca="false">IF(INPUTS!$B$9="MFJ",206700,103350)</f>
        <v>206700</v>
      </c>
      <c r="D8" s="53" t="n">
        <v>0.1</v>
      </c>
      <c r="E8" s="52"/>
      <c r="F8" s="52"/>
      <c r="G8" s="52"/>
    </row>
    <row r="9" customFormat="false" ht="18" hidden="false" customHeight="true" outlineLevel="0" collapsed="false">
      <c r="A9" s="55" t="n">
        <v>0.24</v>
      </c>
      <c r="B9" s="56" t="n">
        <f aca="false">IF(INPUTS!$B$9="MFJ",206700,103350)</f>
        <v>206700</v>
      </c>
      <c r="C9" s="56" t="n">
        <f aca="false">IF(INPUTS!$B$9="MFJ",394600,197300)</f>
        <v>394600</v>
      </c>
      <c r="D9" s="55" t="n">
        <v>0.02</v>
      </c>
      <c r="E9" s="52"/>
      <c r="F9" s="52"/>
      <c r="G9" s="52"/>
    </row>
    <row r="10" customFormat="false" ht="18" hidden="false" customHeight="true" outlineLevel="0" collapsed="false">
      <c r="A10" s="53" t="n">
        <v>0.32</v>
      </c>
      <c r="B10" s="54" t="n">
        <f aca="false">IF(INPUTS!$B$9="MFJ",394600,197300)</f>
        <v>394600</v>
      </c>
      <c r="C10" s="54" t="n">
        <f aca="false">IF(INPUTS!$B$9="MFJ",501050,250525)</f>
        <v>501050</v>
      </c>
      <c r="D10" s="53" t="n">
        <v>0.08</v>
      </c>
      <c r="E10" s="52"/>
      <c r="F10" s="52"/>
      <c r="G10" s="52"/>
    </row>
    <row r="11" customFormat="false" ht="18" hidden="false" customHeight="true" outlineLevel="0" collapsed="false">
      <c r="A11" s="55" t="n">
        <v>0.35</v>
      </c>
      <c r="B11" s="56" t="n">
        <f aca="false">IF(INPUTS!$B$9="MFJ",501050,250525)</f>
        <v>501050</v>
      </c>
      <c r="C11" s="56" t="n">
        <f aca="false">IF(INPUTS!$B$9="MFJ",751600,375800)</f>
        <v>751600</v>
      </c>
      <c r="D11" s="55" t="n">
        <v>0.03</v>
      </c>
      <c r="E11" s="52"/>
      <c r="F11" s="52"/>
      <c r="G11" s="52"/>
    </row>
    <row r="12" customFormat="false" ht="18" hidden="false" customHeight="true" outlineLevel="0" collapsed="false">
      <c r="A12" s="53" t="n">
        <v>0.37</v>
      </c>
      <c r="B12" s="54" t="n">
        <f aca="false">IF(INPUTS!$B$9="MFJ",751600,375800)</f>
        <v>751600</v>
      </c>
      <c r="C12" s="54" t="n">
        <f aca="false">IF(INPUTS!$B$9="MFJ",99999999,99999999)</f>
        <v>99999999</v>
      </c>
      <c r="D12" s="53" t="n">
        <v>0.02</v>
      </c>
      <c r="E12" s="52"/>
      <c r="F12" s="52"/>
      <c r="G12" s="52"/>
    </row>
    <row r="13" customFormat="false" ht="9.75" hidden="false" customHeight="true" outlineLevel="0" collapsed="false">
      <c r="A13" s="57"/>
      <c r="B13" s="57"/>
      <c r="C13" s="57"/>
      <c r="D13" s="57"/>
      <c r="E13" s="57"/>
      <c r="F13" s="57"/>
      <c r="G13" s="57"/>
    </row>
    <row r="14" customFormat="false" ht="24" hidden="false" customHeight="true" outlineLevel="0" collapsed="false">
      <c r="A14" s="58" t="s">
        <v>92</v>
      </c>
      <c r="B14" s="59"/>
      <c r="C14" s="59"/>
      <c r="D14" s="59"/>
      <c r="E14" s="59"/>
      <c r="F14" s="59"/>
      <c r="G14" s="59"/>
    </row>
    <row r="15" customFormat="false" ht="3.75" hidden="false" customHeight="true" outlineLevel="0" collapsed="false">
      <c r="A15" s="60"/>
      <c r="B15" s="61"/>
      <c r="C15" s="61"/>
      <c r="D15" s="61"/>
      <c r="E15" s="61"/>
      <c r="F15" s="61"/>
      <c r="G15" s="59"/>
    </row>
    <row r="16" customFormat="false" ht="21.75" hidden="false" customHeight="true" outlineLevel="0" collapsed="false">
      <c r="A16" s="62" t="s">
        <v>70</v>
      </c>
      <c r="B16" s="63" t="s">
        <v>93</v>
      </c>
      <c r="C16" s="63" t="s">
        <v>94</v>
      </c>
      <c r="D16" s="63" t="s">
        <v>95</v>
      </c>
      <c r="E16" s="63" t="s">
        <v>96</v>
      </c>
      <c r="F16" s="63" t="s">
        <v>97</v>
      </c>
      <c r="G16" s="64" t="s">
        <v>98</v>
      </c>
    </row>
    <row r="17" customFormat="false" ht="18.75" hidden="false" customHeight="true" outlineLevel="0" collapsed="false">
      <c r="A17" s="45" t="n">
        <f aca="false">BRIDGE!A4</f>
        <v>2029</v>
      </c>
      <c r="B17" s="65" t="n">
        <f aca="false">IF(BRIDGE!A4="","",BRIDGE!K4+'ROTH LADDER'!D6)</f>
        <v>81760</v>
      </c>
      <c r="C17" s="65" t="n">
        <f aca="false">IF(A17="","",INPUTS!$B$34)</f>
        <v>30000</v>
      </c>
      <c r="D17" s="65" t="n">
        <f aca="false">IF(A17="","",MAX(0,B17-C17))</f>
        <v>51760</v>
      </c>
      <c r="E17" s="65" t="n">
        <f aca="false">IF(A17="","",SUMPRODUCT(((D17-$B$6:$B$12)&gt;0)*(D17-$B$6:$B$12)*$D$6:$D$12))</f>
        <v>5734.2</v>
      </c>
      <c r="F17" s="65" t="n">
        <f aca="false">IF(A17="","",D17*INPUTS!$B$11)</f>
        <v>0</v>
      </c>
      <c r="G17" s="65"/>
    </row>
    <row r="18" customFormat="false" ht="18.75" hidden="false" customHeight="true" outlineLevel="0" collapsed="false">
      <c r="A18" s="47" t="n">
        <f aca="false">BRIDGE!A5</f>
        <v>2030</v>
      </c>
      <c r="B18" s="66" t="n">
        <f aca="false">IF(BRIDGE!A5="","",BRIDGE!K5+'ROTH LADDER'!D7)</f>
        <v>81760</v>
      </c>
      <c r="C18" s="66" t="n">
        <f aca="false">IF(A18="","",INPUTS!$B$34)</f>
        <v>30000</v>
      </c>
      <c r="D18" s="66" t="n">
        <f aca="false">IF(A18="","",MAX(0,B18-C18))</f>
        <v>51760</v>
      </c>
      <c r="E18" s="66" t="n">
        <f aca="false">IF(A18="","",SUMPRODUCT(((D18-$B$6:$B$12)&gt;0)*(D18-$B$6:$B$12)*$D$6:$D$12))</f>
        <v>5734.2</v>
      </c>
      <c r="F18" s="66" t="n">
        <f aca="false">IF(A18="","",D18*INPUTS!$B$11)</f>
        <v>0</v>
      </c>
      <c r="G18" s="66"/>
    </row>
    <row r="19" customFormat="false" ht="18.75" hidden="false" customHeight="true" outlineLevel="0" collapsed="false">
      <c r="A19" s="45" t="n">
        <f aca="false">BRIDGE!A6</f>
        <v>2031</v>
      </c>
      <c r="B19" s="65" t="n">
        <f aca="false">IF(BRIDGE!A6="","",BRIDGE!K6+'ROTH LADDER'!D8)</f>
        <v>81760</v>
      </c>
      <c r="C19" s="65" t="n">
        <f aca="false">IF(A19="","",INPUTS!$B$34)</f>
        <v>30000</v>
      </c>
      <c r="D19" s="65" t="n">
        <f aca="false">IF(A19="","",MAX(0,B19-C19))</f>
        <v>51760</v>
      </c>
      <c r="E19" s="65" t="n">
        <f aca="false">IF(A19="","",SUMPRODUCT(((D19-$B$6:$B$12)&gt;0)*(D19-$B$6:$B$12)*$D$6:$D$12))</f>
        <v>5734.2</v>
      </c>
      <c r="F19" s="65" t="n">
        <f aca="false">IF(A19="","",D19*INPUTS!$B$11)</f>
        <v>0</v>
      </c>
      <c r="G19" s="65"/>
    </row>
    <row r="20" customFormat="false" ht="18.75" hidden="false" customHeight="true" outlineLevel="0" collapsed="false">
      <c r="A20" s="47" t="n">
        <f aca="false">BRIDGE!A7</f>
        <v>2032</v>
      </c>
      <c r="B20" s="66" t="n">
        <f aca="false">IF(BRIDGE!A7="","",BRIDGE!K7+'ROTH LADDER'!D9)</f>
        <v>81760</v>
      </c>
      <c r="C20" s="66" t="n">
        <f aca="false">IF(A20="","",INPUTS!$B$34)</f>
        <v>30000</v>
      </c>
      <c r="D20" s="66" t="n">
        <f aca="false">IF(A20="","",MAX(0,B20-C20))</f>
        <v>51760</v>
      </c>
      <c r="E20" s="66" t="n">
        <f aca="false">IF(A20="","",SUMPRODUCT(((D20-$B$6:$B$12)&gt;0)*(D20-$B$6:$B$12)*$D$6:$D$12))</f>
        <v>5734.2</v>
      </c>
      <c r="F20" s="66" t="n">
        <f aca="false">IF(A20="","",D20*INPUTS!$B$11)</f>
        <v>0</v>
      </c>
      <c r="G20" s="66"/>
    </row>
    <row r="21" customFormat="false" ht="18.75" hidden="false" customHeight="true" outlineLevel="0" collapsed="false">
      <c r="A21" s="45" t="n">
        <f aca="false">BRIDGE!A8</f>
        <v>2033</v>
      </c>
      <c r="B21" s="65" t="n">
        <f aca="false">IF(BRIDGE!A8="","",BRIDGE!K8+'ROTH LADDER'!D10)</f>
        <v>81760</v>
      </c>
      <c r="C21" s="65" t="n">
        <f aca="false">IF(A21="","",INPUTS!$B$34)</f>
        <v>30000</v>
      </c>
      <c r="D21" s="65" t="n">
        <f aca="false">IF(A21="","",MAX(0,B21-C21))</f>
        <v>51760</v>
      </c>
      <c r="E21" s="65" t="n">
        <f aca="false">IF(A21="","",SUMPRODUCT(((D21-$B$6:$B$12)&gt;0)*(D21-$B$6:$B$12)*$D$6:$D$12))</f>
        <v>5734.2</v>
      </c>
      <c r="F21" s="65" t="n">
        <f aca="false">IF(A21="","",D21*INPUTS!$B$11)</f>
        <v>0</v>
      </c>
      <c r="G21" s="65"/>
    </row>
    <row r="22" customFormat="false" ht="18.75" hidden="false" customHeight="true" outlineLevel="0" collapsed="false">
      <c r="A22" s="47" t="str">
        <f aca="false">BRIDGE!A9</f>
        <v/>
      </c>
      <c r="B22" s="66" t="str">
        <f aca="false">IF(BRIDGE!A9="","",BRIDGE!K9+'ROTH LADDER'!D11)</f>
        <v/>
      </c>
      <c r="C22" s="66" t="str">
        <f aca="false">IF(A22="","",INPUTS!$B$34)</f>
        <v/>
      </c>
      <c r="D22" s="66" t="str">
        <f aca="false">IF(A22="","",MAX(0,B22-C22))</f>
        <v/>
      </c>
      <c r="E22" s="66" t="str">
        <f aca="false">IF(A22="","",SUMPRODUCT(((D22-$B$6:$B$12)&gt;0)*(D22-$B$6:$B$12)*$D$6:$D$12))</f>
        <v/>
      </c>
      <c r="F22" s="66" t="str">
        <f aca="false">IF(A22="","",D22*INPUTS!$B$11)</f>
        <v/>
      </c>
      <c r="G22" s="66"/>
    </row>
    <row r="23" customFormat="false" ht="18.75" hidden="false" customHeight="true" outlineLevel="0" collapsed="false">
      <c r="A23" s="45" t="str">
        <f aca="false">BRIDGE!A10</f>
        <v/>
      </c>
      <c r="B23" s="65" t="str">
        <f aca="false">IF(BRIDGE!A10="","",BRIDGE!K10+'ROTH LADDER'!D12)</f>
        <v/>
      </c>
      <c r="C23" s="65" t="str">
        <f aca="false">IF(A23="","",INPUTS!$B$34)</f>
        <v/>
      </c>
      <c r="D23" s="65" t="str">
        <f aca="false">IF(A23="","",MAX(0,B23-C23))</f>
        <v/>
      </c>
      <c r="E23" s="65" t="str">
        <f aca="false">IF(A23="","",SUMPRODUCT(((D23-$B$6:$B$12)&gt;0)*(D23-$B$6:$B$12)*$D$6:$D$12))</f>
        <v/>
      </c>
      <c r="F23" s="65" t="str">
        <f aca="false">IF(A23="","",D23*INPUTS!$B$11)</f>
        <v/>
      </c>
      <c r="G23" s="65"/>
    </row>
    <row r="24" customFormat="false" ht="18.75" hidden="false" customHeight="true" outlineLevel="0" collapsed="false">
      <c r="A24" s="47" t="str">
        <f aca="false">BRIDGE!A11</f>
        <v/>
      </c>
      <c r="B24" s="66" t="str">
        <f aca="false">IF(BRIDGE!A11="","",BRIDGE!K11+'ROTH LADDER'!D13)</f>
        <v/>
      </c>
      <c r="C24" s="66" t="str">
        <f aca="false">IF(A24="","",INPUTS!$B$34)</f>
        <v/>
      </c>
      <c r="D24" s="66" t="str">
        <f aca="false">IF(A24="","",MAX(0,B24-C24))</f>
        <v/>
      </c>
      <c r="E24" s="66" t="str">
        <f aca="false">IF(A24="","",SUMPRODUCT(((D24-$B$6:$B$12)&gt;0)*(D24-$B$6:$B$12)*$D$6:$D$12))</f>
        <v/>
      </c>
      <c r="F24" s="66" t="str">
        <f aca="false">IF(A24="","",D24*INPUTS!$B$11)</f>
        <v/>
      </c>
      <c r="G24" s="66"/>
    </row>
    <row r="25" customFormat="false" ht="18.75" hidden="false" customHeight="true" outlineLevel="0" collapsed="false">
      <c r="A25" s="45" t="str">
        <f aca="false">BRIDGE!A12</f>
        <v/>
      </c>
      <c r="B25" s="65" t="str">
        <f aca="false">IF(BRIDGE!A12="","",BRIDGE!K12+'ROTH LADDER'!D14)</f>
        <v/>
      </c>
      <c r="C25" s="65" t="str">
        <f aca="false">IF(A25="","",INPUTS!$B$34)</f>
        <v/>
      </c>
      <c r="D25" s="65" t="str">
        <f aca="false">IF(A25="","",MAX(0,B25-C25))</f>
        <v/>
      </c>
      <c r="E25" s="65" t="str">
        <f aca="false">IF(A25="","",SUMPRODUCT(((D25-$B$6:$B$12)&gt;0)*(D25-$B$6:$B$12)*$D$6:$D$12))</f>
        <v/>
      </c>
      <c r="F25" s="65" t="str">
        <f aca="false">IF(A25="","",D25*INPUTS!$B$11)</f>
        <v/>
      </c>
      <c r="G25" s="65"/>
    </row>
    <row r="26" customFormat="false" ht="18.75" hidden="false" customHeight="true" outlineLevel="0" collapsed="false">
      <c r="A26" s="47" t="str">
        <f aca="false">BRIDGE!A13</f>
        <v/>
      </c>
      <c r="B26" s="66" t="str">
        <f aca="false">IF(BRIDGE!A13="","",BRIDGE!K13+'ROTH LADDER'!D15)</f>
        <v/>
      </c>
      <c r="C26" s="66" t="str">
        <f aca="false">IF(A26="","",INPUTS!$B$34)</f>
        <v/>
      </c>
      <c r="D26" s="66" t="str">
        <f aca="false">IF(A26="","",MAX(0,B26-C26))</f>
        <v/>
      </c>
      <c r="E26" s="66" t="str">
        <f aca="false">IF(A26="","",SUMPRODUCT(((D26-$B$6:$B$12)&gt;0)*(D26-$B$6:$B$12)*$D$6:$D$12))</f>
        <v/>
      </c>
      <c r="F26" s="66" t="str">
        <f aca="false">IF(A26="","",D26*INPUTS!$B$11)</f>
        <v/>
      </c>
      <c r="G26" s="66"/>
    </row>
    <row r="27" customFormat="false" ht="18.75" hidden="false" customHeight="true" outlineLevel="0" collapsed="false">
      <c r="A27" s="45" t="str">
        <f aca="false">BRIDGE!A14</f>
        <v/>
      </c>
      <c r="B27" s="65" t="str">
        <f aca="false">IF(BRIDGE!A14="","",BRIDGE!K14+'ROTH LADDER'!D16)</f>
        <v/>
      </c>
      <c r="C27" s="65" t="str">
        <f aca="false">IF(A27="","",INPUTS!$B$34)</f>
        <v/>
      </c>
      <c r="D27" s="65" t="str">
        <f aca="false">IF(A27="","",MAX(0,B27-C27))</f>
        <v/>
      </c>
      <c r="E27" s="65" t="str">
        <f aca="false">IF(A27="","",SUMPRODUCT(((D27-$B$6:$B$12)&gt;0)*(D27-$B$6:$B$12)*$D$6:$D$12))</f>
        <v/>
      </c>
      <c r="F27" s="65" t="str">
        <f aca="false">IF(A27="","",D27*INPUTS!$B$11)</f>
        <v/>
      </c>
      <c r="G27" s="65"/>
    </row>
    <row r="28" customFormat="false" ht="18.75" hidden="false" customHeight="true" outlineLevel="0" collapsed="false">
      <c r="A28" s="47" t="str">
        <f aca="false">BRIDGE!A15</f>
        <v/>
      </c>
      <c r="B28" s="66" t="str">
        <f aca="false">IF(BRIDGE!A15="","",BRIDGE!K15+'ROTH LADDER'!D17)</f>
        <v/>
      </c>
      <c r="C28" s="66" t="str">
        <f aca="false">IF(A28="","",INPUTS!$B$34)</f>
        <v/>
      </c>
      <c r="D28" s="66" t="str">
        <f aca="false">IF(A28="","",MAX(0,B28-C28))</f>
        <v/>
      </c>
      <c r="E28" s="66" t="str">
        <f aca="false">IF(A28="","",SUMPRODUCT(((D28-$B$6:$B$12)&gt;0)*(D28-$B$6:$B$12)*$D$6:$D$12))</f>
        <v/>
      </c>
      <c r="F28" s="66" t="str">
        <f aca="false">IF(A28="","",D28*INPUTS!$B$11)</f>
        <v/>
      </c>
      <c r="G28" s="66"/>
    </row>
    <row r="29" customFormat="false" ht="18.75" hidden="false" customHeight="true" outlineLevel="0" collapsed="false">
      <c r="A29" s="45" t="str">
        <f aca="false">BRIDGE!A16</f>
        <v/>
      </c>
      <c r="B29" s="65" t="str">
        <f aca="false">IF(BRIDGE!A16="","",BRIDGE!K16+'ROTH LADDER'!D18)</f>
        <v/>
      </c>
      <c r="C29" s="65" t="str">
        <f aca="false">IF(A29="","",INPUTS!$B$34)</f>
        <v/>
      </c>
      <c r="D29" s="65" t="str">
        <f aca="false">IF(A29="","",MAX(0,B29-C29))</f>
        <v/>
      </c>
      <c r="E29" s="65" t="str">
        <f aca="false">IF(A29="","",SUMPRODUCT(((D29-$B$6:$B$12)&gt;0)*(D29-$B$6:$B$12)*$D$6:$D$12))</f>
        <v/>
      </c>
      <c r="F29" s="65" t="str">
        <f aca="false">IF(A29="","",D29*INPUTS!$B$11)</f>
        <v/>
      </c>
      <c r="G29" s="65"/>
    </row>
    <row r="30" customFormat="false" ht="18.75" hidden="false" customHeight="true" outlineLevel="0" collapsed="false">
      <c r="A30" s="47" t="str">
        <f aca="false">BRIDGE!A17</f>
        <v/>
      </c>
      <c r="B30" s="66" t="str">
        <f aca="false">IF(BRIDGE!A17="","",BRIDGE!K17+'ROTH LADDER'!D19)</f>
        <v/>
      </c>
      <c r="C30" s="66" t="str">
        <f aca="false">IF(A30="","",INPUTS!$B$34)</f>
        <v/>
      </c>
      <c r="D30" s="66" t="str">
        <f aca="false">IF(A30="","",MAX(0,B30-C30))</f>
        <v/>
      </c>
      <c r="E30" s="66" t="str">
        <f aca="false">IF(A30="","",SUMPRODUCT(((D30-$B$6:$B$12)&gt;0)*(D30-$B$6:$B$12)*$D$6:$D$12))</f>
        <v/>
      </c>
      <c r="F30" s="66" t="str">
        <f aca="false">IF(A30="","",D30*INPUTS!$B$11)</f>
        <v/>
      </c>
      <c r="G30" s="66"/>
    </row>
    <row r="31" customFormat="false" ht="18.75" hidden="false" customHeight="true" outlineLevel="0" collapsed="false">
      <c r="A31" s="45" t="str">
        <f aca="false">BRIDGE!A18</f>
        <v/>
      </c>
      <c r="B31" s="65" t="str">
        <f aca="false">IF(BRIDGE!A18="","",BRIDGE!K18+'ROTH LADDER'!D20)</f>
        <v/>
      </c>
      <c r="C31" s="65" t="str">
        <f aca="false">IF(A31="","",INPUTS!$B$34)</f>
        <v/>
      </c>
      <c r="D31" s="65" t="str">
        <f aca="false">IF(A31="","",MAX(0,B31-C31))</f>
        <v/>
      </c>
      <c r="E31" s="65" t="str">
        <f aca="false">IF(A31="","",SUMPRODUCT(((D31-$B$6:$B$12)&gt;0)*(D31-$B$6:$B$12)*$D$6:$D$12))</f>
        <v/>
      </c>
      <c r="F31" s="65" t="str">
        <f aca="false">IF(A31="","",D31*INPUTS!$B$11)</f>
        <v/>
      </c>
      <c r="G31" s="65"/>
    </row>
    <row r="32" customFormat="false" ht="1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32"/>
    <col collapsed="false" customWidth="true" hidden="false" outlineLevel="0" max="8" min="8" style="1" width="22"/>
  </cols>
  <sheetData>
    <row r="1" customFormat="false" ht="30" hidden="false" customHeight="true" outlineLevel="0" collapsed="false">
      <c r="A1" s="42" t="s">
        <v>99</v>
      </c>
      <c r="B1" s="42"/>
      <c r="C1" s="42"/>
      <c r="D1" s="42"/>
      <c r="E1" s="42"/>
      <c r="F1" s="42"/>
      <c r="G1" s="42"/>
      <c r="H1" s="42"/>
    </row>
    <row r="2" customFormat="false" ht="15.75" hidden="false" customHeight="true" outlineLevel="0" collapsed="false">
      <c r="A2" s="19" t="s">
        <v>100</v>
      </c>
      <c r="B2" s="52"/>
      <c r="C2" s="52"/>
      <c r="D2" s="52"/>
      <c r="E2" s="52"/>
      <c r="F2" s="52"/>
      <c r="G2" s="52"/>
      <c r="H2" s="52"/>
    </row>
    <row r="3" customFormat="false" ht="27.75" hidden="false" customHeight="true" outlineLevel="0" collapsed="false">
      <c r="A3" s="67" t="s">
        <v>101</v>
      </c>
      <c r="B3" s="67"/>
      <c r="C3" s="67"/>
      <c r="D3" s="67"/>
      <c r="E3" s="67"/>
      <c r="F3" s="67"/>
      <c r="G3" s="67"/>
      <c r="H3" s="67"/>
    </row>
    <row r="4" customFormat="false" ht="15" hidden="false" customHeight="true" outlineLevel="0" collapsed="false">
      <c r="A4" s="52"/>
      <c r="B4" s="52"/>
      <c r="C4" s="52"/>
      <c r="D4" s="52"/>
      <c r="E4" s="52"/>
      <c r="F4" s="52"/>
      <c r="G4" s="52"/>
      <c r="H4" s="52"/>
    </row>
    <row r="5" customFormat="false" ht="27.75" hidden="false" customHeight="true" outlineLevel="0" collapsed="false">
      <c r="A5" s="44" t="s">
        <v>70</v>
      </c>
      <c r="B5" s="44" t="s">
        <v>71</v>
      </c>
      <c r="C5" s="44" t="s">
        <v>102</v>
      </c>
      <c r="D5" s="44" t="s">
        <v>103</v>
      </c>
      <c r="E5" s="44" t="s">
        <v>104</v>
      </c>
      <c r="F5" s="44" t="s">
        <v>105</v>
      </c>
      <c r="G5" s="44" t="s">
        <v>106</v>
      </c>
      <c r="H5" s="44" t="s">
        <v>107</v>
      </c>
    </row>
    <row r="6" customFormat="false" ht="18.75" hidden="false" customHeight="true" outlineLevel="0" collapsed="false">
      <c r="A6" s="68" t="n">
        <f aca="false">BRIDGE!A4</f>
        <v>2029</v>
      </c>
      <c r="B6" s="68" t="n">
        <f aca="false">BRIDGE!B4</f>
        <v>55</v>
      </c>
      <c r="C6" s="54" t="n">
        <f aca="false">IF(A6="","",MAX(0,'TAX ESTIMATE'!$C$7-MAX(0,BRIDGE!K4-INPUTS!$B$34)))</f>
        <v>96950</v>
      </c>
      <c r="D6" s="54" t="n">
        <f aca="false">IF(A6="","",MAX(0,MIN(C6,81760-BRIDGE!K4)))</f>
        <v>81760</v>
      </c>
      <c r="E6" s="54" t="n">
        <f aca="false">IF(A6="","",D6*0.12)</f>
        <v>9811.2</v>
      </c>
      <c r="F6" s="54" t="n">
        <f aca="false">IF(A6="","",BRIDGE!K4+D6)</f>
        <v>81760</v>
      </c>
      <c r="G6" s="69" t="str">
        <f aca="false">IF(A6="","",IF(F6&gt;81760,"⚠ OVER CLIFF — trims subsidy to $0","✓ Under cliff"))</f>
        <v>✓ Under cliff</v>
      </c>
      <c r="H6" s="68" t="str">
        <f aca="false">IF(A6="","",A6+5&amp;" (5-yr rule)")</f>
        <v>2034 (5-yr rule)</v>
      </c>
    </row>
    <row r="7" customFormat="false" ht="18.75" hidden="false" customHeight="true" outlineLevel="0" collapsed="false">
      <c r="A7" s="70" t="n">
        <f aca="false">BRIDGE!A5</f>
        <v>2030</v>
      </c>
      <c r="B7" s="70" t="n">
        <f aca="false">BRIDGE!B5</f>
        <v>56</v>
      </c>
      <c r="C7" s="56" t="n">
        <f aca="false">IF(A7="","",MAX(0,'TAX ESTIMATE'!$C$7-MAX(0,BRIDGE!K5-INPUTS!$B$34)))</f>
        <v>96950</v>
      </c>
      <c r="D7" s="56" t="n">
        <f aca="false">IF(A7="","",MAX(0,MIN(C7,81760-BRIDGE!K5)))</f>
        <v>81760</v>
      </c>
      <c r="E7" s="56" t="n">
        <f aca="false">IF(A7="","",D7*0.12)</f>
        <v>9811.2</v>
      </c>
      <c r="F7" s="56" t="n">
        <f aca="false">IF(A7="","",BRIDGE!K5+D7)</f>
        <v>81760</v>
      </c>
      <c r="G7" s="69" t="str">
        <f aca="false">IF(A7="","",IF(F7&gt;81760,"⚠ OVER CLIFF — trims subsidy to $0","✓ Under cliff"))</f>
        <v>✓ Under cliff</v>
      </c>
      <c r="H7" s="70" t="str">
        <f aca="false">IF(A7="","",A7+5&amp;" (5-yr rule)")</f>
        <v>2035 (5-yr rule)</v>
      </c>
    </row>
    <row r="8" customFormat="false" ht="18.75" hidden="false" customHeight="true" outlineLevel="0" collapsed="false">
      <c r="A8" s="68" t="n">
        <f aca="false">BRIDGE!A6</f>
        <v>2031</v>
      </c>
      <c r="B8" s="68" t="n">
        <f aca="false">BRIDGE!B6</f>
        <v>57</v>
      </c>
      <c r="C8" s="54" t="n">
        <f aca="false">IF(A8="","",MAX(0,'TAX ESTIMATE'!$C$7-MAX(0,BRIDGE!K6-INPUTS!$B$34)))</f>
        <v>96950</v>
      </c>
      <c r="D8" s="54" t="n">
        <f aca="false">IF(A8="","",MAX(0,MIN(C8,81760-BRIDGE!K6)))</f>
        <v>81760</v>
      </c>
      <c r="E8" s="54" t="n">
        <f aca="false">IF(A8="","",D8*0.12)</f>
        <v>9811.2</v>
      </c>
      <c r="F8" s="54" t="n">
        <f aca="false">IF(A8="","",BRIDGE!K6+D8)</f>
        <v>81760</v>
      </c>
      <c r="G8" s="69" t="str">
        <f aca="false">IF(A8="","",IF(F8&gt;81760,"⚠ OVER CLIFF — trims subsidy to $0","✓ Under cliff"))</f>
        <v>✓ Under cliff</v>
      </c>
      <c r="H8" s="68" t="str">
        <f aca="false">IF(A8="","",A8+5&amp;" (5-yr rule)")</f>
        <v>2036 (5-yr rule)</v>
      </c>
    </row>
    <row r="9" customFormat="false" ht="18.75" hidden="false" customHeight="true" outlineLevel="0" collapsed="false">
      <c r="A9" s="70" t="n">
        <f aca="false">BRIDGE!A7</f>
        <v>2032</v>
      </c>
      <c r="B9" s="70" t="n">
        <f aca="false">BRIDGE!B7</f>
        <v>58</v>
      </c>
      <c r="C9" s="56" t="n">
        <f aca="false">IF(A9="","",MAX(0,'TAX ESTIMATE'!$C$7-MAX(0,BRIDGE!K7-INPUTS!$B$34)))</f>
        <v>96950</v>
      </c>
      <c r="D9" s="56" t="n">
        <f aca="false">IF(A9="","",MAX(0,MIN(C9,81760-BRIDGE!K7)))</f>
        <v>81760</v>
      </c>
      <c r="E9" s="56" t="n">
        <f aca="false">IF(A9="","",D9*0.12)</f>
        <v>9811.2</v>
      </c>
      <c r="F9" s="56" t="n">
        <f aca="false">IF(A9="","",BRIDGE!K7+D9)</f>
        <v>81760</v>
      </c>
      <c r="G9" s="69" t="str">
        <f aca="false">IF(A9="","",IF(F9&gt;81760,"⚠ OVER CLIFF — trims subsidy to $0","✓ Under cliff"))</f>
        <v>✓ Under cliff</v>
      </c>
      <c r="H9" s="70" t="str">
        <f aca="false">IF(A9="","",A9+5&amp;" (5-yr rule)")</f>
        <v>2037 (5-yr rule)</v>
      </c>
    </row>
    <row r="10" customFormat="false" ht="18.75" hidden="false" customHeight="true" outlineLevel="0" collapsed="false">
      <c r="A10" s="68" t="n">
        <f aca="false">BRIDGE!A8</f>
        <v>2033</v>
      </c>
      <c r="B10" s="68" t="n">
        <f aca="false">BRIDGE!B8</f>
        <v>59</v>
      </c>
      <c r="C10" s="54" t="n">
        <f aca="false">IF(A10="","",MAX(0,'TAX ESTIMATE'!$C$7-MAX(0,BRIDGE!K8-INPUTS!$B$34)))</f>
        <v>96950</v>
      </c>
      <c r="D10" s="54" t="n">
        <f aca="false">IF(A10="","",MAX(0,MIN(C10,81760-BRIDGE!K8)))</f>
        <v>81760</v>
      </c>
      <c r="E10" s="54" t="n">
        <f aca="false">IF(A10="","",D10*0.12)</f>
        <v>9811.2</v>
      </c>
      <c r="F10" s="54" t="n">
        <f aca="false">IF(A10="","",BRIDGE!K8+D10)</f>
        <v>81760</v>
      </c>
      <c r="G10" s="69" t="str">
        <f aca="false">IF(A10="","",IF(F10&gt;81760,"⚠ OVER CLIFF — trims subsidy to $0","✓ Under cliff"))</f>
        <v>✓ Under cliff</v>
      </c>
      <c r="H10" s="68" t="str">
        <f aca="false">IF(A10="","",A10+5&amp;" (5-yr rule)")</f>
        <v>2038 (5-yr rule)</v>
      </c>
    </row>
    <row r="11" customFormat="false" ht="18.75" hidden="false" customHeight="true" outlineLevel="0" collapsed="false">
      <c r="A11" s="70" t="str">
        <f aca="false">BRIDGE!A9</f>
        <v/>
      </c>
      <c r="B11" s="70" t="str">
        <f aca="false">BRIDGE!B9</f>
        <v/>
      </c>
      <c r="C11" s="56" t="str">
        <f aca="false">IF(A11="","",MAX(0,'TAX ESTIMATE'!$C$7-MAX(0,BRIDGE!K9-INPUTS!$B$34)))</f>
        <v/>
      </c>
      <c r="D11" s="56" t="str">
        <f aca="false">IF(A11="","",MAX(0,MIN(C11,81760-BRIDGE!K9)))</f>
        <v/>
      </c>
      <c r="E11" s="56" t="str">
        <f aca="false">IF(A11="","",D11*0.12)</f>
        <v/>
      </c>
      <c r="F11" s="56" t="str">
        <f aca="false">IF(A11="","",BRIDGE!K9+D11)</f>
        <v/>
      </c>
      <c r="G11" s="69" t="str">
        <f aca="false">IF(A11="","",IF(F11&gt;81760,"⚠ OVER CLIFF — trims subsidy to $0","✓ Under cliff"))</f>
        <v/>
      </c>
      <c r="H11" s="70" t="str">
        <f aca="false">IF(A11="","",A11+5&amp;" (5-yr rule)")</f>
        <v/>
      </c>
    </row>
    <row r="12" customFormat="false" ht="18.75" hidden="false" customHeight="true" outlineLevel="0" collapsed="false">
      <c r="A12" s="68" t="str">
        <f aca="false">BRIDGE!A10</f>
        <v/>
      </c>
      <c r="B12" s="68" t="str">
        <f aca="false">BRIDGE!B10</f>
        <v/>
      </c>
      <c r="C12" s="54" t="str">
        <f aca="false">IF(A12="","",MAX(0,'TAX ESTIMATE'!$C$7-MAX(0,BRIDGE!K10-INPUTS!$B$34)))</f>
        <v/>
      </c>
      <c r="D12" s="54" t="str">
        <f aca="false">IF(A12="","",MAX(0,MIN(C12,81760-BRIDGE!K10)))</f>
        <v/>
      </c>
      <c r="E12" s="54" t="str">
        <f aca="false">IF(A12="","",D12*0.12)</f>
        <v/>
      </c>
      <c r="F12" s="54" t="str">
        <f aca="false">IF(A12="","",BRIDGE!K10+D12)</f>
        <v/>
      </c>
      <c r="G12" s="69" t="str">
        <f aca="false">IF(A12="","",IF(F12&gt;81760,"⚠ OVER CLIFF — trims subsidy to $0","✓ Under cliff"))</f>
        <v/>
      </c>
      <c r="H12" s="68" t="str">
        <f aca="false">IF(A12="","",A12+5&amp;" (5-yr rule)")</f>
        <v/>
      </c>
    </row>
    <row r="13" customFormat="false" ht="18.75" hidden="false" customHeight="true" outlineLevel="0" collapsed="false">
      <c r="A13" s="70" t="str">
        <f aca="false">BRIDGE!A11</f>
        <v/>
      </c>
      <c r="B13" s="70" t="str">
        <f aca="false">BRIDGE!B11</f>
        <v/>
      </c>
      <c r="C13" s="56" t="str">
        <f aca="false">IF(A13="","",MAX(0,'TAX ESTIMATE'!$C$7-MAX(0,BRIDGE!K11-INPUTS!$B$34)))</f>
        <v/>
      </c>
      <c r="D13" s="56" t="str">
        <f aca="false">IF(A13="","",MAX(0,MIN(C13,81760-BRIDGE!K11)))</f>
        <v/>
      </c>
      <c r="E13" s="56" t="str">
        <f aca="false">IF(A13="","",D13*0.12)</f>
        <v/>
      </c>
      <c r="F13" s="56" t="str">
        <f aca="false">IF(A13="","",BRIDGE!K11+D13)</f>
        <v/>
      </c>
      <c r="G13" s="69" t="str">
        <f aca="false">IF(A13="","",IF(F13&gt;81760,"⚠ OVER CLIFF — trims subsidy to $0","✓ Under cliff"))</f>
        <v/>
      </c>
      <c r="H13" s="70" t="str">
        <f aca="false">IF(A13="","",A13+5&amp;" (5-yr rule)")</f>
        <v/>
      </c>
    </row>
    <row r="14" customFormat="false" ht="18.75" hidden="false" customHeight="true" outlineLevel="0" collapsed="false">
      <c r="A14" s="68" t="str">
        <f aca="false">BRIDGE!A12</f>
        <v/>
      </c>
      <c r="B14" s="68" t="str">
        <f aca="false">BRIDGE!B12</f>
        <v/>
      </c>
      <c r="C14" s="54" t="str">
        <f aca="false">IF(A14="","",MAX(0,'TAX ESTIMATE'!$C$7-MAX(0,BRIDGE!K12-INPUTS!$B$34)))</f>
        <v/>
      </c>
      <c r="D14" s="54" t="str">
        <f aca="false">IF(A14="","",MAX(0,MIN(C14,81760-BRIDGE!K12)))</f>
        <v/>
      </c>
      <c r="E14" s="54" t="str">
        <f aca="false">IF(A14="","",D14*0.12)</f>
        <v/>
      </c>
      <c r="F14" s="54" t="str">
        <f aca="false">IF(A14="","",BRIDGE!K12+D14)</f>
        <v/>
      </c>
      <c r="G14" s="69" t="str">
        <f aca="false">IF(A14="","",IF(F14&gt;81760,"⚠ OVER CLIFF — trims subsidy to $0","✓ Under cliff"))</f>
        <v/>
      </c>
      <c r="H14" s="68" t="str">
        <f aca="false">IF(A14="","",A14+5&amp;" (5-yr rule)")</f>
        <v/>
      </c>
    </row>
    <row r="15" customFormat="false" ht="18.75" hidden="false" customHeight="true" outlineLevel="0" collapsed="false">
      <c r="A15" s="70" t="str">
        <f aca="false">BRIDGE!A13</f>
        <v/>
      </c>
      <c r="B15" s="70" t="str">
        <f aca="false">BRIDGE!B13</f>
        <v/>
      </c>
      <c r="C15" s="56" t="str">
        <f aca="false">IF(A15="","",MAX(0,'TAX ESTIMATE'!$C$7-MAX(0,BRIDGE!K13-INPUTS!$B$34)))</f>
        <v/>
      </c>
      <c r="D15" s="56" t="str">
        <f aca="false">IF(A15="","",MAX(0,MIN(C15,81760-BRIDGE!K13)))</f>
        <v/>
      </c>
      <c r="E15" s="56" t="str">
        <f aca="false">IF(A15="","",D15*0.12)</f>
        <v/>
      </c>
      <c r="F15" s="56" t="str">
        <f aca="false">IF(A15="","",BRIDGE!K13+D15)</f>
        <v/>
      </c>
      <c r="G15" s="69" t="str">
        <f aca="false">IF(A15="","",IF(F15&gt;81760,"⚠ OVER CLIFF — trims subsidy to $0","✓ Under cliff"))</f>
        <v/>
      </c>
      <c r="H15" s="70" t="str">
        <f aca="false">IF(A15="","",A15+5&amp;" (5-yr rule)")</f>
        <v/>
      </c>
    </row>
    <row r="16" customFormat="false" ht="18.75" hidden="false" customHeight="true" outlineLevel="0" collapsed="false">
      <c r="A16" s="68" t="str">
        <f aca="false">BRIDGE!A14</f>
        <v/>
      </c>
      <c r="B16" s="68" t="str">
        <f aca="false">BRIDGE!B14</f>
        <v/>
      </c>
      <c r="C16" s="54" t="str">
        <f aca="false">IF(A16="","",MAX(0,'TAX ESTIMATE'!$C$7-MAX(0,BRIDGE!K14-INPUTS!$B$34)))</f>
        <v/>
      </c>
      <c r="D16" s="54" t="str">
        <f aca="false">IF(A16="","",MAX(0,MIN(C16,81760-BRIDGE!K14)))</f>
        <v/>
      </c>
      <c r="E16" s="54" t="str">
        <f aca="false">IF(A16="","",D16*0.12)</f>
        <v/>
      </c>
      <c r="F16" s="54" t="str">
        <f aca="false">IF(A16="","",BRIDGE!K14+D16)</f>
        <v/>
      </c>
      <c r="G16" s="69" t="str">
        <f aca="false">IF(A16="","",IF(F16&gt;81760,"⚠ OVER CLIFF — trims subsidy to $0","✓ Under cliff"))</f>
        <v/>
      </c>
      <c r="H16" s="68" t="str">
        <f aca="false">IF(A16="","",A16+5&amp;" (5-yr rule)")</f>
        <v/>
      </c>
    </row>
    <row r="17" customFormat="false" ht="18.75" hidden="false" customHeight="true" outlineLevel="0" collapsed="false">
      <c r="A17" s="70" t="str">
        <f aca="false">BRIDGE!A15</f>
        <v/>
      </c>
      <c r="B17" s="70" t="str">
        <f aca="false">BRIDGE!B15</f>
        <v/>
      </c>
      <c r="C17" s="56" t="str">
        <f aca="false">IF(A17="","",MAX(0,'TAX ESTIMATE'!$C$7-MAX(0,BRIDGE!K15-INPUTS!$B$34)))</f>
        <v/>
      </c>
      <c r="D17" s="56" t="str">
        <f aca="false">IF(A17="","",MAX(0,MIN(C17,81760-BRIDGE!K15)))</f>
        <v/>
      </c>
      <c r="E17" s="56" t="str">
        <f aca="false">IF(A17="","",D17*0.12)</f>
        <v/>
      </c>
      <c r="F17" s="56" t="str">
        <f aca="false">IF(A17="","",BRIDGE!K15+D17)</f>
        <v/>
      </c>
      <c r="G17" s="69" t="str">
        <f aca="false">IF(A17="","",IF(F17&gt;81760,"⚠ OVER CLIFF — trims subsidy to $0","✓ Under cliff"))</f>
        <v/>
      </c>
      <c r="H17" s="70" t="str">
        <f aca="false">IF(A17="","",A17+5&amp;" (5-yr rule)")</f>
        <v/>
      </c>
    </row>
    <row r="18" customFormat="false" ht="18.75" hidden="false" customHeight="true" outlineLevel="0" collapsed="false">
      <c r="A18" s="68" t="str">
        <f aca="false">BRIDGE!A16</f>
        <v/>
      </c>
      <c r="B18" s="68" t="str">
        <f aca="false">BRIDGE!B16</f>
        <v/>
      </c>
      <c r="C18" s="54" t="str">
        <f aca="false">IF(A18="","",MAX(0,'TAX ESTIMATE'!$C$7-MAX(0,BRIDGE!K16-INPUTS!$B$34)))</f>
        <v/>
      </c>
      <c r="D18" s="54" t="str">
        <f aca="false">IF(A18="","",MAX(0,MIN(C18,81760-BRIDGE!K16)))</f>
        <v/>
      </c>
      <c r="E18" s="54" t="str">
        <f aca="false">IF(A18="","",D18*0.12)</f>
        <v/>
      </c>
      <c r="F18" s="54" t="str">
        <f aca="false">IF(A18="","",BRIDGE!K16+D18)</f>
        <v/>
      </c>
      <c r="G18" s="69" t="str">
        <f aca="false">IF(A18="","",IF(F18&gt;81760,"⚠ OVER CLIFF — trims subsidy to $0","✓ Under cliff"))</f>
        <v/>
      </c>
      <c r="H18" s="68" t="str">
        <f aca="false">IF(A18="","",A18+5&amp;" (5-yr rule)")</f>
        <v/>
      </c>
    </row>
    <row r="19" customFormat="false" ht="18.75" hidden="false" customHeight="true" outlineLevel="0" collapsed="false">
      <c r="A19" s="70" t="str">
        <f aca="false">BRIDGE!A17</f>
        <v/>
      </c>
      <c r="B19" s="70" t="str">
        <f aca="false">BRIDGE!B17</f>
        <v/>
      </c>
      <c r="C19" s="56" t="str">
        <f aca="false">IF(A19="","",MAX(0,'TAX ESTIMATE'!$C$7-MAX(0,BRIDGE!K17-INPUTS!$B$34)))</f>
        <v/>
      </c>
      <c r="D19" s="56" t="str">
        <f aca="false">IF(A19="","",MAX(0,MIN(C19,81760-BRIDGE!K17)))</f>
        <v/>
      </c>
      <c r="E19" s="56" t="str">
        <f aca="false">IF(A19="","",D19*0.12)</f>
        <v/>
      </c>
      <c r="F19" s="56" t="str">
        <f aca="false">IF(A19="","",BRIDGE!K17+D19)</f>
        <v/>
      </c>
      <c r="G19" s="69" t="str">
        <f aca="false">IF(A19="","",IF(F19&gt;81760,"⚠ OVER CLIFF — trims subsidy to $0","✓ Under cliff"))</f>
        <v/>
      </c>
      <c r="H19" s="70" t="str">
        <f aca="false">IF(A19="","",A19+5&amp;" (5-yr rule)")</f>
        <v/>
      </c>
    </row>
    <row r="20" customFormat="false" ht="18.75" hidden="false" customHeight="true" outlineLevel="0" collapsed="false">
      <c r="A20" s="68" t="str">
        <f aca="false">BRIDGE!A18</f>
        <v/>
      </c>
      <c r="B20" s="68" t="str">
        <f aca="false">BRIDGE!B18</f>
        <v/>
      </c>
      <c r="C20" s="54" t="str">
        <f aca="false">IF(A20="","",MAX(0,'TAX ESTIMATE'!$C$7-MAX(0,BRIDGE!K18-INPUTS!$B$34)))</f>
        <v/>
      </c>
      <c r="D20" s="54" t="str">
        <f aca="false">IF(A20="","",MAX(0,MIN(C20,81760-BRIDGE!K18)))</f>
        <v/>
      </c>
      <c r="E20" s="54" t="str">
        <f aca="false">IF(A20="","",D20*0.12)</f>
        <v/>
      </c>
      <c r="F20" s="54" t="str">
        <f aca="false">IF(A20="","",BRIDGE!K18+D20)</f>
        <v/>
      </c>
      <c r="G20" s="69" t="str">
        <f aca="false">IF(A20="","",IF(F20&gt;81760,"⚠ OVER CLIFF — trims subsidy to $0","✓ Under cliff"))</f>
        <v/>
      </c>
      <c r="H20" s="68" t="str">
        <f aca="false">IF(A20="","",A20+5&amp;" (5-yr rule)")</f>
        <v/>
      </c>
    </row>
    <row r="21" customFormat="false" ht="1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</row>
    <row r="22" customFormat="false" ht="15" hidden="false" customHeight="true" outlineLevel="0" collapsed="false">
      <c r="A22" s="71" t="s">
        <v>108</v>
      </c>
      <c r="B22" s="52"/>
      <c r="C22" s="52"/>
      <c r="D22" s="52"/>
      <c r="E22" s="52"/>
      <c r="F22" s="52"/>
      <c r="G22" s="52"/>
      <c r="H22" s="52"/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8"/>
    <col collapsed="false" customWidth="true" hidden="false" outlineLevel="0" max="5" min="4" style="1" width="15"/>
    <col collapsed="false" customWidth="true" hidden="false" outlineLevel="0" max="8" min="6" style="1" width="18"/>
  </cols>
  <sheetData>
    <row r="1" customFormat="false" ht="30" hidden="false" customHeight="true" outlineLevel="0" collapsed="false">
      <c r="A1" s="42" t="s">
        <v>109</v>
      </c>
      <c r="B1" s="42"/>
      <c r="C1" s="42"/>
      <c r="D1" s="42"/>
      <c r="E1" s="42"/>
      <c r="F1" s="42"/>
      <c r="G1" s="42"/>
      <c r="H1" s="42"/>
    </row>
    <row r="2" customFormat="false" ht="15.75" hidden="false" customHeight="true" outlineLevel="0" collapsed="false">
      <c r="A2" s="19" t="s">
        <v>110</v>
      </c>
      <c r="B2" s="52"/>
      <c r="C2" s="52"/>
      <c r="D2" s="52"/>
      <c r="E2" s="52"/>
      <c r="F2" s="52"/>
      <c r="G2" s="52"/>
      <c r="H2" s="52"/>
    </row>
    <row r="3" customFormat="false" ht="15" hidden="false" customHeight="true" outlineLevel="0" collapsed="false">
      <c r="A3" s="52"/>
      <c r="B3" s="52"/>
      <c r="C3" s="52"/>
      <c r="D3" s="52"/>
      <c r="E3" s="52"/>
      <c r="F3" s="52"/>
      <c r="G3" s="52"/>
      <c r="H3" s="52"/>
    </row>
    <row r="4" customFormat="false" ht="27.75" hidden="false" customHeight="true" outlineLevel="0" collapsed="false">
      <c r="A4" s="44" t="s">
        <v>70</v>
      </c>
      <c r="B4" s="44" t="s">
        <v>71</v>
      </c>
      <c r="C4" s="44" t="s">
        <v>111</v>
      </c>
      <c r="D4" s="44" t="s">
        <v>112</v>
      </c>
      <c r="E4" s="44" t="s">
        <v>73</v>
      </c>
      <c r="F4" s="44" t="s">
        <v>113</v>
      </c>
      <c r="G4" s="44" t="s">
        <v>114</v>
      </c>
      <c r="H4" s="44" t="s">
        <v>115</v>
      </c>
    </row>
    <row r="5" customFormat="false" ht="18.75" hidden="false" customHeight="true" outlineLevel="0" collapsed="false">
      <c r="A5" s="47" t="n">
        <f aca="false">IF(INPUTS!$B$32+0&gt;INPUTS!$B$8-INPUTS!$B$6,"",INPUTS!$B$12+(INPUTS!$B$6-INPUTS!$B$5)+INPUTS!$B$32+0)</f>
        <v>2033.5</v>
      </c>
      <c r="B5" s="72" t="n">
        <f aca="false">IF(INPUTS!$B$32+0&gt;INPUTS!$B$8-INPUTS!$B$6,"",59.5+0)</f>
        <v>59.5</v>
      </c>
      <c r="C5" s="48" t="n">
        <f aca="false">IF(INPUTS!$B$32+0&gt;INPUTS!$B$8-INPUTS!$B$6,"",INPUTS!$B$22*(1+INPUTS!$B$23)^(A5-INPUTS!$B$12))</f>
        <v>66189.8931382789</v>
      </c>
      <c r="D5" s="48" t="n">
        <f aca="false">IF(INPUTS!$B$32+0&gt;INPUTS!$B$8-INPUTS!$B$6,"",IF(B5&gt;=INPUTS!$B$7,INPUTS!$B$25*(1+INPUTS!$B$23)^(A5-INPUTS!$B$12),0))</f>
        <v>0</v>
      </c>
      <c r="E5" s="48" t="n">
        <f aca="false">IF(INPUTS!$B$32+0&gt;INPUTS!$B$8-INPUTS!$B$6,"",INPUTS!$B$24)</f>
        <v>0</v>
      </c>
      <c r="F5" s="48" t="n">
        <f aca="false">IF(INPUTS!$B$32+0&gt;INPUTS!$B$8-INPUTS!$B$6,"",MAX(0,C5-D5-E5))</f>
        <v>66189.8931382789</v>
      </c>
      <c r="G5" s="48" t="n">
        <f aca="false">MAX(0,(BRIDGE!L20+BRIDGE!N20-F5))*(1+INPUTS!$B$28)</f>
        <v>1097231.2729021</v>
      </c>
      <c r="H5" s="48" t="n">
        <f aca="false">MAX(0,BRIDGE!M20*(1+INPUTS!$B$28))</f>
        <v>218871.344480646</v>
      </c>
    </row>
    <row r="6" customFormat="false" ht="18.75" hidden="false" customHeight="true" outlineLevel="0" collapsed="false">
      <c r="A6" s="45" t="n">
        <f aca="false">IF(INPUTS!$B$32+1&gt;INPUTS!$B$8-INPUTS!$B$6,"",INPUTS!$B$12+(INPUTS!$B$6-INPUTS!$B$5)+INPUTS!$B$32+1)</f>
        <v>2034.5</v>
      </c>
      <c r="B6" s="73" t="n">
        <f aca="false">IF(INPUTS!$B$32+1&gt;INPUTS!$B$8-INPUTS!$B$6,"",59.5+1)</f>
        <v>60.5</v>
      </c>
      <c r="C6" s="46" t="n">
        <f aca="false">IF(INPUTS!$B$32+1&gt;INPUTS!$B$8-INPUTS!$B$6,"",INPUTS!$B$22*(1+INPUTS!$B$23)^(A6-INPUTS!$B$12))</f>
        <v>67844.6404667359</v>
      </c>
      <c r="D6" s="46" t="n">
        <f aca="false">IF(INPUTS!$B$32+1&gt;INPUTS!$B$8-INPUTS!$B$6,"",IF(B6&gt;=INPUTS!$B$7,INPUTS!$B$25*(1+INPUTS!$B$23)^(A6-INPUTS!$B$12),0))</f>
        <v>0</v>
      </c>
      <c r="E6" s="46" t="n">
        <f aca="false">IF(INPUTS!$B$32+1&gt;INPUTS!$B$8-INPUTS!$B$6,"",INPUTS!$B$24)</f>
        <v>0</v>
      </c>
      <c r="F6" s="46" t="n">
        <f aca="false">IF(A6="","",IF(G5+H5=0,0,MAX(0,C6-D6-E6)))</f>
        <v>67844.6404667359</v>
      </c>
      <c r="G6" s="46" t="n">
        <f aca="false">IF(A6="","",MAX(0,G5-F6)*(1+INPUTS!$B$28))</f>
        <v>1096296.76354367</v>
      </c>
      <c r="H6" s="46" t="n">
        <f aca="false">IF(A6="","",MAX(0,H5-MAX(0,F6-G5))*(1+INPUTS!$B$28))</f>
        <v>233097.981871888</v>
      </c>
    </row>
    <row r="7" customFormat="false" ht="18.75" hidden="false" customHeight="true" outlineLevel="0" collapsed="false">
      <c r="A7" s="47" t="n">
        <f aca="false">IF(INPUTS!$B$32+2&gt;INPUTS!$B$8-INPUTS!$B$6,"",INPUTS!$B$12+(INPUTS!$B$6-INPUTS!$B$5)+INPUTS!$B$32+2)</f>
        <v>2035.5</v>
      </c>
      <c r="B7" s="72" t="n">
        <f aca="false">IF(INPUTS!$B$32+2&gt;INPUTS!$B$8-INPUTS!$B$6,"",59.5+2)</f>
        <v>61.5</v>
      </c>
      <c r="C7" s="48" t="n">
        <f aca="false">IF(INPUTS!$B$32+2&gt;INPUTS!$B$8-INPUTS!$B$6,"",INPUTS!$B$22*(1+INPUTS!$B$23)^(A7-INPUTS!$B$12))</f>
        <v>69540.7564784043</v>
      </c>
      <c r="D7" s="48" t="n">
        <f aca="false">IF(INPUTS!$B$32+2&gt;INPUTS!$B$8-INPUTS!$B$6,"",IF(B7&gt;=INPUTS!$B$7,INPUTS!$B$25*(1+INPUTS!$B$23)^(A7-INPUTS!$B$12),0))</f>
        <v>0</v>
      </c>
      <c r="E7" s="48" t="n">
        <f aca="false">IF(INPUTS!$B$32+2&gt;INPUTS!$B$8-INPUTS!$B$6,"",INPUTS!$B$24)</f>
        <v>0</v>
      </c>
      <c r="F7" s="48" t="n">
        <f aca="false">IF(A7="","",IF(G6+H6=0,0,MAX(0,C7-D7-E7)))</f>
        <v>69540.7564784043</v>
      </c>
      <c r="G7" s="48" t="n">
        <f aca="false">IF(A7="","",MAX(0,G6-F7)*(1+INPUTS!$B$28))</f>
        <v>1093495.14752451</v>
      </c>
      <c r="H7" s="48" t="n">
        <f aca="false">IF(A7="","",MAX(0,H6-MAX(0,F7-G6))*(1+INPUTS!$B$28))</f>
        <v>248249.350693561</v>
      </c>
    </row>
    <row r="8" customFormat="false" ht="18.75" hidden="false" customHeight="true" outlineLevel="0" collapsed="false">
      <c r="A8" s="45" t="n">
        <f aca="false">IF(INPUTS!$B$32+3&gt;INPUTS!$B$8-INPUTS!$B$6,"",INPUTS!$B$12+(INPUTS!$B$6-INPUTS!$B$5)+INPUTS!$B$32+3)</f>
        <v>2036.5</v>
      </c>
      <c r="B8" s="73" t="n">
        <f aca="false">IF(INPUTS!$B$32+3&gt;INPUTS!$B$8-INPUTS!$B$6,"",59.5+3)</f>
        <v>62.5</v>
      </c>
      <c r="C8" s="46" t="n">
        <f aca="false">IF(INPUTS!$B$32+3&gt;INPUTS!$B$8-INPUTS!$B$6,"",INPUTS!$B$22*(1+INPUTS!$B$23)^(A8-INPUTS!$B$12))</f>
        <v>71279.2753903644</v>
      </c>
      <c r="D8" s="46" t="n">
        <f aca="false">IF(INPUTS!$B$32+3&gt;INPUTS!$B$8-INPUTS!$B$6,"",IF(B8&gt;=INPUTS!$B$7,INPUTS!$B$25*(1+INPUTS!$B$23)^(A8-INPUTS!$B$12),0))</f>
        <v>0</v>
      </c>
      <c r="E8" s="46" t="n">
        <f aca="false">IF(INPUTS!$B$32+3&gt;INPUTS!$B$8-INPUTS!$B$6,"",INPUTS!$B$24)</f>
        <v>0</v>
      </c>
      <c r="F8" s="46" t="n">
        <f aca="false">IF(A8="","",IF(G7+H7=0,0,MAX(0,C8-D8-E8)))</f>
        <v>71279.2753903644</v>
      </c>
      <c r="G8" s="46" t="n">
        <f aca="false">IF(A8="","",MAX(0,G7-F8)*(1+INPUTS!$B$28))</f>
        <v>1088659.90382286</v>
      </c>
      <c r="H8" s="46" t="n">
        <f aca="false">IF(A8="","",MAX(0,H7-MAX(0,F8-G7))*(1+INPUTS!$B$28))</f>
        <v>264385.558488642</v>
      </c>
    </row>
    <row r="9" customFormat="false" ht="18.75" hidden="false" customHeight="true" outlineLevel="0" collapsed="false">
      <c r="A9" s="47" t="n">
        <f aca="false">IF(INPUTS!$B$32+4&gt;INPUTS!$B$8-INPUTS!$B$6,"",INPUTS!$B$12+(INPUTS!$B$6-INPUTS!$B$5)+INPUTS!$B$32+4)</f>
        <v>2037.5</v>
      </c>
      <c r="B9" s="72" t="n">
        <f aca="false">IF(INPUTS!$B$32+4&gt;INPUTS!$B$8-INPUTS!$B$6,"",59.5+4)</f>
        <v>63.5</v>
      </c>
      <c r="C9" s="48" t="n">
        <f aca="false">IF(INPUTS!$B$32+4&gt;INPUTS!$B$8-INPUTS!$B$6,"",INPUTS!$B$22*(1+INPUTS!$B$23)^(A9-INPUTS!$B$12))</f>
        <v>73061.2572751235</v>
      </c>
      <c r="D9" s="48" t="n">
        <f aca="false">IF(INPUTS!$B$32+4&gt;INPUTS!$B$8-INPUTS!$B$6,"",IF(B9&gt;=INPUTS!$B$7,INPUTS!$B$25*(1+INPUTS!$B$23)^(A9-INPUTS!$B$12),0))</f>
        <v>0</v>
      </c>
      <c r="E9" s="48" t="n">
        <f aca="false">IF(INPUTS!$B$32+4&gt;INPUTS!$B$8-INPUTS!$B$6,"",INPUTS!$B$24)</f>
        <v>0</v>
      </c>
      <c r="F9" s="48" t="n">
        <f aca="false">IF(A9="","",IF(G8+H8=0,0,MAX(0,C9-D9-E9)))</f>
        <v>73061.2572751235</v>
      </c>
      <c r="G9" s="48" t="n">
        <f aca="false">IF(A9="","",MAX(0,G8-F9)*(1+INPUTS!$B$28))</f>
        <v>1081612.55857334</v>
      </c>
      <c r="H9" s="48" t="n">
        <f aca="false">IF(A9="","",MAX(0,H8-MAX(0,F9-G8))*(1+INPUTS!$B$28))</f>
        <v>281570.619790404</v>
      </c>
    </row>
    <row r="10" customFormat="false" ht="18.75" hidden="false" customHeight="true" outlineLevel="0" collapsed="false">
      <c r="A10" s="45" t="n">
        <f aca="false">IF(INPUTS!$B$32+5&gt;INPUTS!$B$8-INPUTS!$B$6,"",INPUTS!$B$12+(INPUTS!$B$6-INPUTS!$B$5)+INPUTS!$B$32+5)</f>
        <v>2038.5</v>
      </c>
      <c r="B10" s="73" t="n">
        <f aca="false">IF(INPUTS!$B$32+5&gt;INPUTS!$B$8-INPUTS!$B$6,"",59.5+5)</f>
        <v>64.5</v>
      </c>
      <c r="C10" s="46" t="n">
        <f aca="false">IF(INPUTS!$B$32+5&gt;INPUTS!$B$8-INPUTS!$B$6,"",INPUTS!$B$22*(1+INPUTS!$B$23)^(A10-INPUTS!$B$12))</f>
        <v>74887.7887070016</v>
      </c>
      <c r="D10" s="46" t="n">
        <f aca="false">IF(INPUTS!$B$32+5&gt;INPUTS!$B$8-INPUTS!$B$6,"",IF(B10&gt;=INPUTS!$B$7,INPUTS!$B$25*(1+INPUTS!$B$23)^(A10-INPUTS!$B$12),0))</f>
        <v>0</v>
      </c>
      <c r="E10" s="46" t="n">
        <f aca="false">IF(INPUTS!$B$32+5&gt;INPUTS!$B$8-INPUTS!$B$6,"",INPUTS!$B$24)</f>
        <v>0</v>
      </c>
      <c r="F10" s="46" t="n">
        <f aca="false">IF(A10="","",IF(G9+H9=0,0,MAX(0,C10-D10-E10)))</f>
        <v>74887.7887070016</v>
      </c>
      <c r="G10" s="46" t="n">
        <f aca="false">IF(A10="","",MAX(0,G9-F10)*(1+INPUTS!$B$28))</f>
        <v>1072161.87990765</v>
      </c>
      <c r="H10" s="46" t="n">
        <f aca="false">IF(A10="","",MAX(0,H9-MAX(0,F10-G9))*(1+INPUTS!$B$28))</f>
        <v>299872.71007678</v>
      </c>
    </row>
    <row r="11" customFormat="false" ht="18.75" hidden="false" customHeight="true" outlineLevel="0" collapsed="false">
      <c r="A11" s="47" t="n">
        <f aca="false">IF(INPUTS!$B$32+6&gt;INPUTS!$B$8-INPUTS!$B$6,"",INPUTS!$B$12+(INPUTS!$B$6-INPUTS!$B$5)+INPUTS!$B$32+6)</f>
        <v>2039.5</v>
      </c>
      <c r="B11" s="72" t="n">
        <f aca="false">IF(INPUTS!$B$32+6&gt;INPUTS!$B$8-INPUTS!$B$6,"",59.5+6)</f>
        <v>65.5</v>
      </c>
      <c r="C11" s="48" t="n">
        <f aca="false">IF(INPUTS!$B$32+6&gt;INPUTS!$B$8-INPUTS!$B$6,"",INPUTS!$B$22*(1+INPUTS!$B$23)^(A11-INPUTS!$B$12))</f>
        <v>76759.9834246766</v>
      </c>
      <c r="D11" s="48" t="n">
        <f aca="false">IF(INPUTS!$B$32+6&gt;INPUTS!$B$8-INPUTS!$B$6,"",IF(B11&gt;=INPUTS!$B$7,INPUTS!$B$25*(1+INPUTS!$B$23)^(A11-INPUTS!$B$12),0))</f>
        <v>0</v>
      </c>
      <c r="E11" s="48" t="n">
        <f aca="false">IF(INPUTS!$B$32+6&gt;INPUTS!$B$8-INPUTS!$B$6,"",INPUTS!$B$24)</f>
        <v>0</v>
      </c>
      <c r="F11" s="48" t="n">
        <f aca="false">IF(A11="","",IF(G10+H10=0,0,MAX(0,C11-D11-E11)))</f>
        <v>76759.9834246766</v>
      </c>
      <c r="G11" s="48" t="n">
        <f aca="false">IF(A11="","",MAX(0,G10-F11)*(1+INPUTS!$B$28))</f>
        <v>1060103.01975437</v>
      </c>
      <c r="H11" s="48" t="n">
        <f aca="false">IF(A11="","",MAX(0,H10-MAX(0,F11-G10))*(1+INPUTS!$B$28))</f>
        <v>319364.436231771</v>
      </c>
    </row>
    <row r="12" customFormat="false" ht="18.75" hidden="false" customHeight="true" outlineLevel="0" collapsed="false">
      <c r="A12" s="45" t="n">
        <f aca="false">IF(INPUTS!$B$32+7&gt;INPUTS!$B$8-INPUTS!$B$6,"",INPUTS!$B$12+(INPUTS!$B$6-INPUTS!$B$5)+INPUTS!$B$32+7)</f>
        <v>2040.5</v>
      </c>
      <c r="B12" s="73" t="n">
        <f aca="false">IF(INPUTS!$B$32+7&gt;INPUTS!$B$8-INPUTS!$B$6,"",59.5+7)</f>
        <v>66.5</v>
      </c>
      <c r="C12" s="46" t="n">
        <f aca="false">IF(INPUTS!$B$32+7&gt;INPUTS!$B$8-INPUTS!$B$6,"",INPUTS!$B$22*(1+INPUTS!$B$23)^(A12-INPUTS!$B$12))</f>
        <v>78678.9830102935</v>
      </c>
      <c r="D12" s="46" t="n">
        <f aca="false">IF(INPUTS!$B$32+7&gt;INPUTS!$B$8-INPUTS!$B$6,"",IF(B12&gt;=INPUTS!$B$7,INPUTS!$B$25*(1+INPUTS!$B$23)^(A12-INPUTS!$B$12),0))</f>
        <v>0</v>
      </c>
      <c r="E12" s="46" t="n">
        <f aca="false">IF(INPUTS!$B$32+7&gt;INPUTS!$B$8-INPUTS!$B$6,"",INPUTS!$B$24)</f>
        <v>0</v>
      </c>
      <c r="F12" s="46" t="n">
        <f aca="false">IF(A12="","",IF(G11+H11=0,0,MAX(0,C12-D12-E12)))</f>
        <v>78678.9830102935</v>
      </c>
      <c r="G12" s="46" t="n">
        <f aca="false">IF(A12="","",MAX(0,G11-F12)*(1+INPUTS!$B$28))</f>
        <v>1045216.59913244</v>
      </c>
      <c r="H12" s="46" t="n">
        <f aca="false">IF(A12="","",MAX(0,H11-MAX(0,F12-G11))*(1+INPUTS!$B$28))</f>
        <v>340123.124586836</v>
      </c>
    </row>
    <row r="13" customFormat="false" ht="18.75" hidden="false" customHeight="true" outlineLevel="0" collapsed="false">
      <c r="A13" s="47" t="n">
        <f aca="false">IF(INPUTS!$B$32+8&gt;INPUTS!$B$8-INPUTS!$B$6,"",INPUTS!$B$12+(INPUTS!$B$6-INPUTS!$B$5)+INPUTS!$B$32+8)</f>
        <v>2041.5</v>
      </c>
      <c r="B13" s="72" t="n">
        <f aca="false">IF(INPUTS!$B$32+8&gt;INPUTS!$B$8-INPUTS!$B$6,"",59.5+8)</f>
        <v>67.5</v>
      </c>
      <c r="C13" s="48" t="n">
        <f aca="false">IF(INPUTS!$B$32+8&gt;INPUTS!$B$8-INPUTS!$B$6,"",INPUTS!$B$22*(1+INPUTS!$B$23)^(A13-INPUTS!$B$12))</f>
        <v>80645.9575855508</v>
      </c>
      <c r="D13" s="48" t="n">
        <f aca="false">IF(INPUTS!$B$32+8&gt;INPUTS!$B$8-INPUTS!$B$6,"",IF(B13&gt;=INPUTS!$B$7,INPUTS!$B$25*(1+INPUTS!$B$23)^(A13-INPUTS!$B$12),0))</f>
        <v>35190.9633100585</v>
      </c>
      <c r="E13" s="48" t="n">
        <f aca="false">IF(INPUTS!$B$32+8&gt;INPUTS!$B$8-INPUTS!$B$6,"",INPUTS!$B$24)</f>
        <v>0</v>
      </c>
      <c r="F13" s="48" t="n">
        <f aca="false">IF(A13="","",IF(G12+H12=0,0,MAX(0,C13-D13-E13)))</f>
        <v>45454.9942754923</v>
      </c>
      <c r="G13" s="48" t="n">
        <f aca="false">IF(A13="","",MAX(0,G12-F13)*(1+INPUTS!$B$28))</f>
        <v>1064746.10917265</v>
      </c>
      <c r="H13" s="48" t="n">
        <f aca="false">IF(A13="","",MAX(0,H12-MAX(0,F13-G12))*(1+INPUTS!$B$28))</f>
        <v>362231.12768498</v>
      </c>
    </row>
    <row r="14" customFormat="false" ht="18.75" hidden="false" customHeight="true" outlineLevel="0" collapsed="false">
      <c r="A14" s="45" t="n">
        <f aca="false">IF(INPUTS!$B$32+9&gt;INPUTS!$B$8-INPUTS!$B$6,"",INPUTS!$B$12+(INPUTS!$B$6-INPUTS!$B$5)+INPUTS!$B$32+9)</f>
        <v>2042.5</v>
      </c>
      <c r="B14" s="73" t="n">
        <f aca="false">IF(INPUTS!$B$32+9&gt;INPUTS!$B$8-INPUTS!$B$6,"",59.5+9)</f>
        <v>68.5</v>
      </c>
      <c r="C14" s="46" t="n">
        <f aca="false">IF(INPUTS!$B$32+9&gt;INPUTS!$B$8-INPUTS!$B$6,"",INPUTS!$B$22*(1+INPUTS!$B$23)^(A14-INPUTS!$B$12))</f>
        <v>82662.1065251896</v>
      </c>
      <c r="D14" s="46" t="n">
        <f aca="false">IF(INPUTS!$B$32+9&gt;INPUTS!$B$8-INPUTS!$B$6,"",IF(B14&gt;=INPUTS!$B$7,INPUTS!$B$25*(1+INPUTS!$B$23)^(A14-INPUTS!$B$12),0))</f>
        <v>36070.73739281</v>
      </c>
      <c r="E14" s="46" t="n">
        <f aca="false">IF(INPUTS!$B$32+9&gt;INPUTS!$B$8-INPUTS!$B$6,"",INPUTS!$B$24)</f>
        <v>0</v>
      </c>
      <c r="F14" s="46" t="n">
        <f aca="false">IF(A14="","",IF(G13+H13=0,0,MAX(0,C14-D14-E14)))</f>
        <v>46591.3691323796</v>
      </c>
      <c r="G14" s="46" t="n">
        <f aca="false">IF(A14="","",MAX(0,G13-F14)*(1+INPUTS!$B$28))</f>
        <v>1084334.79814288</v>
      </c>
      <c r="H14" s="46" t="n">
        <f aca="false">IF(A14="","",MAX(0,H13-MAX(0,F14-G13))*(1+INPUTS!$B$28))</f>
        <v>385776.150984504</v>
      </c>
    </row>
    <row r="15" customFormat="false" ht="18.75" hidden="false" customHeight="true" outlineLevel="0" collapsed="false">
      <c r="A15" s="47" t="n">
        <f aca="false">IF(INPUTS!$B$32+10&gt;INPUTS!$B$8-INPUTS!$B$6,"",INPUTS!$B$12+(INPUTS!$B$6-INPUTS!$B$5)+INPUTS!$B$32+10)</f>
        <v>2043.5</v>
      </c>
      <c r="B15" s="72" t="n">
        <f aca="false">IF(INPUTS!$B$32+10&gt;INPUTS!$B$8-INPUTS!$B$6,"",59.5+10)</f>
        <v>69.5</v>
      </c>
      <c r="C15" s="48" t="n">
        <f aca="false">IF(INPUTS!$B$32+10&gt;INPUTS!$B$8-INPUTS!$B$6,"",INPUTS!$B$22*(1+INPUTS!$B$23)^(A15-INPUTS!$B$12))</f>
        <v>84728.6591883193</v>
      </c>
      <c r="D15" s="48" t="n">
        <f aca="false">IF(INPUTS!$B$32+10&gt;INPUTS!$B$8-INPUTS!$B$6,"",IF(B15&gt;=INPUTS!$B$7,INPUTS!$B$25*(1+INPUTS!$B$23)^(A15-INPUTS!$B$12),0))</f>
        <v>36972.5058276302</v>
      </c>
      <c r="E15" s="48" t="n">
        <f aca="false">IF(INPUTS!$B$32+10&gt;INPUTS!$B$8-INPUTS!$B$6,"",INPUTS!$B$24)</f>
        <v>0</v>
      </c>
      <c r="F15" s="48" t="n">
        <f aca="false">IF(A15="","",IF(G14+H14=0,0,MAX(0,C15-D15-E15)))</f>
        <v>47756.1533606891</v>
      </c>
      <c r="G15" s="48" t="n">
        <f aca="false">IF(A15="","",MAX(0,G14-F15)*(1+INPUTS!$B$28))</f>
        <v>1103956.25669304</v>
      </c>
      <c r="H15" s="48" t="n">
        <f aca="false">IF(A15="","",MAX(0,H14-MAX(0,F15-G14))*(1+INPUTS!$B$28))</f>
        <v>410851.600798497</v>
      </c>
    </row>
    <row r="16" customFormat="false" ht="18.75" hidden="false" customHeight="true" outlineLevel="0" collapsed="false">
      <c r="A16" s="45" t="n">
        <f aca="false">IF(INPUTS!$B$32+11&gt;INPUTS!$B$8-INPUTS!$B$6,"",INPUTS!$B$12+(INPUTS!$B$6-INPUTS!$B$5)+INPUTS!$B$32+11)</f>
        <v>2044.5</v>
      </c>
      <c r="B16" s="73" t="n">
        <f aca="false">IF(INPUTS!$B$32+11&gt;INPUTS!$B$8-INPUTS!$B$6,"",59.5+11)</f>
        <v>70.5</v>
      </c>
      <c r="C16" s="46" t="n">
        <f aca="false">IF(INPUTS!$B$32+11&gt;INPUTS!$B$8-INPUTS!$B$6,"",INPUTS!$B$22*(1+INPUTS!$B$23)^(A16-INPUTS!$B$12))</f>
        <v>86846.8756680273</v>
      </c>
      <c r="D16" s="46" t="n">
        <f aca="false">IF(INPUTS!$B$32+11&gt;INPUTS!$B$8-INPUTS!$B$6,"",IF(B16&gt;=INPUTS!$B$7,INPUTS!$B$25*(1+INPUTS!$B$23)^(A16-INPUTS!$B$12),0))</f>
        <v>37896.818473321</v>
      </c>
      <c r="E16" s="46" t="n">
        <f aca="false">IF(INPUTS!$B$32+11&gt;INPUTS!$B$8-INPUTS!$B$6,"",INPUTS!$B$24)</f>
        <v>0</v>
      </c>
      <c r="F16" s="46" t="n">
        <f aca="false">IF(A16="","",IF(G15+H15=0,0,MAX(0,C16-D16-E16)))</f>
        <v>48950.0571947063</v>
      </c>
      <c r="G16" s="46" t="n">
        <f aca="false">IF(A16="","",MAX(0,G15-F16)*(1+INPUTS!$B$28))</f>
        <v>1123581.60246572</v>
      </c>
      <c r="H16" s="46" t="n">
        <f aca="false">IF(A16="","",MAX(0,H15-MAX(0,F16-G15))*(1+INPUTS!$B$28))</f>
        <v>437556.954850399</v>
      </c>
    </row>
    <row r="17" customFormat="false" ht="18.75" hidden="false" customHeight="true" outlineLevel="0" collapsed="false">
      <c r="A17" s="47" t="n">
        <f aca="false">IF(INPUTS!$B$32+12&gt;INPUTS!$B$8-INPUTS!$B$6,"",INPUTS!$B$12+(INPUTS!$B$6-INPUTS!$B$5)+INPUTS!$B$32+12)</f>
        <v>2045.5</v>
      </c>
      <c r="B17" s="72" t="n">
        <f aca="false">IF(INPUTS!$B$32+12&gt;INPUTS!$B$8-INPUTS!$B$6,"",59.5+12)</f>
        <v>71.5</v>
      </c>
      <c r="C17" s="48" t="n">
        <f aca="false">IF(INPUTS!$B$32+12&gt;INPUTS!$B$8-INPUTS!$B$6,"",INPUTS!$B$22*(1+INPUTS!$B$23)^(A17-INPUTS!$B$12))</f>
        <v>89018.047559728</v>
      </c>
      <c r="D17" s="48" t="n">
        <f aca="false">IF(INPUTS!$B$32+12&gt;INPUTS!$B$8-INPUTS!$B$6,"",IF(B17&gt;=INPUTS!$B$7,INPUTS!$B$25*(1+INPUTS!$B$23)^(A17-INPUTS!$B$12),0))</f>
        <v>38844.238935154</v>
      </c>
      <c r="E17" s="48" t="n">
        <f aca="false">IF(INPUTS!$B$32+12&gt;INPUTS!$B$8-INPUTS!$B$6,"",INPUTS!$B$24)</f>
        <v>0</v>
      </c>
      <c r="F17" s="48" t="n">
        <f aca="false">IF(A17="","",IF(G16+H16=0,0,MAX(0,C17-D17-E17)))</f>
        <v>50173.8086245739</v>
      </c>
      <c r="G17" s="48" t="n">
        <f aca="false">IF(A17="","",MAX(0,G16-F17)*(1+INPUTS!$B$28))</f>
        <v>1143179.30044082</v>
      </c>
      <c r="H17" s="48" t="n">
        <f aca="false">IF(A17="","",MAX(0,H16-MAX(0,F17-G16))*(1+INPUTS!$B$28))</f>
        <v>465998.156915675</v>
      </c>
    </row>
    <row r="18" customFormat="false" ht="18.75" hidden="false" customHeight="true" outlineLevel="0" collapsed="false">
      <c r="A18" s="45" t="n">
        <f aca="false">IF(INPUTS!$B$32+13&gt;INPUTS!$B$8-INPUTS!$B$6,"",INPUTS!$B$12+(INPUTS!$B$6-INPUTS!$B$5)+INPUTS!$B$32+13)</f>
        <v>2046.5</v>
      </c>
      <c r="B18" s="73" t="n">
        <f aca="false">IF(INPUTS!$B$32+13&gt;INPUTS!$B$8-INPUTS!$B$6,"",59.5+13)</f>
        <v>72.5</v>
      </c>
      <c r="C18" s="46" t="n">
        <f aca="false">IF(INPUTS!$B$32+13&gt;INPUTS!$B$8-INPUTS!$B$6,"",INPUTS!$B$22*(1+INPUTS!$B$23)^(A18-INPUTS!$B$12))</f>
        <v>91243.4987487212</v>
      </c>
      <c r="D18" s="46" t="n">
        <f aca="false">IF(INPUTS!$B$32+13&gt;INPUTS!$B$8-INPUTS!$B$6,"",IF(B18&gt;=INPUTS!$B$7,INPUTS!$B$25*(1+INPUTS!$B$23)^(A18-INPUTS!$B$12),0))</f>
        <v>39815.3449085329</v>
      </c>
      <c r="E18" s="46" t="n">
        <f aca="false">IF(INPUTS!$B$32+13&gt;INPUTS!$B$8-INPUTS!$B$6,"",INPUTS!$B$24)</f>
        <v>0</v>
      </c>
      <c r="F18" s="46" t="n">
        <f aca="false">IF(A18="","",IF(G17+H17=0,0,MAX(0,C18-D18-E18)))</f>
        <v>51428.1538401883</v>
      </c>
      <c r="G18" s="46" t="n">
        <f aca="false">IF(A18="","",MAX(0,G17-F18)*(1+INPUTS!$B$28))</f>
        <v>1162714.97112968</v>
      </c>
      <c r="H18" s="46" t="n">
        <f aca="false">IF(A18="","",MAX(0,H17-MAX(0,F18-G17))*(1+INPUTS!$B$28))</f>
        <v>496288.037115194</v>
      </c>
    </row>
    <row r="19" customFormat="false" ht="18.75" hidden="false" customHeight="true" outlineLevel="0" collapsed="false">
      <c r="A19" s="47" t="n">
        <f aca="false">IF(INPUTS!$B$32+14&gt;INPUTS!$B$8-INPUTS!$B$6,"",INPUTS!$B$12+(INPUTS!$B$6-INPUTS!$B$5)+INPUTS!$B$32+14)</f>
        <v>2047.5</v>
      </c>
      <c r="B19" s="72" t="n">
        <f aca="false">IF(INPUTS!$B$32+14&gt;INPUTS!$B$8-INPUTS!$B$6,"",59.5+14)</f>
        <v>73.5</v>
      </c>
      <c r="C19" s="48" t="n">
        <f aca="false">IF(INPUTS!$B$32+14&gt;INPUTS!$B$8-INPUTS!$B$6,"",INPUTS!$B$22*(1+INPUTS!$B$23)^(A19-INPUTS!$B$12))</f>
        <v>93524.5862174392</v>
      </c>
      <c r="D19" s="48" t="n">
        <f aca="false">IF(INPUTS!$B$32+14&gt;INPUTS!$B$8-INPUTS!$B$6,"",IF(B19&gt;=INPUTS!$B$7,INPUTS!$B$25*(1+INPUTS!$B$23)^(A19-INPUTS!$B$12),0))</f>
        <v>40810.7285312462</v>
      </c>
      <c r="E19" s="48" t="n">
        <f aca="false">IF(INPUTS!$B$32+14&gt;INPUTS!$B$8-INPUTS!$B$6,"",INPUTS!$B$24)</f>
        <v>0</v>
      </c>
      <c r="F19" s="48" t="n">
        <f aca="false">IF(A19="","",IF(G18+H18=0,0,MAX(0,C19-D19-E19)))</f>
        <v>52713.857686193</v>
      </c>
      <c r="G19" s="48" t="n">
        <f aca="false">IF(A19="","",MAX(0,G18-F19)*(1+INPUTS!$B$28))</f>
        <v>1182151.18581731</v>
      </c>
      <c r="H19" s="48" t="n">
        <f aca="false">IF(A19="","",MAX(0,H18-MAX(0,F19-G18))*(1+INPUTS!$B$28))</f>
        <v>528546.759527681</v>
      </c>
    </row>
    <row r="20" customFormat="false" ht="18.75" hidden="false" customHeight="true" outlineLevel="0" collapsed="false">
      <c r="A20" s="45" t="n">
        <f aca="false">IF(INPUTS!$B$32+15&gt;INPUTS!$B$8-INPUTS!$B$6,"",INPUTS!$B$12+(INPUTS!$B$6-INPUTS!$B$5)+INPUTS!$B$32+15)</f>
        <v>2048.5</v>
      </c>
      <c r="B20" s="73" t="n">
        <f aca="false">IF(INPUTS!$B$32+15&gt;INPUTS!$B$8-INPUTS!$B$6,"",59.5+15)</f>
        <v>74.5</v>
      </c>
      <c r="C20" s="46" t="n">
        <f aca="false">IF(INPUTS!$B$32+15&gt;INPUTS!$B$8-INPUTS!$B$6,"",INPUTS!$B$22*(1+INPUTS!$B$23)^(A20-INPUTS!$B$12))</f>
        <v>95862.7008728752</v>
      </c>
      <c r="D20" s="46" t="n">
        <f aca="false">IF(INPUTS!$B$32+15&gt;INPUTS!$B$8-INPUTS!$B$6,"",IF(B20&gt;=INPUTS!$B$7,INPUTS!$B$25*(1+INPUTS!$B$23)^(A20-INPUTS!$B$12),0))</f>
        <v>41830.9967445273</v>
      </c>
      <c r="E20" s="46" t="n">
        <f aca="false">IF(INPUTS!$B$32+15&gt;INPUTS!$B$8-INPUTS!$B$6,"",INPUTS!$B$24)</f>
        <v>0</v>
      </c>
      <c r="F20" s="46" t="n">
        <f aca="false">IF(A20="","",IF(G19+H19=0,0,MAX(0,C20-D20-E20)))</f>
        <v>54031.7041283478</v>
      </c>
      <c r="G20" s="46" t="n">
        <f aca="false">IF(A20="","",MAX(0,G19-F20)*(1+INPUTS!$B$28))</f>
        <v>1201447.24799875</v>
      </c>
      <c r="H20" s="46" t="n">
        <f aca="false">IF(A20="","",MAX(0,H19-MAX(0,F20-G19))*(1+INPUTS!$B$28))</f>
        <v>562902.29889698</v>
      </c>
    </row>
    <row r="21" customFormat="false" ht="18.75" hidden="false" customHeight="true" outlineLevel="0" collapsed="false">
      <c r="A21" s="47" t="n">
        <f aca="false">IF(INPUTS!$B$32+16&gt;INPUTS!$B$8-INPUTS!$B$6,"",INPUTS!$B$12+(INPUTS!$B$6-INPUTS!$B$5)+INPUTS!$B$32+16)</f>
        <v>2049.5</v>
      </c>
      <c r="B21" s="72" t="n">
        <f aca="false">IF(INPUTS!$B$32+16&gt;INPUTS!$B$8-INPUTS!$B$6,"",59.5+16)</f>
        <v>75.5</v>
      </c>
      <c r="C21" s="48" t="n">
        <f aca="false">IF(INPUTS!$B$32+16&gt;INPUTS!$B$8-INPUTS!$B$6,"",INPUTS!$B$22*(1+INPUTS!$B$23)^(A21-INPUTS!$B$12))</f>
        <v>98259.268394697</v>
      </c>
      <c r="D21" s="48" t="n">
        <f aca="false">IF(INPUTS!$B$32+16&gt;INPUTS!$B$8-INPUTS!$B$6,"",IF(B21&gt;=INPUTS!$B$7,INPUTS!$B$25*(1+INPUTS!$B$23)^(A21-INPUTS!$B$12),0))</f>
        <v>42876.7716631405</v>
      </c>
      <c r="E21" s="48" t="n">
        <f aca="false">IF(INPUTS!$B$32+16&gt;INPUTS!$B$8-INPUTS!$B$6,"",INPUTS!$B$24)</f>
        <v>0</v>
      </c>
      <c r="F21" s="48" t="n">
        <f aca="false">IF(A21="","",IF(G20+H20=0,0,MAX(0,C21-D21-E21)))</f>
        <v>55382.4967315565</v>
      </c>
      <c r="G21" s="48" t="n">
        <f aca="false">IF(A21="","",MAX(0,G20-F21)*(1+INPUTS!$B$28))</f>
        <v>1220558.96009956</v>
      </c>
      <c r="H21" s="48" t="n">
        <f aca="false">IF(A21="","",MAX(0,H20-MAX(0,F21-G20))*(1+INPUTS!$B$28))</f>
        <v>599490.948325284</v>
      </c>
    </row>
    <row r="22" customFormat="false" ht="18.75" hidden="false" customHeight="true" outlineLevel="0" collapsed="false">
      <c r="A22" s="45" t="n">
        <f aca="false">IF(INPUTS!$B$32+17&gt;INPUTS!$B$8-INPUTS!$B$6,"",INPUTS!$B$12+(INPUTS!$B$6-INPUTS!$B$5)+INPUTS!$B$32+17)</f>
        <v>2050.5</v>
      </c>
      <c r="B22" s="73" t="n">
        <f aca="false">IF(INPUTS!$B$32+17&gt;INPUTS!$B$8-INPUTS!$B$6,"",59.5+17)</f>
        <v>76.5</v>
      </c>
      <c r="C22" s="46" t="n">
        <f aca="false">IF(INPUTS!$B$32+17&gt;INPUTS!$B$8-INPUTS!$B$6,"",INPUTS!$B$22*(1+INPUTS!$B$23)^(A22-INPUTS!$B$12))</f>
        <v>100715.750104564</v>
      </c>
      <c r="D22" s="46" t="n">
        <f aca="false">IF(INPUTS!$B$32+17&gt;INPUTS!$B$8-INPUTS!$B$6,"",IF(B22&gt;=INPUTS!$B$7,INPUTS!$B$25*(1+INPUTS!$B$23)^(A22-INPUTS!$B$12),0))</f>
        <v>43948.690954719</v>
      </c>
      <c r="E22" s="46" t="n">
        <f aca="false">IF(INPUTS!$B$32+17&gt;INPUTS!$B$8-INPUTS!$B$6,"",INPUTS!$B$24)</f>
        <v>0</v>
      </c>
      <c r="F22" s="46" t="n">
        <f aca="false">IF(A22="","",IF(G21+H21=0,0,MAX(0,C22-D22-E22)))</f>
        <v>56767.0591498454</v>
      </c>
      <c r="G22" s="46" t="n">
        <f aca="false">IF(A22="","",MAX(0,G21-F22)*(1+INPUTS!$B$28))</f>
        <v>1239438.37451144</v>
      </c>
      <c r="H22" s="46" t="n">
        <f aca="false">IF(A22="","",MAX(0,H21-MAX(0,F22-G21))*(1+INPUTS!$B$28))</f>
        <v>638457.859966427</v>
      </c>
    </row>
    <row r="23" customFormat="false" ht="18.75" hidden="false" customHeight="true" outlineLevel="0" collapsed="false">
      <c r="A23" s="47" t="n">
        <f aca="false">IF(INPUTS!$B$32+18&gt;INPUTS!$B$8-INPUTS!$B$6,"",INPUTS!$B$12+(INPUTS!$B$6-INPUTS!$B$5)+INPUTS!$B$32+18)</f>
        <v>2051.5</v>
      </c>
      <c r="B23" s="72" t="n">
        <f aca="false">IF(INPUTS!$B$32+18&gt;INPUTS!$B$8-INPUTS!$B$6,"",59.5+18)</f>
        <v>77.5</v>
      </c>
      <c r="C23" s="48" t="n">
        <f aca="false">IF(INPUTS!$B$32+18&gt;INPUTS!$B$8-INPUTS!$B$6,"",INPUTS!$B$22*(1+INPUTS!$B$23)^(A23-INPUTS!$B$12))</f>
        <v>103233.643857179</v>
      </c>
      <c r="D23" s="48" t="n">
        <f aca="false">IF(INPUTS!$B$32+18&gt;INPUTS!$B$8-INPUTS!$B$6,"",IF(B23&gt;=INPUTS!$B$7,INPUTS!$B$25*(1+INPUTS!$B$23)^(A23-INPUTS!$B$12),0))</f>
        <v>45047.408228587</v>
      </c>
      <c r="E23" s="48" t="n">
        <f aca="false">IF(INPUTS!$B$32+18&gt;INPUTS!$B$8-INPUTS!$B$6,"",INPUTS!$B$24)</f>
        <v>0</v>
      </c>
      <c r="F23" s="48" t="n">
        <f aca="false">IF(A23="","",IF(G22+H22=0,0,MAX(0,C23-D23-E23)))</f>
        <v>58186.2356285915</v>
      </c>
      <c r="G23" s="48" t="n">
        <f aca="false">IF(A23="","",MAX(0,G22-F23)*(1+INPUTS!$B$28))</f>
        <v>1258033.52791024</v>
      </c>
      <c r="H23" s="48" t="n">
        <f aca="false">IF(A23="","",MAX(0,H22-MAX(0,F23-G22))*(1+INPUTS!$B$28))</f>
        <v>679957.620864245</v>
      </c>
    </row>
    <row r="24" customFormat="false" ht="18.75" hidden="false" customHeight="true" outlineLevel="0" collapsed="false">
      <c r="A24" s="45" t="n">
        <f aca="false">IF(INPUTS!$B$32+19&gt;INPUTS!$B$8-INPUTS!$B$6,"",INPUTS!$B$12+(INPUTS!$B$6-INPUTS!$B$5)+INPUTS!$B$32+19)</f>
        <v>2052.5</v>
      </c>
      <c r="B24" s="73" t="n">
        <f aca="false">IF(INPUTS!$B$32+19&gt;INPUTS!$B$8-INPUTS!$B$6,"",59.5+19)</f>
        <v>78.5</v>
      </c>
      <c r="C24" s="46" t="n">
        <f aca="false">IF(INPUTS!$B$32+19&gt;INPUTS!$B$8-INPUTS!$B$6,"",INPUTS!$B$22*(1+INPUTS!$B$23)^(A24-INPUTS!$B$12))</f>
        <v>105814.484953608</v>
      </c>
      <c r="D24" s="46" t="n">
        <f aca="false">IF(INPUTS!$B$32+19&gt;INPUTS!$B$8-INPUTS!$B$6,"",IF(B24&gt;=INPUTS!$B$7,INPUTS!$B$25*(1+INPUTS!$B$23)^(A24-INPUTS!$B$12),0))</f>
        <v>46173.5934343017</v>
      </c>
      <c r="E24" s="46" t="n">
        <f aca="false">IF(INPUTS!$B$32+19&gt;INPUTS!$B$8-INPUTS!$B$6,"",INPUTS!$B$24)</f>
        <v>0</v>
      </c>
      <c r="F24" s="46" t="n">
        <f aca="false">IF(A24="","",IF(G23+H23=0,0,MAX(0,C24-D24-E24)))</f>
        <v>59640.8915193063</v>
      </c>
      <c r="G24" s="46" t="n">
        <f aca="false">IF(A24="","",MAX(0,G23-F24)*(1+INPUTS!$B$28))</f>
        <v>1276288.15775634</v>
      </c>
      <c r="H24" s="46" t="n">
        <f aca="false">IF(A24="","",MAX(0,H23-MAX(0,F24-G23))*(1+INPUTS!$B$28))</f>
        <v>724154.866220421</v>
      </c>
    </row>
    <row r="25" customFormat="false" ht="18.75" hidden="false" customHeight="true" outlineLevel="0" collapsed="false">
      <c r="A25" s="47" t="n">
        <f aca="false">IF(INPUTS!$B$32+20&gt;INPUTS!$B$8-INPUTS!$B$6,"",INPUTS!$B$12+(INPUTS!$B$6-INPUTS!$B$5)+INPUTS!$B$32+20)</f>
        <v>2053.5</v>
      </c>
      <c r="B25" s="72" t="n">
        <f aca="false">IF(INPUTS!$B$32+20&gt;INPUTS!$B$8-INPUTS!$B$6,"",59.5+20)</f>
        <v>79.5</v>
      </c>
      <c r="C25" s="48" t="n">
        <f aca="false">IF(INPUTS!$B$32+20&gt;INPUTS!$B$8-INPUTS!$B$6,"",INPUTS!$B$22*(1+INPUTS!$B$23)^(A25-INPUTS!$B$12))</f>
        <v>108459.847077448</v>
      </c>
      <c r="D25" s="48" t="n">
        <f aca="false">IF(INPUTS!$B$32+20&gt;INPUTS!$B$8-INPUTS!$B$6,"",IF(B25&gt;=INPUTS!$B$7,INPUTS!$B$25*(1+INPUTS!$B$23)^(A25-INPUTS!$B$12),0))</f>
        <v>47327.9332701592</v>
      </c>
      <c r="E25" s="48" t="n">
        <f aca="false">IF(INPUTS!$B$32+20&gt;INPUTS!$B$8-INPUTS!$B$6,"",INPUTS!$B$24)</f>
        <v>0</v>
      </c>
      <c r="F25" s="48" t="n">
        <f aca="false">IF(A25="","",IF(G24+H24=0,0,MAX(0,C25-D25-E25)))</f>
        <v>61131.913807289</v>
      </c>
      <c r="G25" s="48" t="n">
        <f aca="false">IF(A25="","",MAX(0,G24-F25)*(1+INPUTS!$B$28))</f>
        <v>1294141.39980574</v>
      </c>
      <c r="H25" s="48" t="n">
        <f aca="false">IF(A25="","",MAX(0,H24-MAX(0,F25-G24))*(1+INPUTS!$B$28))</f>
        <v>771224.932524749</v>
      </c>
    </row>
    <row r="26" customFormat="false" ht="18.75" hidden="false" customHeight="true" outlineLevel="0" collapsed="false">
      <c r="A26" s="45" t="n">
        <f aca="false">IF(INPUTS!$B$32+21&gt;INPUTS!$B$8-INPUTS!$B$6,"",INPUTS!$B$12+(INPUTS!$B$6-INPUTS!$B$5)+INPUTS!$B$32+21)</f>
        <v>2054.5</v>
      </c>
      <c r="B26" s="73" t="n">
        <f aca="false">IF(INPUTS!$B$32+21&gt;INPUTS!$B$8-INPUTS!$B$6,"",59.5+21)</f>
        <v>80.5</v>
      </c>
      <c r="C26" s="46" t="n">
        <f aca="false">IF(INPUTS!$B$32+21&gt;INPUTS!$B$8-INPUTS!$B$6,"",INPUTS!$B$22*(1+INPUTS!$B$23)^(A26-INPUTS!$B$12))</f>
        <v>111171.343254384</v>
      </c>
      <c r="D26" s="46" t="n">
        <f aca="false">IF(INPUTS!$B$32+21&gt;INPUTS!$B$8-INPUTS!$B$6,"",IF(B26&gt;=INPUTS!$B$7,INPUTS!$B$25*(1+INPUTS!$B$23)^(A26-INPUTS!$B$12),0))</f>
        <v>48511.1316019132</v>
      </c>
      <c r="E26" s="46" t="n">
        <f aca="false">IF(INPUTS!$B$32+21&gt;INPUTS!$B$8-INPUTS!$B$6,"",INPUTS!$B$24)</f>
        <v>0</v>
      </c>
      <c r="F26" s="46" t="n">
        <f aca="false">IF(A26="","",IF(G25+H25=0,0,MAX(0,C26-D26-E26)))</f>
        <v>62660.2116524712</v>
      </c>
      <c r="G26" s="46" t="n">
        <f aca="false">IF(A26="","",MAX(0,G25-F26)*(1+INPUTS!$B$28))</f>
        <v>1311527.46538323</v>
      </c>
      <c r="H26" s="46" t="n">
        <f aca="false">IF(A26="","",MAX(0,H25-MAX(0,F26-G25))*(1+INPUTS!$B$28))</f>
        <v>821354.553138857</v>
      </c>
    </row>
    <row r="27" customFormat="false" ht="18.75" hidden="false" customHeight="true" outlineLevel="0" collapsed="false">
      <c r="A27" s="47" t="n">
        <f aca="false">IF(INPUTS!$B$32+22&gt;INPUTS!$B$8-INPUTS!$B$6,"",INPUTS!$B$12+(INPUTS!$B$6-INPUTS!$B$5)+INPUTS!$B$32+22)</f>
        <v>2055.5</v>
      </c>
      <c r="B27" s="72" t="n">
        <f aca="false">IF(INPUTS!$B$32+22&gt;INPUTS!$B$8-INPUTS!$B$6,"",59.5+22)</f>
        <v>81.5</v>
      </c>
      <c r="C27" s="48" t="n">
        <f aca="false">IF(INPUTS!$B$32+22&gt;INPUTS!$B$8-INPUTS!$B$6,"",INPUTS!$B$22*(1+INPUTS!$B$23)^(A27-INPUTS!$B$12))</f>
        <v>113950.626835744</v>
      </c>
      <c r="D27" s="48" t="n">
        <f aca="false">IF(INPUTS!$B$32+22&gt;INPUTS!$B$8-INPUTS!$B$6,"",IF(B27&gt;=INPUTS!$B$7,INPUTS!$B$25*(1+INPUTS!$B$23)^(A27-INPUTS!$B$12),0))</f>
        <v>49723.909891961</v>
      </c>
      <c r="E27" s="48" t="n">
        <f aca="false">IF(INPUTS!$B$32+22&gt;INPUTS!$B$8-INPUTS!$B$6,"",INPUTS!$B$24)</f>
        <v>0</v>
      </c>
      <c r="F27" s="48" t="n">
        <f aca="false">IF(A27="","",IF(G26+H26=0,0,MAX(0,C27-D27-E27)))</f>
        <v>64226.716943783</v>
      </c>
      <c r="G27" s="48" t="n">
        <f aca="false">IF(A27="","",MAX(0,G26-F27)*(1+INPUTS!$B$28))</f>
        <v>1328375.29708801</v>
      </c>
      <c r="H27" s="48" t="n">
        <f aca="false">IF(A27="","",MAX(0,H26-MAX(0,F27-G26))*(1+INPUTS!$B$28))</f>
        <v>874742.599092883</v>
      </c>
    </row>
    <row r="28" customFormat="false" ht="18.75" hidden="false" customHeight="true" outlineLevel="0" collapsed="false">
      <c r="A28" s="45" t="n">
        <f aca="false">IF(INPUTS!$B$32+23&gt;INPUTS!$B$8-INPUTS!$B$6,"",INPUTS!$B$12+(INPUTS!$B$6-INPUTS!$B$5)+INPUTS!$B$32+23)</f>
        <v>2056.5</v>
      </c>
      <c r="B28" s="73" t="n">
        <f aca="false">IF(INPUTS!$B$32+23&gt;INPUTS!$B$8-INPUTS!$B$6,"",59.5+23)</f>
        <v>82.5</v>
      </c>
      <c r="C28" s="46" t="n">
        <f aca="false">IF(INPUTS!$B$32+23&gt;INPUTS!$B$8-INPUTS!$B$6,"",INPUTS!$B$22*(1+INPUTS!$B$23)^(A28-INPUTS!$B$12))</f>
        <v>116799.392506638</v>
      </c>
      <c r="D28" s="46" t="n">
        <f aca="false">IF(INPUTS!$B$32+23&gt;INPUTS!$B$8-INPUTS!$B$6,"",IF(B28&gt;=INPUTS!$B$7,INPUTS!$B$25*(1+INPUTS!$B$23)^(A28-INPUTS!$B$12),0))</f>
        <v>50967.00763926</v>
      </c>
      <c r="E28" s="46" t="n">
        <f aca="false">IF(INPUTS!$B$32+23&gt;INPUTS!$B$8-INPUTS!$B$6,"",INPUTS!$B$24)</f>
        <v>0</v>
      </c>
      <c r="F28" s="46" t="n">
        <f aca="false">IF(A28="","",IF(G27+H27=0,0,MAX(0,C28-D28-E28)))</f>
        <v>65832.3848673775</v>
      </c>
      <c r="G28" s="46" t="n">
        <f aca="false">IF(A28="","",MAX(0,G27-F28)*(1+INPUTS!$B$28))</f>
        <v>1344608.20151498</v>
      </c>
      <c r="H28" s="46" t="n">
        <f aca="false">IF(A28="","",MAX(0,H27-MAX(0,F28-G27))*(1+INPUTS!$B$28))</f>
        <v>931600.86803392</v>
      </c>
    </row>
    <row r="29" customFormat="false" ht="18.75" hidden="false" customHeight="true" outlineLevel="0" collapsed="false">
      <c r="A29" s="47" t="n">
        <f aca="false">IF(INPUTS!$B$32+24&gt;INPUTS!$B$8-INPUTS!$B$6,"",INPUTS!$B$12+(INPUTS!$B$6-INPUTS!$B$5)+INPUTS!$B$32+24)</f>
        <v>2057.5</v>
      </c>
      <c r="B29" s="72" t="n">
        <f aca="false">IF(INPUTS!$B$32+24&gt;INPUTS!$B$8-INPUTS!$B$6,"",59.5+24)</f>
        <v>83.5</v>
      </c>
      <c r="C29" s="48" t="n">
        <f aca="false">IF(INPUTS!$B$32+24&gt;INPUTS!$B$8-INPUTS!$B$6,"",INPUTS!$B$22*(1+INPUTS!$B$23)^(A29-INPUTS!$B$12))</f>
        <v>119719.377319304</v>
      </c>
      <c r="D29" s="48" t="n">
        <f aca="false">IF(INPUTS!$B$32+24&gt;INPUTS!$B$8-INPUTS!$B$6,"",IF(B29&gt;=INPUTS!$B$7,INPUTS!$B$25*(1+INPUTS!$B$23)^(A29-INPUTS!$B$12),0))</f>
        <v>52241.1828302415</v>
      </c>
      <c r="E29" s="48" t="n">
        <f aca="false">IF(INPUTS!$B$32+24&gt;INPUTS!$B$8-INPUTS!$B$6,"",INPUTS!$B$24)</f>
        <v>0</v>
      </c>
      <c r="F29" s="48" t="n">
        <f aca="false">IF(A29="","",IF(G28+H28=0,0,MAX(0,C29-D29-E29)))</f>
        <v>67478.194489062</v>
      </c>
      <c r="G29" s="48" t="n">
        <f aca="false">IF(A29="","",MAX(0,G28-F29)*(1+INPUTS!$B$28))</f>
        <v>1360143.4574826</v>
      </c>
      <c r="H29" s="48" t="n">
        <f aca="false">IF(A29="","",MAX(0,H28-MAX(0,F29-G28))*(1+INPUTS!$B$28))</f>
        <v>992154.924456125</v>
      </c>
    </row>
    <row r="30" customFormat="false" ht="18.75" hidden="false" customHeight="true" outlineLevel="0" collapsed="false">
      <c r="A30" s="45" t="n">
        <f aca="false">IF(INPUTS!$B$32+25&gt;INPUTS!$B$8-INPUTS!$B$6,"",INPUTS!$B$12+(INPUTS!$B$6-INPUTS!$B$5)+INPUTS!$B$32+25)</f>
        <v>2058.5</v>
      </c>
      <c r="B30" s="73" t="n">
        <f aca="false">IF(INPUTS!$B$32+25&gt;INPUTS!$B$8-INPUTS!$B$6,"",59.5+25)</f>
        <v>84.5</v>
      </c>
      <c r="C30" s="46" t="n">
        <f aca="false">IF(INPUTS!$B$32+25&gt;INPUTS!$B$8-INPUTS!$B$6,"",INPUTS!$B$22*(1+INPUTS!$B$23)^(A30-INPUTS!$B$12))</f>
        <v>122712.361752286</v>
      </c>
      <c r="D30" s="46" t="n">
        <f aca="false">IF(INPUTS!$B$32+25&gt;INPUTS!$B$8-INPUTS!$B$6,"",IF(B30&gt;=INPUTS!$B$7,INPUTS!$B$25*(1+INPUTS!$B$23)^(A30-INPUTS!$B$12),0))</f>
        <v>53547.2124009976</v>
      </c>
      <c r="E30" s="46" t="n">
        <f aca="false">IF(INPUTS!$B$32+25&gt;INPUTS!$B$8-INPUTS!$B$6,"",INPUTS!$B$24)</f>
        <v>0</v>
      </c>
      <c r="F30" s="46" t="n">
        <f aca="false">IF(A30="","",IF(G29+H29=0,0,MAX(0,C30-D30-E30)))</f>
        <v>69165.1493512885</v>
      </c>
      <c r="G30" s="46" t="n">
        <f aca="false">IF(A30="","",MAX(0,G29-F30)*(1+INPUTS!$B$28))</f>
        <v>1374891.89815984</v>
      </c>
      <c r="H30" s="46" t="n">
        <f aca="false">IF(A30="","",MAX(0,H29-MAX(0,F30-G29))*(1+INPUTS!$B$28))</f>
        <v>1056644.99454577</v>
      </c>
    </row>
    <row r="31" customFormat="false" ht="18.75" hidden="false" customHeight="true" outlineLevel="0" collapsed="false">
      <c r="A31" s="47" t="n">
        <f aca="false">IF(INPUTS!$B$32+26&gt;INPUTS!$B$8-INPUTS!$B$6,"",INPUTS!$B$12+(INPUTS!$B$6-INPUTS!$B$5)+INPUTS!$B$32+26)</f>
        <v>2059.5</v>
      </c>
      <c r="B31" s="72" t="n">
        <f aca="false">IF(INPUTS!$B$32+26&gt;INPUTS!$B$8-INPUTS!$B$6,"",59.5+26)</f>
        <v>85.5</v>
      </c>
      <c r="C31" s="48" t="n">
        <f aca="false">IF(INPUTS!$B$32+26&gt;INPUTS!$B$8-INPUTS!$B$6,"",INPUTS!$B$22*(1+INPUTS!$B$23)^(A31-INPUTS!$B$12))</f>
        <v>125780.170796093</v>
      </c>
      <c r="D31" s="48" t="n">
        <f aca="false">IF(INPUTS!$B$32+26&gt;INPUTS!$B$8-INPUTS!$B$6,"",IF(B31&gt;=INPUTS!$B$7,INPUTS!$B$25*(1+INPUTS!$B$23)^(A31-INPUTS!$B$12),0))</f>
        <v>54885.8927110225</v>
      </c>
      <c r="E31" s="48" t="n">
        <f aca="false">IF(INPUTS!$B$32+26&gt;INPUTS!$B$8-INPUTS!$B$6,"",INPUTS!$B$24)</f>
        <v>0</v>
      </c>
      <c r="F31" s="48" t="n">
        <f aca="false">IF(A31="","",IF(G30+H30=0,0,MAX(0,C31-D31-E31)))</f>
        <v>70894.2780850707</v>
      </c>
      <c r="G31" s="48" t="n">
        <f aca="false">IF(A31="","",MAX(0,G30-F31)*(1+INPUTS!$B$28))</f>
        <v>1388757.46537963</v>
      </c>
      <c r="H31" s="48" t="n">
        <f aca="false">IF(A31="","",MAX(0,H30-MAX(0,F31-G30))*(1+INPUTS!$B$28))</f>
        <v>1125326.91919125</v>
      </c>
    </row>
    <row r="32" customFormat="false" ht="18.75" hidden="false" customHeight="true" outlineLevel="0" collapsed="false">
      <c r="A32" s="45" t="n">
        <f aca="false">IF(INPUTS!$B$32+27&gt;INPUTS!$B$8-INPUTS!$B$6,"",INPUTS!$B$12+(INPUTS!$B$6-INPUTS!$B$5)+INPUTS!$B$32+27)</f>
        <v>2060.5</v>
      </c>
      <c r="B32" s="73" t="n">
        <f aca="false">IF(INPUTS!$B$32+27&gt;INPUTS!$B$8-INPUTS!$B$6,"",59.5+27)</f>
        <v>86.5</v>
      </c>
      <c r="C32" s="46" t="n">
        <f aca="false">IF(INPUTS!$B$32+27&gt;INPUTS!$B$8-INPUTS!$B$6,"",INPUTS!$B$22*(1+INPUTS!$B$23)^(A32-INPUTS!$B$12))</f>
        <v>128924.675065996</v>
      </c>
      <c r="D32" s="46" t="n">
        <f aca="false">IF(INPUTS!$B$32+27&gt;INPUTS!$B$8-INPUTS!$B$6,"",IF(B32&gt;=INPUTS!$B$7,INPUTS!$B$25*(1+INPUTS!$B$23)^(A32-INPUTS!$B$12),0))</f>
        <v>56258.040028798</v>
      </c>
      <c r="E32" s="46" t="n">
        <f aca="false">IF(INPUTS!$B$32+27&gt;INPUTS!$B$8-INPUTS!$B$6,"",INPUTS!$B$24)</f>
        <v>0</v>
      </c>
      <c r="F32" s="46" t="n">
        <f aca="false">IF(A32="","",IF(G31+H31=0,0,MAX(0,C32-D32-E32)))</f>
        <v>72666.6350371975</v>
      </c>
      <c r="G32" s="46" t="n">
        <f aca="false">IF(A32="","",MAX(0,G31-F32)*(1+INPUTS!$B$28))</f>
        <v>1401636.73431469</v>
      </c>
      <c r="H32" s="46" t="n">
        <f aca="false">IF(A32="","",MAX(0,H31-MAX(0,F32-G31))*(1+INPUTS!$B$28))</f>
        <v>1198473.16893868</v>
      </c>
    </row>
    <row r="33" customFormat="false" ht="18.75" hidden="false" customHeight="true" outlineLevel="0" collapsed="false">
      <c r="A33" s="47" t="n">
        <f aca="false">IF(INPUTS!$B$32+28&gt;INPUTS!$B$8-INPUTS!$B$6,"",INPUTS!$B$12+(INPUTS!$B$6-INPUTS!$B$5)+INPUTS!$B$32+28)</f>
        <v>2061.5</v>
      </c>
      <c r="B33" s="72" t="n">
        <f aca="false">IF(INPUTS!$B$32+28&gt;INPUTS!$B$8-INPUTS!$B$6,"",59.5+28)</f>
        <v>87.5</v>
      </c>
      <c r="C33" s="48" t="n">
        <f aca="false">IF(INPUTS!$B$32+28&gt;INPUTS!$B$8-INPUTS!$B$6,"",INPUTS!$B$22*(1+INPUTS!$B$23)^(A33-INPUTS!$B$12))</f>
        <v>132147.791942645</v>
      </c>
      <c r="D33" s="48" t="n">
        <f aca="false">IF(INPUTS!$B$32+28&gt;INPUTS!$B$8-INPUTS!$B$6,"",IF(B33&gt;=INPUTS!$B$7,INPUTS!$B$25*(1+INPUTS!$B$23)^(A33-INPUTS!$B$12),0))</f>
        <v>57664.491029518</v>
      </c>
      <c r="E33" s="48" t="n">
        <f aca="false">IF(INPUTS!$B$32+28&gt;INPUTS!$B$8-INPUTS!$B$6,"",INPUTS!$B$24)</f>
        <v>0</v>
      </c>
      <c r="F33" s="48" t="n">
        <f aca="false">IF(A33="","",IF(G32+H32=0,0,MAX(0,C33-D33-E33)))</f>
        <v>74483.3009131274</v>
      </c>
      <c r="G33" s="48" t="n">
        <f aca="false">IF(A33="","",MAX(0,G32-F33)*(1+INPUTS!$B$28))</f>
        <v>1413418.40657267</v>
      </c>
      <c r="H33" s="48" t="n">
        <f aca="false">IF(A33="","",MAX(0,H32-MAX(0,F33-G32))*(1+INPUTS!$B$28))</f>
        <v>1276373.92491969</v>
      </c>
    </row>
    <row r="34" customFormat="false" ht="18.75" hidden="false" customHeight="true" outlineLevel="0" collapsed="false">
      <c r="A34" s="45" t="n">
        <f aca="false">IF(INPUTS!$B$32+29&gt;INPUTS!$B$8-INPUTS!$B$6,"",INPUTS!$B$12+(INPUTS!$B$6-INPUTS!$B$5)+INPUTS!$B$32+29)</f>
        <v>2062.5</v>
      </c>
      <c r="B34" s="73" t="n">
        <f aca="false">IF(INPUTS!$B$32+29&gt;INPUTS!$B$8-INPUTS!$B$6,"",59.5+29)</f>
        <v>88.5</v>
      </c>
      <c r="C34" s="46" t="n">
        <f aca="false">IF(INPUTS!$B$32+29&gt;INPUTS!$B$8-INPUTS!$B$6,"",INPUTS!$B$22*(1+INPUTS!$B$23)^(A34-INPUTS!$B$12))</f>
        <v>135451.486741212</v>
      </c>
      <c r="D34" s="46" t="n">
        <f aca="false">IF(INPUTS!$B$32+29&gt;INPUTS!$B$8-INPUTS!$B$6,"",IF(B34&gt;=INPUTS!$B$7,INPUTS!$B$25*(1+INPUTS!$B$23)^(A34-INPUTS!$B$12),0))</f>
        <v>59106.1033052559</v>
      </c>
      <c r="E34" s="46" t="n">
        <f aca="false">IF(INPUTS!$B$32+29&gt;INPUTS!$B$8-INPUTS!$B$6,"",INPUTS!$B$24)</f>
        <v>0</v>
      </c>
      <c r="F34" s="46" t="n">
        <f aca="false">IF(A34="","",IF(G33+H33=0,0,MAX(0,C34-D34-E34)))</f>
        <v>76345.3834359556</v>
      </c>
      <c r="G34" s="46" t="n">
        <f aca="false">IF(A34="","",MAX(0,G33-F34)*(1+INPUTS!$B$28))</f>
        <v>1423982.7696406</v>
      </c>
      <c r="H34" s="46" t="n">
        <f aca="false">IF(A34="","",MAX(0,H33-MAX(0,F34-G33))*(1+INPUTS!$B$28))</f>
        <v>1359338.23003947</v>
      </c>
    </row>
    <row r="35" customFormat="false" ht="18.75" hidden="false" customHeight="true" outlineLevel="0" collapsed="false">
      <c r="A35" s="47" t="n">
        <f aca="false">IF(INPUTS!$B$32+30&gt;INPUTS!$B$8-INPUTS!$B$6,"",INPUTS!$B$12+(INPUTS!$B$6-INPUTS!$B$5)+INPUTS!$B$32+30)</f>
        <v>2063.5</v>
      </c>
      <c r="B35" s="72" t="n">
        <f aca="false">IF(INPUTS!$B$32+30&gt;INPUTS!$B$8-INPUTS!$B$6,"",59.5+30)</f>
        <v>89.5</v>
      </c>
      <c r="C35" s="48" t="n">
        <f aca="false">IF(INPUTS!$B$32+30&gt;INPUTS!$B$8-INPUTS!$B$6,"",INPUTS!$B$22*(1+INPUTS!$B$23)^(A35-INPUTS!$B$12))</f>
        <v>138837.773909742</v>
      </c>
      <c r="D35" s="48" t="n">
        <f aca="false">IF(INPUTS!$B$32+30&gt;INPUTS!$B$8-INPUTS!$B$6,"",IF(B35&gt;=INPUTS!$B$7,INPUTS!$B$25*(1+INPUTS!$B$23)^(A35-INPUTS!$B$12),0))</f>
        <v>60583.7558878873</v>
      </c>
      <c r="E35" s="48" t="n">
        <f aca="false">IF(INPUTS!$B$32+30&gt;INPUTS!$B$8-INPUTS!$B$6,"",INPUTS!$B$24)</f>
        <v>0</v>
      </c>
      <c r="F35" s="48" t="n">
        <f aca="false">IF(A35="","",IF(G34+H34=0,0,MAX(0,C35-D35-E35)))</f>
        <v>78254.0180218545</v>
      </c>
      <c r="G35" s="48" t="n">
        <f aca="false">IF(A35="","",MAX(0,G34-F35)*(1+INPUTS!$B$28))</f>
        <v>1433201.12047396</v>
      </c>
      <c r="H35" s="48" t="n">
        <f aca="false">IF(A35="","",MAX(0,H34-MAX(0,F35-G34))*(1+INPUTS!$B$28))</f>
        <v>1447695.21499204</v>
      </c>
    </row>
    <row r="36" customFormat="false" ht="18.75" hidden="false" customHeight="true" outlineLevel="0" collapsed="false">
      <c r="A36" s="45" t="str">
        <f aca="false">IF(INPUTS!$B$32+31&gt;INPUTS!$B$8-INPUTS!$B$6,"",INPUTS!$B$12+(INPUTS!$B$6-INPUTS!$B$5)+INPUTS!$B$32+31)</f>
        <v/>
      </c>
      <c r="B36" s="73" t="str">
        <f aca="false">IF(INPUTS!$B$32+31&gt;INPUTS!$B$8-INPUTS!$B$6,"",59.5+31)</f>
        <v/>
      </c>
      <c r="C36" s="46" t="str">
        <f aca="false">IF(INPUTS!$B$32+31&gt;INPUTS!$B$8-INPUTS!$B$6,"",INPUTS!$B$22*(1+INPUTS!$B$23)^(A36-INPUTS!$B$12))</f>
        <v/>
      </c>
      <c r="D36" s="46" t="str">
        <f aca="false">IF(INPUTS!$B$32+31&gt;INPUTS!$B$8-INPUTS!$B$6,"",IF(B36&gt;=INPUTS!$B$7,INPUTS!$B$25*(1+INPUTS!$B$23)^(A36-INPUTS!$B$12),0))</f>
        <v/>
      </c>
      <c r="E36" s="46" t="str">
        <f aca="false">IF(INPUTS!$B$32+31&gt;INPUTS!$B$8-INPUTS!$B$6,"",INPUTS!$B$24)</f>
        <v/>
      </c>
      <c r="F36" s="46" t="str">
        <f aca="false">IF(A36="","",IF(G35+H35=0,0,MAX(0,C36-D36-E36)))</f>
        <v/>
      </c>
      <c r="G36" s="46" t="str">
        <f aca="false">IF(A36="","",MAX(0,G35-F36)*(1+INPUTS!$B$28))</f>
        <v/>
      </c>
      <c r="H36" s="46" t="str">
        <f aca="false">IF(A36="","",MAX(0,H35-MAX(0,F36-G35))*(1+INPUTS!$B$28))</f>
        <v/>
      </c>
    </row>
    <row r="37" customFormat="false" ht="18.75" hidden="false" customHeight="true" outlineLevel="0" collapsed="false">
      <c r="A37" s="47" t="str">
        <f aca="false">IF(INPUTS!$B$32+32&gt;INPUTS!$B$8-INPUTS!$B$6,"",INPUTS!$B$12+(INPUTS!$B$6-INPUTS!$B$5)+INPUTS!$B$32+32)</f>
        <v/>
      </c>
      <c r="B37" s="72" t="str">
        <f aca="false">IF(INPUTS!$B$32+32&gt;INPUTS!$B$8-INPUTS!$B$6,"",59.5+32)</f>
        <v/>
      </c>
      <c r="C37" s="48" t="str">
        <f aca="false">IF(INPUTS!$B$32+32&gt;INPUTS!$B$8-INPUTS!$B$6,"",INPUTS!$B$22*(1+INPUTS!$B$23)^(A37-INPUTS!$B$12))</f>
        <v/>
      </c>
      <c r="D37" s="48" t="str">
        <f aca="false">IF(INPUTS!$B$32+32&gt;INPUTS!$B$8-INPUTS!$B$6,"",IF(B37&gt;=INPUTS!$B$7,INPUTS!$B$25*(1+INPUTS!$B$23)^(A37-INPUTS!$B$12),0))</f>
        <v/>
      </c>
      <c r="E37" s="48" t="str">
        <f aca="false">IF(INPUTS!$B$32+32&gt;INPUTS!$B$8-INPUTS!$B$6,"",INPUTS!$B$24)</f>
        <v/>
      </c>
      <c r="F37" s="48" t="str">
        <f aca="false">IF(A37="","",IF(G36+H36=0,0,MAX(0,C37-D37-E37)))</f>
        <v/>
      </c>
      <c r="G37" s="48" t="str">
        <f aca="false">IF(A37="","",MAX(0,G36-F37)*(1+INPUTS!$B$28))</f>
        <v/>
      </c>
      <c r="H37" s="48" t="str">
        <f aca="false">IF(A37="","",MAX(0,H36-MAX(0,F37-G36))*(1+INPUTS!$B$28))</f>
        <v/>
      </c>
    </row>
    <row r="38" customFormat="false" ht="18.75" hidden="false" customHeight="true" outlineLevel="0" collapsed="false">
      <c r="A38" s="45" t="str">
        <f aca="false">IF(INPUTS!$B$32+33&gt;INPUTS!$B$8-INPUTS!$B$6,"",INPUTS!$B$12+(INPUTS!$B$6-INPUTS!$B$5)+INPUTS!$B$32+33)</f>
        <v/>
      </c>
      <c r="B38" s="73" t="str">
        <f aca="false">IF(INPUTS!$B$32+33&gt;INPUTS!$B$8-INPUTS!$B$6,"",59.5+33)</f>
        <v/>
      </c>
      <c r="C38" s="46" t="str">
        <f aca="false">IF(INPUTS!$B$32+33&gt;INPUTS!$B$8-INPUTS!$B$6,"",INPUTS!$B$22*(1+INPUTS!$B$23)^(A38-INPUTS!$B$12))</f>
        <v/>
      </c>
      <c r="D38" s="46" t="str">
        <f aca="false">IF(INPUTS!$B$32+33&gt;INPUTS!$B$8-INPUTS!$B$6,"",IF(B38&gt;=INPUTS!$B$7,INPUTS!$B$25*(1+INPUTS!$B$23)^(A38-INPUTS!$B$12),0))</f>
        <v/>
      </c>
      <c r="E38" s="46" t="str">
        <f aca="false">IF(INPUTS!$B$32+33&gt;INPUTS!$B$8-INPUTS!$B$6,"",INPUTS!$B$24)</f>
        <v/>
      </c>
      <c r="F38" s="46" t="str">
        <f aca="false">IF(A38="","",IF(G37+H37=0,0,MAX(0,C38-D38-E38)))</f>
        <v/>
      </c>
      <c r="G38" s="46" t="str">
        <f aca="false">IF(A38="","",MAX(0,G37-F38)*(1+INPUTS!$B$28))</f>
        <v/>
      </c>
      <c r="H38" s="46" t="str">
        <f aca="false">IF(A38="","",MAX(0,H37-MAX(0,F38-G37))*(1+INPUTS!$B$28))</f>
        <v/>
      </c>
    </row>
    <row r="39" customFormat="false" ht="18.75" hidden="false" customHeight="true" outlineLevel="0" collapsed="false">
      <c r="A39" s="47" t="str">
        <f aca="false">IF(INPUTS!$B$32+34&gt;INPUTS!$B$8-INPUTS!$B$6,"",INPUTS!$B$12+(INPUTS!$B$6-INPUTS!$B$5)+INPUTS!$B$32+34)</f>
        <v/>
      </c>
      <c r="B39" s="72" t="str">
        <f aca="false">IF(INPUTS!$B$32+34&gt;INPUTS!$B$8-INPUTS!$B$6,"",59.5+34)</f>
        <v/>
      </c>
      <c r="C39" s="48" t="str">
        <f aca="false">IF(INPUTS!$B$32+34&gt;INPUTS!$B$8-INPUTS!$B$6,"",INPUTS!$B$22*(1+INPUTS!$B$23)^(A39-INPUTS!$B$12))</f>
        <v/>
      </c>
      <c r="D39" s="48" t="str">
        <f aca="false">IF(INPUTS!$B$32+34&gt;INPUTS!$B$8-INPUTS!$B$6,"",IF(B39&gt;=INPUTS!$B$7,INPUTS!$B$25*(1+INPUTS!$B$23)^(A39-INPUTS!$B$12),0))</f>
        <v/>
      </c>
      <c r="E39" s="48" t="str">
        <f aca="false">IF(INPUTS!$B$32+34&gt;INPUTS!$B$8-INPUTS!$B$6,"",INPUTS!$B$24)</f>
        <v/>
      </c>
      <c r="F39" s="48" t="str">
        <f aca="false">IF(A39="","",IF(G38+H38=0,0,MAX(0,C39-D39-E39)))</f>
        <v/>
      </c>
      <c r="G39" s="48" t="str">
        <f aca="false">IF(A39="","",MAX(0,G38-F39)*(1+INPUTS!$B$28))</f>
        <v/>
      </c>
      <c r="H39" s="48" t="str">
        <f aca="false">IF(A39="","",MAX(0,H38-MAX(0,F39-G38))*(1+INPUTS!$B$28))</f>
        <v/>
      </c>
    </row>
    <row r="40" customFormat="false" ht="18.75" hidden="false" customHeight="true" outlineLevel="0" collapsed="false">
      <c r="A40" s="45" t="str">
        <f aca="false">IF(INPUTS!$B$32+35&gt;INPUTS!$B$8-INPUTS!$B$6,"",INPUTS!$B$12+(INPUTS!$B$6-INPUTS!$B$5)+INPUTS!$B$32+35)</f>
        <v/>
      </c>
      <c r="B40" s="73" t="str">
        <f aca="false">IF(INPUTS!$B$32+35&gt;INPUTS!$B$8-INPUTS!$B$6,"",59.5+35)</f>
        <v/>
      </c>
      <c r="C40" s="46" t="str">
        <f aca="false">IF(INPUTS!$B$32+35&gt;INPUTS!$B$8-INPUTS!$B$6,"",INPUTS!$B$22*(1+INPUTS!$B$23)^(A40-INPUTS!$B$12))</f>
        <v/>
      </c>
      <c r="D40" s="46" t="str">
        <f aca="false">IF(INPUTS!$B$32+35&gt;INPUTS!$B$8-INPUTS!$B$6,"",IF(B40&gt;=INPUTS!$B$7,INPUTS!$B$25*(1+INPUTS!$B$23)^(A40-INPUTS!$B$12),0))</f>
        <v/>
      </c>
      <c r="E40" s="46" t="str">
        <f aca="false">IF(INPUTS!$B$32+35&gt;INPUTS!$B$8-INPUTS!$B$6,"",INPUTS!$B$24)</f>
        <v/>
      </c>
      <c r="F40" s="46" t="str">
        <f aca="false">IF(A40="","",IF(G39+H39=0,0,MAX(0,C40-D40-E40)))</f>
        <v/>
      </c>
      <c r="G40" s="46" t="str">
        <f aca="false">IF(A40="","",MAX(0,G39-F40)*(1+INPUTS!$B$28))</f>
        <v/>
      </c>
      <c r="H40" s="46" t="str">
        <f aca="false">IF(A40="","",MAX(0,H39-MAX(0,F40-G39))*(1+INPUTS!$B$28))</f>
        <v/>
      </c>
    </row>
    <row r="41" customFormat="false" ht="1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</row>
    <row r="42" customFormat="false" ht="25.5" hidden="false" customHeight="true" outlineLevel="0" collapsed="false">
      <c r="A42" s="74" t="s">
        <v>116</v>
      </c>
      <c r="B42" s="75"/>
      <c r="C42" s="75"/>
      <c r="D42" s="75"/>
      <c r="E42" s="75"/>
      <c r="F42" s="76" t="n">
        <f aca="false">IFERROR(G42+H42,0)</f>
        <v>2880896.335466</v>
      </c>
      <c r="G42" s="76" t="n">
        <f aca="false">IFERROR(LOOKUP(9.99E+307,G5:G40),0)</f>
        <v>1433201.12047396</v>
      </c>
      <c r="H42" s="76" t="n">
        <f aca="false">IFERROR(LOOKUP(9.99E+307,H5:H40),0)</f>
        <v>1447695.21499204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8CF8"/>
    <pageSetUpPr fitToPage="false"/>
  </sheetPr>
  <dimension ref="A1:AR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0"/>
  </cols>
  <sheetData>
    <row r="1" customFormat="false" ht="30" hidden="false" customHeight="true" outlineLevel="0" collapsed="false">
      <c r="A1" s="42" t="s">
        <v>117</v>
      </c>
      <c r="B1" s="42"/>
      <c r="C1" s="42"/>
      <c r="D1" s="42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customFormat="false" ht="15.75" hidden="false" customHeight="true" outlineLevel="0" collapsed="false">
      <c r="A2" s="77" t="s">
        <v>118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customFormat="false" ht="15" hidden="false" customHeight="true" outlineLevel="0" collapsed="false">
      <c r="A4" s="78" t="s">
        <v>119</v>
      </c>
      <c r="B4" s="20"/>
      <c r="C4" s="79" t="n">
        <f aca="false">IFERROR(MAX(0,INPUTS!$B$22*(1+INPUTS!$B$23)^(INPUTS!$B$6-INPUTS!$B$5+0)-IF(INPUTS!$B$6+0&gt;=INPUTS!$B$7,INPUTS!$B$25*(1+INPUTS!$B$23)^(INPUTS!$B$6-INPUTS!$B$5+0),0)-INPUTS!$B$24),0)</f>
        <v>59228.984375</v>
      </c>
      <c r="D4" s="79" t="n">
        <f aca="false">IFERROR(MAX(0,INPUTS!$B$22*(1+INPUTS!$B$23)^(INPUTS!$B$6-INPUTS!$B$5+1)-IF(INPUTS!$B$6+1&gt;=INPUTS!$B$7,INPUTS!$B$25*(1+INPUTS!$B$23)^(INPUTS!$B$6-INPUTS!$B$5+1),0)-INPUTS!$B$24),0)</f>
        <v>60709.708984375</v>
      </c>
      <c r="E4" s="79" t="n">
        <f aca="false">IFERROR(MAX(0,INPUTS!$B$22*(1+INPUTS!$B$23)^(INPUTS!$B$6-INPUTS!$B$5+2)-IF(INPUTS!$B$6+2&gt;=INPUTS!$B$7,INPUTS!$B$25*(1+INPUTS!$B$23)^(INPUTS!$B$6-INPUTS!$B$5+2),0)-INPUTS!$B$24),0)</f>
        <v>62227.4517089843</v>
      </c>
      <c r="F4" s="79" t="n">
        <f aca="false">IFERROR(MAX(0,INPUTS!$B$22*(1+INPUTS!$B$23)^(INPUTS!$B$6-INPUTS!$B$5+3)-IF(INPUTS!$B$6+3&gt;=INPUTS!$B$7,INPUTS!$B$25*(1+INPUTS!$B$23)^(INPUTS!$B$6-INPUTS!$B$5+3),0)-INPUTS!$B$24),0)</f>
        <v>63783.138001709</v>
      </c>
      <c r="G4" s="79" t="n">
        <f aca="false">IFERROR(MAX(0,INPUTS!$B$22*(1+INPUTS!$B$23)^(INPUTS!$B$6-INPUTS!$B$5+4)-IF(INPUTS!$B$6+4&gt;=INPUTS!$B$7,INPUTS!$B$25*(1+INPUTS!$B$23)^(INPUTS!$B$6-INPUTS!$B$5+4),0)-INPUTS!$B$24),0)</f>
        <v>65377.7164517517</v>
      </c>
      <c r="H4" s="79" t="n">
        <f aca="false">IFERROR(MAX(0,INPUTS!$B$22*(1+INPUTS!$B$23)^(INPUTS!$B$6-INPUTS!$B$5+5)-IF(INPUTS!$B$6+5&gt;=INPUTS!$B$7,INPUTS!$B$25*(1+INPUTS!$B$23)^(INPUTS!$B$6-INPUTS!$B$5+5),0)-INPUTS!$B$24),0)</f>
        <v>67012.1593630454</v>
      </c>
      <c r="I4" s="79" t="n">
        <f aca="false">IFERROR(MAX(0,INPUTS!$B$22*(1+INPUTS!$B$23)^(INPUTS!$B$6-INPUTS!$B$5+6)-IF(INPUTS!$B$6+6&gt;=INPUTS!$B$7,INPUTS!$B$25*(1+INPUTS!$B$23)^(INPUTS!$B$6-INPUTS!$B$5+6),0)-INPUTS!$B$24),0)</f>
        <v>68687.4633471216</v>
      </c>
      <c r="J4" s="79" t="n">
        <f aca="false">IFERROR(MAX(0,INPUTS!$B$22*(1+INPUTS!$B$23)^(INPUTS!$B$6-INPUTS!$B$5+7)-IF(INPUTS!$B$6+7&gt;=INPUTS!$B$7,INPUTS!$B$25*(1+INPUTS!$B$23)^(INPUTS!$B$6-INPUTS!$B$5+7),0)-INPUTS!$B$24),0)</f>
        <v>70404.6499307996</v>
      </c>
      <c r="K4" s="79" t="n">
        <f aca="false">IFERROR(MAX(0,INPUTS!$B$22*(1+INPUTS!$B$23)^(INPUTS!$B$6-INPUTS!$B$5+8)-IF(INPUTS!$B$6+8&gt;=INPUTS!$B$7,INPUTS!$B$25*(1+INPUTS!$B$23)^(INPUTS!$B$6-INPUTS!$B$5+8),0)-INPUTS!$B$24),0)</f>
        <v>72164.7661790696</v>
      </c>
      <c r="L4" s="79" t="n">
        <f aca="false">IFERROR(MAX(0,INPUTS!$B$22*(1+INPUTS!$B$23)^(INPUTS!$B$6-INPUTS!$B$5+9)-IF(INPUTS!$B$6+9&gt;=INPUTS!$B$7,INPUTS!$B$25*(1+INPUTS!$B$23)^(INPUTS!$B$6-INPUTS!$B$5+9),0)-INPUTS!$B$24),0)</f>
        <v>73968.8853335463</v>
      </c>
      <c r="M4" s="79" t="n">
        <f aca="false">IFERROR(MAX(0,INPUTS!$B$22*(1+INPUTS!$B$23)^(INPUTS!$B$6-INPUTS!$B$5+10)-IF(INPUTS!$B$6+10&gt;=INPUTS!$B$7,INPUTS!$B$25*(1+INPUTS!$B$23)^(INPUTS!$B$6-INPUTS!$B$5+10),0)-INPUTS!$B$24),0)</f>
        <v>75818.107466885</v>
      </c>
      <c r="N4" s="79" t="n">
        <f aca="false">IFERROR(MAX(0,INPUTS!$B$22*(1+INPUTS!$B$23)^(INPUTS!$B$6-INPUTS!$B$5+11)-IF(INPUTS!$B$6+11&gt;=INPUTS!$B$7,INPUTS!$B$25*(1+INPUTS!$B$23)^(INPUTS!$B$6-INPUTS!$B$5+11),0)-INPUTS!$B$24),0)</f>
        <v>77713.5601535571</v>
      </c>
      <c r="O4" s="79" t="n">
        <f aca="false">IFERROR(MAX(0,INPUTS!$B$22*(1+INPUTS!$B$23)^(INPUTS!$B$6-INPUTS!$B$5+12)-IF(INPUTS!$B$6+12&gt;=INPUTS!$B$7,INPUTS!$B$25*(1+INPUTS!$B$23)^(INPUTS!$B$6-INPUTS!$B$5+12),0)-INPUTS!$B$24),0)</f>
        <v>44897.2431614414</v>
      </c>
      <c r="P4" s="79" t="n">
        <f aca="false">IFERROR(MAX(0,INPUTS!$B$22*(1+INPUTS!$B$23)^(INPUTS!$B$6-INPUTS!$B$5+13)-IF(INPUTS!$B$6+13&gt;=INPUTS!$B$7,INPUTS!$B$25*(1+INPUTS!$B$23)^(INPUTS!$B$6-INPUTS!$B$5+13),0)-INPUTS!$B$24),0)</f>
        <v>46019.6742404774</v>
      </c>
      <c r="Q4" s="79" t="n">
        <f aca="false">IFERROR(MAX(0,INPUTS!$B$22*(1+INPUTS!$B$23)^(INPUTS!$B$6-INPUTS!$B$5+14)-IF(INPUTS!$B$6+14&gt;=INPUTS!$B$7,INPUTS!$B$25*(1+INPUTS!$B$23)^(INPUTS!$B$6-INPUTS!$B$5+14),0)-INPUTS!$B$24),0)</f>
        <v>47170.1660964894</v>
      </c>
      <c r="R4" s="79" t="n">
        <f aca="false">IFERROR(MAX(0,INPUTS!$B$22*(1+INPUTS!$B$23)^(INPUTS!$B$6-INPUTS!$B$5+15)-IF(INPUTS!$B$6+15&gt;=INPUTS!$B$7,INPUTS!$B$25*(1+INPUTS!$B$23)^(INPUTS!$B$6-INPUTS!$B$5+15),0)-INPUTS!$B$24),0)</f>
        <v>48349.4202489016</v>
      </c>
      <c r="S4" s="79" t="n">
        <f aca="false">IFERROR(MAX(0,INPUTS!$B$22*(1+INPUTS!$B$23)^(INPUTS!$B$6-INPUTS!$B$5+16)-IF(INPUTS!$B$6+16&gt;=INPUTS!$B$7,INPUTS!$B$25*(1+INPUTS!$B$23)^(INPUTS!$B$6-INPUTS!$B$5+16),0)-INPUTS!$B$24),0)</f>
        <v>49558.1557551241</v>
      </c>
      <c r="T4" s="79" t="n">
        <f aca="false">IFERROR(MAX(0,INPUTS!$B$22*(1+INPUTS!$B$23)^(INPUTS!$B$6-INPUTS!$B$5+17)-IF(INPUTS!$B$6+17&gt;=INPUTS!$B$7,INPUTS!$B$25*(1+INPUTS!$B$23)^(INPUTS!$B$6-INPUTS!$B$5+17),0)-INPUTS!$B$24),0)</f>
        <v>50797.1096490022</v>
      </c>
      <c r="U4" s="79" t="n">
        <f aca="false">IFERROR(MAX(0,INPUTS!$B$22*(1+INPUTS!$B$23)^(INPUTS!$B$6-INPUTS!$B$5+18)-IF(INPUTS!$B$6+18&gt;=INPUTS!$B$7,INPUTS!$B$25*(1+INPUTS!$B$23)^(INPUTS!$B$6-INPUTS!$B$5+18),0)-INPUTS!$B$24),0)</f>
        <v>52067.0373902273</v>
      </c>
      <c r="V4" s="79" t="n">
        <f aca="false">IFERROR(MAX(0,INPUTS!$B$22*(1+INPUTS!$B$23)^(INPUTS!$B$6-INPUTS!$B$5+19)-IF(INPUTS!$B$6+19&gt;=INPUTS!$B$7,INPUTS!$B$25*(1+INPUTS!$B$23)^(INPUTS!$B$6-INPUTS!$B$5+19),0)-INPUTS!$B$24),0)</f>
        <v>53368.713324983</v>
      </c>
      <c r="W4" s="79" t="n">
        <f aca="false">IFERROR(MAX(0,INPUTS!$B$22*(1+INPUTS!$B$23)^(INPUTS!$B$6-INPUTS!$B$5+20)-IF(INPUTS!$B$6+20&gt;=INPUTS!$B$7,INPUTS!$B$25*(1+INPUTS!$B$23)^(INPUTS!$B$6-INPUTS!$B$5+20),0)-INPUTS!$B$24),0)</f>
        <v>54702.9311581075</v>
      </c>
      <c r="X4" s="79" t="n">
        <f aca="false">IFERROR(MAX(0,INPUTS!$B$22*(1+INPUTS!$B$23)^(INPUTS!$B$6-INPUTS!$B$5+21)-IF(INPUTS!$B$6+21&gt;=INPUTS!$B$7,INPUTS!$B$25*(1+INPUTS!$B$23)^(INPUTS!$B$6-INPUTS!$B$5+21),0)-INPUTS!$B$24),0)</f>
        <v>56070.5044370602</v>
      </c>
      <c r="Y4" s="79" t="n">
        <f aca="false">IFERROR(MAX(0,INPUTS!$B$22*(1+INPUTS!$B$23)^(INPUTS!$B$6-INPUTS!$B$5+22)-IF(INPUTS!$B$6+22&gt;=INPUTS!$B$7,INPUTS!$B$25*(1+INPUTS!$B$23)^(INPUTS!$B$6-INPUTS!$B$5+22),0)-INPUTS!$B$24),0)</f>
        <v>57472.2670479867</v>
      </c>
      <c r="Z4" s="79" t="n">
        <f aca="false">IFERROR(MAX(0,INPUTS!$B$22*(1+INPUTS!$B$23)^(INPUTS!$B$6-INPUTS!$B$5+23)-IF(INPUTS!$B$6+23&gt;=INPUTS!$B$7,INPUTS!$B$25*(1+INPUTS!$B$23)^(INPUTS!$B$6-INPUTS!$B$5+23),0)-INPUTS!$B$24),0)</f>
        <v>58909.0737241864</v>
      </c>
      <c r="AA4" s="79" t="n">
        <f aca="false">IFERROR(MAX(0,INPUTS!$B$22*(1+INPUTS!$B$23)^(INPUTS!$B$6-INPUTS!$B$5+24)-IF(INPUTS!$B$6+24&gt;=INPUTS!$B$7,INPUTS!$B$25*(1+INPUTS!$B$23)^(INPUTS!$B$6-INPUTS!$B$5+24),0)-INPUTS!$B$24),0)</f>
        <v>60381.800567291</v>
      </c>
      <c r="AB4" s="79" t="n">
        <f aca="false">IFERROR(MAX(0,INPUTS!$B$22*(1+INPUTS!$B$23)^(INPUTS!$B$6-INPUTS!$B$5+25)-IF(INPUTS!$B$6+25&gt;=INPUTS!$B$7,INPUTS!$B$25*(1+INPUTS!$B$23)^(INPUTS!$B$6-INPUTS!$B$5+25),0)-INPUTS!$B$24),0)</f>
        <v>61891.3455814733</v>
      </c>
      <c r="AC4" s="79" t="n">
        <f aca="false">IFERROR(MAX(0,INPUTS!$B$22*(1+INPUTS!$B$23)^(INPUTS!$B$6-INPUTS!$B$5+26)-IF(INPUTS!$B$6+26&gt;=INPUTS!$B$7,INPUTS!$B$25*(1+INPUTS!$B$23)^(INPUTS!$B$6-INPUTS!$B$5+26),0)-INPUTS!$B$24),0)</f>
        <v>63438.6292210101</v>
      </c>
      <c r="AD4" s="79" t="n">
        <f aca="false">IFERROR(MAX(0,INPUTS!$B$22*(1+INPUTS!$B$23)^(INPUTS!$B$6-INPUTS!$B$5+27)-IF(INPUTS!$B$6+27&gt;=INPUTS!$B$7,INPUTS!$B$25*(1+INPUTS!$B$23)^(INPUTS!$B$6-INPUTS!$B$5+27),0)-INPUTS!$B$24),0)</f>
        <v>65024.5949515354</v>
      </c>
      <c r="AE4" s="79" t="n">
        <f aca="false">IFERROR(MAX(0,INPUTS!$B$22*(1+INPUTS!$B$23)^(INPUTS!$B$6-INPUTS!$B$5+28)-IF(INPUTS!$B$6+28&gt;=INPUTS!$B$7,INPUTS!$B$25*(1+INPUTS!$B$23)^(INPUTS!$B$6-INPUTS!$B$5+28),0)-INPUTS!$B$24),0)</f>
        <v>66650.2098253238</v>
      </c>
      <c r="AF4" s="79" t="n">
        <f aca="false">IFERROR(MAX(0,INPUTS!$B$22*(1+INPUTS!$B$23)^(INPUTS!$B$6-INPUTS!$B$5+29)-IF(INPUTS!$B$6+29&gt;=INPUTS!$B$7,INPUTS!$B$25*(1+INPUTS!$B$23)^(INPUTS!$B$6-INPUTS!$B$5+29),0)-INPUTS!$B$24),0)</f>
        <v>68316.4650709568</v>
      </c>
      <c r="AG4" s="79" t="n">
        <f aca="false">IFERROR(MAX(0,INPUTS!$B$22*(1+INPUTS!$B$23)^(INPUTS!$B$6-INPUTS!$B$5+30)-IF(INPUTS!$B$6+30&gt;=INPUTS!$B$7,INPUTS!$B$25*(1+INPUTS!$B$23)^(INPUTS!$B$6-INPUTS!$B$5+30),0)-INPUTS!$B$24),0)</f>
        <v>70024.3766977308</v>
      </c>
      <c r="AH4" s="79" t="n">
        <f aca="false">IFERROR(MAX(0,INPUTS!$B$22*(1+INPUTS!$B$23)^(INPUTS!$B$6-INPUTS!$B$5+31)-IF(INPUTS!$B$6+31&gt;=INPUTS!$B$7,INPUTS!$B$25*(1+INPUTS!$B$23)^(INPUTS!$B$6-INPUTS!$B$5+31),0)-INPUTS!$B$24),0)</f>
        <v>71774.986115174</v>
      </c>
      <c r="AI4" s="79" t="n">
        <f aca="false">IFERROR(MAX(0,INPUTS!$B$22*(1+INPUTS!$B$23)^(INPUTS!$B$6-INPUTS!$B$5+32)-IF(INPUTS!$B$6+32&gt;=INPUTS!$B$7,INPUTS!$B$25*(1+INPUTS!$B$23)^(INPUTS!$B$6-INPUTS!$B$5+32),0)-INPUTS!$B$24),0)</f>
        <v>73569.3607680534</v>
      </c>
      <c r="AJ4" s="79" t="n">
        <f aca="false">IFERROR(MAX(0,INPUTS!$B$22*(1+INPUTS!$B$23)^(INPUTS!$B$6-INPUTS!$B$5+33)-IF(INPUTS!$B$6+33&gt;=INPUTS!$B$7,INPUTS!$B$25*(1+INPUTS!$B$23)^(INPUTS!$B$6-INPUTS!$B$5+33),0)-INPUTS!$B$24),0)</f>
        <v>75408.5947872547</v>
      </c>
      <c r="AK4" s="79" t="n">
        <f aca="false">IFERROR(MAX(0,INPUTS!$B$22*(1+INPUTS!$B$23)^(INPUTS!$B$6-INPUTS!$B$5+34)-IF(INPUTS!$B$6+34&gt;=INPUTS!$B$7,INPUTS!$B$25*(1+INPUTS!$B$23)^(INPUTS!$B$6-INPUTS!$B$5+34),0)-INPUTS!$B$24),0)</f>
        <v>77293.809656936</v>
      </c>
      <c r="AL4" s="79" t="n">
        <f aca="false">IFERROR(MAX(0,INPUTS!$B$22*(1+INPUTS!$B$23)^(INPUTS!$B$6-INPUTS!$B$5+35)-IF(INPUTS!$B$6+35&gt;=INPUTS!$B$7,INPUTS!$B$25*(1+INPUTS!$B$23)^(INPUTS!$B$6-INPUTS!$B$5+35),0)-INPUTS!$B$24),0)</f>
        <v>79226.1548983594</v>
      </c>
      <c r="AM4" s="79" t="n">
        <f aca="false">IFERROR(MAX(0,INPUTS!$B$22*(1+INPUTS!$B$23)^(INPUTS!$B$6-INPUTS!$B$5+36)-IF(INPUTS!$B$6+36&gt;=INPUTS!$B$7,INPUTS!$B$25*(1+INPUTS!$B$23)^(INPUTS!$B$6-INPUTS!$B$5+36),0)-INPUTS!$B$24),0)</f>
        <v>81206.8087708184</v>
      </c>
      <c r="AN4" s="79" t="n">
        <f aca="false">IFERROR(MAX(0,INPUTS!$B$22*(1+INPUTS!$B$23)^(INPUTS!$B$6-INPUTS!$B$5+37)-IF(INPUTS!$B$6+37&gt;=INPUTS!$B$7,INPUTS!$B$25*(1+INPUTS!$B$23)^(INPUTS!$B$6-INPUTS!$B$5+37),0)-INPUTS!$B$24),0)</f>
        <v>83236.9789900889</v>
      </c>
      <c r="AO4" s="79" t="n">
        <f aca="false">IFERROR(MAX(0,INPUTS!$B$22*(1+INPUTS!$B$23)^(INPUTS!$B$6-INPUTS!$B$5+38)-IF(INPUTS!$B$6+38&gt;=INPUTS!$B$7,INPUTS!$B$25*(1+INPUTS!$B$23)^(INPUTS!$B$6-INPUTS!$B$5+38),0)-INPUTS!$B$24),0)</f>
        <v>85317.9034648411</v>
      </c>
      <c r="AP4" s="79" t="n">
        <f aca="false">IFERROR(MAX(0,INPUTS!$B$22*(1+INPUTS!$B$23)^(INPUTS!$B$6-INPUTS!$B$5+39)-IF(INPUTS!$B$6+39&gt;=INPUTS!$B$7,INPUTS!$B$25*(1+INPUTS!$B$23)^(INPUTS!$B$6-INPUTS!$B$5+39),0)-INPUTS!$B$24),0)</f>
        <v>87450.8510514621</v>
      </c>
      <c r="AQ4" s="20"/>
      <c r="AR4" s="20"/>
    </row>
    <row r="5" customFormat="false" ht="15" hidden="false" customHeight="true" outlineLevel="0" collapsed="false">
      <c r="A5" s="80" t="s">
        <v>120</v>
      </c>
      <c r="B5" s="20"/>
      <c r="C5" s="81" t="n">
        <f aca="false">IF(INPUTS!$B$6+0&gt;INPUTS!$B$8,0,1)</f>
        <v>1</v>
      </c>
      <c r="D5" s="81" t="n">
        <f aca="false">IF(INPUTS!$B$6+1&gt;INPUTS!$B$8,0,1)</f>
        <v>1</v>
      </c>
      <c r="E5" s="81" t="n">
        <f aca="false">IF(INPUTS!$B$6+2&gt;INPUTS!$B$8,0,1)</f>
        <v>1</v>
      </c>
      <c r="F5" s="81" t="n">
        <f aca="false">IF(INPUTS!$B$6+3&gt;INPUTS!$B$8,0,1)</f>
        <v>1</v>
      </c>
      <c r="G5" s="81" t="n">
        <f aca="false">IF(INPUTS!$B$6+4&gt;INPUTS!$B$8,0,1)</f>
        <v>1</v>
      </c>
      <c r="H5" s="81" t="n">
        <f aca="false">IF(INPUTS!$B$6+5&gt;INPUTS!$B$8,0,1)</f>
        <v>1</v>
      </c>
      <c r="I5" s="81" t="n">
        <f aca="false">IF(INPUTS!$B$6+6&gt;INPUTS!$B$8,0,1)</f>
        <v>1</v>
      </c>
      <c r="J5" s="81" t="n">
        <f aca="false">IF(INPUTS!$B$6+7&gt;INPUTS!$B$8,0,1)</f>
        <v>1</v>
      </c>
      <c r="K5" s="81" t="n">
        <f aca="false">IF(INPUTS!$B$6+8&gt;INPUTS!$B$8,0,1)</f>
        <v>1</v>
      </c>
      <c r="L5" s="81" t="n">
        <f aca="false">IF(INPUTS!$B$6+9&gt;INPUTS!$B$8,0,1)</f>
        <v>1</v>
      </c>
      <c r="M5" s="81" t="n">
        <f aca="false">IF(INPUTS!$B$6+10&gt;INPUTS!$B$8,0,1)</f>
        <v>1</v>
      </c>
      <c r="N5" s="81" t="n">
        <f aca="false">IF(INPUTS!$B$6+11&gt;INPUTS!$B$8,0,1)</f>
        <v>1</v>
      </c>
      <c r="O5" s="81" t="n">
        <f aca="false">IF(INPUTS!$B$6+12&gt;INPUTS!$B$8,0,1)</f>
        <v>1</v>
      </c>
      <c r="P5" s="81" t="n">
        <f aca="false">IF(INPUTS!$B$6+13&gt;INPUTS!$B$8,0,1)</f>
        <v>1</v>
      </c>
      <c r="Q5" s="81" t="n">
        <f aca="false">IF(INPUTS!$B$6+14&gt;INPUTS!$B$8,0,1)</f>
        <v>1</v>
      </c>
      <c r="R5" s="81" t="n">
        <f aca="false">IF(INPUTS!$B$6+15&gt;INPUTS!$B$8,0,1)</f>
        <v>1</v>
      </c>
      <c r="S5" s="81" t="n">
        <f aca="false">IF(INPUTS!$B$6+16&gt;INPUTS!$B$8,0,1)</f>
        <v>1</v>
      </c>
      <c r="T5" s="81" t="n">
        <f aca="false">IF(INPUTS!$B$6+17&gt;INPUTS!$B$8,0,1)</f>
        <v>1</v>
      </c>
      <c r="U5" s="81" t="n">
        <f aca="false">IF(INPUTS!$B$6+18&gt;INPUTS!$B$8,0,1)</f>
        <v>1</v>
      </c>
      <c r="V5" s="81" t="n">
        <f aca="false">IF(INPUTS!$B$6+19&gt;INPUTS!$B$8,0,1)</f>
        <v>1</v>
      </c>
      <c r="W5" s="81" t="n">
        <f aca="false">IF(INPUTS!$B$6+20&gt;INPUTS!$B$8,0,1)</f>
        <v>1</v>
      </c>
      <c r="X5" s="81" t="n">
        <f aca="false">IF(INPUTS!$B$6+21&gt;INPUTS!$B$8,0,1)</f>
        <v>1</v>
      </c>
      <c r="Y5" s="81" t="n">
        <f aca="false">IF(INPUTS!$B$6+22&gt;INPUTS!$B$8,0,1)</f>
        <v>1</v>
      </c>
      <c r="Z5" s="81" t="n">
        <f aca="false">IF(INPUTS!$B$6+23&gt;INPUTS!$B$8,0,1)</f>
        <v>1</v>
      </c>
      <c r="AA5" s="81" t="n">
        <f aca="false">IF(INPUTS!$B$6+24&gt;INPUTS!$B$8,0,1)</f>
        <v>1</v>
      </c>
      <c r="AB5" s="81" t="n">
        <f aca="false">IF(INPUTS!$B$6+25&gt;INPUTS!$B$8,0,1)</f>
        <v>1</v>
      </c>
      <c r="AC5" s="81" t="n">
        <f aca="false">IF(INPUTS!$B$6+26&gt;INPUTS!$B$8,0,1)</f>
        <v>1</v>
      </c>
      <c r="AD5" s="81" t="n">
        <f aca="false">IF(INPUTS!$B$6+27&gt;INPUTS!$B$8,0,1)</f>
        <v>1</v>
      </c>
      <c r="AE5" s="81" t="n">
        <f aca="false">IF(INPUTS!$B$6+28&gt;INPUTS!$B$8,0,1)</f>
        <v>1</v>
      </c>
      <c r="AF5" s="81" t="n">
        <f aca="false">IF(INPUTS!$B$6+29&gt;INPUTS!$B$8,0,1)</f>
        <v>1</v>
      </c>
      <c r="AG5" s="81" t="n">
        <f aca="false">IF(INPUTS!$B$6+30&gt;INPUTS!$B$8,0,1)</f>
        <v>1</v>
      </c>
      <c r="AH5" s="81" t="n">
        <f aca="false">IF(INPUTS!$B$6+31&gt;INPUTS!$B$8,0,1)</f>
        <v>1</v>
      </c>
      <c r="AI5" s="81" t="n">
        <f aca="false">IF(INPUTS!$B$6+32&gt;INPUTS!$B$8,0,1)</f>
        <v>1</v>
      </c>
      <c r="AJ5" s="81" t="n">
        <f aca="false">IF(INPUTS!$B$6+33&gt;INPUTS!$B$8,0,1)</f>
        <v>1</v>
      </c>
      <c r="AK5" s="81" t="n">
        <f aca="false">IF(INPUTS!$B$6+34&gt;INPUTS!$B$8,0,1)</f>
        <v>1</v>
      </c>
      <c r="AL5" s="81" t="n">
        <f aca="false">IF(INPUTS!$B$6+35&gt;INPUTS!$B$8,0,1)</f>
        <v>1</v>
      </c>
      <c r="AM5" s="81" t="n">
        <f aca="false">IF(INPUTS!$B$6+36&gt;INPUTS!$B$8,0,1)</f>
        <v>0</v>
      </c>
      <c r="AN5" s="81" t="n">
        <f aca="false">IF(INPUTS!$B$6+37&gt;INPUTS!$B$8,0,1)</f>
        <v>0</v>
      </c>
      <c r="AO5" s="81" t="n">
        <f aca="false">IF(INPUTS!$B$6+38&gt;INPUTS!$B$8,0,1)</f>
        <v>0</v>
      </c>
      <c r="AP5" s="81" t="n">
        <f aca="false">IF(INPUTS!$B$6+39&gt;INPUTS!$B$8,0,1)</f>
        <v>0</v>
      </c>
      <c r="AQ5" s="20"/>
      <c r="AR5" s="20"/>
    </row>
    <row r="6" customFormat="false" ht="1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customFormat="false" ht="21.75" hidden="false" customHeight="true" outlineLevel="0" collapsed="false">
      <c r="A7" s="82" t="s">
        <v>121</v>
      </c>
      <c r="B7" s="82" t="s">
        <v>122</v>
      </c>
      <c r="C7" s="82" t="s">
        <v>123</v>
      </c>
      <c r="D7" s="82" t="s">
        <v>124</v>
      </c>
      <c r="E7" s="82" t="s">
        <v>125</v>
      </c>
      <c r="F7" s="82" t="s">
        <v>126</v>
      </c>
      <c r="G7" s="82" t="s">
        <v>127</v>
      </c>
      <c r="H7" s="82" t="s">
        <v>128</v>
      </c>
      <c r="I7" s="82" t="s">
        <v>129</v>
      </c>
      <c r="J7" s="82" t="s">
        <v>130</v>
      </c>
      <c r="K7" s="82" t="s">
        <v>131</v>
      </c>
      <c r="L7" s="82" t="s">
        <v>132</v>
      </c>
      <c r="M7" s="82" t="s">
        <v>133</v>
      </c>
      <c r="N7" s="82" t="s">
        <v>134</v>
      </c>
      <c r="O7" s="82" t="s">
        <v>135</v>
      </c>
      <c r="P7" s="82" t="s">
        <v>136</v>
      </c>
      <c r="Q7" s="82" t="s">
        <v>137</v>
      </c>
      <c r="R7" s="82" t="s">
        <v>138</v>
      </c>
      <c r="S7" s="82" t="s">
        <v>139</v>
      </c>
      <c r="T7" s="82" t="s">
        <v>140</v>
      </c>
      <c r="U7" s="82" t="s">
        <v>141</v>
      </c>
      <c r="V7" s="82" t="s">
        <v>142</v>
      </c>
      <c r="W7" s="82" t="s">
        <v>143</v>
      </c>
      <c r="X7" s="82" t="s">
        <v>144</v>
      </c>
      <c r="Y7" s="82" t="s">
        <v>145</v>
      </c>
      <c r="Z7" s="82" t="s">
        <v>146</v>
      </c>
      <c r="AA7" s="82" t="s">
        <v>147</v>
      </c>
      <c r="AB7" s="82" t="s">
        <v>148</v>
      </c>
      <c r="AC7" s="82" t="s">
        <v>149</v>
      </c>
      <c r="AD7" s="82" t="s">
        <v>150</v>
      </c>
      <c r="AE7" s="82" t="s">
        <v>151</v>
      </c>
      <c r="AF7" s="82" t="s">
        <v>152</v>
      </c>
      <c r="AG7" s="82" t="s">
        <v>153</v>
      </c>
      <c r="AH7" s="82" t="s">
        <v>154</v>
      </c>
      <c r="AI7" s="82" t="s">
        <v>155</v>
      </c>
      <c r="AJ7" s="82" t="s">
        <v>156</v>
      </c>
      <c r="AK7" s="82" t="s">
        <v>157</v>
      </c>
      <c r="AL7" s="82" t="s">
        <v>158</v>
      </c>
      <c r="AM7" s="82" t="s">
        <v>159</v>
      </c>
      <c r="AN7" s="82" t="s">
        <v>160</v>
      </c>
      <c r="AO7" s="82" t="s">
        <v>161</v>
      </c>
      <c r="AP7" s="82" t="s">
        <v>162</v>
      </c>
      <c r="AQ7" s="82"/>
      <c r="AR7" s="20"/>
    </row>
    <row r="8" customFormat="false" ht="15" hidden="false" customHeight="true" outlineLevel="0" collapsed="false">
      <c r="A8" s="83" t="n">
        <v>1</v>
      </c>
      <c r="B8" s="84" t="n">
        <f aca="false">LOOKUP(9.99E+307,C8:AP8)</f>
        <v>1945893.38790386</v>
      </c>
      <c r="C8" s="85" t="n">
        <f aca="true">IF(C$5=0,INPUTS!$B$19,MAX(0,(INPUTS!$B$19-C$4)*(1+NORMINV(RAND(),INPUTS!$B$28,INPUTS!$B$29))))</f>
        <v>1376485.66945458</v>
      </c>
      <c r="D8" s="85" t="n">
        <f aca="true">IF(D$5=0,C8,MAX(0,(C8-D$4)*(1+NORMINV(RAND(),INPUTS!$B$28,INPUTS!$B$29))))</f>
        <v>1616177.82214341</v>
      </c>
      <c r="E8" s="85" t="n">
        <f aca="true">IF(E$5=0,D8,MAX(0,(D8-E$4)*(1+NORMINV(RAND(),INPUTS!$B$28,INPUTS!$B$29))))</f>
        <v>1393980.69616284</v>
      </c>
      <c r="F8" s="85" t="n">
        <f aca="true">IF(F$5=0,E8,MAX(0,(E8-F$4)*(1+NORMINV(RAND(),INPUTS!$B$28,INPUTS!$B$29))))</f>
        <v>1248142.83013897</v>
      </c>
      <c r="G8" s="85" t="n">
        <f aca="true">IF(G$5=0,F8,MAX(0,(F8-G$4)*(1+NORMINV(RAND(),INPUTS!$B$28,INPUTS!$B$29))))</f>
        <v>1336960.36620833</v>
      </c>
      <c r="H8" s="85" t="n">
        <f aca="true">IF(H$5=0,G8,MAX(0,(G8-H$4)*(1+NORMINV(RAND(),INPUTS!$B$28,INPUTS!$B$29))))</f>
        <v>1297461.34237032</v>
      </c>
      <c r="I8" s="85" t="n">
        <f aca="true">IF(I$5=0,H8,MAX(0,(H8-I$4)*(1+NORMINV(RAND(),INPUTS!$B$28,INPUTS!$B$29))))</f>
        <v>1257828.15287276</v>
      </c>
      <c r="J8" s="85" t="n">
        <f aca="true">IF(J$5=0,I8,MAX(0,(I8-J$4)*(1+NORMINV(RAND(),INPUTS!$B$28,INPUTS!$B$29))))</f>
        <v>1324696.0643133</v>
      </c>
      <c r="K8" s="85" t="n">
        <f aca="true">IF(K$5=0,J8,MAX(0,(J8-K$4)*(1+NORMINV(RAND(),INPUTS!$B$28,INPUTS!$B$29))))</f>
        <v>1331353.40712674</v>
      </c>
      <c r="L8" s="85" t="n">
        <f aca="true">IF(L$5=0,K8,MAX(0,(K8-L$4)*(1+NORMINV(RAND(),INPUTS!$B$28,INPUTS!$B$29))))</f>
        <v>1234036.75852426</v>
      </c>
      <c r="M8" s="85" t="n">
        <f aca="true">IF(M$5=0,L8,MAX(0,(L8-M$4)*(1+NORMINV(RAND(),INPUTS!$B$28,INPUTS!$B$29))))</f>
        <v>1177977.31083058</v>
      </c>
      <c r="N8" s="85" t="n">
        <f aca="true">IF(N$5=0,M8,MAX(0,(M8-N$4)*(1+NORMINV(RAND(),INPUTS!$B$28,INPUTS!$B$29))))</f>
        <v>1273187.8830745</v>
      </c>
      <c r="O8" s="85" t="n">
        <f aca="true">IF(O$5=0,N8,MAX(0,(N8-O$4)*(1+NORMINV(RAND(),INPUTS!$B$28,INPUTS!$B$29))))</f>
        <v>1250238.85364324</v>
      </c>
      <c r="P8" s="85" t="n">
        <f aca="true">IF(P$5=0,O8,MAX(0,(O8-P$4)*(1+NORMINV(RAND(),INPUTS!$B$28,INPUTS!$B$29))))</f>
        <v>1373851.95535197</v>
      </c>
      <c r="Q8" s="85" t="n">
        <f aca="true">IF(Q$5=0,P8,MAX(0,(P8-Q$4)*(1+NORMINV(RAND(),INPUTS!$B$28,INPUTS!$B$29))))</f>
        <v>1139388.98481618</v>
      </c>
      <c r="R8" s="85" t="n">
        <f aca="true">IF(R$5=0,Q8,MAX(0,(Q8-R$4)*(1+NORMINV(RAND(),INPUTS!$B$28,INPUTS!$B$29))))</f>
        <v>1205362.74414211</v>
      </c>
      <c r="S8" s="85" t="n">
        <f aca="true">IF(S$5=0,R8,MAX(0,(R8-S$4)*(1+NORMINV(RAND(),INPUTS!$B$28,INPUTS!$B$29))))</f>
        <v>1080651.05349011</v>
      </c>
      <c r="T8" s="85" t="n">
        <f aca="true">IF(T$5=0,S8,MAX(0,(S8-T$4)*(1+NORMINV(RAND(),INPUTS!$B$28,INPUTS!$B$29))))</f>
        <v>1351969.37295508</v>
      </c>
      <c r="U8" s="85" t="n">
        <f aca="true">IF(U$5=0,T8,MAX(0,(T8-U$4)*(1+NORMINV(RAND(),INPUTS!$B$28,INPUTS!$B$29))))</f>
        <v>1306133.81392131</v>
      </c>
      <c r="V8" s="85" t="n">
        <f aca="true">IF(V$5=0,U8,MAX(0,(U8-V$4)*(1+NORMINV(RAND(),INPUTS!$B$28,INPUTS!$B$29))))</f>
        <v>1358853.26233492</v>
      </c>
      <c r="W8" s="85" t="n">
        <f aca="true">IF(W$5=0,V8,MAX(0,(V8-W$4)*(1+NORMINV(RAND(),INPUTS!$B$28,INPUTS!$B$29))))</f>
        <v>1338271.12694564</v>
      </c>
      <c r="X8" s="85" t="n">
        <f aca="true">IF(X$5=0,W8,MAX(0,(W8-X$4)*(1+NORMINV(RAND(),INPUTS!$B$28,INPUTS!$B$29))))</f>
        <v>1272227.3843201</v>
      </c>
      <c r="Y8" s="85" t="n">
        <f aca="true">IF(Y$5=0,X8,MAX(0,(X8-Y$4)*(1+NORMINV(RAND(),INPUTS!$B$28,INPUTS!$B$29))))</f>
        <v>1444140.47621884</v>
      </c>
      <c r="Z8" s="85" t="n">
        <f aca="true">IF(Z$5=0,Y8,MAX(0,(Y8-Z$4)*(1+NORMINV(RAND(),INPUTS!$B$28,INPUTS!$B$29))))</f>
        <v>1306306.24332624</v>
      </c>
      <c r="AA8" s="85" t="n">
        <f aca="true">IF(AA$5=0,Z8,MAX(0,(Z8-AA$4)*(1+NORMINV(RAND(),INPUTS!$B$28,INPUTS!$B$29))))</f>
        <v>1611769.68407578</v>
      </c>
      <c r="AB8" s="85" t="n">
        <f aca="true">IF(AB$5=0,AA8,MAX(0,(AA8-AB$4)*(1+NORMINV(RAND(),INPUTS!$B$28,INPUTS!$B$29))))</f>
        <v>1544618.3014563</v>
      </c>
      <c r="AC8" s="85" t="n">
        <f aca="true">IF(AC$5=0,AB8,MAX(0,(AB8-AC$4)*(1+NORMINV(RAND(),INPUTS!$B$28,INPUTS!$B$29))))</f>
        <v>1736177.82028347</v>
      </c>
      <c r="AD8" s="85" t="n">
        <f aca="true">IF(AD$5=0,AC8,MAX(0,(AC8-AD$4)*(1+NORMINV(RAND(),INPUTS!$B$28,INPUTS!$B$29))))</f>
        <v>1808398.70753569</v>
      </c>
      <c r="AE8" s="85" t="n">
        <f aca="true">IF(AE$5=0,AD8,MAX(0,(AD8-AE$4)*(1+NORMINV(RAND(),INPUTS!$B$28,INPUTS!$B$29))))</f>
        <v>1842704.77783792</v>
      </c>
      <c r="AF8" s="85" t="n">
        <f aca="true">IF(AF$5=0,AE8,MAX(0,(AE8-AF$4)*(1+NORMINV(RAND(),INPUTS!$B$28,INPUTS!$B$29))))</f>
        <v>2078430.51812254</v>
      </c>
      <c r="AG8" s="85" t="n">
        <f aca="true">IF(AG$5=0,AF8,MAX(0,(AF8-AG$4)*(1+NORMINV(RAND(),INPUTS!$B$28,INPUTS!$B$29))))</f>
        <v>2120817.01894966</v>
      </c>
      <c r="AH8" s="85" t="n">
        <f aca="true">IF(AH$5=0,AG8,MAX(0,(AG8-AH$4)*(1+NORMINV(RAND(),INPUTS!$B$28,INPUTS!$B$29))))</f>
        <v>1689738.65993085</v>
      </c>
      <c r="AI8" s="85" t="n">
        <f aca="true">IF(AI$5=0,AH8,MAX(0,(AH8-AI$4)*(1+NORMINV(RAND(),INPUTS!$B$28,INPUTS!$B$29))))</f>
        <v>1891306.82095183</v>
      </c>
      <c r="AJ8" s="85" t="n">
        <f aca="true">IF(AJ$5=0,AI8,MAX(0,(AI8-AJ$4)*(1+NORMINV(RAND(),INPUTS!$B$28,INPUTS!$B$29))))</f>
        <v>2159105.43832217</v>
      </c>
      <c r="AK8" s="85" t="n">
        <f aca="true">IF(AK$5=0,AJ8,MAX(0,(AJ8-AK$4)*(1+NORMINV(RAND(),INPUTS!$B$28,INPUTS!$B$29))))</f>
        <v>2224930.37668022</v>
      </c>
      <c r="AL8" s="85" t="n">
        <f aca="true">IF(AL$5=0,AK8,MAX(0,(AK8-AL$4)*(1+NORMINV(RAND(),INPUTS!$B$28,INPUTS!$B$29))))</f>
        <v>1945893.38790386</v>
      </c>
      <c r="AM8" s="85" t="n">
        <f aca="true">IF(AM$5=0,AL8,MAX(0,(AL8-AM$4)*(1+NORMINV(RAND(),INPUTS!$B$28,INPUTS!$B$29))))</f>
        <v>1945893.38790386</v>
      </c>
      <c r="AN8" s="85" t="n">
        <f aca="true">IF(AN$5=0,AM8,MAX(0,(AM8-AN$4)*(1+NORMINV(RAND(),INPUTS!$B$28,INPUTS!$B$29))))</f>
        <v>1945893.38790386</v>
      </c>
      <c r="AO8" s="85" t="n">
        <f aca="true">IF(AO$5=0,AN8,MAX(0,(AN8-AO$4)*(1+NORMINV(RAND(),INPUTS!$B$28,INPUTS!$B$29))))</f>
        <v>1945893.38790386</v>
      </c>
      <c r="AP8" s="85" t="n">
        <f aca="true">IF(AP$5=0,AO8,MAX(0,(AO8-AP$4)*(1+NORMINV(RAND(),INPUTS!$B$28,INPUTS!$B$29))))</f>
        <v>1945893.38790386</v>
      </c>
    </row>
    <row r="9" customFormat="false" ht="15" hidden="false" customHeight="true" outlineLevel="0" collapsed="false">
      <c r="A9" s="83" t="n">
        <v>2</v>
      </c>
      <c r="B9" s="84" t="n">
        <f aca="false">LOOKUP(9.99E+307,C9:AP9)</f>
        <v>494377.199509863</v>
      </c>
      <c r="C9" s="85" t="n">
        <f aca="true">IF(C$5=0,INPUTS!$B$19,MAX(0,(INPUTS!$B$19-C$4)*(1+NORMINV(RAND(),INPUTS!$B$28,INPUTS!$B$29))))</f>
        <v>1138214.2603691</v>
      </c>
      <c r="D9" s="85" t="n">
        <f aca="true">IF(D$5=0,C9,MAX(0,(C9-D$4)*(1+NORMINV(RAND(),INPUTS!$B$28,INPUTS!$B$29))))</f>
        <v>1152968.40931318</v>
      </c>
      <c r="E9" s="85" t="n">
        <f aca="true">IF(E$5=0,D9,MAX(0,(D9-E$4)*(1+NORMINV(RAND(),INPUTS!$B$28,INPUTS!$B$29))))</f>
        <v>1138781.85834717</v>
      </c>
      <c r="F9" s="85" t="n">
        <f aca="true">IF(F$5=0,E9,MAX(0,(E9-F$4)*(1+NORMINV(RAND(),INPUTS!$B$28,INPUTS!$B$29))))</f>
        <v>1227514.22347926</v>
      </c>
      <c r="G9" s="85" t="n">
        <f aca="true">IF(G$5=0,F9,MAX(0,(F9-G$4)*(1+NORMINV(RAND(),INPUTS!$B$28,INPUTS!$B$29))))</f>
        <v>1369658.58637237</v>
      </c>
      <c r="H9" s="85" t="n">
        <f aca="true">IF(H$5=0,G9,MAX(0,(G9-H$4)*(1+NORMINV(RAND(),INPUTS!$B$28,INPUTS!$B$29))))</f>
        <v>1369078.46144063</v>
      </c>
      <c r="I9" s="85" t="n">
        <f aca="true">IF(I$5=0,H9,MAX(0,(H9-I$4)*(1+NORMINV(RAND(),INPUTS!$B$28,INPUTS!$B$29))))</f>
        <v>1362142.11013141</v>
      </c>
      <c r="J9" s="85" t="n">
        <f aca="true">IF(J$5=0,I9,MAX(0,(I9-J$4)*(1+NORMINV(RAND(),INPUTS!$B$28,INPUTS!$B$29))))</f>
        <v>1317667.618658</v>
      </c>
      <c r="K9" s="85" t="n">
        <f aca="true">IF(K$5=0,J9,MAX(0,(J9-K$4)*(1+NORMINV(RAND(),INPUTS!$B$28,INPUTS!$B$29))))</f>
        <v>1191236.40288439</v>
      </c>
      <c r="L9" s="85" t="n">
        <f aca="true">IF(L$5=0,K9,MAX(0,(K9-L$4)*(1+NORMINV(RAND(),INPUTS!$B$28,INPUTS!$B$29))))</f>
        <v>1195035.6914783</v>
      </c>
      <c r="M9" s="85" t="n">
        <f aca="true">IF(M$5=0,L9,MAX(0,(L9-M$4)*(1+NORMINV(RAND(),INPUTS!$B$28,INPUTS!$B$29))))</f>
        <v>1092929.38040179</v>
      </c>
      <c r="N9" s="85" t="n">
        <f aca="true">IF(N$5=0,M9,MAX(0,(M9-N$4)*(1+NORMINV(RAND(),INPUTS!$B$28,INPUTS!$B$29))))</f>
        <v>1024900.21973987</v>
      </c>
      <c r="O9" s="85" t="n">
        <f aca="true">IF(O$5=0,N9,MAX(0,(N9-O$4)*(1+NORMINV(RAND(),INPUTS!$B$28,INPUTS!$B$29))))</f>
        <v>1009047.41433603</v>
      </c>
      <c r="P9" s="85" t="n">
        <f aca="true">IF(P$5=0,O9,MAX(0,(O9-P$4)*(1+NORMINV(RAND(),INPUTS!$B$28,INPUTS!$B$29))))</f>
        <v>972045.78654108</v>
      </c>
      <c r="Q9" s="85" t="n">
        <f aca="true">IF(Q$5=0,P9,MAX(0,(P9-Q$4)*(1+NORMINV(RAND(),INPUTS!$B$28,INPUTS!$B$29))))</f>
        <v>963870.82295146</v>
      </c>
      <c r="R9" s="85" t="n">
        <f aca="true">IF(R$5=0,Q9,MAX(0,(Q9-R$4)*(1+NORMINV(RAND(),INPUTS!$B$28,INPUTS!$B$29))))</f>
        <v>868477.22165735</v>
      </c>
      <c r="S9" s="85" t="n">
        <f aca="true">IF(S$5=0,R9,MAX(0,(R9-S$4)*(1+NORMINV(RAND(),INPUTS!$B$28,INPUTS!$B$29))))</f>
        <v>774670.143513184</v>
      </c>
      <c r="T9" s="85" t="n">
        <f aca="true">IF(T$5=0,S9,MAX(0,(S9-T$4)*(1+NORMINV(RAND(),INPUTS!$B$28,INPUTS!$B$29))))</f>
        <v>781725.40175127</v>
      </c>
      <c r="U9" s="85" t="n">
        <f aca="true">IF(U$5=0,T9,MAX(0,(T9-U$4)*(1+NORMINV(RAND(),INPUTS!$B$28,INPUTS!$B$29))))</f>
        <v>791768.708378975</v>
      </c>
      <c r="V9" s="85" t="n">
        <f aca="true">IF(V$5=0,U9,MAX(0,(U9-V$4)*(1+NORMINV(RAND(),INPUTS!$B$28,INPUTS!$B$29))))</f>
        <v>594177.043721039</v>
      </c>
      <c r="W9" s="85" t="n">
        <f aca="true">IF(W$5=0,V9,MAX(0,(V9-W$4)*(1+NORMINV(RAND(),INPUTS!$B$28,INPUTS!$B$29))))</f>
        <v>720344.673193421</v>
      </c>
      <c r="X9" s="85" t="n">
        <f aca="true">IF(X$5=0,W9,MAX(0,(W9-X$4)*(1+NORMINV(RAND(),INPUTS!$B$28,INPUTS!$B$29))))</f>
        <v>750703.791491098</v>
      </c>
      <c r="Y9" s="85" t="n">
        <f aca="true">IF(Y$5=0,X9,MAX(0,(X9-Y$4)*(1+NORMINV(RAND(),INPUTS!$B$28,INPUTS!$B$29))))</f>
        <v>747824.85371112</v>
      </c>
      <c r="Z9" s="85" t="n">
        <f aca="true">IF(Z$5=0,Y9,MAX(0,(Y9-Z$4)*(1+NORMINV(RAND(),INPUTS!$B$28,INPUTS!$B$29))))</f>
        <v>706976.602741237</v>
      </c>
      <c r="AA9" s="85" t="n">
        <f aca="true">IF(AA$5=0,Z9,MAX(0,(Z9-AA$4)*(1+NORMINV(RAND(),INPUTS!$B$28,INPUTS!$B$29))))</f>
        <v>716492.362926751</v>
      </c>
      <c r="AB9" s="85" t="n">
        <f aca="true">IF(AB$5=0,AA9,MAX(0,(AA9-AB$4)*(1+NORMINV(RAND(),INPUTS!$B$28,INPUTS!$B$29))))</f>
        <v>742979.794207473</v>
      </c>
      <c r="AC9" s="85" t="n">
        <f aca="true">IF(AC$5=0,AB9,MAX(0,(AB9-AC$4)*(1+NORMINV(RAND(),INPUTS!$B$28,INPUTS!$B$29))))</f>
        <v>583402.145597125</v>
      </c>
      <c r="AD9" s="85" t="n">
        <f aca="true">IF(AD$5=0,AC9,MAX(0,(AC9-AD$4)*(1+NORMINV(RAND(),INPUTS!$B$28,INPUTS!$B$29))))</f>
        <v>625321.334776741</v>
      </c>
      <c r="AE9" s="85" t="n">
        <f aca="true">IF(AE$5=0,AD9,MAX(0,(AD9-AE$4)*(1+NORMINV(RAND(),INPUTS!$B$28,INPUTS!$B$29))))</f>
        <v>607520.768862462</v>
      </c>
      <c r="AF9" s="85" t="n">
        <f aca="true">IF(AF$5=0,AE9,MAX(0,(AE9-AF$4)*(1+NORMINV(RAND(),INPUTS!$B$28,INPUTS!$B$29))))</f>
        <v>666470.338767544</v>
      </c>
      <c r="AG9" s="85" t="n">
        <f aca="true">IF(AG$5=0,AF9,MAX(0,(AF9-AG$4)*(1+NORMINV(RAND(),INPUTS!$B$28,INPUTS!$B$29))))</f>
        <v>755658.098415543</v>
      </c>
      <c r="AH9" s="85" t="n">
        <f aca="true">IF(AH$5=0,AG9,MAX(0,(AG9-AH$4)*(1+NORMINV(RAND(),INPUTS!$B$28,INPUTS!$B$29))))</f>
        <v>652562.345051903</v>
      </c>
      <c r="AI9" s="85" t="n">
        <f aca="true">IF(AI$5=0,AH9,MAX(0,(AH9-AI$4)*(1+NORMINV(RAND(),INPUTS!$B$28,INPUTS!$B$29))))</f>
        <v>570802.792884912</v>
      </c>
      <c r="AJ9" s="85" t="n">
        <f aca="true">IF(AJ$5=0,AI9,MAX(0,(AI9-AJ$4)*(1+NORMINV(RAND(),INPUTS!$B$28,INPUTS!$B$29))))</f>
        <v>540468.773666365</v>
      </c>
      <c r="AK9" s="85" t="n">
        <f aca="true">IF(AK$5=0,AJ9,MAX(0,(AJ9-AK$4)*(1+NORMINV(RAND(),INPUTS!$B$28,INPUTS!$B$29))))</f>
        <v>464719.148190145</v>
      </c>
      <c r="AL9" s="85" t="n">
        <f aca="true">IF(AL$5=0,AK9,MAX(0,(AK9-AL$4)*(1+NORMINV(RAND(),INPUTS!$B$28,INPUTS!$B$29))))</f>
        <v>494377.199509863</v>
      </c>
      <c r="AM9" s="85" t="n">
        <f aca="true">IF(AM$5=0,AL9,MAX(0,(AL9-AM$4)*(1+NORMINV(RAND(),INPUTS!$B$28,INPUTS!$B$29))))</f>
        <v>494377.199509863</v>
      </c>
      <c r="AN9" s="85" t="n">
        <f aca="true">IF(AN$5=0,AM9,MAX(0,(AM9-AN$4)*(1+NORMINV(RAND(),INPUTS!$B$28,INPUTS!$B$29))))</f>
        <v>494377.199509863</v>
      </c>
      <c r="AO9" s="85" t="n">
        <f aca="true">IF(AO$5=0,AN9,MAX(0,(AN9-AO$4)*(1+NORMINV(RAND(),INPUTS!$B$28,INPUTS!$B$29))))</f>
        <v>494377.199509863</v>
      </c>
      <c r="AP9" s="85" t="n">
        <f aca="true">IF(AP$5=0,AO9,MAX(0,(AO9-AP$4)*(1+NORMINV(RAND(),INPUTS!$B$28,INPUTS!$B$29))))</f>
        <v>494377.199509863</v>
      </c>
    </row>
    <row r="10" customFormat="false" ht="15" hidden="false" customHeight="true" outlineLevel="0" collapsed="false">
      <c r="A10" s="83" t="n">
        <v>3</v>
      </c>
      <c r="B10" s="84" t="n">
        <f aca="false">LOOKUP(9.99E+307,C10:AP10)</f>
        <v>9555977.57397066</v>
      </c>
      <c r="C10" s="85" t="n">
        <f aca="true">IF(C$5=0,INPUTS!$B$19,MAX(0,(INPUTS!$B$19-C$4)*(1+NORMINV(RAND(),INPUTS!$B$28,INPUTS!$B$29))))</f>
        <v>1251648.46362385</v>
      </c>
      <c r="D10" s="85" t="n">
        <f aca="true">IF(D$5=0,C10,MAX(0,(C10-D$4)*(1+NORMINV(RAND(),INPUTS!$B$28,INPUTS!$B$29))))</f>
        <v>1411218.4464663</v>
      </c>
      <c r="E10" s="85" t="n">
        <f aca="true">IF(E$5=0,D10,MAX(0,(D10-E$4)*(1+NORMINV(RAND(),INPUTS!$B$28,INPUTS!$B$29))))</f>
        <v>1600442.93566787</v>
      </c>
      <c r="F10" s="85" t="n">
        <f aca="true">IF(F$5=0,E10,MAX(0,(E10-F$4)*(1+NORMINV(RAND(),INPUTS!$B$28,INPUTS!$B$29))))</f>
        <v>1625795.33592495</v>
      </c>
      <c r="G10" s="85" t="n">
        <f aca="true">IF(G$5=0,F10,MAX(0,(F10-G$4)*(1+NORMINV(RAND(),INPUTS!$B$28,INPUTS!$B$29))))</f>
        <v>1674557.01650571</v>
      </c>
      <c r="H10" s="85" t="n">
        <f aca="true">IF(H$5=0,G10,MAX(0,(G10-H$4)*(1+NORMINV(RAND(),INPUTS!$B$28,INPUTS!$B$29))))</f>
        <v>1527006.64539853</v>
      </c>
      <c r="I10" s="85" t="n">
        <f aca="true">IF(I$5=0,H10,MAX(0,(H10-I$4)*(1+NORMINV(RAND(),INPUTS!$B$28,INPUTS!$B$29))))</f>
        <v>1666863.90973515</v>
      </c>
      <c r="J10" s="85" t="n">
        <f aca="true">IF(J$5=0,I10,MAX(0,(I10-J$4)*(1+NORMINV(RAND(),INPUTS!$B$28,INPUTS!$B$29))))</f>
        <v>1700401.61263477</v>
      </c>
      <c r="K10" s="85" t="n">
        <f aca="true">IF(K$5=0,J10,MAX(0,(J10-K$4)*(1+NORMINV(RAND(),INPUTS!$B$28,INPUTS!$B$29))))</f>
        <v>1771466.39424122</v>
      </c>
      <c r="L10" s="85" t="n">
        <f aca="true">IF(L$5=0,K10,MAX(0,(K10-L$4)*(1+NORMINV(RAND(),INPUTS!$B$28,INPUTS!$B$29))))</f>
        <v>1890784.49974925</v>
      </c>
      <c r="M10" s="85" t="n">
        <f aca="true">IF(M$5=0,L10,MAX(0,(L10-M$4)*(1+NORMINV(RAND(),INPUTS!$B$28,INPUTS!$B$29))))</f>
        <v>2173950.18441919</v>
      </c>
      <c r="N10" s="85" t="n">
        <f aca="true">IF(N$5=0,M10,MAX(0,(M10-N$4)*(1+NORMINV(RAND(),INPUTS!$B$28,INPUTS!$B$29))))</f>
        <v>2758767.6713758</v>
      </c>
      <c r="O10" s="85" t="n">
        <f aca="true">IF(O$5=0,N10,MAX(0,(N10-O$4)*(1+NORMINV(RAND(),INPUTS!$B$28,INPUTS!$B$29))))</f>
        <v>3370176.39245612</v>
      </c>
      <c r="P10" s="85" t="n">
        <f aca="true">IF(P$5=0,O10,MAX(0,(O10-P$4)*(1+NORMINV(RAND(),INPUTS!$B$28,INPUTS!$B$29))))</f>
        <v>3221204.19028279</v>
      </c>
      <c r="Q10" s="85" t="n">
        <f aca="true">IF(Q$5=0,P10,MAX(0,(P10-Q$4)*(1+NORMINV(RAND(),INPUTS!$B$28,INPUTS!$B$29))))</f>
        <v>3423874.66032848</v>
      </c>
      <c r="R10" s="85" t="n">
        <f aca="true">IF(R$5=0,Q10,MAX(0,(Q10-R$4)*(1+NORMINV(RAND(),INPUTS!$B$28,INPUTS!$B$29))))</f>
        <v>3359978.62308044</v>
      </c>
      <c r="S10" s="85" t="n">
        <f aca="true">IF(S$5=0,R10,MAX(0,(R10-S$4)*(1+NORMINV(RAND(),INPUTS!$B$28,INPUTS!$B$29))))</f>
        <v>3277864.12185082</v>
      </c>
      <c r="T10" s="85" t="n">
        <f aca="true">IF(T$5=0,S10,MAX(0,(S10-T$4)*(1+NORMINV(RAND(),INPUTS!$B$28,INPUTS!$B$29))))</f>
        <v>3316586.58119493</v>
      </c>
      <c r="U10" s="85" t="n">
        <f aca="true">IF(U$5=0,T10,MAX(0,(T10-U$4)*(1+NORMINV(RAND(),INPUTS!$B$28,INPUTS!$B$29))))</f>
        <v>3673992.70136989</v>
      </c>
      <c r="V10" s="85" t="n">
        <f aca="true">IF(V$5=0,U10,MAX(0,(U10-V$4)*(1+NORMINV(RAND(),INPUTS!$B$28,INPUTS!$B$29))))</f>
        <v>4429320.34742313</v>
      </c>
      <c r="W10" s="85" t="n">
        <f aca="true">IF(W$5=0,V10,MAX(0,(V10-W$4)*(1+NORMINV(RAND(),INPUTS!$B$28,INPUTS!$B$29))))</f>
        <v>5363179.90772181</v>
      </c>
      <c r="X10" s="85" t="n">
        <f aca="true">IF(X$5=0,W10,MAX(0,(W10-X$4)*(1+NORMINV(RAND(),INPUTS!$B$28,INPUTS!$B$29))))</f>
        <v>6424308.9583444</v>
      </c>
      <c r="Y10" s="85" t="n">
        <f aca="true">IF(Y$5=0,X10,MAX(0,(X10-Y$4)*(1+NORMINV(RAND(),INPUTS!$B$28,INPUTS!$B$29))))</f>
        <v>6850578.17394801</v>
      </c>
      <c r="Z10" s="85" t="n">
        <f aca="true">IF(Z$5=0,Y10,MAX(0,(Y10-Z$4)*(1+NORMINV(RAND(),INPUTS!$B$28,INPUTS!$B$29))))</f>
        <v>6815460.7910897</v>
      </c>
      <c r="AA10" s="85" t="n">
        <f aca="true">IF(AA$5=0,Z10,MAX(0,(Z10-AA$4)*(1+NORMINV(RAND(),INPUTS!$B$28,INPUTS!$B$29))))</f>
        <v>7548141.21772995</v>
      </c>
      <c r="AB10" s="85" t="n">
        <f aca="true">IF(AB$5=0,AA10,MAX(0,(AA10-AB$4)*(1+NORMINV(RAND(),INPUTS!$B$28,INPUTS!$B$29))))</f>
        <v>8849565.31861285</v>
      </c>
      <c r="AC10" s="85" t="n">
        <f aca="true">IF(AC$5=0,AB10,MAX(0,(AB10-AC$4)*(1+NORMINV(RAND(),INPUTS!$B$28,INPUTS!$B$29))))</f>
        <v>8885708.26699667</v>
      </c>
      <c r="AD10" s="85" t="n">
        <f aca="true">IF(AD$5=0,AC10,MAX(0,(AC10-AD$4)*(1+NORMINV(RAND(),INPUTS!$B$28,INPUTS!$B$29))))</f>
        <v>9448740.99276852</v>
      </c>
      <c r="AE10" s="85" t="n">
        <f aca="true">IF(AE$5=0,AD10,MAX(0,(AD10-AE$4)*(1+NORMINV(RAND(),INPUTS!$B$28,INPUTS!$B$29))))</f>
        <v>9755565.04912034</v>
      </c>
      <c r="AF10" s="85" t="n">
        <f aca="true">IF(AF$5=0,AE10,MAX(0,(AE10-AF$4)*(1+NORMINV(RAND(),INPUTS!$B$28,INPUTS!$B$29))))</f>
        <v>6282085.67858258</v>
      </c>
      <c r="AG10" s="85" t="n">
        <f aca="true">IF(AG$5=0,AF10,MAX(0,(AF10-AG$4)*(1+NORMINV(RAND(),INPUTS!$B$28,INPUTS!$B$29))))</f>
        <v>6409210.87388274</v>
      </c>
      <c r="AH10" s="85" t="n">
        <f aca="true">IF(AH$5=0,AG10,MAX(0,(AG10-AH$4)*(1+NORMINV(RAND(),INPUTS!$B$28,INPUTS!$B$29))))</f>
        <v>6394181.97606669</v>
      </c>
      <c r="AI10" s="85" t="n">
        <f aca="true">IF(AI$5=0,AH10,MAX(0,(AH10-AI$4)*(1+NORMINV(RAND(),INPUTS!$B$28,INPUTS!$B$29))))</f>
        <v>6738252.20997249</v>
      </c>
      <c r="AJ10" s="85" t="n">
        <f aca="true">IF(AJ$5=0,AI10,MAX(0,(AI10-AJ$4)*(1+NORMINV(RAND(),INPUTS!$B$28,INPUTS!$B$29))))</f>
        <v>7158790.01801041</v>
      </c>
      <c r="AK10" s="85" t="n">
        <f aca="true">IF(AK$5=0,AJ10,MAX(0,(AJ10-AK$4)*(1+NORMINV(RAND(),INPUTS!$B$28,INPUTS!$B$29))))</f>
        <v>8950147.0502454</v>
      </c>
      <c r="AL10" s="85" t="n">
        <f aca="true">IF(AL$5=0,AK10,MAX(0,(AK10-AL$4)*(1+NORMINV(RAND(),INPUTS!$B$28,INPUTS!$B$29))))</f>
        <v>9555977.57397066</v>
      </c>
      <c r="AM10" s="85" t="n">
        <f aca="true">IF(AM$5=0,AL10,MAX(0,(AL10-AM$4)*(1+NORMINV(RAND(),INPUTS!$B$28,INPUTS!$B$29))))</f>
        <v>9555977.57397066</v>
      </c>
      <c r="AN10" s="85" t="n">
        <f aca="true">IF(AN$5=0,AM10,MAX(0,(AM10-AN$4)*(1+NORMINV(RAND(),INPUTS!$B$28,INPUTS!$B$29))))</f>
        <v>9555977.57397066</v>
      </c>
      <c r="AO10" s="85" t="n">
        <f aca="true">IF(AO$5=0,AN10,MAX(0,(AN10-AO$4)*(1+NORMINV(RAND(),INPUTS!$B$28,INPUTS!$B$29))))</f>
        <v>9555977.57397066</v>
      </c>
      <c r="AP10" s="85" t="n">
        <f aca="true">IF(AP$5=0,AO10,MAX(0,(AO10-AP$4)*(1+NORMINV(RAND(),INPUTS!$B$28,INPUTS!$B$29))))</f>
        <v>9555977.57397066</v>
      </c>
    </row>
    <row r="11" customFormat="false" ht="15" hidden="false" customHeight="true" outlineLevel="0" collapsed="false">
      <c r="A11" s="83" t="n">
        <v>4</v>
      </c>
      <c r="B11" s="84" t="n">
        <f aca="false">LOOKUP(9.99E+307,C11:AP11)</f>
        <v>0</v>
      </c>
      <c r="C11" s="85" t="n">
        <f aca="true">IF(C$5=0,INPUTS!$B$19,MAX(0,(INPUTS!$B$19-C$4)*(1+NORMINV(RAND(),INPUTS!$B$28,INPUTS!$B$29))))</f>
        <v>1256713.89631085</v>
      </c>
      <c r="D11" s="85" t="n">
        <f aca="true">IF(D$5=0,C11,MAX(0,(C11-D$4)*(1+NORMINV(RAND(),INPUTS!$B$28,INPUTS!$B$29))))</f>
        <v>1216597.92290141</v>
      </c>
      <c r="E11" s="85" t="n">
        <f aca="true">IF(E$5=0,D11,MAX(0,(D11-E$4)*(1+NORMINV(RAND(),INPUTS!$B$28,INPUTS!$B$29))))</f>
        <v>1234988.43010235</v>
      </c>
      <c r="F11" s="85" t="n">
        <f aca="true">IF(F$5=0,E11,MAX(0,(E11-F$4)*(1+NORMINV(RAND(),INPUTS!$B$28,INPUTS!$B$29))))</f>
        <v>1224407.25610871</v>
      </c>
      <c r="G11" s="85" t="n">
        <f aca="true">IF(G$5=0,F11,MAX(0,(F11-G$4)*(1+NORMINV(RAND(),INPUTS!$B$28,INPUTS!$B$29))))</f>
        <v>1275668.13025448</v>
      </c>
      <c r="H11" s="85" t="n">
        <f aca="true">IF(H$5=0,G11,MAX(0,(G11-H$4)*(1+NORMINV(RAND(),INPUTS!$B$28,INPUTS!$B$29))))</f>
        <v>1024383.39659318</v>
      </c>
      <c r="I11" s="85" t="n">
        <f aca="true">IF(I$5=0,H11,MAX(0,(H11-I$4)*(1+NORMINV(RAND(),INPUTS!$B$28,INPUTS!$B$29))))</f>
        <v>921743.469205806</v>
      </c>
      <c r="J11" s="85" t="n">
        <f aca="true">IF(J$5=0,I11,MAX(0,(I11-J$4)*(1+NORMINV(RAND(),INPUTS!$B$28,INPUTS!$B$29))))</f>
        <v>876426.336470114</v>
      </c>
      <c r="K11" s="85" t="n">
        <f aca="true">IF(K$5=0,J11,MAX(0,(J11-K$4)*(1+NORMINV(RAND(),INPUTS!$B$28,INPUTS!$B$29))))</f>
        <v>822115.101794722</v>
      </c>
      <c r="L11" s="85" t="n">
        <f aca="true">IF(L$5=0,K11,MAX(0,(K11-L$4)*(1+NORMINV(RAND(),INPUTS!$B$28,INPUTS!$B$29))))</f>
        <v>806947.512430238</v>
      </c>
      <c r="M11" s="85" t="n">
        <f aca="true">IF(M$5=0,L11,MAX(0,(L11-M$4)*(1+NORMINV(RAND(),INPUTS!$B$28,INPUTS!$B$29))))</f>
        <v>724755.413616</v>
      </c>
      <c r="N11" s="85" t="n">
        <f aca="true">IF(N$5=0,M11,MAX(0,(M11-N$4)*(1+NORMINV(RAND(),INPUTS!$B$28,INPUTS!$B$29))))</f>
        <v>678936.491966102</v>
      </c>
      <c r="O11" s="85" t="n">
        <f aca="true">IF(O$5=0,N11,MAX(0,(N11-O$4)*(1+NORMINV(RAND(),INPUTS!$B$28,INPUTS!$B$29))))</f>
        <v>695955.001862605</v>
      </c>
      <c r="P11" s="85" t="n">
        <f aca="true">IF(P$5=0,O11,MAX(0,(O11-P$4)*(1+NORMINV(RAND(),INPUTS!$B$28,INPUTS!$B$29))))</f>
        <v>545143.128924734</v>
      </c>
      <c r="Q11" s="85" t="n">
        <f aca="true">IF(Q$5=0,P11,MAX(0,(P11-Q$4)*(1+NORMINV(RAND(),INPUTS!$B$28,INPUTS!$B$29))))</f>
        <v>584352.436799874</v>
      </c>
      <c r="R11" s="85" t="n">
        <f aca="true">IF(R$5=0,Q11,MAX(0,(Q11-R$4)*(1+NORMINV(RAND(),INPUTS!$B$28,INPUTS!$B$29))))</f>
        <v>568936.51019996</v>
      </c>
      <c r="S11" s="85" t="n">
        <f aca="true">IF(S$5=0,R11,MAX(0,(R11-S$4)*(1+NORMINV(RAND(),INPUTS!$B$28,INPUTS!$B$29))))</f>
        <v>552418.122956723</v>
      </c>
      <c r="T11" s="85" t="n">
        <f aca="true">IF(T$5=0,S11,MAX(0,(S11-T$4)*(1+NORMINV(RAND(),INPUTS!$B$28,INPUTS!$B$29))))</f>
        <v>467366.573755309</v>
      </c>
      <c r="U11" s="85" t="n">
        <f aca="true">IF(U$5=0,T11,MAX(0,(T11-U$4)*(1+NORMINV(RAND(),INPUTS!$B$28,INPUTS!$B$29))))</f>
        <v>441299.029015227</v>
      </c>
      <c r="V11" s="85" t="n">
        <f aca="true">IF(V$5=0,U11,MAX(0,(U11-V$4)*(1+NORMINV(RAND(),INPUTS!$B$28,INPUTS!$B$29))))</f>
        <v>427060.492354741</v>
      </c>
      <c r="W11" s="85" t="n">
        <f aca="true">IF(W$5=0,V11,MAX(0,(V11-W$4)*(1+NORMINV(RAND(),INPUTS!$B$28,INPUTS!$B$29))))</f>
        <v>448293.638402523</v>
      </c>
      <c r="X11" s="85" t="n">
        <f aca="true">IF(X$5=0,W11,MAX(0,(W11-X$4)*(1+NORMINV(RAND(),INPUTS!$B$28,INPUTS!$B$29))))</f>
        <v>466337.295119044</v>
      </c>
      <c r="Y11" s="85" t="n">
        <f aca="true">IF(Y$5=0,X11,MAX(0,(X11-Y$4)*(1+NORMINV(RAND(),INPUTS!$B$28,INPUTS!$B$29))))</f>
        <v>425942.131220298</v>
      </c>
      <c r="Z11" s="85" t="n">
        <f aca="true">IF(Z$5=0,Y11,MAX(0,(Y11-Z$4)*(1+NORMINV(RAND(),INPUTS!$B$28,INPUTS!$B$29))))</f>
        <v>353888.399815897</v>
      </c>
      <c r="AA11" s="85" t="n">
        <f aca="true">IF(AA$5=0,Z11,MAX(0,(Z11-AA$4)*(1+NORMINV(RAND(),INPUTS!$B$28,INPUTS!$B$29))))</f>
        <v>322107.713366021</v>
      </c>
      <c r="AB11" s="85" t="n">
        <f aca="true">IF(AB$5=0,AA11,MAX(0,(AA11-AB$4)*(1+NORMINV(RAND(),INPUTS!$B$28,INPUTS!$B$29))))</f>
        <v>279403.611539043</v>
      </c>
      <c r="AC11" s="85" t="n">
        <f aca="true">IF(AC$5=0,AB11,MAX(0,(AB11-AC$4)*(1+NORMINV(RAND(),INPUTS!$B$28,INPUTS!$B$29))))</f>
        <v>216187.163888001</v>
      </c>
      <c r="AD11" s="85" t="n">
        <f aca="true">IF(AD$5=0,AC11,MAX(0,(AC11-AD$4)*(1+NORMINV(RAND(),INPUTS!$B$28,INPUTS!$B$29))))</f>
        <v>145252.1820675</v>
      </c>
      <c r="AE11" s="85" t="n">
        <f aca="true">IF(AE$5=0,AD11,MAX(0,(AD11-AE$4)*(1+NORMINV(RAND(),INPUTS!$B$28,INPUTS!$B$29))))</f>
        <v>83670.7530400095</v>
      </c>
      <c r="AF11" s="85" t="n">
        <f aca="true">IF(AF$5=0,AE11,MAX(0,(AE11-AF$4)*(1+NORMINV(RAND(),INPUTS!$B$28,INPUTS!$B$29))))</f>
        <v>15202.5937651142</v>
      </c>
      <c r="AG11" s="85" t="n">
        <f aca="true">IF(AG$5=0,AF11,MAX(0,(AF11-AG$4)*(1+NORMINV(RAND(),INPUTS!$B$28,INPUTS!$B$29))))</f>
        <v>0</v>
      </c>
      <c r="AH11" s="85" t="n">
        <f aca="true">IF(AH$5=0,AG11,MAX(0,(AG11-AH$4)*(1+NORMINV(RAND(),INPUTS!$B$28,INPUTS!$B$29))))</f>
        <v>0</v>
      </c>
      <c r="AI11" s="85" t="n">
        <f aca="true">IF(AI$5=0,AH11,MAX(0,(AH11-AI$4)*(1+NORMINV(RAND(),INPUTS!$B$28,INPUTS!$B$29))))</f>
        <v>0</v>
      </c>
      <c r="AJ11" s="85" t="n">
        <f aca="true">IF(AJ$5=0,AI11,MAX(0,(AI11-AJ$4)*(1+NORMINV(RAND(),INPUTS!$B$28,INPUTS!$B$29))))</f>
        <v>0</v>
      </c>
      <c r="AK11" s="85" t="n">
        <f aca="true">IF(AK$5=0,AJ11,MAX(0,(AJ11-AK$4)*(1+NORMINV(RAND(),INPUTS!$B$28,INPUTS!$B$29))))</f>
        <v>0</v>
      </c>
      <c r="AL11" s="85" t="n">
        <f aca="true">IF(AL$5=0,AK11,MAX(0,(AK11-AL$4)*(1+NORMINV(RAND(),INPUTS!$B$28,INPUTS!$B$29))))</f>
        <v>0</v>
      </c>
      <c r="AM11" s="85" t="n">
        <f aca="true">IF(AM$5=0,AL11,MAX(0,(AL11-AM$4)*(1+NORMINV(RAND(),INPUTS!$B$28,INPUTS!$B$29))))</f>
        <v>0</v>
      </c>
      <c r="AN11" s="85" t="n">
        <f aca="true">IF(AN$5=0,AM11,MAX(0,(AM11-AN$4)*(1+NORMINV(RAND(),INPUTS!$B$28,INPUTS!$B$29))))</f>
        <v>0</v>
      </c>
      <c r="AO11" s="85" t="n">
        <f aca="true">IF(AO$5=0,AN11,MAX(0,(AN11-AO$4)*(1+NORMINV(RAND(),INPUTS!$B$28,INPUTS!$B$29))))</f>
        <v>0</v>
      </c>
      <c r="AP11" s="85" t="n">
        <f aca="true">IF(AP$5=0,AO11,MAX(0,(AO11-AP$4)*(1+NORMINV(RAND(),INPUTS!$B$28,INPUTS!$B$29))))</f>
        <v>0</v>
      </c>
    </row>
    <row r="12" customFormat="false" ht="15" hidden="false" customHeight="true" outlineLevel="0" collapsed="false">
      <c r="A12" s="83" t="n">
        <v>5</v>
      </c>
      <c r="B12" s="84" t="n">
        <f aca="false">LOOKUP(9.99E+307,C12:AP12)</f>
        <v>0</v>
      </c>
      <c r="C12" s="85" t="n">
        <f aca="true">IF(C$5=0,INPUTS!$B$19,MAX(0,(INPUTS!$B$19-C$4)*(1+NORMINV(RAND(),INPUTS!$B$28,INPUTS!$B$29))))</f>
        <v>1307219.76494622</v>
      </c>
      <c r="D12" s="85" t="n">
        <f aca="true">IF(D$5=0,C12,MAX(0,(C12-D$4)*(1+NORMINV(RAND(),INPUTS!$B$28,INPUTS!$B$29))))</f>
        <v>1127931.44512247</v>
      </c>
      <c r="E12" s="85" t="n">
        <f aca="true">IF(E$5=0,D12,MAX(0,(D12-E$4)*(1+NORMINV(RAND(),INPUTS!$B$28,INPUTS!$B$29))))</f>
        <v>1170391.40738577</v>
      </c>
      <c r="F12" s="85" t="n">
        <f aca="true">IF(F$5=0,E12,MAX(0,(E12-F$4)*(1+NORMINV(RAND(),INPUTS!$B$28,INPUTS!$B$29))))</f>
        <v>1223757.22535766</v>
      </c>
      <c r="G12" s="85" t="n">
        <f aca="true">IF(G$5=0,F12,MAX(0,(F12-G$4)*(1+NORMINV(RAND(),INPUTS!$B$28,INPUTS!$B$29))))</f>
        <v>1279371.64734704</v>
      </c>
      <c r="H12" s="85" t="n">
        <f aca="true">IF(H$5=0,G12,MAX(0,(G12-H$4)*(1+NORMINV(RAND(),INPUTS!$B$28,INPUTS!$B$29))))</f>
        <v>1229774.46386125</v>
      </c>
      <c r="I12" s="85" t="n">
        <f aca="true">IF(I$5=0,H12,MAX(0,(H12-I$4)*(1+NORMINV(RAND(),INPUTS!$B$28,INPUTS!$B$29))))</f>
        <v>1105661.96276829</v>
      </c>
      <c r="J12" s="85" t="n">
        <f aca="true">IF(J$5=0,I12,MAX(0,(I12-J$4)*(1+NORMINV(RAND(),INPUTS!$B$28,INPUTS!$B$29))))</f>
        <v>1016072.85848395</v>
      </c>
      <c r="K12" s="85" t="n">
        <f aca="true">IF(K$5=0,J12,MAX(0,(J12-K$4)*(1+NORMINV(RAND(),INPUTS!$B$28,INPUTS!$B$29))))</f>
        <v>845041.903967279</v>
      </c>
      <c r="L12" s="85" t="n">
        <f aca="true">IF(L$5=0,K12,MAX(0,(K12-L$4)*(1+NORMINV(RAND(),INPUTS!$B$28,INPUTS!$B$29))))</f>
        <v>860793.083322821</v>
      </c>
      <c r="M12" s="85" t="n">
        <f aca="true">IF(M$5=0,L12,MAX(0,(L12-M$4)*(1+NORMINV(RAND(),INPUTS!$B$28,INPUTS!$B$29))))</f>
        <v>825472.673132956</v>
      </c>
      <c r="N12" s="85" t="n">
        <f aca="true">IF(N$5=0,M12,MAX(0,(M12-N$4)*(1+NORMINV(RAND(),INPUTS!$B$28,INPUTS!$B$29))))</f>
        <v>794146.070236396</v>
      </c>
      <c r="O12" s="85" t="n">
        <f aca="true">IF(O$5=0,N12,MAX(0,(N12-O$4)*(1+NORMINV(RAND(),INPUTS!$B$28,INPUTS!$B$29))))</f>
        <v>761142.148636082</v>
      </c>
      <c r="P12" s="85" t="n">
        <f aca="true">IF(P$5=0,O12,MAX(0,(O12-P$4)*(1+NORMINV(RAND(),INPUTS!$B$28,INPUTS!$B$29))))</f>
        <v>778121.572505591</v>
      </c>
      <c r="Q12" s="85" t="n">
        <f aca="true">IF(Q$5=0,P12,MAX(0,(P12-Q$4)*(1+NORMINV(RAND(),INPUTS!$B$28,INPUTS!$B$29))))</f>
        <v>741174.223761556</v>
      </c>
      <c r="R12" s="85" t="n">
        <f aca="true">IF(R$5=0,Q12,MAX(0,(Q12-R$4)*(1+NORMINV(RAND(),INPUTS!$B$28,INPUTS!$B$29))))</f>
        <v>668224.876358765</v>
      </c>
      <c r="S12" s="85" t="n">
        <f aca="true">IF(S$5=0,R12,MAX(0,(R12-S$4)*(1+NORMINV(RAND(),INPUTS!$B$28,INPUTS!$B$29))))</f>
        <v>661260.70876746</v>
      </c>
      <c r="T12" s="85" t="n">
        <f aca="true">IF(T$5=0,S12,MAX(0,(S12-T$4)*(1+NORMINV(RAND(),INPUTS!$B$28,INPUTS!$B$29))))</f>
        <v>694382.339023959</v>
      </c>
      <c r="U12" s="85" t="n">
        <f aca="true">IF(U$5=0,T12,MAX(0,(T12-U$4)*(1+NORMINV(RAND(),INPUTS!$B$28,INPUTS!$B$29))))</f>
        <v>707946.799029764</v>
      </c>
      <c r="V12" s="85" t="n">
        <f aca="true">IF(V$5=0,U12,MAX(0,(U12-V$4)*(1+NORMINV(RAND(),INPUTS!$B$28,INPUTS!$B$29))))</f>
        <v>690371.798397433</v>
      </c>
      <c r="W12" s="85" t="n">
        <f aca="true">IF(W$5=0,V12,MAX(0,(V12-W$4)*(1+NORMINV(RAND(),INPUTS!$B$28,INPUTS!$B$29))))</f>
        <v>737061.166949834</v>
      </c>
      <c r="X12" s="85" t="n">
        <f aca="true">IF(X$5=0,W12,MAX(0,(W12-X$4)*(1+NORMINV(RAND(),INPUTS!$B$28,INPUTS!$B$29))))</f>
        <v>728079.803920065</v>
      </c>
      <c r="Y12" s="85" t="n">
        <f aca="true">IF(Y$5=0,X12,MAX(0,(X12-Y$4)*(1+NORMINV(RAND(),INPUTS!$B$28,INPUTS!$B$29))))</f>
        <v>810057.30072319</v>
      </c>
      <c r="Z12" s="85" t="n">
        <f aca="true">IF(Z$5=0,Y12,MAX(0,(Y12-Z$4)*(1+NORMINV(RAND(),INPUTS!$B$28,INPUTS!$B$29))))</f>
        <v>642735.801869122</v>
      </c>
      <c r="AA12" s="85" t="n">
        <f aca="true">IF(AA$5=0,Z12,MAX(0,(Z12-AA$4)*(1+NORMINV(RAND(),INPUTS!$B$28,INPUTS!$B$29))))</f>
        <v>760477.405920846</v>
      </c>
      <c r="AB12" s="85" t="n">
        <f aca="true">IF(AB$5=0,AA12,MAX(0,(AA12-AB$4)*(1+NORMINV(RAND(),INPUTS!$B$28,INPUTS!$B$29))))</f>
        <v>711527.896707655</v>
      </c>
      <c r="AC12" s="85" t="n">
        <f aca="true">IF(AC$5=0,AB12,MAX(0,(AB12-AC$4)*(1+NORMINV(RAND(),INPUTS!$B$28,INPUTS!$B$29))))</f>
        <v>689233.967967197</v>
      </c>
      <c r="AD12" s="85" t="n">
        <f aca="true">IF(AD$5=0,AC12,MAX(0,(AC12-AD$4)*(1+NORMINV(RAND(),INPUTS!$B$28,INPUTS!$B$29))))</f>
        <v>536342.909579957</v>
      </c>
      <c r="AE12" s="85" t="n">
        <f aca="true">IF(AE$5=0,AD12,MAX(0,(AD12-AE$4)*(1+NORMINV(RAND(),INPUTS!$B$28,INPUTS!$B$29))))</f>
        <v>466277.709216556</v>
      </c>
      <c r="AF12" s="85" t="n">
        <f aca="true">IF(AF$5=0,AE12,MAX(0,(AE12-AF$4)*(1+NORMINV(RAND(),INPUTS!$B$28,INPUTS!$B$29))))</f>
        <v>407646.194602818</v>
      </c>
      <c r="AG12" s="85" t="n">
        <f aca="true">IF(AG$5=0,AF12,MAX(0,(AF12-AG$4)*(1+NORMINV(RAND(),INPUTS!$B$28,INPUTS!$B$29))))</f>
        <v>317533.022402953</v>
      </c>
      <c r="AH12" s="85" t="n">
        <f aca="true">IF(AH$5=0,AG12,MAX(0,(AG12-AH$4)*(1+NORMINV(RAND(),INPUTS!$B$28,INPUTS!$B$29))))</f>
        <v>282973.473594634</v>
      </c>
      <c r="AI12" s="85" t="n">
        <f aca="true">IF(AI$5=0,AH12,MAX(0,(AH12-AI$4)*(1+NORMINV(RAND(),INPUTS!$B$28,INPUTS!$B$29))))</f>
        <v>184426.135709994</v>
      </c>
      <c r="AJ12" s="85" t="n">
        <f aca="true">IF(AJ$5=0,AI12,MAX(0,(AI12-AJ$4)*(1+NORMINV(RAND(),INPUTS!$B$28,INPUTS!$B$29))))</f>
        <v>114980.15397113</v>
      </c>
      <c r="AK12" s="85" t="n">
        <f aca="true">IF(AK$5=0,AJ12,MAX(0,(AJ12-AK$4)*(1+NORMINV(RAND(),INPUTS!$B$28,INPUTS!$B$29))))</f>
        <v>49462.4518786607</v>
      </c>
      <c r="AL12" s="85" t="n">
        <f aca="true">IF(AL$5=0,AK12,MAX(0,(AK12-AL$4)*(1+NORMINV(RAND(),INPUTS!$B$28,INPUTS!$B$29))))</f>
        <v>0</v>
      </c>
      <c r="AM12" s="85" t="n">
        <f aca="true">IF(AM$5=0,AL12,MAX(0,(AL12-AM$4)*(1+NORMINV(RAND(),INPUTS!$B$28,INPUTS!$B$29))))</f>
        <v>0</v>
      </c>
      <c r="AN12" s="85" t="n">
        <f aca="true">IF(AN$5=0,AM12,MAX(0,(AM12-AN$4)*(1+NORMINV(RAND(),INPUTS!$B$28,INPUTS!$B$29))))</f>
        <v>0</v>
      </c>
      <c r="AO12" s="85" t="n">
        <f aca="true">IF(AO$5=0,AN12,MAX(0,(AN12-AO$4)*(1+NORMINV(RAND(),INPUTS!$B$28,INPUTS!$B$29))))</f>
        <v>0</v>
      </c>
      <c r="AP12" s="85" t="n">
        <f aca="true">IF(AP$5=0,AO12,MAX(0,(AO12-AP$4)*(1+NORMINV(RAND(),INPUTS!$B$28,INPUTS!$B$29))))</f>
        <v>0</v>
      </c>
    </row>
    <row r="13" customFormat="false" ht="15" hidden="false" customHeight="true" outlineLevel="0" collapsed="false">
      <c r="A13" s="83" t="n">
        <v>6</v>
      </c>
      <c r="B13" s="84" t="n">
        <f aca="false">LOOKUP(9.99E+307,C13:AP13)</f>
        <v>2746070.63794408</v>
      </c>
      <c r="C13" s="85" t="n">
        <f aca="true">IF(C$5=0,INPUTS!$B$19,MAX(0,(INPUTS!$B$19-C$4)*(1+NORMINV(RAND(),INPUTS!$B$28,INPUTS!$B$29))))</f>
        <v>1219359.56868084</v>
      </c>
      <c r="D13" s="85" t="n">
        <f aca="true">IF(D$5=0,C13,MAX(0,(C13-D$4)*(1+NORMINV(RAND(),INPUTS!$B$28,INPUTS!$B$29))))</f>
        <v>1272427.34196604</v>
      </c>
      <c r="E13" s="85" t="n">
        <f aca="true">IF(E$5=0,D13,MAX(0,(D13-E$4)*(1+NORMINV(RAND(),INPUTS!$B$28,INPUTS!$B$29))))</f>
        <v>1392645.627272</v>
      </c>
      <c r="F13" s="85" t="n">
        <f aca="true">IF(F$5=0,E13,MAX(0,(E13-F$4)*(1+NORMINV(RAND(),INPUTS!$B$28,INPUTS!$B$29))))</f>
        <v>1534872.74542973</v>
      </c>
      <c r="G13" s="85" t="n">
        <f aca="true">IF(G$5=0,F13,MAX(0,(F13-G$4)*(1+NORMINV(RAND(),INPUTS!$B$28,INPUTS!$B$29))))</f>
        <v>1659650.59989326</v>
      </c>
      <c r="H13" s="85" t="n">
        <f aca="true">IF(H$5=0,G13,MAX(0,(G13-H$4)*(1+NORMINV(RAND(),INPUTS!$B$28,INPUTS!$B$29))))</f>
        <v>1616076.54530564</v>
      </c>
      <c r="I13" s="85" t="n">
        <f aca="true">IF(I$5=0,H13,MAX(0,(H13-I$4)*(1+NORMINV(RAND(),INPUTS!$B$28,INPUTS!$B$29))))</f>
        <v>1701726.26133305</v>
      </c>
      <c r="J13" s="85" t="n">
        <f aca="true">IF(J$5=0,I13,MAX(0,(I13-J$4)*(1+NORMINV(RAND(),INPUTS!$B$28,INPUTS!$B$29))))</f>
        <v>1484428.60704929</v>
      </c>
      <c r="K13" s="85" t="n">
        <f aca="true">IF(K$5=0,J13,MAX(0,(J13-K$4)*(1+NORMINV(RAND(),INPUTS!$B$28,INPUTS!$B$29))))</f>
        <v>1341116.1007814</v>
      </c>
      <c r="L13" s="85" t="n">
        <f aca="true">IF(L$5=0,K13,MAX(0,(K13-L$4)*(1+NORMINV(RAND(),INPUTS!$B$28,INPUTS!$B$29))))</f>
        <v>1415054.58557365</v>
      </c>
      <c r="M13" s="85" t="n">
        <f aca="true">IF(M$5=0,L13,MAX(0,(L13-M$4)*(1+NORMINV(RAND(),INPUTS!$B$28,INPUTS!$B$29))))</f>
        <v>1143037.27709862</v>
      </c>
      <c r="N13" s="85" t="n">
        <f aca="true">IF(N$5=0,M13,MAX(0,(M13-N$4)*(1+NORMINV(RAND(),INPUTS!$B$28,INPUTS!$B$29))))</f>
        <v>1219902.27705368</v>
      </c>
      <c r="O13" s="85" t="n">
        <f aca="true">IF(O$5=0,N13,MAX(0,(N13-O$4)*(1+NORMINV(RAND(),INPUTS!$B$28,INPUTS!$B$29))))</f>
        <v>1181681.08544371</v>
      </c>
      <c r="P13" s="85" t="n">
        <f aca="true">IF(P$5=0,O13,MAX(0,(O13-P$4)*(1+NORMINV(RAND(),INPUTS!$B$28,INPUTS!$B$29))))</f>
        <v>1190940.91062759</v>
      </c>
      <c r="Q13" s="85" t="n">
        <f aca="true">IF(Q$5=0,P13,MAX(0,(P13-Q$4)*(1+NORMINV(RAND(),INPUTS!$B$28,INPUTS!$B$29))))</f>
        <v>1254464.10434084</v>
      </c>
      <c r="R13" s="85" t="n">
        <f aca="true">IF(R$5=0,Q13,MAX(0,(Q13-R$4)*(1+NORMINV(RAND(),INPUTS!$B$28,INPUTS!$B$29))))</f>
        <v>1026825.27907307</v>
      </c>
      <c r="S13" s="85" t="n">
        <f aca="true">IF(S$5=0,R13,MAX(0,(R13-S$4)*(1+NORMINV(RAND(),INPUTS!$B$28,INPUTS!$B$29))))</f>
        <v>1085194.13449905</v>
      </c>
      <c r="T13" s="85" t="n">
        <f aca="true">IF(T$5=0,S13,MAX(0,(S13-T$4)*(1+NORMINV(RAND(),INPUTS!$B$28,INPUTS!$B$29))))</f>
        <v>1218532.58342733</v>
      </c>
      <c r="U13" s="85" t="n">
        <f aca="true">IF(U$5=0,T13,MAX(0,(T13-U$4)*(1+NORMINV(RAND(),INPUTS!$B$28,INPUTS!$B$29))))</f>
        <v>1397356.52595928</v>
      </c>
      <c r="V13" s="85" t="n">
        <f aca="true">IF(V$5=0,U13,MAX(0,(U13-V$4)*(1+NORMINV(RAND(),INPUTS!$B$28,INPUTS!$B$29))))</f>
        <v>1633299.50969373</v>
      </c>
      <c r="W13" s="85" t="n">
        <f aca="true">IF(W$5=0,V13,MAX(0,(V13-W$4)*(1+NORMINV(RAND(),INPUTS!$B$28,INPUTS!$B$29))))</f>
        <v>1801253.82267771</v>
      </c>
      <c r="X13" s="85" t="n">
        <f aca="true">IF(X$5=0,W13,MAX(0,(W13-X$4)*(1+NORMINV(RAND(),INPUTS!$B$28,INPUTS!$B$29))))</f>
        <v>1979832.04117325</v>
      </c>
      <c r="Y13" s="85" t="n">
        <f aca="true">IF(Y$5=0,X13,MAX(0,(X13-Y$4)*(1+NORMINV(RAND(),INPUTS!$B$28,INPUTS!$B$29))))</f>
        <v>1908487.19245559</v>
      </c>
      <c r="Z13" s="85" t="n">
        <f aca="true">IF(Z$5=0,Y13,MAX(0,(Y13-Z$4)*(1+NORMINV(RAND(),INPUTS!$B$28,INPUTS!$B$29))))</f>
        <v>2031214.29430843</v>
      </c>
      <c r="AA13" s="85" t="n">
        <f aca="true">IF(AA$5=0,Z13,MAX(0,(Z13-AA$4)*(1+NORMINV(RAND(),INPUTS!$B$28,INPUTS!$B$29))))</f>
        <v>1946719.53295722</v>
      </c>
      <c r="AB13" s="85" t="n">
        <f aca="true">IF(AB$5=0,AA13,MAX(0,(AA13-AB$4)*(1+NORMINV(RAND(),INPUTS!$B$28,INPUTS!$B$29))))</f>
        <v>1880355.11660305</v>
      </c>
      <c r="AC13" s="85" t="n">
        <f aca="true">IF(AC$5=0,AB13,MAX(0,(AB13-AC$4)*(1+NORMINV(RAND(),INPUTS!$B$28,INPUTS!$B$29))))</f>
        <v>2007649.79618486</v>
      </c>
      <c r="AD13" s="85" t="n">
        <f aca="true">IF(AD$5=0,AC13,MAX(0,(AC13-AD$4)*(1+NORMINV(RAND(),INPUTS!$B$28,INPUTS!$B$29))))</f>
        <v>2323861.18002778</v>
      </c>
      <c r="AE13" s="85" t="n">
        <f aca="true">IF(AE$5=0,AD13,MAX(0,(AD13-AE$4)*(1+NORMINV(RAND(),INPUTS!$B$28,INPUTS!$B$29))))</f>
        <v>2138371.60541329</v>
      </c>
      <c r="AF13" s="85" t="n">
        <f aca="true">IF(AF$5=0,AE13,MAX(0,(AE13-AF$4)*(1+NORMINV(RAND(),INPUTS!$B$28,INPUTS!$B$29))))</f>
        <v>2028077.7846059</v>
      </c>
      <c r="AG13" s="85" t="n">
        <f aca="true">IF(AG$5=0,AF13,MAX(0,(AF13-AG$4)*(1+NORMINV(RAND(),INPUTS!$B$28,INPUTS!$B$29))))</f>
        <v>2137542.50756039</v>
      </c>
      <c r="AH13" s="85" t="n">
        <f aca="true">IF(AH$5=0,AG13,MAX(0,(AG13-AH$4)*(1+NORMINV(RAND(),INPUTS!$B$28,INPUTS!$B$29))))</f>
        <v>2036531.76565787</v>
      </c>
      <c r="AI13" s="85" t="n">
        <f aca="true">IF(AI$5=0,AH13,MAX(0,(AH13-AI$4)*(1+NORMINV(RAND(),INPUTS!$B$28,INPUTS!$B$29))))</f>
        <v>2230761.99541106</v>
      </c>
      <c r="AJ13" s="85" t="n">
        <f aca="true">IF(AJ$5=0,AI13,MAX(0,(AI13-AJ$4)*(1+NORMINV(RAND(),INPUTS!$B$28,INPUTS!$B$29))))</f>
        <v>2427718.45140579</v>
      </c>
      <c r="AK13" s="85" t="n">
        <f aca="true">IF(AK$5=0,AJ13,MAX(0,(AJ13-AK$4)*(1+NORMINV(RAND(),INPUTS!$B$28,INPUTS!$B$29))))</f>
        <v>2790303.76305971</v>
      </c>
      <c r="AL13" s="85" t="n">
        <f aca="true">IF(AL$5=0,AK13,MAX(0,(AK13-AL$4)*(1+NORMINV(RAND(),INPUTS!$B$28,INPUTS!$B$29))))</f>
        <v>2746070.63794408</v>
      </c>
      <c r="AM13" s="85" t="n">
        <f aca="true">IF(AM$5=0,AL13,MAX(0,(AL13-AM$4)*(1+NORMINV(RAND(),INPUTS!$B$28,INPUTS!$B$29))))</f>
        <v>2746070.63794408</v>
      </c>
      <c r="AN13" s="85" t="n">
        <f aca="true">IF(AN$5=0,AM13,MAX(0,(AM13-AN$4)*(1+NORMINV(RAND(),INPUTS!$B$28,INPUTS!$B$29))))</f>
        <v>2746070.63794408</v>
      </c>
      <c r="AO13" s="85" t="n">
        <f aca="true">IF(AO$5=0,AN13,MAX(0,(AN13-AO$4)*(1+NORMINV(RAND(),INPUTS!$B$28,INPUTS!$B$29))))</f>
        <v>2746070.63794408</v>
      </c>
      <c r="AP13" s="85" t="n">
        <f aca="true">IF(AP$5=0,AO13,MAX(0,(AO13-AP$4)*(1+NORMINV(RAND(),INPUTS!$B$28,INPUTS!$B$29))))</f>
        <v>2746070.63794408</v>
      </c>
    </row>
    <row r="14" customFormat="false" ht="15" hidden="false" customHeight="true" outlineLevel="0" collapsed="false">
      <c r="A14" s="83" t="n">
        <v>7</v>
      </c>
      <c r="B14" s="84" t="n">
        <f aca="false">LOOKUP(9.99E+307,C14:AP14)</f>
        <v>2397750.00160336</v>
      </c>
      <c r="C14" s="85" t="n">
        <f aca="true">IF(C$5=0,INPUTS!$B$19,MAX(0,(INPUTS!$B$19-C$4)*(1+NORMINV(RAND(),INPUTS!$B$28,INPUTS!$B$29))))</f>
        <v>1109358.12433293</v>
      </c>
      <c r="D14" s="85" t="n">
        <f aca="true">IF(D$5=0,C14,MAX(0,(C14-D$4)*(1+NORMINV(RAND(),INPUTS!$B$28,INPUTS!$B$29))))</f>
        <v>1078113.86064619</v>
      </c>
      <c r="E14" s="85" t="n">
        <f aca="true">IF(E$5=0,D14,MAX(0,(D14-E$4)*(1+NORMINV(RAND(),INPUTS!$B$28,INPUTS!$B$29))))</f>
        <v>1139323.69489265</v>
      </c>
      <c r="F14" s="85" t="n">
        <f aca="true">IF(F$5=0,E14,MAX(0,(E14-F$4)*(1+NORMINV(RAND(),INPUTS!$B$28,INPUTS!$B$29))))</f>
        <v>1249492.24095594</v>
      </c>
      <c r="G14" s="85" t="n">
        <f aca="true">IF(G$5=0,F14,MAX(0,(F14-G$4)*(1+NORMINV(RAND(),INPUTS!$B$28,INPUTS!$B$29))))</f>
        <v>1401032.93946494</v>
      </c>
      <c r="H14" s="85" t="n">
        <f aca="true">IF(H$5=0,G14,MAX(0,(G14-H$4)*(1+NORMINV(RAND(),INPUTS!$B$28,INPUTS!$B$29))))</f>
        <v>1359440.30749961</v>
      </c>
      <c r="I14" s="85" t="n">
        <f aca="true">IF(I$5=0,H14,MAX(0,(H14-I$4)*(1+NORMINV(RAND(),INPUTS!$B$28,INPUTS!$B$29))))</f>
        <v>1496211.13714973</v>
      </c>
      <c r="J14" s="85" t="n">
        <f aca="true">IF(J$5=0,I14,MAX(0,(I14-J$4)*(1+NORMINV(RAND(),INPUTS!$B$28,INPUTS!$B$29))))</f>
        <v>1562569.18893472</v>
      </c>
      <c r="K14" s="85" t="n">
        <f aca="true">IF(K$5=0,J14,MAX(0,(J14-K$4)*(1+NORMINV(RAND(),INPUTS!$B$28,INPUTS!$B$29))))</f>
        <v>1909037.82768466</v>
      </c>
      <c r="L14" s="85" t="n">
        <f aca="true">IF(L$5=0,K14,MAX(0,(K14-L$4)*(1+NORMINV(RAND(),INPUTS!$B$28,INPUTS!$B$29))))</f>
        <v>1821993.22258154</v>
      </c>
      <c r="M14" s="85" t="n">
        <f aca="true">IF(M$5=0,L14,MAX(0,(L14-M$4)*(1+NORMINV(RAND(),INPUTS!$B$28,INPUTS!$B$29))))</f>
        <v>1875449.60037288</v>
      </c>
      <c r="N14" s="85" t="n">
        <f aca="true">IF(N$5=0,M14,MAX(0,(M14-N$4)*(1+NORMINV(RAND(),INPUTS!$B$28,INPUTS!$B$29))))</f>
        <v>2091260.4606871</v>
      </c>
      <c r="O14" s="85" t="n">
        <f aca="true">IF(O$5=0,N14,MAX(0,(N14-O$4)*(1+NORMINV(RAND(),INPUTS!$B$28,INPUTS!$B$29))))</f>
        <v>1533434.82006965</v>
      </c>
      <c r="P14" s="85" t="n">
        <f aca="true">IF(P$5=0,O14,MAX(0,(O14-P$4)*(1+NORMINV(RAND(),INPUTS!$B$28,INPUTS!$B$29))))</f>
        <v>1757223.46696906</v>
      </c>
      <c r="Q14" s="85" t="n">
        <f aca="true">IF(Q$5=0,P14,MAX(0,(P14-Q$4)*(1+NORMINV(RAND(),INPUTS!$B$28,INPUTS!$B$29))))</f>
        <v>2042072.72981092</v>
      </c>
      <c r="R14" s="85" t="n">
        <f aca="true">IF(R$5=0,Q14,MAX(0,(Q14-R$4)*(1+NORMINV(RAND(),INPUTS!$B$28,INPUTS!$B$29))))</f>
        <v>1669692.1470628</v>
      </c>
      <c r="S14" s="85" t="n">
        <f aca="true">IF(S$5=0,R14,MAX(0,(R14-S$4)*(1+NORMINV(RAND(),INPUTS!$B$28,INPUTS!$B$29))))</f>
        <v>2073587.45125192</v>
      </c>
      <c r="T14" s="85" t="n">
        <f aca="true">IF(T$5=0,S14,MAX(0,(S14-T$4)*(1+NORMINV(RAND(),INPUTS!$B$28,INPUTS!$B$29))))</f>
        <v>1931640.95952878</v>
      </c>
      <c r="U14" s="85" t="n">
        <f aca="true">IF(U$5=0,T14,MAX(0,(T14-U$4)*(1+NORMINV(RAND(),INPUTS!$B$28,INPUTS!$B$29))))</f>
        <v>2114040.0960337</v>
      </c>
      <c r="V14" s="85" t="n">
        <f aca="true">IF(V$5=0,U14,MAX(0,(U14-V$4)*(1+NORMINV(RAND(),INPUTS!$B$28,INPUTS!$B$29))))</f>
        <v>2050409.85177599</v>
      </c>
      <c r="W14" s="85" t="n">
        <f aca="true">IF(W$5=0,V14,MAX(0,(V14-W$4)*(1+NORMINV(RAND(),INPUTS!$B$28,INPUTS!$B$29))))</f>
        <v>2414367.08064431</v>
      </c>
      <c r="X14" s="85" t="n">
        <f aca="true">IF(X$5=0,W14,MAX(0,(W14-X$4)*(1+NORMINV(RAND(),INPUTS!$B$28,INPUTS!$B$29))))</f>
        <v>2368489.00602075</v>
      </c>
      <c r="Y14" s="85" t="n">
        <f aca="true">IF(Y$5=0,X14,MAX(0,(X14-Y$4)*(1+NORMINV(RAND(),INPUTS!$B$28,INPUTS!$B$29))))</f>
        <v>2323051.39259721</v>
      </c>
      <c r="Z14" s="85" t="n">
        <f aca="true">IF(Z$5=0,Y14,MAX(0,(Y14-Z$4)*(1+NORMINV(RAND(),INPUTS!$B$28,INPUTS!$B$29))))</f>
        <v>2772100.18513852</v>
      </c>
      <c r="AA14" s="85" t="n">
        <f aca="true">IF(AA$5=0,Z14,MAX(0,(Z14-AA$4)*(1+NORMINV(RAND(),INPUTS!$B$28,INPUTS!$B$29))))</f>
        <v>2895164.12513187</v>
      </c>
      <c r="AB14" s="85" t="n">
        <f aca="true">IF(AB$5=0,AA14,MAX(0,(AA14-AB$4)*(1+NORMINV(RAND(),INPUTS!$B$28,INPUTS!$B$29))))</f>
        <v>2948267.14628849</v>
      </c>
      <c r="AC14" s="85" t="n">
        <f aca="true">IF(AC$5=0,AB14,MAX(0,(AB14-AC$4)*(1+NORMINV(RAND(),INPUTS!$B$28,INPUTS!$B$29))))</f>
        <v>2867031.30151238</v>
      </c>
      <c r="AD14" s="85" t="n">
        <f aca="true">IF(AD$5=0,AC14,MAX(0,(AC14-AD$4)*(1+NORMINV(RAND(),INPUTS!$B$28,INPUTS!$B$29))))</f>
        <v>2845337.76860717</v>
      </c>
      <c r="AE14" s="85" t="n">
        <f aca="true">IF(AE$5=0,AD14,MAX(0,(AD14-AE$4)*(1+NORMINV(RAND(),INPUTS!$B$28,INPUTS!$B$29))))</f>
        <v>2474837.0879374</v>
      </c>
      <c r="AF14" s="85" t="n">
        <f aca="true">IF(AF$5=0,AE14,MAX(0,(AE14-AF$4)*(1+NORMINV(RAND(),INPUTS!$B$28,INPUTS!$B$29))))</f>
        <v>2392957.16124476</v>
      </c>
      <c r="AG14" s="85" t="n">
        <f aca="true">IF(AG$5=0,AF14,MAX(0,(AF14-AG$4)*(1+NORMINV(RAND(),INPUTS!$B$28,INPUTS!$B$29))))</f>
        <v>2508029.75479315</v>
      </c>
      <c r="AH14" s="85" t="n">
        <f aca="true">IF(AH$5=0,AG14,MAX(0,(AG14-AH$4)*(1+NORMINV(RAND(),INPUTS!$B$28,INPUTS!$B$29))))</f>
        <v>2142672.69083915</v>
      </c>
      <c r="AI14" s="85" t="n">
        <f aca="true">IF(AI$5=0,AH14,MAX(0,(AH14-AI$4)*(1+NORMINV(RAND(),INPUTS!$B$28,INPUTS!$B$29))))</f>
        <v>2594956.90389465</v>
      </c>
      <c r="AJ14" s="85" t="n">
        <f aca="true">IF(AJ$5=0,AI14,MAX(0,(AI14-AJ$4)*(1+NORMINV(RAND(),INPUTS!$B$28,INPUTS!$B$29))))</f>
        <v>3064178.80489197</v>
      </c>
      <c r="AK14" s="85" t="n">
        <f aca="true">IF(AK$5=0,AJ14,MAX(0,(AJ14-AK$4)*(1+NORMINV(RAND(),INPUTS!$B$28,INPUTS!$B$29))))</f>
        <v>2827355.14143096</v>
      </c>
      <c r="AL14" s="85" t="n">
        <f aca="true">IF(AL$5=0,AK14,MAX(0,(AK14-AL$4)*(1+NORMINV(RAND(),INPUTS!$B$28,INPUTS!$B$29))))</f>
        <v>2397750.00160336</v>
      </c>
      <c r="AM14" s="85" t="n">
        <f aca="true">IF(AM$5=0,AL14,MAX(0,(AL14-AM$4)*(1+NORMINV(RAND(),INPUTS!$B$28,INPUTS!$B$29))))</f>
        <v>2397750.00160336</v>
      </c>
      <c r="AN14" s="85" t="n">
        <f aca="true">IF(AN$5=0,AM14,MAX(0,(AM14-AN$4)*(1+NORMINV(RAND(),INPUTS!$B$28,INPUTS!$B$29))))</f>
        <v>2397750.00160336</v>
      </c>
      <c r="AO14" s="85" t="n">
        <f aca="true">IF(AO$5=0,AN14,MAX(0,(AN14-AO$4)*(1+NORMINV(RAND(),INPUTS!$B$28,INPUTS!$B$29))))</f>
        <v>2397750.00160336</v>
      </c>
      <c r="AP14" s="85" t="n">
        <f aca="true">IF(AP$5=0,AO14,MAX(0,(AO14-AP$4)*(1+NORMINV(RAND(),INPUTS!$B$28,INPUTS!$B$29))))</f>
        <v>2397750.00160336</v>
      </c>
    </row>
    <row r="15" customFormat="false" ht="15" hidden="false" customHeight="true" outlineLevel="0" collapsed="false">
      <c r="A15" s="83" t="n">
        <v>8</v>
      </c>
      <c r="B15" s="84" t="n">
        <f aca="false">LOOKUP(9.99E+307,C15:AP15)</f>
        <v>1867150.4642033</v>
      </c>
      <c r="C15" s="85" t="n">
        <f aca="true">IF(C$5=0,INPUTS!$B$19,MAX(0,(INPUTS!$B$19-C$4)*(1+NORMINV(RAND(),INPUTS!$B$28,INPUTS!$B$29))))</f>
        <v>1269223.38031125</v>
      </c>
      <c r="D15" s="85" t="n">
        <f aca="true">IF(D$5=0,C15,MAX(0,(C15-D$4)*(1+NORMINV(RAND(),INPUTS!$B$28,INPUTS!$B$29))))</f>
        <v>1002330.23069868</v>
      </c>
      <c r="E15" s="85" t="n">
        <f aca="true">IF(E$5=0,D15,MAX(0,(D15-E$4)*(1+NORMINV(RAND(),INPUTS!$B$28,INPUTS!$B$29))))</f>
        <v>943456.377887824</v>
      </c>
      <c r="F15" s="85" t="n">
        <f aca="true">IF(F$5=0,E15,MAX(0,(E15-F$4)*(1+NORMINV(RAND(),INPUTS!$B$28,INPUTS!$B$29))))</f>
        <v>934946.979277196</v>
      </c>
      <c r="G15" s="85" t="n">
        <f aca="true">IF(G$5=0,F15,MAX(0,(F15-G$4)*(1+NORMINV(RAND(),INPUTS!$B$28,INPUTS!$B$29))))</f>
        <v>991187.833280525</v>
      </c>
      <c r="H15" s="85" t="n">
        <f aca="true">IF(H$5=0,G15,MAX(0,(G15-H$4)*(1+NORMINV(RAND(),INPUTS!$B$28,INPUTS!$B$29))))</f>
        <v>817806.233782998</v>
      </c>
      <c r="I15" s="85" t="n">
        <f aca="true">IF(I$5=0,H15,MAX(0,(H15-I$4)*(1+NORMINV(RAND(),INPUTS!$B$28,INPUTS!$B$29))))</f>
        <v>746102.804385956</v>
      </c>
      <c r="J15" s="85" t="n">
        <f aca="true">IF(J$5=0,I15,MAX(0,(I15-J$4)*(1+NORMINV(RAND(),INPUTS!$B$28,INPUTS!$B$29))))</f>
        <v>778727.513984903</v>
      </c>
      <c r="K15" s="85" t="n">
        <f aca="true">IF(K$5=0,J15,MAX(0,(J15-K$4)*(1+NORMINV(RAND(),INPUTS!$B$28,INPUTS!$B$29))))</f>
        <v>960991.120192637</v>
      </c>
      <c r="L15" s="85" t="n">
        <f aca="true">IF(L$5=0,K15,MAX(0,(K15-L$4)*(1+NORMINV(RAND(),INPUTS!$B$28,INPUTS!$B$29))))</f>
        <v>990514.695947297</v>
      </c>
      <c r="M15" s="85" t="n">
        <f aca="true">IF(M$5=0,L15,MAX(0,(L15-M$4)*(1+NORMINV(RAND(),INPUTS!$B$28,INPUTS!$B$29))))</f>
        <v>1080473.57619912</v>
      </c>
      <c r="N15" s="85" t="n">
        <f aca="true">IF(N$5=0,M15,MAX(0,(M15-N$4)*(1+NORMINV(RAND(),INPUTS!$B$28,INPUTS!$B$29))))</f>
        <v>1073015.98940704</v>
      </c>
      <c r="O15" s="85" t="n">
        <f aca="true">IF(O$5=0,N15,MAX(0,(N15-O$4)*(1+NORMINV(RAND(),INPUTS!$B$28,INPUTS!$B$29))))</f>
        <v>1354401.11220543</v>
      </c>
      <c r="P15" s="85" t="n">
        <f aca="true">IF(P$5=0,O15,MAX(0,(O15-P$4)*(1+NORMINV(RAND(),INPUTS!$B$28,INPUTS!$B$29))))</f>
        <v>1510490.47126213</v>
      </c>
      <c r="Q15" s="85" t="n">
        <f aca="true">IF(Q$5=0,P15,MAX(0,(P15-Q$4)*(1+NORMINV(RAND(),INPUTS!$B$28,INPUTS!$B$29))))</f>
        <v>1623210.04697537</v>
      </c>
      <c r="R15" s="85" t="n">
        <f aca="true">IF(R$5=0,Q15,MAX(0,(Q15-R$4)*(1+NORMINV(RAND(),INPUTS!$B$28,INPUTS!$B$29))))</f>
        <v>1366800.89160377</v>
      </c>
      <c r="S15" s="85" t="n">
        <f aca="true">IF(S$5=0,R15,MAX(0,(R15-S$4)*(1+NORMINV(RAND(),INPUTS!$B$28,INPUTS!$B$29))))</f>
        <v>1588215.46388539</v>
      </c>
      <c r="T15" s="85" t="n">
        <f aca="true">IF(T$5=0,S15,MAX(0,(S15-T$4)*(1+NORMINV(RAND(),INPUTS!$B$28,INPUTS!$B$29))))</f>
        <v>1667211.7930504</v>
      </c>
      <c r="U15" s="85" t="n">
        <f aca="true">IF(U$5=0,T15,MAX(0,(T15-U$4)*(1+NORMINV(RAND(),INPUTS!$B$28,INPUTS!$B$29))))</f>
        <v>1976599.14043247</v>
      </c>
      <c r="V15" s="85" t="n">
        <f aca="true">IF(V$5=0,U15,MAX(0,(U15-V$4)*(1+NORMINV(RAND(),INPUTS!$B$28,INPUTS!$B$29))))</f>
        <v>1714925.7710001</v>
      </c>
      <c r="W15" s="85" t="n">
        <f aca="true">IF(W$5=0,V15,MAX(0,(V15-W$4)*(1+NORMINV(RAND(),INPUTS!$B$28,INPUTS!$B$29))))</f>
        <v>1498449.35616831</v>
      </c>
      <c r="X15" s="85" t="n">
        <f aca="true">IF(X$5=0,W15,MAX(0,(W15-X$4)*(1+NORMINV(RAND(),INPUTS!$B$28,INPUTS!$B$29))))</f>
        <v>1815242.68871363</v>
      </c>
      <c r="Y15" s="85" t="n">
        <f aca="true">IF(Y$5=0,X15,MAX(0,(X15-Y$4)*(1+NORMINV(RAND(),INPUTS!$B$28,INPUTS!$B$29))))</f>
        <v>1715912.27237092</v>
      </c>
      <c r="Z15" s="85" t="n">
        <f aca="true">IF(Z$5=0,Y15,MAX(0,(Y15-Z$4)*(1+NORMINV(RAND(),INPUTS!$B$28,INPUTS!$B$29))))</f>
        <v>1836571.65970153</v>
      </c>
      <c r="AA15" s="85" t="n">
        <f aca="true">IF(AA$5=0,Z15,MAX(0,(Z15-AA$4)*(1+NORMINV(RAND(),INPUTS!$B$28,INPUTS!$B$29))))</f>
        <v>1757904.65401854</v>
      </c>
      <c r="AB15" s="85" t="n">
        <f aca="true">IF(AB$5=0,AA15,MAX(0,(AA15-AB$4)*(1+NORMINV(RAND(),INPUTS!$B$28,INPUTS!$B$29))))</f>
        <v>1768847.22066685</v>
      </c>
      <c r="AC15" s="85" t="n">
        <f aca="true">IF(AC$5=0,AB15,MAX(0,(AB15-AC$4)*(1+NORMINV(RAND(),INPUTS!$B$28,INPUTS!$B$29))))</f>
        <v>1730379.77272951</v>
      </c>
      <c r="AD15" s="85" t="n">
        <f aca="true">IF(AD$5=0,AC15,MAX(0,(AC15-AD$4)*(1+NORMINV(RAND(),INPUTS!$B$28,INPUTS!$B$29))))</f>
        <v>1504298.04996725</v>
      </c>
      <c r="AE15" s="85" t="n">
        <f aca="true">IF(AE$5=0,AD15,MAX(0,(AD15-AE$4)*(1+NORMINV(RAND(),INPUTS!$B$28,INPUTS!$B$29))))</f>
        <v>1669045.00805986</v>
      </c>
      <c r="AF15" s="85" t="n">
        <f aca="true">IF(AF$5=0,AE15,MAX(0,(AE15-AF$4)*(1+NORMINV(RAND(),INPUTS!$B$28,INPUTS!$B$29))))</f>
        <v>1822139.08516446</v>
      </c>
      <c r="AG15" s="85" t="n">
        <f aca="true">IF(AG$5=0,AF15,MAX(0,(AF15-AG$4)*(1+NORMINV(RAND(),INPUTS!$B$28,INPUTS!$B$29))))</f>
        <v>1884364.97208769</v>
      </c>
      <c r="AH15" s="85" t="n">
        <f aca="true">IF(AH$5=0,AG15,MAX(0,(AG15-AH$4)*(1+NORMINV(RAND(),INPUTS!$B$28,INPUTS!$B$29))))</f>
        <v>1581951.14724066</v>
      </c>
      <c r="AI15" s="85" t="n">
        <f aca="true">IF(AI$5=0,AH15,MAX(0,(AH15-AI$4)*(1+NORMINV(RAND(),INPUTS!$B$28,INPUTS!$B$29))))</f>
        <v>1634713.84999413</v>
      </c>
      <c r="AJ15" s="85" t="n">
        <f aca="true">IF(AJ$5=0,AI15,MAX(0,(AI15-AJ$4)*(1+NORMINV(RAND(),INPUTS!$B$28,INPUTS!$B$29))))</f>
        <v>1928373.76257373</v>
      </c>
      <c r="AK15" s="85" t="n">
        <f aca="true">IF(AK$5=0,AJ15,MAX(0,(AJ15-AK$4)*(1+NORMINV(RAND(),INPUTS!$B$28,INPUTS!$B$29))))</f>
        <v>1782827.46954722</v>
      </c>
      <c r="AL15" s="85" t="n">
        <f aca="true">IF(AL$5=0,AK15,MAX(0,(AK15-AL$4)*(1+NORMINV(RAND(),INPUTS!$B$28,INPUTS!$B$29))))</f>
        <v>1867150.4642033</v>
      </c>
      <c r="AM15" s="85" t="n">
        <f aca="true">IF(AM$5=0,AL15,MAX(0,(AL15-AM$4)*(1+NORMINV(RAND(),INPUTS!$B$28,INPUTS!$B$29))))</f>
        <v>1867150.4642033</v>
      </c>
      <c r="AN15" s="85" t="n">
        <f aca="true">IF(AN$5=0,AM15,MAX(0,(AM15-AN$4)*(1+NORMINV(RAND(),INPUTS!$B$28,INPUTS!$B$29))))</f>
        <v>1867150.4642033</v>
      </c>
      <c r="AO15" s="85" t="n">
        <f aca="true">IF(AO$5=0,AN15,MAX(0,(AN15-AO$4)*(1+NORMINV(RAND(),INPUTS!$B$28,INPUTS!$B$29))))</f>
        <v>1867150.4642033</v>
      </c>
      <c r="AP15" s="85" t="n">
        <f aca="true">IF(AP$5=0,AO15,MAX(0,(AO15-AP$4)*(1+NORMINV(RAND(),INPUTS!$B$28,INPUTS!$B$29))))</f>
        <v>1867150.4642033</v>
      </c>
    </row>
    <row r="16" customFormat="false" ht="15" hidden="false" customHeight="true" outlineLevel="0" collapsed="false">
      <c r="A16" s="83" t="n">
        <v>9</v>
      </c>
      <c r="B16" s="84" t="n">
        <f aca="false">LOOKUP(9.99E+307,C16:AP16)</f>
        <v>0</v>
      </c>
      <c r="C16" s="85" t="n">
        <f aca="true">IF(C$5=0,INPUTS!$B$19,MAX(0,(INPUTS!$B$19-C$4)*(1+NORMINV(RAND(),INPUTS!$B$28,INPUTS!$B$29))))</f>
        <v>1124373.16086863</v>
      </c>
      <c r="D16" s="85" t="n">
        <f aca="true">IF(D$5=0,C16,MAX(0,(C16-D$4)*(1+NORMINV(RAND(),INPUTS!$B$28,INPUTS!$B$29))))</f>
        <v>844995.32473513</v>
      </c>
      <c r="E16" s="85" t="n">
        <f aca="true">IF(E$5=0,D16,MAX(0,(D16-E$4)*(1+NORMINV(RAND(),INPUTS!$B$28,INPUTS!$B$29))))</f>
        <v>808966.367953583</v>
      </c>
      <c r="F16" s="85" t="n">
        <f aca="true">IF(F$5=0,E16,MAX(0,(E16-F$4)*(1+NORMINV(RAND(),INPUTS!$B$28,INPUTS!$B$29))))</f>
        <v>816344.694075457</v>
      </c>
      <c r="G16" s="85" t="n">
        <f aca="true">IF(G$5=0,F16,MAX(0,(F16-G$4)*(1+NORMINV(RAND(),INPUTS!$B$28,INPUTS!$B$29))))</f>
        <v>850530.125217332</v>
      </c>
      <c r="H16" s="85" t="n">
        <f aca="true">IF(H$5=0,G16,MAX(0,(G16-H$4)*(1+NORMINV(RAND(),INPUTS!$B$28,INPUTS!$B$29))))</f>
        <v>895574.056499986</v>
      </c>
      <c r="I16" s="85" t="n">
        <f aca="true">IF(I$5=0,H16,MAX(0,(H16-I$4)*(1+NORMINV(RAND(),INPUTS!$B$28,INPUTS!$B$29))))</f>
        <v>875092.655040911</v>
      </c>
      <c r="J16" s="85" t="n">
        <f aca="true">IF(J$5=0,I16,MAX(0,(I16-J$4)*(1+NORMINV(RAND(),INPUTS!$B$28,INPUTS!$B$29))))</f>
        <v>814081.131166582</v>
      </c>
      <c r="K16" s="85" t="n">
        <f aca="true">IF(K$5=0,J16,MAX(0,(J16-K$4)*(1+NORMINV(RAND(),INPUTS!$B$28,INPUTS!$B$29))))</f>
        <v>894436.754786906</v>
      </c>
      <c r="L16" s="85" t="n">
        <f aca="true">IF(L$5=0,K16,MAX(0,(K16-L$4)*(1+NORMINV(RAND(),INPUTS!$B$28,INPUTS!$B$29))))</f>
        <v>721409.619731224</v>
      </c>
      <c r="M16" s="85" t="n">
        <f aca="true">IF(M$5=0,L16,MAX(0,(L16-M$4)*(1+NORMINV(RAND(),INPUTS!$B$28,INPUTS!$B$29))))</f>
        <v>791072.013879588</v>
      </c>
      <c r="N16" s="85" t="n">
        <f aca="true">IF(N$5=0,M16,MAX(0,(M16-N$4)*(1+NORMINV(RAND(),INPUTS!$B$28,INPUTS!$B$29))))</f>
        <v>607704.510646667</v>
      </c>
      <c r="O16" s="85" t="n">
        <f aca="true">IF(O$5=0,N16,MAX(0,(N16-O$4)*(1+NORMINV(RAND(),INPUTS!$B$28,INPUTS!$B$29))))</f>
        <v>644930.977933879</v>
      </c>
      <c r="P16" s="85" t="n">
        <f aca="true">IF(P$5=0,O16,MAX(0,(O16-P$4)*(1+NORMINV(RAND(),INPUTS!$B$28,INPUTS!$B$29))))</f>
        <v>614424.127959573</v>
      </c>
      <c r="Q16" s="85" t="n">
        <f aca="true">IF(Q$5=0,P16,MAX(0,(P16-Q$4)*(1+NORMINV(RAND(),INPUTS!$B$28,INPUTS!$B$29))))</f>
        <v>609983.816009106</v>
      </c>
      <c r="R16" s="85" t="n">
        <f aca="true">IF(R$5=0,Q16,MAX(0,(Q16-R$4)*(1+NORMINV(RAND(),INPUTS!$B$28,INPUTS!$B$29))))</f>
        <v>567961.771620687</v>
      </c>
      <c r="S16" s="85" t="n">
        <f aca="true">IF(S$5=0,R16,MAX(0,(R16-S$4)*(1+NORMINV(RAND(),INPUTS!$B$28,INPUTS!$B$29))))</f>
        <v>570464.990299534</v>
      </c>
      <c r="T16" s="85" t="n">
        <f aca="true">IF(T$5=0,S16,MAX(0,(S16-T$4)*(1+NORMINV(RAND(),INPUTS!$B$28,INPUTS!$B$29))))</f>
        <v>634885.626941491</v>
      </c>
      <c r="U16" s="85" t="n">
        <f aca="true">IF(U$5=0,T16,MAX(0,(T16-U$4)*(1+NORMINV(RAND(),INPUTS!$B$28,INPUTS!$B$29))))</f>
        <v>592837.20552037</v>
      </c>
      <c r="V16" s="85" t="n">
        <f aca="true">IF(V$5=0,U16,MAX(0,(U16-V$4)*(1+NORMINV(RAND(),INPUTS!$B$28,INPUTS!$B$29))))</f>
        <v>623178.284833909</v>
      </c>
      <c r="W16" s="85" t="n">
        <f aca="true">IF(W$5=0,V16,MAX(0,(V16-W$4)*(1+NORMINV(RAND(),INPUTS!$B$28,INPUTS!$B$29))))</f>
        <v>596618.856902867</v>
      </c>
      <c r="X16" s="85" t="n">
        <f aca="true">IF(X$5=0,W16,MAX(0,(W16-X$4)*(1+NORMINV(RAND(),INPUTS!$B$28,INPUTS!$B$29))))</f>
        <v>526080.421846222</v>
      </c>
      <c r="Y16" s="85" t="n">
        <f aca="true">IF(Y$5=0,X16,MAX(0,(X16-Y$4)*(1+NORMINV(RAND(),INPUTS!$B$28,INPUTS!$B$29))))</f>
        <v>403789.522211237</v>
      </c>
      <c r="Z16" s="85" t="n">
        <f aca="true">IF(Z$5=0,Y16,MAX(0,(Y16-Z$4)*(1+NORMINV(RAND(),INPUTS!$B$28,INPUTS!$B$29))))</f>
        <v>331344.040708023</v>
      </c>
      <c r="AA16" s="85" t="n">
        <f aca="true">IF(AA$5=0,Z16,MAX(0,(Z16-AA$4)*(1+NORMINV(RAND(),INPUTS!$B$28,INPUTS!$B$29))))</f>
        <v>243330.709249639</v>
      </c>
      <c r="AB16" s="85" t="n">
        <f aca="true">IF(AB$5=0,AA16,MAX(0,(AA16-AB$4)*(1+NORMINV(RAND(),INPUTS!$B$28,INPUTS!$B$29))))</f>
        <v>207565.740064504</v>
      </c>
      <c r="AC16" s="85" t="n">
        <f aca="true">IF(AC$5=0,AB16,MAX(0,(AB16-AC$4)*(1+NORMINV(RAND(),INPUTS!$B$28,INPUTS!$B$29))))</f>
        <v>157103.953687118</v>
      </c>
      <c r="AD16" s="85" t="n">
        <f aca="true">IF(AD$5=0,AC16,MAX(0,(AC16-AD$4)*(1+NORMINV(RAND(),INPUTS!$B$28,INPUTS!$B$29))))</f>
        <v>112665.380014596</v>
      </c>
      <c r="AE16" s="85" t="n">
        <f aca="true">IF(AE$5=0,AD16,MAX(0,(AD16-AE$4)*(1+NORMINV(RAND(),INPUTS!$B$28,INPUTS!$B$29))))</f>
        <v>35736.5989948243</v>
      </c>
      <c r="AF16" s="85" t="n">
        <f aca="true">IF(AF$5=0,AE16,MAX(0,(AE16-AF$4)*(1+NORMINV(RAND(),INPUTS!$B$28,INPUTS!$B$29))))</f>
        <v>0</v>
      </c>
      <c r="AG16" s="85" t="n">
        <f aca="true">IF(AG$5=0,AF16,MAX(0,(AF16-AG$4)*(1+NORMINV(RAND(),INPUTS!$B$28,INPUTS!$B$29))))</f>
        <v>0</v>
      </c>
      <c r="AH16" s="85" t="n">
        <f aca="true">IF(AH$5=0,AG16,MAX(0,(AG16-AH$4)*(1+NORMINV(RAND(),INPUTS!$B$28,INPUTS!$B$29))))</f>
        <v>0</v>
      </c>
      <c r="AI16" s="85" t="n">
        <f aca="true">IF(AI$5=0,AH16,MAX(0,(AH16-AI$4)*(1+NORMINV(RAND(),INPUTS!$B$28,INPUTS!$B$29))))</f>
        <v>0</v>
      </c>
      <c r="AJ16" s="85" t="n">
        <f aca="true">IF(AJ$5=0,AI16,MAX(0,(AI16-AJ$4)*(1+NORMINV(RAND(),INPUTS!$B$28,INPUTS!$B$29))))</f>
        <v>0</v>
      </c>
      <c r="AK16" s="85" t="n">
        <f aca="true">IF(AK$5=0,AJ16,MAX(0,(AJ16-AK$4)*(1+NORMINV(RAND(),INPUTS!$B$28,INPUTS!$B$29))))</f>
        <v>0</v>
      </c>
      <c r="AL16" s="85" t="n">
        <f aca="true">IF(AL$5=0,AK16,MAX(0,(AK16-AL$4)*(1+NORMINV(RAND(),INPUTS!$B$28,INPUTS!$B$29))))</f>
        <v>0</v>
      </c>
      <c r="AM16" s="85" t="n">
        <f aca="true">IF(AM$5=0,AL16,MAX(0,(AL16-AM$4)*(1+NORMINV(RAND(),INPUTS!$B$28,INPUTS!$B$29))))</f>
        <v>0</v>
      </c>
      <c r="AN16" s="85" t="n">
        <f aca="true">IF(AN$5=0,AM16,MAX(0,(AM16-AN$4)*(1+NORMINV(RAND(),INPUTS!$B$28,INPUTS!$B$29))))</f>
        <v>0</v>
      </c>
      <c r="AO16" s="85" t="n">
        <f aca="true">IF(AO$5=0,AN16,MAX(0,(AN16-AO$4)*(1+NORMINV(RAND(),INPUTS!$B$28,INPUTS!$B$29))))</f>
        <v>0</v>
      </c>
      <c r="AP16" s="85" t="n">
        <f aca="true">IF(AP$5=0,AO16,MAX(0,(AO16-AP$4)*(1+NORMINV(RAND(),INPUTS!$B$28,INPUTS!$B$29))))</f>
        <v>0</v>
      </c>
    </row>
    <row r="17" customFormat="false" ht="15" hidden="false" customHeight="true" outlineLevel="0" collapsed="false">
      <c r="A17" s="83" t="n">
        <v>10</v>
      </c>
      <c r="B17" s="84" t="n">
        <f aca="false">LOOKUP(9.99E+307,C17:AP17)</f>
        <v>0</v>
      </c>
      <c r="C17" s="85" t="n">
        <f aca="true">IF(C$5=0,INPUTS!$B$19,MAX(0,(INPUTS!$B$19-C$4)*(1+NORMINV(RAND(),INPUTS!$B$28,INPUTS!$B$29))))</f>
        <v>1198774.11808061</v>
      </c>
      <c r="D17" s="85" t="n">
        <f aca="true">IF(D$5=0,C17,MAX(0,(C17-D$4)*(1+NORMINV(RAND(),INPUTS!$B$28,INPUTS!$B$29))))</f>
        <v>1238412.91567631</v>
      </c>
      <c r="E17" s="85" t="n">
        <f aca="true">IF(E$5=0,D17,MAX(0,(D17-E$4)*(1+NORMINV(RAND(),INPUTS!$B$28,INPUTS!$B$29))))</f>
        <v>969736.896018579</v>
      </c>
      <c r="F17" s="85" t="n">
        <f aca="true">IF(F$5=0,E17,MAX(0,(E17-F$4)*(1+NORMINV(RAND(),INPUTS!$B$28,INPUTS!$B$29))))</f>
        <v>1142500.36769502</v>
      </c>
      <c r="G17" s="85" t="n">
        <f aca="true">IF(G$5=0,F17,MAX(0,(F17-G$4)*(1+NORMINV(RAND(),INPUTS!$B$28,INPUTS!$B$29))))</f>
        <v>1149668.93980408</v>
      </c>
      <c r="H17" s="85" t="n">
        <f aca="true">IF(H$5=0,G17,MAX(0,(G17-H$4)*(1+NORMINV(RAND(),INPUTS!$B$28,INPUTS!$B$29))))</f>
        <v>924246.152450246</v>
      </c>
      <c r="I17" s="85" t="n">
        <f aca="true">IF(I$5=0,H17,MAX(0,(H17-I$4)*(1+NORMINV(RAND(),INPUTS!$B$28,INPUTS!$B$29))))</f>
        <v>796325.124202885</v>
      </c>
      <c r="J17" s="85" t="n">
        <f aca="true">IF(J$5=0,I17,MAX(0,(I17-J$4)*(1+NORMINV(RAND(),INPUTS!$B$28,INPUTS!$B$29))))</f>
        <v>795881.817414771</v>
      </c>
      <c r="K17" s="85" t="n">
        <f aca="true">IF(K$5=0,J17,MAX(0,(J17-K$4)*(1+NORMINV(RAND(),INPUTS!$B$28,INPUTS!$B$29))))</f>
        <v>757586.984622647</v>
      </c>
      <c r="L17" s="85" t="n">
        <f aca="true">IF(L$5=0,K17,MAX(0,(K17-L$4)*(1+NORMINV(RAND(),INPUTS!$B$28,INPUTS!$B$29))))</f>
        <v>678493.786356962</v>
      </c>
      <c r="M17" s="85" t="n">
        <f aca="true">IF(M$5=0,L17,MAX(0,(L17-M$4)*(1+NORMINV(RAND(),INPUTS!$B$28,INPUTS!$B$29))))</f>
        <v>673691.099061069</v>
      </c>
      <c r="N17" s="85" t="n">
        <f aca="true">IF(N$5=0,M17,MAX(0,(M17-N$4)*(1+NORMINV(RAND(),INPUTS!$B$28,INPUTS!$B$29))))</f>
        <v>610849.863675003</v>
      </c>
      <c r="O17" s="85" t="n">
        <f aca="true">IF(O$5=0,N17,MAX(0,(N17-O$4)*(1+NORMINV(RAND(),INPUTS!$B$28,INPUTS!$B$29))))</f>
        <v>607004.527107248</v>
      </c>
      <c r="P17" s="85" t="n">
        <f aca="true">IF(P$5=0,O17,MAX(0,(O17-P$4)*(1+NORMINV(RAND(),INPUTS!$B$28,INPUTS!$B$29))))</f>
        <v>566127.657000041</v>
      </c>
      <c r="Q17" s="85" t="n">
        <f aca="true">IF(Q$5=0,P17,MAX(0,(P17-Q$4)*(1+NORMINV(RAND(),INPUTS!$B$28,INPUTS!$B$29))))</f>
        <v>510309.607966944</v>
      </c>
      <c r="R17" s="85" t="n">
        <f aca="true">IF(R$5=0,Q17,MAX(0,(Q17-R$4)*(1+NORMINV(RAND(),INPUTS!$B$28,INPUTS!$B$29))))</f>
        <v>512479.384329225</v>
      </c>
      <c r="S17" s="85" t="n">
        <f aca="true">IF(S$5=0,R17,MAX(0,(R17-S$4)*(1+NORMINV(RAND(),INPUTS!$B$28,INPUTS!$B$29))))</f>
        <v>537814.317917521</v>
      </c>
      <c r="T17" s="85" t="n">
        <f aca="true">IF(T$5=0,S17,MAX(0,(S17-T$4)*(1+NORMINV(RAND(),INPUTS!$B$28,INPUTS!$B$29))))</f>
        <v>585840.16352968</v>
      </c>
      <c r="U17" s="85" t="n">
        <f aca="true">IF(U$5=0,T17,MAX(0,(T17-U$4)*(1+NORMINV(RAND(),INPUTS!$B$28,INPUTS!$B$29))))</f>
        <v>574255.574832482</v>
      </c>
      <c r="V17" s="85" t="n">
        <f aca="true">IF(V$5=0,U17,MAX(0,(U17-V$4)*(1+NORMINV(RAND(),INPUTS!$B$28,INPUTS!$B$29))))</f>
        <v>538615.713796251</v>
      </c>
      <c r="W17" s="85" t="n">
        <f aca="true">IF(W$5=0,V17,MAX(0,(V17-W$4)*(1+NORMINV(RAND(),INPUTS!$B$28,INPUTS!$B$29))))</f>
        <v>557479.733732707</v>
      </c>
      <c r="X17" s="85" t="n">
        <f aca="true">IF(X$5=0,W17,MAX(0,(W17-X$4)*(1+NORMINV(RAND(),INPUTS!$B$28,INPUTS!$B$29))))</f>
        <v>598567.557671631</v>
      </c>
      <c r="Y17" s="85" t="n">
        <f aca="true">IF(Y$5=0,X17,MAX(0,(X17-Y$4)*(1+NORMINV(RAND(),INPUTS!$B$28,INPUTS!$B$29))))</f>
        <v>595055.027186594</v>
      </c>
      <c r="Z17" s="85" t="n">
        <f aca="true">IF(Z$5=0,Y17,MAX(0,(Y17-Z$4)*(1+NORMINV(RAND(),INPUTS!$B$28,INPUTS!$B$29))))</f>
        <v>667294.019373956</v>
      </c>
      <c r="AA17" s="85" t="n">
        <f aca="true">IF(AA$5=0,Z17,MAX(0,(Z17-AA$4)*(1+NORMINV(RAND(),INPUTS!$B$28,INPUTS!$B$29))))</f>
        <v>527083.548310192</v>
      </c>
      <c r="AB17" s="85" t="n">
        <f aca="true">IF(AB$5=0,AA17,MAX(0,(AA17-AB$4)*(1+NORMINV(RAND(),INPUTS!$B$28,INPUTS!$B$29))))</f>
        <v>540751.168959168</v>
      </c>
      <c r="AC17" s="85" t="n">
        <f aca="true">IF(AC$5=0,AB17,MAX(0,(AB17-AC$4)*(1+NORMINV(RAND(),INPUTS!$B$28,INPUTS!$B$29))))</f>
        <v>511549.260311625</v>
      </c>
      <c r="AD17" s="85" t="n">
        <f aca="true">IF(AD$5=0,AC17,MAX(0,(AC17-AD$4)*(1+NORMINV(RAND(),INPUTS!$B$28,INPUTS!$B$29))))</f>
        <v>453309.745458336</v>
      </c>
      <c r="AE17" s="85" t="n">
        <f aca="true">IF(AE$5=0,AD17,MAX(0,(AD17-AE$4)*(1+NORMINV(RAND(),INPUTS!$B$28,INPUTS!$B$29))))</f>
        <v>385442.56919754</v>
      </c>
      <c r="AF17" s="85" t="n">
        <f aca="true">IF(AF$5=0,AE17,MAX(0,(AE17-AF$4)*(1+NORMINV(RAND(),INPUTS!$B$28,INPUTS!$B$29))))</f>
        <v>323288.107856988</v>
      </c>
      <c r="AG17" s="85" t="n">
        <f aca="true">IF(AG$5=0,AF17,MAX(0,(AF17-AG$4)*(1+NORMINV(RAND(),INPUTS!$B$28,INPUTS!$B$29))))</f>
        <v>265989.621560431</v>
      </c>
      <c r="AH17" s="85" t="n">
        <f aca="true">IF(AH$5=0,AG17,MAX(0,(AG17-AH$4)*(1+NORMINV(RAND(),INPUTS!$B$28,INPUTS!$B$29))))</f>
        <v>202434.919027567</v>
      </c>
      <c r="AI17" s="85" t="n">
        <f aca="true">IF(AI$5=0,AH17,MAX(0,(AH17-AI$4)*(1+NORMINV(RAND(),INPUTS!$B$28,INPUTS!$B$29))))</f>
        <v>146486.243579767</v>
      </c>
      <c r="AJ17" s="85" t="n">
        <f aca="true">IF(AJ$5=0,AI17,MAX(0,(AI17-AJ$4)*(1+NORMINV(RAND(),INPUTS!$B$28,INPUTS!$B$29))))</f>
        <v>78090.9499887335</v>
      </c>
      <c r="AK17" s="85" t="n">
        <f aca="true">IF(AK$5=0,AJ17,MAX(0,(AJ17-AK$4)*(1+NORMINV(RAND(),INPUTS!$B$28,INPUTS!$B$29))))</f>
        <v>869.522508547192</v>
      </c>
      <c r="AL17" s="85" t="n">
        <f aca="true">IF(AL$5=0,AK17,MAX(0,(AK17-AL$4)*(1+NORMINV(RAND(),INPUTS!$B$28,INPUTS!$B$29))))</f>
        <v>0</v>
      </c>
      <c r="AM17" s="85" t="n">
        <f aca="true">IF(AM$5=0,AL17,MAX(0,(AL17-AM$4)*(1+NORMINV(RAND(),INPUTS!$B$28,INPUTS!$B$29))))</f>
        <v>0</v>
      </c>
      <c r="AN17" s="85" t="n">
        <f aca="true">IF(AN$5=0,AM17,MAX(0,(AM17-AN$4)*(1+NORMINV(RAND(),INPUTS!$B$28,INPUTS!$B$29))))</f>
        <v>0</v>
      </c>
      <c r="AO17" s="85" t="n">
        <f aca="true">IF(AO$5=0,AN17,MAX(0,(AN17-AO$4)*(1+NORMINV(RAND(),INPUTS!$B$28,INPUTS!$B$29))))</f>
        <v>0</v>
      </c>
      <c r="AP17" s="85" t="n">
        <f aca="true">IF(AP$5=0,AO17,MAX(0,(AO17-AP$4)*(1+NORMINV(RAND(),INPUTS!$B$28,INPUTS!$B$29))))</f>
        <v>0</v>
      </c>
    </row>
    <row r="18" customFormat="false" ht="15" hidden="false" customHeight="true" outlineLevel="0" collapsed="false">
      <c r="A18" s="83" t="n">
        <v>11</v>
      </c>
      <c r="B18" s="84" t="n">
        <f aca="false">LOOKUP(9.99E+307,C18:AP18)</f>
        <v>25286.5727851665</v>
      </c>
      <c r="C18" s="85" t="n">
        <f aca="true">IF(C$5=0,INPUTS!$B$19,MAX(0,(INPUTS!$B$19-C$4)*(1+NORMINV(RAND(),INPUTS!$B$28,INPUTS!$B$29))))</f>
        <v>916833.318082692</v>
      </c>
      <c r="D18" s="85" t="n">
        <f aca="true">IF(D$5=0,C18,MAX(0,(C18-D$4)*(1+NORMINV(RAND(),INPUTS!$B$28,INPUTS!$B$29))))</f>
        <v>1021549.05234224</v>
      </c>
      <c r="E18" s="85" t="n">
        <f aca="true">IF(E$5=0,D18,MAX(0,(D18-E$4)*(1+NORMINV(RAND(),INPUTS!$B$28,INPUTS!$B$29))))</f>
        <v>1001100.86670474</v>
      </c>
      <c r="F18" s="85" t="n">
        <f aca="true">IF(F$5=0,E18,MAX(0,(E18-F$4)*(1+NORMINV(RAND(),INPUTS!$B$28,INPUTS!$B$29))))</f>
        <v>1003270.42206331</v>
      </c>
      <c r="G18" s="85" t="n">
        <f aca="true">IF(G$5=0,F18,MAX(0,(F18-G$4)*(1+NORMINV(RAND(),INPUTS!$B$28,INPUTS!$B$29))))</f>
        <v>1130245.85657081</v>
      </c>
      <c r="H18" s="85" t="n">
        <f aca="true">IF(H$5=0,G18,MAX(0,(G18-H$4)*(1+NORMINV(RAND(),INPUTS!$B$28,INPUTS!$B$29))))</f>
        <v>1053383.79738537</v>
      </c>
      <c r="I18" s="85" t="n">
        <f aca="true">IF(I$5=0,H18,MAX(0,(H18-I$4)*(1+NORMINV(RAND(),INPUTS!$B$28,INPUTS!$B$29))))</f>
        <v>864496.967645148</v>
      </c>
      <c r="J18" s="85" t="n">
        <f aca="true">IF(J$5=0,I18,MAX(0,(I18-J$4)*(1+NORMINV(RAND(),INPUTS!$B$28,INPUTS!$B$29))))</f>
        <v>809343.769148093</v>
      </c>
      <c r="K18" s="85" t="n">
        <f aca="true">IF(K$5=0,J18,MAX(0,(J18-K$4)*(1+NORMINV(RAND(),INPUTS!$B$28,INPUTS!$B$29))))</f>
        <v>771405.844566014</v>
      </c>
      <c r="L18" s="85" t="n">
        <f aca="true">IF(L$5=0,K18,MAX(0,(K18-L$4)*(1+NORMINV(RAND(),INPUTS!$B$28,INPUTS!$B$29))))</f>
        <v>735557.180458376</v>
      </c>
      <c r="M18" s="85" t="n">
        <f aca="true">IF(M$5=0,L18,MAX(0,(L18-M$4)*(1+NORMINV(RAND(),INPUTS!$B$28,INPUTS!$B$29))))</f>
        <v>675429.419328529</v>
      </c>
      <c r="N18" s="85" t="n">
        <f aca="true">IF(N$5=0,M18,MAX(0,(M18-N$4)*(1+NORMINV(RAND(),INPUTS!$B$28,INPUTS!$B$29))))</f>
        <v>631493.221083075</v>
      </c>
      <c r="O18" s="85" t="n">
        <f aca="true">IF(O$5=0,N18,MAX(0,(N18-O$4)*(1+NORMINV(RAND(),INPUTS!$B$28,INPUTS!$B$29))))</f>
        <v>702349.278301626</v>
      </c>
      <c r="P18" s="85" t="n">
        <f aca="true">IF(P$5=0,O18,MAX(0,(O18-P$4)*(1+NORMINV(RAND(),INPUTS!$B$28,INPUTS!$B$29))))</f>
        <v>652633.585168357</v>
      </c>
      <c r="Q18" s="85" t="n">
        <f aca="true">IF(Q$5=0,P18,MAX(0,(P18-Q$4)*(1+NORMINV(RAND(),INPUTS!$B$28,INPUTS!$B$29))))</f>
        <v>737411.916223581</v>
      </c>
      <c r="R18" s="85" t="n">
        <f aca="true">IF(R$5=0,Q18,MAX(0,(Q18-R$4)*(1+NORMINV(RAND(),INPUTS!$B$28,INPUTS!$B$29))))</f>
        <v>712694.568942186</v>
      </c>
      <c r="S18" s="85" t="n">
        <f aca="true">IF(S$5=0,R18,MAX(0,(R18-S$4)*(1+NORMINV(RAND(),INPUTS!$B$28,INPUTS!$B$29))))</f>
        <v>799886.282356157</v>
      </c>
      <c r="T18" s="85" t="n">
        <f aca="true">IF(T$5=0,S18,MAX(0,(S18-T$4)*(1+NORMINV(RAND(),INPUTS!$B$28,INPUTS!$B$29))))</f>
        <v>717784.336689473</v>
      </c>
      <c r="U18" s="85" t="n">
        <f aca="true">IF(U$5=0,T18,MAX(0,(T18-U$4)*(1+NORMINV(RAND(),INPUTS!$B$28,INPUTS!$B$29))))</f>
        <v>817658.879853151</v>
      </c>
      <c r="V18" s="85" t="n">
        <f aca="true">IF(V$5=0,U18,MAX(0,(U18-V$4)*(1+NORMINV(RAND(),INPUTS!$B$28,INPUTS!$B$29))))</f>
        <v>815608.445093965</v>
      </c>
      <c r="W18" s="85" t="n">
        <f aca="true">IF(W$5=0,V18,MAX(0,(V18-W$4)*(1+NORMINV(RAND(),INPUTS!$B$28,INPUTS!$B$29))))</f>
        <v>633322.848991023</v>
      </c>
      <c r="X18" s="85" t="n">
        <f aca="true">IF(X$5=0,W18,MAX(0,(W18-X$4)*(1+NORMINV(RAND(),INPUTS!$B$28,INPUTS!$B$29))))</f>
        <v>526937.395674094</v>
      </c>
      <c r="Y18" s="85" t="n">
        <f aca="true">IF(Y$5=0,X18,MAX(0,(X18-Y$4)*(1+NORMINV(RAND(),INPUTS!$B$28,INPUTS!$B$29))))</f>
        <v>552827.079692316</v>
      </c>
      <c r="Z18" s="85" t="n">
        <f aca="true">IF(Z$5=0,Y18,MAX(0,(Y18-Z$4)*(1+NORMINV(RAND(),INPUTS!$B$28,INPUTS!$B$29))))</f>
        <v>634626.692963596</v>
      </c>
      <c r="AA18" s="85" t="n">
        <f aca="true">IF(AA$5=0,Z18,MAX(0,(Z18-AA$4)*(1+NORMINV(RAND(),INPUTS!$B$28,INPUTS!$B$29))))</f>
        <v>614305.297754556</v>
      </c>
      <c r="AB18" s="85" t="n">
        <f aca="true">IF(AB$5=0,AA18,MAX(0,(AA18-AB$4)*(1+NORMINV(RAND(),INPUTS!$B$28,INPUTS!$B$29))))</f>
        <v>656451.690590818</v>
      </c>
      <c r="AC18" s="85" t="n">
        <f aca="true">IF(AC$5=0,AB18,MAX(0,(AB18-AC$4)*(1+NORMINV(RAND(),INPUTS!$B$28,INPUTS!$B$29))))</f>
        <v>710129.553652377</v>
      </c>
      <c r="AD18" s="85" t="n">
        <f aca="true">IF(AD$5=0,AC18,MAX(0,(AC18-AD$4)*(1+NORMINV(RAND(),INPUTS!$B$28,INPUTS!$B$29))))</f>
        <v>547283.754112704</v>
      </c>
      <c r="AE18" s="85" t="n">
        <f aca="true">IF(AE$5=0,AD18,MAX(0,(AD18-AE$4)*(1+NORMINV(RAND(),INPUTS!$B$28,INPUTS!$B$29))))</f>
        <v>393509.08412882</v>
      </c>
      <c r="AF18" s="85" t="n">
        <f aca="true">IF(AF$5=0,AE18,MAX(0,(AE18-AF$4)*(1+NORMINV(RAND(),INPUTS!$B$28,INPUTS!$B$29))))</f>
        <v>431317.889206504</v>
      </c>
      <c r="AG18" s="85" t="n">
        <f aca="true">IF(AG$5=0,AF18,MAX(0,(AF18-AG$4)*(1+NORMINV(RAND(),INPUTS!$B$28,INPUTS!$B$29))))</f>
        <v>365824.746017161</v>
      </c>
      <c r="AH18" s="85" t="n">
        <f aca="true">IF(AH$5=0,AG18,MAX(0,(AG18-AH$4)*(1+NORMINV(RAND(),INPUTS!$B$28,INPUTS!$B$29))))</f>
        <v>311464.671764943</v>
      </c>
      <c r="AI18" s="85" t="n">
        <f aca="true">IF(AI$5=0,AH18,MAX(0,(AH18-AI$4)*(1+NORMINV(RAND(),INPUTS!$B$28,INPUTS!$B$29))))</f>
        <v>229243.191099188</v>
      </c>
      <c r="AJ18" s="85" t="n">
        <f aca="true">IF(AJ$5=0,AI18,MAX(0,(AI18-AJ$4)*(1+NORMINV(RAND(),INPUTS!$B$28,INPUTS!$B$29))))</f>
        <v>181927.042690659</v>
      </c>
      <c r="AK18" s="85" t="n">
        <f aca="true">IF(AK$5=0,AJ18,MAX(0,(AJ18-AK$4)*(1+NORMINV(RAND(),INPUTS!$B$28,INPUTS!$B$29))))</f>
        <v>101600.637773033</v>
      </c>
      <c r="AL18" s="85" t="n">
        <f aca="true">IF(AL$5=0,AK18,MAX(0,(AK18-AL$4)*(1+NORMINV(RAND(),INPUTS!$B$28,INPUTS!$B$29))))</f>
        <v>25286.5727851665</v>
      </c>
      <c r="AM18" s="85" t="n">
        <f aca="true">IF(AM$5=0,AL18,MAX(0,(AL18-AM$4)*(1+NORMINV(RAND(),INPUTS!$B$28,INPUTS!$B$29))))</f>
        <v>25286.5727851665</v>
      </c>
      <c r="AN18" s="85" t="n">
        <f aca="true">IF(AN$5=0,AM18,MAX(0,(AM18-AN$4)*(1+NORMINV(RAND(),INPUTS!$B$28,INPUTS!$B$29))))</f>
        <v>25286.5727851665</v>
      </c>
      <c r="AO18" s="85" t="n">
        <f aca="true">IF(AO$5=0,AN18,MAX(0,(AN18-AO$4)*(1+NORMINV(RAND(),INPUTS!$B$28,INPUTS!$B$29))))</f>
        <v>25286.5727851665</v>
      </c>
      <c r="AP18" s="85" t="n">
        <f aca="true">IF(AP$5=0,AO18,MAX(0,(AO18-AP$4)*(1+NORMINV(RAND(),INPUTS!$B$28,INPUTS!$B$29))))</f>
        <v>25286.5727851665</v>
      </c>
    </row>
    <row r="19" customFormat="false" ht="15" hidden="false" customHeight="true" outlineLevel="0" collapsed="false">
      <c r="A19" s="83" t="n">
        <v>12</v>
      </c>
      <c r="B19" s="84" t="n">
        <f aca="false">LOOKUP(9.99E+307,C19:AP19)</f>
        <v>4161216.51488156</v>
      </c>
      <c r="C19" s="85" t="n">
        <f aca="true">IF(C$5=0,INPUTS!$B$19,MAX(0,(INPUTS!$B$19-C$4)*(1+NORMINV(RAND(),INPUTS!$B$28,INPUTS!$B$29))))</f>
        <v>1359033.8820929</v>
      </c>
      <c r="D19" s="85" t="n">
        <f aca="true">IF(D$5=0,C19,MAX(0,(C19-D$4)*(1+NORMINV(RAND(),INPUTS!$B$28,INPUTS!$B$29))))</f>
        <v>1466997.0121633</v>
      </c>
      <c r="E19" s="85" t="n">
        <f aca="true">IF(E$5=0,D19,MAX(0,(D19-E$4)*(1+NORMINV(RAND(),INPUTS!$B$28,INPUTS!$B$29))))</f>
        <v>1623226.35856184</v>
      </c>
      <c r="F19" s="85" t="n">
        <f aca="true">IF(F$5=0,E19,MAX(0,(E19-F$4)*(1+NORMINV(RAND(),INPUTS!$B$28,INPUTS!$B$29))))</f>
        <v>1698586.3055033</v>
      </c>
      <c r="G19" s="85" t="n">
        <f aca="true">IF(G$5=0,F19,MAX(0,(F19-G$4)*(1+NORMINV(RAND(),INPUTS!$B$28,INPUTS!$B$29))))</f>
        <v>1637081.35657045</v>
      </c>
      <c r="H19" s="85" t="n">
        <f aca="true">IF(H$5=0,G19,MAX(0,(G19-H$4)*(1+NORMINV(RAND(),INPUTS!$B$28,INPUTS!$B$29))))</f>
        <v>1680534.75412982</v>
      </c>
      <c r="I19" s="85" t="n">
        <f aca="true">IF(I$5=0,H19,MAX(0,(H19-I$4)*(1+NORMINV(RAND(),INPUTS!$B$28,INPUTS!$B$29))))</f>
        <v>1595968.88300517</v>
      </c>
      <c r="J19" s="85" t="n">
        <f aca="true">IF(J$5=0,I19,MAX(0,(I19-J$4)*(1+NORMINV(RAND(),INPUTS!$B$28,INPUTS!$B$29))))</f>
        <v>1578888.46948353</v>
      </c>
      <c r="K19" s="85" t="n">
        <f aca="true">IF(K$5=0,J19,MAX(0,(J19-K$4)*(1+NORMINV(RAND(),INPUTS!$B$28,INPUTS!$B$29))))</f>
        <v>1482066.89770078</v>
      </c>
      <c r="L19" s="85" t="n">
        <f aca="true">IF(L$5=0,K19,MAX(0,(K19-L$4)*(1+NORMINV(RAND(),INPUTS!$B$28,INPUTS!$B$29))))</f>
        <v>1506380.23693068</v>
      </c>
      <c r="M19" s="85" t="n">
        <f aca="true">IF(M$5=0,L19,MAX(0,(L19-M$4)*(1+NORMINV(RAND(),INPUTS!$B$28,INPUTS!$B$29))))</f>
        <v>1510250.30658868</v>
      </c>
      <c r="N19" s="85" t="n">
        <f aca="true">IF(N$5=0,M19,MAX(0,(M19-N$4)*(1+NORMINV(RAND(),INPUTS!$B$28,INPUTS!$B$29))))</f>
        <v>1404464.29751107</v>
      </c>
      <c r="O19" s="85" t="n">
        <f aca="true">IF(O$5=0,N19,MAX(0,(N19-O$4)*(1+NORMINV(RAND(),INPUTS!$B$28,INPUTS!$B$29))))</f>
        <v>1799819.66658758</v>
      </c>
      <c r="P19" s="85" t="n">
        <f aca="true">IF(P$5=0,O19,MAX(0,(O19-P$4)*(1+NORMINV(RAND(),INPUTS!$B$28,INPUTS!$B$29))))</f>
        <v>1661072.30674183</v>
      </c>
      <c r="Q19" s="85" t="n">
        <f aca="true">IF(Q$5=0,P19,MAX(0,(P19-Q$4)*(1+NORMINV(RAND(),INPUTS!$B$28,INPUTS!$B$29))))</f>
        <v>1706076.82061536</v>
      </c>
      <c r="R19" s="85" t="n">
        <f aca="true">IF(R$5=0,Q19,MAX(0,(Q19-R$4)*(1+NORMINV(RAND(),INPUTS!$B$28,INPUTS!$B$29))))</f>
        <v>1741897.00226542</v>
      </c>
      <c r="S19" s="85" t="n">
        <f aca="true">IF(S$5=0,R19,MAX(0,(R19-S$4)*(1+NORMINV(RAND(),INPUTS!$B$28,INPUTS!$B$29))))</f>
        <v>1688306.62548903</v>
      </c>
      <c r="T19" s="85" t="n">
        <f aca="true">IF(T$5=0,S19,MAX(0,(S19-T$4)*(1+NORMINV(RAND(),INPUTS!$B$28,INPUTS!$B$29))))</f>
        <v>1767997.89189313</v>
      </c>
      <c r="U19" s="85" t="n">
        <f aca="true">IF(U$5=0,T19,MAX(0,(T19-U$4)*(1+NORMINV(RAND(),INPUTS!$B$28,INPUTS!$B$29))))</f>
        <v>1652996.02399793</v>
      </c>
      <c r="V19" s="85" t="n">
        <f aca="true">IF(V$5=0,U19,MAX(0,(U19-V$4)*(1+NORMINV(RAND(),INPUTS!$B$28,INPUTS!$B$29))))</f>
        <v>1620717.81537747</v>
      </c>
      <c r="W19" s="85" t="n">
        <f aca="true">IF(W$5=0,V19,MAX(0,(V19-W$4)*(1+NORMINV(RAND(),INPUTS!$B$28,INPUTS!$B$29))))</f>
        <v>1712576.36705012</v>
      </c>
      <c r="X19" s="85" t="n">
        <f aca="true">IF(X$5=0,W19,MAX(0,(W19-X$4)*(1+NORMINV(RAND(),INPUTS!$B$28,INPUTS!$B$29))))</f>
        <v>1959469.87852488</v>
      </c>
      <c r="Y19" s="85" t="n">
        <f aca="true">IF(Y$5=0,X19,MAX(0,(X19-Y$4)*(1+NORMINV(RAND(),INPUTS!$B$28,INPUTS!$B$29))))</f>
        <v>2040991.64438984</v>
      </c>
      <c r="Z19" s="85" t="n">
        <f aca="true">IF(Z$5=0,Y19,MAX(0,(Y19-Z$4)*(1+NORMINV(RAND(),INPUTS!$B$28,INPUTS!$B$29))))</f>
        <v>2436379.62073086</v>
      </c>
      <c r="AA19" s="85" t="n">
        <f aca="true">IF(AA$5=0,Z19,MAX(0,(Z19-AA$4)*(1+NORMINV(RAND(),INPUTS!$B$28,INPUTS!$B$29))))</f>
        <v>2285485.7785038</v>
      </c>
      <c r="AB19" s="85" t="n">
        <f aca="true">IF(AB$5=0,AA19,MAX(0,(AA19-AB$4)*(1+NORMINV(RAND(),INPUTS!$B$28,INPUTS!$B$29))))</f>
        <v>2157330.88857362</v>
      </c>
      <c r="AC19" s="85" t="n">
        <f aca="true">IF(AC$5=0,AB19,MAX(0,(AB19-AC$4)*(1+NORMINV(RAND(),INPUTS!$B$28,INPUTS!$B$29))))</f>
        <v>2119825.32864754</v>
      </c>
      <c r="AD19" s="85" t="n">
        <f aca="true">IF(AD$5=0,AC19,MAX(0,(AC19-AD$4)*(1+NORMINV(RAND(),INPUTS!$B$28,INPUTS!$B$29))))</f>
        <v>2103877.77748155</v>
      </c>
      <c r="AE19" s="85" t="n">
        <f aca="true">IF(AE$5=0,AD19,MAX(0,(AD19-AE$4)*(1+NORMINV(RAND(),INPUTS!$B$28,INPUTS!$B$29))))</f>
        <v>2050270.86823372</v>
      </c>
      <c r="AF19" s="85" t="n">
        <f aca="true">IF(AF$5=0,AE19,MAX(0,(AE19-AF$4)*(1+NORMINV(RAND(),INPUTS!$B$28,INPUTS!$B$29))))</f>
        <v>2455096.85067508</v>
      </c>
      <c r="AG19" s="85" t="n">
        <f aca="true">IF(AG$5=0,AF19,MAX(0,(AF19-AG$4)*(1+NORMINV(RAND(),INPUTS!$B$28,INPUTS!$B$29))))</f>
        <v>3129763.45784413</v>
      </c>
      <c r="AH19" s="85" t="n">
        <f aca="true">IF(AH$5=0,AG19,MAX(0,(AG19-AH$4)*(1+NORMINV(RAND(),INPUTS!$B$28,INPUTS!$B$29))))</f>
        <v>3471137.49166415</v>
      </c>
      <c r="AI19" s="85" t="n">
        <f aca="true">IF(AI$5=0,AH19,MAX(0,(AH19-AI$4)*(1+NORMINV(RAND(),INPUTS!$B$28,INPUTS!$B$29))))</f>
        <v>4228563.47077274</v>
      </c>
      <c r="AJ19" s="85" t="n">
        <f aca="true">IF(AJ$5=0,AI19,MAX(0,(AI19-AJ$4)*(1+NORMINV(RAND(),INPUTS!$B$28,INPUTS!$B$29))))</f>
        <v>4172827.33243541</v>
      </c>
      <c r="AK19" s="85" t="n">
        <f aca="true">IF(AK$5=0,AJ19,MAX(0,(AJ19-AK$4)*(1+NORMINV(RAND(),INPUTS!$B$28,INPUTS!$B$29))))</f>
        <v>4174670.37060562</v>
      </c>
      <c r="AL19" s="85" t="n">
        <f aca="true">IF(AL$5=0,AK19,MAX(0,(AK19-AL$4)*(1+NORMINV(RAND(),INPUTS!$B$28,INPUTS!$B$29))))</f>
        <v>4161216.51488156</v>
      </c>
      <c r="AM19" s="85" t="n">
        <f aca="true">IF(AM$5=0,AL19,MAX(0,(AL19-AM$4)*(1+NORMINV(RAND(),INPUTS!$B$28,INPUTS!$B$29))))</f>
        <v>4161216.51488156</v>
      </c>
      <c r="AN19" s="85" t="n">
        <f aca="true">IF(AN$5=0,AM19,MAX(0,(AM19-AN$4)*(1+NORMINV(RAND(),INPUTS!$B$28,INPUTS!$B$29))))</f>
        <v>4161216.51488156</v>
      </c>
      <c r="AO19" s="85" t="n">
        <f aca="true">IF(AO$5=0,AN19,MAX(0,(AN19-AO$4)*(1+NORMINV(RAND(),INPUTS!$B$28,INPUTS!$B$29))))</f>
        <v>4161216.51488156</v>
      </c>
      <c r="AP19" s="85" t="n">
        <f aca="true">IF(AP$5=0,AO19,MAX(0,(AO19-AP$4)*(1+NORMINV(RAND(),INPUTS!$B$28,INPUTS!$B$29))))</f>
        <v>4161216.51488156</v>
      </c>
    </row>
    <row r="20" customFormat="false" ht="15" hidden="false" customHeight="true" outlineLevel="0" collapsed="false">
      <c r="A20" s="83" t="n">
        <v>13</v>
      </c>
      <c r="B20" s="84" t="n">
        <f aca="false">LOOKUP(9.99E+307,C20:AP20)</f>
        <v>0</v>
      </c>
      <c r="C20" s="85" t="n">
        <f aca="true">IF(C$5=0,INPUTS!$B$19,MAX(0,(INPUTS!$B$19-C$4)*(1+NORMINV(RAND(),INPUTS!$B$28,INPUTS!$B$29))))</f>
        <v>1186321.03481175</v>
      </c>
      <c r="D20" s="85" t="n">
        <f aca="true">IF(D$5=0,C20,MAX(0,(C20-D$4)*(1+NORMINV(RAND(),INPUTS!$B$28,INPUTS!$B$29))))</f>
        <v>886152.885870379</v>
      </c>
      <c r="E20" s="85" t="n">
        <f aca="true">IF(E$5=0,D20,MAX(0,(D20-E$4)*(1+NORMINV(RAND(),INPUTS!$B$28,INPUTS!$B$29))))</f>
        <v>809180.12618069</v>
      </c>
      <c r="F20" s="85" t="n">
        <f aca="true">IF(F$5=0,E20,MAX(0,(E20-F$4)*(1+NORMINV(RAND(),INPUTS!$B$28,INPUTS!$B$29))))</f>
        <v>607533.077375984</v>
      </c>
      <c r="G20" s="85" t="n">
        <f aca="true">IF(G$5=0,F20,MAX(0,(F20-G$4)*(1+NORMINV(RAND(),INPUTS!$B$28,INPUTS!$B$29))))</f>
        <v>475861.818571215</v>
      </c>
      <c r="H20" s="85" t="n">
        <f aca="true">IF(H$5=0,G20,MAX(0,(G20-H$4)*(1+NORMINV(RAND(),INPUTS!$B$28,INPUTS!$B$29))))</f>
        <v>450318.364501267</v>
      </c>
      <c r="I20" s="85" t="n">
        <f aca="true">IF(I$5=0,H20,MAX(0,(H20-I$4)*(1+NORMINV(RAND(),INPUTS!$B$28,INPUTS!$B$29))))</f>
        <v>399710.883191286</v>
      </c>
      <c r="J20" s="85" t="n">
        <f aca="true">IF(J$5=0,I20,MAX(0,(I20-J$4)*(1+NORMINV(RAND(),INPUTS!$B$28,INPUTS!$B$29))))</f>
        <v>360850.408478691</v>
      </c>
      <c r="K20" s="85" t="n">
        <f aca="true">IF(K$5=0,J20,MAX(0,(J20-K$4)*(1+NORMINV(RAND(),INPUTS!$B$28,INPUTS!$B$29))))</f>
        <v>312905.204589967</v>
      </c>
      <c r="L20" s="85" t="n">
        <f aca="true">IF(L$5=0,K20,MAX(0,(K20-L$4)*(1+NORMINV(RAND(),INPUTS!$B$28,INPUTS!$B$29))))</f>
        <v>293805.576080666</v>
      </c>
      <c r="M20" s="85" t="n">
        <f aca="true">IF(M$5=0,L20,MAX(0,(L20-M$4)*(1+NORMINV(RAND(),INPUTS!$B$28,INPUTS!$B$29))))</f>
        <v>252909.386670803</v>
      </c>
      <c r="N20" s="85" t="n">
        <f aca="true">IF(N$5=0,M20,MAX(0,(M20-N$4)*(1+NORMINV(RAND(),INPUTS!$B$28,INPUTS!$B$29))))</f>
        <v>177075.679566336</v>
      </c>
      <c r="O20" s="85" t="n">
        <f aca="true">IF(O$5=0,N20,MAX(0,(N20-O$4)*(1+NORMINV(RAND(),INPUTS!$B$28,INPUTS!$B$29))))</f>
        <v>132609.859661395</v>
      </c>
      <c r="P20" s="85" t="n">
        <f aca="true">IF(P$5=0,O20,MAX(0,(O20-P$4)*(1+NORMINV(RAND(),INPUTS!$B$28,INPUTS!$B$29))))</f>
        <v>86082.899374605</v>
      </c>
      <c r="Q20" s="85" t="n">
        <f aca="true">IF(Q$5=0,P20,MAX(0,(P20-Q$4)*(1+NORMINV(RAND(),INPUTS!$B$28,INPUTS!$B$29))))</f>
        <v>35366.4629382601</v>
      </c>
      <c r="R20" s="85" t="n">
        <f aca="true">IF(R$5=0,Q20,MAX(0,(Q20-R$4)*(1+NORMINV(RAND(),INPUTS!$B$28,INPUTS!$B$29))))</f>
        <v>0</v>
      </c>
      <c r="S20" s="85" t="n">
        <f aca="true">IF(S$5=0,R20,MAX(0,(R20-S$4)*(1+NORMINV(RAND(),INPUTS!$B$28,INPUTS!$B$29))))</f>
        <v>0</v>
      </c>
      <c r="T20" s="85" t="n">
        <f aca="true">IF(T$5=0,S20,MAX(0,(S20-T$4)*(1+NORMINV(RAND(),INPUTS!$B$28,INPUTS!$B$29))))</f>
        <v>0</v>
      </c>
      <c r="U20" s="85" t="n">
        <f aca="true">IF(U$5=0,T20,MAX(0,(T20-U$4)*(1+NORMINV(RAND(),INPUTS!$B$28,INPUTS!$B$29))))</f>
        <v>0</v>
      </c>
      <c r="V20" s="85" t="n">
        <f aca="true">IF(V$5=0,U20,MAX(0,(U20-V$4)*(1+NORMINV(RAND(),INPUTS!$B$28,INPUTS!$B$29))))</f>
        <v>0</v>
      </c>
      <c r="W20" s="85" t="n">
        <f aca="true">IF(W$5=0,V20,MAX(0,(V20-W$4)*(1+NORMINV(RAND(),INPUTS!$B$28,INPUTS!$B$29))))</f>
        <v>0</v>
      </c>
      <c r="X20" s="85" t="n">
        <f aca="true">IF(X$5=0,W20,MAX(0,(W20-X$4)*(1+NORMINV(RAND(),INPUTS!$B$28,INPUTS!$B$29))))</f>
        <v>0</v>
      </c>
      <c r="Y20" s="85" t="n">
        <f aca="true">IF(Y$5=0,X20,MAX(0,(X20-Y$4)*(1+NORMINV(RAND(),INPUTS!$B$28,INPUTS!$B$29))))</f>
        <v>0</v>
      </c>
      <c r="Z20" s="85" t="n">
        <f aca="true">IF(Z$5=0,Y20,MAX(0,(Y20-Z$4)*(1+NORMINV(RAND(),INPUTS!$B$28,INPUTS!$B$29))))</f>
        <v>0</v>
      </c>
      <c r="AA20" s="85" t="n">
        <f aca="true">IF(AA$5=0,Z20,MAX(0,(Z20-AA$4)*(1+NORMINV(RAND(),INPUTS!$B$28,INPUTS!$B$29))))</f>
        <v>0</v>
      </c>
      <c r="AB20" s="85" t="n">
        <f aca="true">IF(AB$5=0,AA20,MAX(0,(AA20-AB$4)*(1+NORMINV(RAND(),INPUTS!$B$28,INPUTS!$B$29))))</f>
        <v>0</v>
      </c>
      <c r="AC20" s="85" t="n">
        <f aca="true">IF(AC$5=0,AB20,MAX(0,(AB20-AC$4)*(1+NORMINV(RAND(),INPUTS!$B$28,INPUTS!$B$29))))</f>
        <v>0</v>
      </c>
      <c r="AD20" s="85" t="n">
        <f aca="true">IF(AD$5=0,AC20,MAX(0,(AC20-AD$4)*(1+NORMINV(RAND(),INPUTS!$B$28,INPUTS!$B$29))))</f>
        <v>0</v>
      </c>
      <c r="AE20" s="85" t="n">
        <f aca="true">IF(AE$5=0,AD20,MAX(0,(AD20-AE$4)*(1+NORMINV(RAND(),INPUTS!$B$28,INPUTS!$B$29))))</f>
        <v>0</v>
      </c>
      <c r="AF20" s="85" t="n">
        <f aca="true">IF(AF$5=0,AE20,MAX(0,(AE20-AF$4)*(1+NORMINV(RAND(),INPUTS!$B$28,INPUTS!$B$29))))</f>
        <v>0</v>
      </c>
      <c r="AG20" s="85" t="n">
        <f aca="true">IF(AG$5=0,AF20,MAX(0,(AF20-AG$4)*(1+NORMINV(RAND(),INPUTS!$B$28,INPUTS!$B$29))))</f>
        <v>0</v>
      </c>
      <c r="AH20" s="85" t="n">
        <f aca="true">IF(AH$5=0,AG20,MAX(0,(AG20-AH$4)*(1+NORMINV(RAND(),INPUTS!$B$28,INPUTS!$B$29))))</f>
        <v>0</v>
      </c>
      <c r="AI20" s="85" t="n">
        <f aca="true">IF(AI$5=0,AH20,MAX(0,(AH20-AI$4)*(1+NORMINV(RAND(),INPUTS!$B$28,INPUTS!$B$29))))</f>
        <v>0</v>
      </c>
      <c r="AJ20" s="85" t="n">
        <f aca="true">IF(AJ$5=0,AI20,MAX(0,(AI20-AJ$4)*(1+NORMINV(RAND(),INPUTS!$B$28,INPUTS!$B$29))))</f>
        <v>0</v>
      </c>
      <c r="AK20" s="85" t="n">
        <f aca="true">IF(AK$5=0,AJ20,MAX(0,(AJ20-AK$4)*(1+NORMINV(RAND(),INPUTS!$B$28,INPUTS!$B$29))))</f>
        <v>0</v>
      </c>
      <c r="AL20" s="85" t="n">
        <f aca="true">IF(AL$5=0,AK20,MAX(0,(AK20-AL$4)*(1+NORMINV(RAND(),INPUTS!$B$28,INPUTS!$B$29))))</f>
        <v>0</v>
      </c>
      <c r="AM20" s="85" t="n">
        <f aca="true">IF(AM$5=0,AL20,MAX(0,(AL20-AM$4)*(1+NORMINV(RAND(),INPUTS!$B$28,INPUTS!$B$29))))</f>
        <v>0</v>
      </c>
      <c r="AN20" s="85" t="n">
        <f aca="true">IF(AN$5=0,AM20,MAX(0,(AM20-AN$4)*(1+NORMINV(RAND(),INPUTS!$B$28,INPUTS!$B$29))))</f>
        <v>0</v>
      </c>
      <c r="AO20" s="85" t="n">
        <f aca="true">IF(AO$5=0,AN20,MAX(0,(AN20-AO$4)*(1+NORMINV(RAND(),INPUTS!$B$28,INPUTS!$B$29))))</f>
        <v>0</v>
      </c>
      <c r="AP20" s="85" t="n">
        <f aca="true">IF(AP$5=0,AO20,MAX(0,(AO20-AP$4)*(1+NORMINV(RAND(),INPUTS!$B$28,INPUTS!$B$29))))</f>
        <v>0</v>
      </c>
    </row>
    <row r="21" customFormat="false" ht="15" hidden="false" customHeight="true" outlineLevel="0" collapsed="false">
      <c r="A21" s="83" t="n">
        <v>14</v>
      </c>
      <c r="B21" s="84" t="n">
        <f aca="false">LOOKUP(9.99E+307,C21:AP21)</f>
        <v>2666983.26755935</v>
      </c>
      <c r="C21" s="85" t="n">
        <f aca="true">IF(C$5=0,INPUTS!$B$19,MAX(0,(INPUTS!$B$19-C$4)*(1+NORMINV(RAND(),INPUTS!$B$28,INPUTS!$B$29))))</f>
        <v>1163746.4798531</v>
      </c>
      <c r="D21" s="85" t="n">
        <f aca="true">IF(D$5=0,C21,MAX(0,(C21-D$4)*(1+NORMINV(RAND(),INPUTS!$B$28,INPUTS!$B$29))))</f>
        <v>1379030.28073366</v>
      </c>
      <c r="E21" s="85" t="n">
        <f aca="true">IF(E$5=0,D21,MAX(0,(D21-E$4)*(1+NORMINV(RAND(),INPUTS!$B$28,INPUTS!$B$29))))</f>
        <v>1363400.41083594</v>
      </c>
      <c r="F21" s="85" t="n">
        <f aca="true">IF(F$5=0,E21,MAX(0,(E21-F$4)*(1+NORMINV(RAND(),INPUTS!$B$28,INPUTS!$B$29))))</f>
        <v>1408821.64593529</v>
      </c>
      <c r="G21" s="85" t="n">
        <f aca="true">IF(G$5=0,F21,MAX(0,(F21-G$4)*(1+NORMINV(RAND(),INPUTS!$B$28,INPUTS!$B$29))))</f>
        <v>1413463.86028724</v>
      </c>
      <c r="H21" s="85" t="n">
        <f aca="true">IF(H$5=0,G21,MAX(0,(G21-H$4)*(1+NORMINV(RAND(),INPUTS!$B$28,INPUTS!$B$29))))</f>
        <v>1158973.73074064</v>
      </c>
      <c r="I21" s="85" t="n">
        <f aca="true">IF(I$5=0,H21,MAX(0,(H21-I$4)*(1+NORMINV(RAND(),INPUTS!$B$28,INPUTS!$B$29))))</f>
        <v>1331985.93597939</v>
      </c>
      <c r="J21" s="85" t="n">
        <f aca="true">IF(J$5=0,I21,MAX(0,(I21-J$4)*(1+NORMINV(RAND(),INPUTS!$B$28,INPUTS!$B$29))))</f>
        <v>1370546.9119197</v>
      </c>
      <c r="K21" s="85" t="n">
        <f aca="true">IF(K$5=0,J21,MAX(0,(J21-K$4)*(1+NORMINV(RAND(),INPUTS!$B$28,INPUTS!$B$29))))</f>
        <v>1328411.36338634</v>
      </c>
      <c r="L21" s="85" t="n">
        <f aca="true">IF(L$5=0,K21,MAX(0,(K21-L$4)*(1+NORMINV(RAND(),INPUTS!$B$28,INPUTS!$B$29))))</f>
        <v>1157225.95025293</v>
      </c>
      <c r="M21" s="85" t="n">
        <f aca="true">IF(M$5=0,L21,MAX(0,(L21-M$4)*(1+NORMINV(RAND(),INPUTS!$B$28,INPUTS!$B$29))))</f>
        <v>1153428.69572511</v>
      </c>
      <c r="N21" s="85" t="n">
        <f aca="true">IF(N$5=0,M21,MAX(0,(M21-N$4)*(1+NORMINV(RAND(),INPUTS!$B$28,INPUTS!$B$29))))</f>
        <v>1127114.29620708</v>
      </c>
      <c r="O21" s="85" t="n">
        <f aca="true">IF(O$5=0,N21,MAX(0,(N21-O$4)*(1+NORMINV(RAND(),INPUTS!$B$28,INPUTS!$B$29))))</f>
        <v>1133898.52051349</v>
      </c>
      <c r="P21" s="85" t="n">
        <f aca="true">IF(P$5=0,O21,MAX(0,(O21-P$4)*(1+NORMINV(RAND(),INPUTS!$B$28,INPUTS!$B$29))))</f>
        <v>1096923.95183826</v>
      </c>
      <c r="Q21" s="85" t="n">
        <f aca="true">IF(Q$5=0,P21,MAX(0,(P21-Q$4)*(1+NORMINV(RAND(),INPUTS!$B$28,INPUTS!$B$29))))</f>
        <v>1142710.35423627</v>
      </c>
      <c r="R21" s="85" t="n">
        <f aca="true">IF(R$5=0,Q21,MAX(0,(Q21-R$4)*(1+NORMINV(RAND(),INPUTS!$B$28,INPUTS!$B$29))))</f>
        <v>1055980.06343248</v>
      </c>
      <c r="S21" s="85" t="n">
        <f aca="true">IF(S$5=0,R21,MAX(0,(R21-S$4)*(1+NORMINV(RAND(),INPUTS!$B$28,INPUTS!$B$29))))</f>
        <v>1125036.81517665</v>
      </c>
      <c r="T21" s="85" t="n">
        <f aca="true">IF(T$5=0,S21,MAX(0,(S21-T$4)*(1+NORMINV(RAND(),INPUTS!$B$28,INPUTS!$B$29))))</f>
        <v>1140793.64362047</v>
      </c>
      <c r="U21" s="85" t="n">
        <f aca="true">IF(U$5=0,T21,MAX(0,(T21-U$4)*(1+NORMINV(RAND(),INPUTS!$B$28,INPUTS!$B$29))))</f>
        <v>1247527.47103995</v>
      </c>
      <c r="V21" s="85" t="n">
        <f aca="true">IF(V$5=0,U21,MAX(0,(U21-V$4)*(1+NORMINV(RAND(),INPUTS!$B$28,INPUTS!$B$29))))</f>
        <v>1474087.23626645</v>
      </c>
      <c r="W21" s="85" t="n">
        <f aca="true">IF(W$5=0,V21,MAX(0,(V21-W$4)*(1+NORMINV(RAND(),INPUTS!$B$28,INPUTS!$B$29))))</f>
        <v>1809866.90095161</v>
      </c>
      <c r="X21" s="85" t="n">
        <f aca="true">IF(X$5=0,W21,MAX(0,(W21-X$4)*(1+NORMINV(RAND(),INPUTS!$B$28,INPUTS!$B$29))))</f>
        <v>1954144.64631581</v>
      </c>
      <c r="Y21" s="85" t="n">
        <f aca="true">IF(Y$5=0,X21,MAX(0,(X21-Y$4)*(1+NORMINV(RAND(),INPUTS!$B$28,INPUTS!$B$29))))</f>
        <v>2143261.19615383</v>
      </c>
      <c r="Z21" s="85" t="n">
        <f aca="true">IF(Z$5=0,Y21,MAX(0,(Y21-Z$4)*(1+NORMINV(RAND(),INPUTS!$B$28,INPUTS!$B$29))))</f>
        <v>2226486.2094598</v>
      </c>
      <c r="AA21" s="85" t="n">
        <f aca="true">IF(AA$5=0,Z21,MAX(0,(Z21-AA$4)*(1+NORMINV(RAND(),INPUTS!$B$28,INPUTS!$B$29))))</f>
        <v>2097480.88016166</v>
      </c>
      <c r="AB21" s="85" t="n">
        <f aca="true">IF(AB$5=0,AA21,MAX(0,(AA21-AB$4)*(1+NORMINV(RAND(),INPUTS!$B$28,INPUTS!$B$29))))</f>
        <v>1907918.9105138</v>
      </c>
      <c r="AC21" s="85" t="n">
        <f aca="true">IF(AC$5=0,AB21,MAX(0,(AB21-AC$4)*(1+NORMINV(RAND(),INPUTS!$B$28,INPUTS!$B$29))))</f>
        <v>2181547.45168649</v>
      </c>
      <c r="AD21" s="85" t="n">
        <f aca="true">IF(AD$5=0,AC21,MAX(0,(AC21-AD$4)*(1+NORMINV(RAND(),INPUTS!$B$28,INPUTS!$B$29))))</f>
        <v>2533185.76724559</v>
      </c>
      <c r="AE21" s="85" t="n">
        <f aca="true">IF(AE$5=0,AD21,MAX(0,(AD21-AE$4)*(1+NORMINV(RAND(),INPUTS!$B$28,INPUTS!$B$29))))</f>
        <v>2450775.18023086</v>
      </c>
      <c r="AF21" s="85" t="n">
        <f aca="true">IF(AF$5=0,AE21,MAX(0,(AE21-AF$4)*(1+NORMINV(RAND(),INPUTS!$B$28,INPUTS!$B$29))))</f>
        <v>2560343.65663357</v>
      </c>
      <c r="AG21" s="85" t="n">
        <f aca="true">IF(AG$5=0,AF21,MAX(0,(AF21-AG$4)*(1+NORMINV(RAND(),INPUTS!$B$28,INPUTS!$B$29))))</f>
        <v>3010991.16617659</v>
      </c>
      <c r="AH21" s="85" t="n">
        <f aca="true">IF(AH$5=0,AG21,MAX(0,(AG21-AH$4)*(1+NORMINV(RAND(),INPUTS!$B$28,INPUTS!$B$29))))</f>
        <v>3142557.73899197</v>
      </c>
      <c r="AI21" s="85" t="n">
        <f aca="true">IF(AI$5=0,AH21,MAX(0,(AH21-AI$4)*(1+NORMINV(RAND(),INPUTS!$B$28,INPUTS!$B$29))))</f>
        <v>3172221.18526222</v>
      </c>
      <c r="AJ21" s="85" t="n">
        <f aca="true">IF(AJ$5=0,AI21,MAX(0,(AI21-AJ$4)*(1+NORMINV(RAND(),INPUTS!$B$28,INPUTS!$B$29))))</f>
        <v>2848111.7030384</v>
      </c>
      <c r="AK21" s="85" t="n">
        <f aca="true">IF(AK$5=0,AJ21,MAX(0,(AJ21-AK$4)*(1+NORMINV(RAND(),INPUTS!$B$28,INPUTS!$B$29))))</f>
        <v>2872368.89162519</v>
      </c>
      <c r="AL21" s="85" t="n">
        <f aca="true">IF(AL$5=0,AK21,MAX(0,(AK21-AL$4)*(1+NORMINV(RAND(),INPUTS!$B$28,INPUTS!$B$29))))</f>
        <v>2666983.26755935</v>
      </c>
      <c r="AM21" s="85" t="n">
        <f aca="true">IF(AM$5=0,AL21,MAX(0,(AL21-AM$4)*(1+NORMINV(RAND(),INPUTS!$B$28,INPUTS!$B$29))))</f>
        <v>2666983.26755935</v>
      </c>
      <c r="AN21" s="85" t="n">
        <f aca="true">IF(AN$5=0,AM21,MAX(0,(AM21-AN$4)*(1+NORMINV(RAND(),INPUTS!$B$28,INPUTS!$B$29))))</f>
        <v>2666983.26755935</v>
      </c>
      <c r="AO21" s="85" t="n">
        <f aca="true">IF(AO$5=0,AN21,MAX(0,(AN21-AO$4)*(1+NORMINV(RAND(),INPUTS!$B$28,INPUTS!$B$29))))</f>
        <v>2666983.26755935</v>
      </c>
      <c r="AP21" s="85" t="n">
        <f aca="true">IF(AP$5=0,AO21,MAX(0,(AO21-AP$4)*(1+NORMINV(RAND(),INPUTS!$B$28,INPUTS!$B$29))))</f>
        <v>2666983.26755935</v>
      </c>
    </row>
    <row r="22" customFormat="false" ht="15" hidden="false" customHeight="true" outlineLevel="0" collapsed="false">
      <c r="A22" s="83" t="n">
        <v>15</v>
      </c>
      <c r="B22" s="84" t="n">
        <f aca="false">LOOKUP(9.99E+307,C22:AP22)</f>
        <v>3200250.91179362</v>
      </c>
      <c r="C22" s="85" t="n">
        <f aca="true">IF(C$5=0,INPUTS!$B$19,MAX(0,(INPUTS!$B$19-C$4)*(1+NORMINV(RAND(),INPUTS!$B$28,INPUTS!$B$29))))</f>
        <v>1235650.53291826</v>
      </c>
      <c r="D22" s="85" t="n">
        <f aca="true">IF(D$5=0,C22,MAX(0,(C22-D$4)*(1+NORMINV(RAND(),INPUTS!$B$28,INPUTS!$B$29))))</f>
        <v>1417214.37147143</v>
      </c>
      <c r="E22" s="85" t="n">
        <f aca="true">IF(E$5=0,D22,MAX(0,(D22-E$4)*(1+NORMINV(RAND(),INPUTS!$B$28,INPUTS!$B$29))))</f>
        <v>1523346.79340001</v>
      </c>
      <c r="F22" s="85" t="n">
        <f aca="true">IF(F$5=0,E22,MAX(0,(E22-F$4)*(1+NORMINV(RAND(),INPUTS!$B$28,INPUTS!$B$29))))</f>
        <v>1444842.13618396</v>
      </c>
      <c r="G22" s="85" t="n">
        <f aca="true">IF(G$5=0,F22,MAX(0,(F22-G$4)*(1+NORMINV(RAND(),INPUTS!$B$28,INPUTS!$B$29))))</f>
        <v>1549785.08152069</v>
      </c>
      <c r="H22" s="85" t="n">
        <f aca="true">IF(H$5=0,G22,MAX(0,(G22-H$4)*(1+NORMINV(RAND(),INPUTS!$B$28,INPUTS!$B$29))))</f>
        <v>1402159.03402166</v>
      </c>
      <c r="I22" s="85" t="n">
        <f aca="true">IF(I$5=0,H22,MAX(0,(H22-I$4)*(1+NORMINV(RAND(),INPUTS!$B$28,INPUTS!$B$29))))</f>
        <v>1510217.53792104</v>
      </c>
      <c r="J22" s="85" t="n">
        <f aca="true">IF(J$5=0,I22,MAX(0,(I22-J$4)*(1+NORMINV(RAND(),INPUTS!$B$28,INPUTS!$B$29))))</f>
        <v>1500287.47745332</v>
      </c>
      <c r="K22" s="85" t="n">
        <f aca="true">IF(K$5=0,J22,MAX(0,(J22-K$4)*(1+NORMINV(RAND(),INPUTS!$B$28,INPUTS!$B$29))))</f>
        <v>1478750.49860806</v>
      </c>
      <c r="L22" s="85" t="n">
        <f aca="true">IF(L$5=0,K22,MAX(0,(K22-L$4)*(1+NORMINV(RAND(),INPUTS!$B$28,INPUTS!$B$29))))</f>
        <v>1441529.13477652</v>
      </c>
      <c r="M22" s="85" t="n">
        <f aca="true">IF(M$5=0,L22,MAX(0,(L22-M$4)*(1+NORMINV(RAND(),INPUTS!$B$28,INPUTS!$B$29))))</f>
        <v>1483800.16044649</v>
      </c>
      <c r="N22" s="85" t="n">
        <f aca="true">IF(N$5=0,M22,MAX(0,(M22-N$4)*(1+NORMINV(RAND(),INPUTS!$B$28,INPUTS!$B$29))))</f>
        <v>1322364.5820658</v>
      </c>
      <c r="O22" s="85" t="n">
        <f aca="true">IF(O$5=0,N22,MAX(0,(N22-O$4)*(1+NORMINV(RAND(),INPUTS!$B$28,INPUTS!$B$29))))</f>
        <v>1541846.3834837</v>
      </c>
      <c r="P22" s="85" t="n">
        <f aca="true">IF(P$5=0,O22,MAX(0,(O22-P$4)*(1+NORMINV(RAND(),INPUTS!$B$28,INPUTS!$B$29))))</f>
        <v>1584253.01793925</v>
      </c>
      <c r="Q22" s="85" t="n">
        <f aca="true">IF(Q$5=0,P22,MAX(0,(P22-Q$4)*(1+NORMINV(RAND(),INPUTS!$B$28,INPUTS!$B$29))))</f>
        <v>1844955.86277795</v>
      </c>
      <c r="R22" s="85" t="n">
        <f aca="true">IF(R$5=0,Q22,MAX(0,(Q22-R$4)*(1+NORMINV(RAND(),INPUTS!$B$28,INPUTS!$B$29))))</f>
        <v>1587432.37079643</v>
      </c>
      <c r="S22" s="85" t="n">
        <f aca="true">IF(S$5=0,R22,MAX(0,(R22-S$4)*(1+NORMINV(RAND(),INPUTS!$B$28,INPUTS!$B$29))))</f>
        <v>1728050.07046003</v>
      </c>
      <c r="T22" s="85" t="n">
        <f aca="true">IF(T$5=0,S22,MAX(0,(S22-T$4)*(1+NORMINV(RAND(),INPUTS!$B$28,INPUTS!$B$29))))</f>
        <v>1399225.53965732</v>
      </c>
      <c r="U22" s="85" t="n">
        <f aca="true">IF(U$5=0,T22,MAX(0,(T22-U$4)*(1+NORMINV(RAND(),INPUTS!$B$28,INPUTS!$B$29))))</f>
        <v>1413254.50268688</v>
      </c>
      <c r="V22" s="85" t="n">
        <f aca="true">IF(V$5=0,U22,MAX(0,(U22-V$4)*(1+NORMINV(RAND(),INPUTS!$B$28,INPUTS!$B$29))))</f>
        <v>1150422.80118372</v>
      </c>
      <c r="W22" s="85" t="n">
        <f aca="true">IF(W$5=0,V22,MAX(0,(V22-W$4)*(1+NORMINV(RAND(),INPUTS!$B$28,INPUTS!$B$29))))</f>
        <v>1131095.5777372</v>
      </c>
      <c r="X22" s="85" t="n">
        <f aca="true">IF(X$5=0,W22,MAX(0,(W22-X$4)*(1+NORMINV(RAND(),INPUTS!$B$28,INPUTS!$B$29))))</f>
        <v>1088817.31705102</v>
      </c>
      <c r="Y22" s="85" t="n">
        <f aca="true">IF(Y$5=0,X22,MAX(0,(X22-Y$4)*(1+NORMINV(RAND(),INPUTS!$B$28,INPUTS!$B$29))))</f>
        <v>1285989.93437063</v>
      </c>
      <c r="Z22" s="85" t="n">
        <f aca="true">IF(Z$5=0,Y22,MAX(0,(Y22-Z$4)*(1+NORMINV(RAND(),INPUTS!$B$28,INPUTS!$B$29))))</f>
        <v>1663123.6940795</v>
      </c>
      <c r="AA22" s="85" t="n">
        <f aca="true">IF(AA$5=0,Z22,MAX(0,(Z22-AA$4)*(1+NORMINV(RAND(),INPUTS!$B$28,INPUTS!$B$29))))</f>
        <v>1751177.69041522</v>
      </c>
      <c r="AB22" s="85" t="n">
        <f aca="true">IF(AB$5=0,AA22,MAX(0,(AA22-AB$4)*(1+NORMINV(RAND(),INPUTS!$B$28,INPUTS!$B$29))))</f>
        <v>1804591.90537034</v>
      </c>
      <c r="AC22" s="85" t="n">
        <f aca="true">IF(AC$5=0,AB22,MAX(0,(AB22-AC$4)*(1+NORMINV(RAND(),INPUTS!$B$28,INPUTS!$B$29))))</f>
        <v>1699264.46013314</v>
      </c>
      <c r="AD22" s="85" t="n">
        <f aca="true">IF(AD$5=0,AC22,MAX(0,(AC22-AD$4)*(1+NORMINV(RAND(),INPUTS!$B$28,INPUTS!$B$29))))</f>
        <v>2175173.53411459</v>
      </c>
      <c r="AE22" s="85" t="n">
        <f aca="true">IF(AE$5=0,AD22,MAX(0,(AD22-AE$4)*(1+NORMINV(RAND(),INPUTS!$B$28,INPUTS!$B$29))))</f>
        <v>2454366.82089788</v>
      </c>
      <c r="AF22" s="85" t="n">
        <f aca="true">IF(AF$5=0,AE22,MAX(0,(AE22-AF$4)*(1+NORMINV(RAND(),INPUTS!$B$28,INPUTS!$B$29))))</f>
        <v>2635818.17387946</v>
      </c>
      <c r="AG22" s="85" t="n">
        <f aca="true">IF(AG$5=0,AF22,MAX(0,(AF22-AG$4)*(1+NORMINV(RAND(),INPUTS!$B$28,INPUTS!$B$29))))</f>
        <v>2668915.14959102</v>
      </c>
      <c r="AH22" s="85" t="n">
        <f aca="true">IF(AH$5=0,AG22,MAX(0,(AG22-AH$4)*(1+NORMINV(RAND(),INPUTS!$B$28,INPUTS!$B$29))))</f>
        <v>3455132.89766444</v>
      </c>
      <c r="AI22" s="85" t="n">
        <f aca="true">IF(AI$5=0,AH22,MAX(0,(AH22-AI$4)*(1+NORMINV(RAND(),INPUTS!$B$28,INPUTS!$B$29))))</f>
        <v>3601926.43632059</v>
      </c>
      <c r="AJ22" s="85" t="n">
        <f aca="true">IF(AJ$5=0,AI22,MAX(0,(AI22-AJ$4)*(1+NORMINV(RAND(),INPUTS!$B$28,INPUTS!$B$29))))</f>
        <v>3579162.42053103</v>
      </c>
      <c r="AK22" s="85" t="n">
        <f aca="true">IF(AK$5=0,AJ22,MAX(0,(AJ22-AK$4)*(1+NORMINV(RAND(),INPUTS!$B$28,INPUTS!$B$29))))</f>
        <v>3289808.30884267</v>
      </c>
      <c r="AL22" s="85" t="n">
        <f aca="true">IF(AL$5=0,AK22,MAX(0,(AK22-AL$4)*(1+NORMINV(RAND(),INPUTS!$B$28,INPUTS!$B$29))))</f>
        <v>3200250.91179362</v>
      </c>
      <c r="AM22" s="85" t="n">
        <f aca="true">IF(AM$5=0,AL22,MAX(0,(AL22-AM$4)*(1+NORMINV(RAND(),INPUTS!$B$28,INPUTS!$B$29))))</f>
        <v>3200250.91179362</v>
      </c>
      <c r="AN22" s="85" t="n">
        <f aca="true">IF(AN$5=0,AM22,MAX(0,(AM22-AN$4)*(1+NORMINV(RAND(),INPUTS!$B$28,INPUTS!$B$29))))</f>
        <v>3200250.91179362</v>
      </c>
      <c r="AO22" s="85" t="n">
        <f aca="true">IF(AO$5=0,AN22,MAX(0,(AN22-AO$4)*(1+NORMINV(RAND(),INPUTS!$B$28,INPUTS!$B$29))))</f>
        <v>3200250.91179362</v>
      </c>
      <c r="AP22" s="85" t="n">
        <f aca="true">IF(AP$5=0,AO22,MAX(0,(AO22-AP$4)*(1+NORMINV(RAND(),INPUTS!$B$28,INPUTS!$B$29))))</f>
        <v>3200250.91179362</v>
      </c>
    </row>
    <row r="23" customFormat="false" ht="15" hidden="false" customHeight="true" outlineLevel="0" collapsed="false">
      <c r="A23" s="83" t="n">
        <v>16</v>
      </c>
      <c r="B23" s="84" t="n">
        <f aca="false">LOOKUP(9.99E+307,C23:AP23)</f>
        <v>489412.636909234</v>
      </c>
      <c r="C23" s="85" t="n">
        <f aca="true">IF(C$5=0,INPUTS!$B$19,MAX(0,(INPUTS!$B$19-C$4)*(1+NORMINV(RAND(),INPUTS!$B$28,INPUTS!$B$29))))</f>
        <v>1150582.51554046</v>
      </c>
      <c r="D23" s="85" t="n">
        <f aca="true">IF(D$5=0,C23,MAX(0,(C23-D$4)*(1+NORMINV(RAND(),INPUTS!$B$28,INPUTS!$B$29))))</f>
        <v>1320588.77205697</v>
      </c>
      <c r="E23" s="85" t="n">
        <f aca="true">IF(E$5=0,D23,MAX(0,(D23-E$4)*(1+NORMINV(RAND(),INPUTS!$B$28,INPUTS!$B$29))))</f>
        <v>1213425.17342665</v>
      </c>
      <c r="F23" s="85" t="n">
        <f aca="true">IF(F$5=0,E23,MAX(0,(E23-F$4)*(1+NORMINV(RAND(),INPUTS!$B$28,INPUTS!$B$29))))</f>
        <v>1320353.25625027</v>
      </c>
      <c r="G23" s="85" t="n">
        <f aca="true">IF(G$5=0,F23,MAX(0,(F23-G$4)*(1+NORMINV(RAND(),INPUTS!$B$28,INPUTS!$B$29))))</f>
        <v>1435910.50820952</v>
      </c>
      <c r="H23" s="85" t="n">
        <f aca="true">IF(H$5=0,G23,MAX(0,(G23-H$4)*(1+NORMINV(RAND(),INPUTS!$B$28,INPUTS!$B$29))))</f>
        <v>1565213.03385877</v>
      </c>
      <c r="I23" s="85" t="n">
        <f aca="true">IF(I$5=0,H23,MAX(0,(H23-I$4)*(1+NORMINV(RAND(),INPUTS!$B$28,INPUTS!$B$29))))</f>
        <v>1818721.42849859</v>
      </c>
      <c r="J23" s="85" t="n">
        <f aca="true">IF(J$5=0,I23,MAX(0,(I23-J$4)*(1+NORMINV(RAND(),INPUTS!$B$28,INPUTS!$B$29))))</f>
        <v>1861631.45487785</v>
      </c>
      <c r="K23" s="85" t="n">
        <f aca="true">IF(K$5=0,J23,MAX(0,(J23-K$4)*(1+NORMINV(RAND(),INPUTS!$B$28,INPUTS!$B$29))))</f>
        <v>1982201.58791373</v>
      </c>
      <c r="L23" s="85" t="n">
        <f aca="true">IF(L$5=0,K23,MAX(0,(K23-L$4)*(1+NORMINV(RAND(),INPUTS!$B$28,INPUTS!$B$29))))</f>
        <v>1991154.91378452</v>
      </c>
      <c r="M23" s="85" t="n">
        <f aca="true">IF(M$5=0,L23,MAX(0,(L23-M$4)*(1+NORMINV(RAND(),INPUTS!$B$28,INPUTS!$B$29))))</f>
        <v>2268120.44133147</v>
      </c>
      <c r="N23" s="85" t="n">
        <f aca="true">IF(N$5=0,M23,MAX(0,(M23-N$4)*(1+NORMINV(RAND(),INPUTS!$B$28,INPUTS!$B$29))))</f>
        <v>2157744.37501675</v>
      </c>
      <c r="O23" s="85" t="n">
        <f aca="true">IF(O$5=0,N23,MAX(0,(N23-O$4)*(1+NORMINV(RAND(),INPUTS!$B$28,INPUTS!$B$29))))</f>
        <v>2257071.30609936</v>
      </c>
      <c r="P23" s="85" t="n">
        <f aca="true">IF(P$5=0,O23,MAX(0,(O23-P$4)*(1+NORMINV(RAND(),INPUTS!$B$28,INPUTS!$B$29))))</f>
        <v>2004474.21758468</v>
      </c>
      <c r="Q23" s="85" t="n">
        <f aca="true">IF(Q$5=0,P23,MAX(0,(P23-Q$4)*(1+NORMINV(RAND(),INPUTS!$B$28,INPUTS!$B$29))))</f>
        <v>1603039.0939945</v>
      </c>
      <c r="R23" s="85" t="n">
        <f aca="true">IF(R$5=0,Q23,MAX(0,(Q23-R$4)*(1+NORMINV(RAND(),INPUTS!$B$28,INPUTS!$B$29))))</f>
        <v>1205896.72670782</v>
      </c>
      <c r="S23" s="85" t="n">
        <f aca="true">IF(S$5=0,R23,MAX(0,(R23-S$4)*(1+NORMINV(RAND(),INPUTS!$B$28,INPUTS!$B$29))))</f>
        <v>1265706.07237431</v>
      </c>
      <c r="T23" s="85" t="n">
        <f aca="true">IF(T$5=0,S23,MAX(0,(S23-T$4)*(1+NORMINV(RAND(),INPUTS!$B$28,INPUTS!$B$29))))</f>
        <v>1115789.5731867</v>
      </c>
      <c r="U23" s="85" t="n">
        <f aca="true">IF(U$5=0,T23,MAX(0,(T23-U$4)*(1+NORMINV(RAND(),INPUTS!$B$28,INPUTS!$B$29))))</f>
        <v>1260174.35618587</v>
      </c>
      <c r="V23" s="85" t="n">
        <f aca="true">IF(V$5=0,U23,MAX(0,(U23-V$4)*(1+NORMINV(RAND(),INPUTS!$B$28,INPUTS!$B$29))))</f>
        <v>1300914.32675416</v>
      </c>
      <c r="W23" s="85" t="n">
        <f aca="true">IF(W$5=0,V23,MAX(0,(V23-W$4)*(1+NORMINV(RAND(),INPUTS!$B$28,INPUTS!$B$29))))</f>
        <v>1297484.74680492</v>
      </c>
      <c r="X23" s="85" t="n">
        <f aca="true">IF(X$5=0,W23,MAX(0,(W23-X$4)*(1+NORMINV(RAND(),INPUTS!$B$28,INPUTS!$B$29))))</f>
        <v>1166841.57618236</v>
      </c>
      <c r="Y23" s="85" t="n">
        <f aca="true">IF(Y$5=0,X23,MAX(0,(X23-Y$4)*(1+NORMINV(RAND(),INPUTS!$B$28,INPUTS!$B$29))))</f>
        <v>1133320.58143494</v>
      </c>
      <c r="Z23" s="85" t="n">
        <f aca="true">IF(Z$5=0,Y23,MAX(0,(Y23-Z$4)*(1+NORMINV(RAND(),INPUTS!$B$28,INPUTS!$B$29))))</f>
        <v>1284482.34490568</v>
      </c>
      <c r="AA23" s="85" t="n">
        <f aca="true">IF(AA$5=0,Z23,MAX(0,(Z23-AA$4)*(1+NORMINV(RAND(),INPUTS!$B$28,INPUTS!$B$29))))</f>
        <v>1051706.06113358</v>
      </c>
      <c r="AB23" s="85" t="n">
        <f aca="true">IF(AB$5=0,AA23,MAX(0,(AA23-AB$4)*(1+NORMINV(RAND(),INPUTS!$B$28,INPUTS!$B$29))))</f>
        <v>1012004.9486722</v>
      </c>
      <c r="AC23" s="85" t="n">
        <f aca="true">IF(AC$5=0,AB23,MAX(0,(AB23-AC$4)*(1+NORMINV(RAND(),INPUTS!$B$28,INPUTS!$B$29))))</f>
        <v>880586.000981101</v>
      </c>
      <c r="AD23" s="85" t="n">
        <f aca="true">IF(AD$5=0,AC23,MAX(0,(AC23-AD$4)*(1+NORMINV(RAND(),INPUTS!$B$28,INPUTS!$B$29))))</f>
        <v>815767.787680063</v>
      </c>
      <c r="AE23" s="85" t="n">
        <f aca="true">IF(AE$5=0,AD23,MAX(0,(AD23-AE$4)*(1+NORMINV(RAND(),INPUTS!$B$28,INPUTS!$B$29))))</f>
        <v>743463.575338468</v>
      </c>
      <c r="AF23" s="85" t="n">
        <f aca="true">IF(AF$5=0,AE23,MAX(0,(AE23-AF$4)*(1+NORMINV(RAND(),INPUTS!$B$28,INPUTS!$B$29))))</f>
        <v>663490.814591962</v>
      </c>
      <c r="AG23" s="85" t="n">
        <f aca="true">IF(AG$5=0,AF23,MAX(0,(AF23-AG$4)*(1+NORMINV(RAND(),INPUTS!$B$28,INPUTS!$B$29))))</f>
        <v>724686.786694369</v>
      </c>
      <c r="AH23" s="85" t="n">
        <f aca="true">IF(AH$5=0,AG23,MAX(0,(AG23-AH$4)*(1+NORMINV(RAND(),INPUTS!$B$28,INPUTS!$B$29))))</f>
        <v>747523.14045135</v>
      </c>
      <c r="AI23" s="85" t="n">
        <f aca="true">IF(AI$5=0,AH23,MAX(0,(AH23-AI$4)*(1+NORMINV(RAND(),INPUTS!$B$28,INPUTS!$B$29))))</f>
        <v>702793.673670439</v>
      </c>
      <c r="AJ23" s="85" t="n">
        <f aca="true">IF(AJ$5=0,AI23,MAX(0,(AI23-AJ$4)*(1+NORMINV(RAND(),INPUTS!$B$28,INPUTS!$B$29))))</f>
        <v>643398.754762869</v>
      </c>
      <c r="AK23" s="85" t="n">
        <f aca="true">IF(AK$5=0,AJ23,MAX(0,(AJ23-AK$4)*(1+NORMINV(RAND(),INPUTS!$B$28,INPUTS!$B$29))))</f>
        <v>655302.47038888</v>
      </c>
      <c r="AL23" s="85" t="n">
        <f aca="true">IF(AL$5=0,AK23,MAX(0,(AK23-AL$4)*(1+NORMINV(RAND(),INPUTS!$B$28,INPUTS!$B$29))))</f>
        <v>489412.636909234</v>
      </c>
      <c r="AM23" s="85" t="n">
        <f aca="true">IF(AM$5=0,AL23,MAX(0,(AL23-AM$4)*(1+NORMINV(RAND(),INPUTS!$B$28,INPUTS!$B$29))))</f>
        <v>489412.636909234</v>
      </c>
      <c r="AN23" s="85" t="n">
        <f aca="true">IF(AN$5=0,AM23,MAX(0,(AM23-AN$4)*(1+NORMINV(RAND(),INPUTS!$B$28,INPUTS!$B$29))))</f>
        <v>489412.636909234</v>
      </c>
      <c r="AO23" s="85" t="n">
        <f aca="true">IF(AO$5=0,AN23,MAX(0,(AN23-AO$4)*(1+NORMINV(RAND(),INPUTS!$B$28,INPUTS!$B$29))))</f>
        <v>489412.636909234</v>
      </c>
      <c r="AP23" s="85" t="n">
        <f aca="true">IF(AP$5=0,AO23,MAX(0,(AO23-AP$4)*(1+NORMINV(RAND(),INPUTS!$B$28,INPUTS!$B$29))))</f>
        <v>489412.636909234</v>
      </c>
    </row>
    <row r="24" customFormat="false" ht="15" hidden="false" customHeight="true" outlineLevel="0" collapsed="false">
      <c r="A24" s="83" t="n">
        <v>17</v>
      </c>
      <c r="B24" s="84" t="n">
        <f aca="false">LOOKUP(9.99E+307,C24:AP24)</f>
        <v>2976208.57570482</v>
      </c>
      <c r="C24" s="85" t="n">
        <f aca="true">IF(C$5=0,INPUTS!$B$19,MAX(0,(INPUTS!$B$19-C$4)*(1+NORMINV(RAND(),INPUTS!$B$28,INPUTS!$B$29))))</f>
        <v>1076295.62145093</v>
      </c>
      <c r="D24" s="85" t="n">
        <f aca="true">IF(D$5=0,C24,MAX(0,(C24-D$4)*(1+NORMINV(RAND(),INPUTS!$B$28,INPUTS!$B$29))))</f>
        <v>894224.773841787</v>
      </c>
      <c r="E24" s="85" t="n">
        <f aca="true">IF(E$5=0,D24,MAX(0,(D24-E$4)*(1+NORMINV(RAND(),INPUTS!$B$28,INPUTS!$B$29))))</f>
        <v>835862.242197766</v>
      </c>
      <c r="F24" s="85" t="n">
        <f aca="true">IF(F$5=0,E24,MAX(0,(E24-F$4)*(1+NORMINV(RAND(),INPUTS!$B$28,INPUTS!$B$29))))</f>
        <v>885916.924802793</v>
      </c>
      <c r="G24" s="85" t="n">
        <f aca="true">IF(G$5=0,F24,MAX(0,(F24-G$4)*(1+NORMINV(RAND(),INPUTS!$B$28,INPUTS!$B$29))))</f>
        <v>876700.807998409</v>
      </c>
      <c r="H24" s="85" t="n">
        <f aca="true">IF(H$5=0,G24,MAX(0,(G24-H$4)*(1+NORMINV(RAND(),INPUTS!$B$28,INPUTS!$B$29))))</f>
        <v>919432.69814446</v>
      </c>
      <c r="I24" s="85" t="n">
        <f aca="true">IF(I$5=0,H24,MAX(0,(H24-I$4)*(1+NORMINV(RAND(),INPUTS!$B$28,INPUTS!$B$29))))</f>
        <v>1037413.36261128</v>
      </c>
      <c r="J24" s="85" t="n">
        <f aca="true">IF(J$5=0,I24,MAX(0,(I24-J$4)*(1+NORMINV(RAND(),INPUTS!$B$28,INPUTS!$B$29))))</f>
        <v>1170025.66593522</v>
      </c>
      <c r="K24" s="85" t="n">
        <f aca="true">IF(K$5=0,J24,MAX(0,(J24-K$4)*(1+NORMINV(RAND(),INPUTS!$B$28,INPUTS!$B$29))))</f>
        <v>1212707.2052372</v>
      </c>
      <c r="L24" s="85" t="n">
        <f aca="true">IF(L$5=0,K24,MAX(0,(K24-L$4)*(1+NORMINV(RAND(),INPUTS!$B$28,INPUTS!$B$29))))</f>
        <v>1176133.93276965</v>
      </c>
      <c r="M24" s="85" t="n">
        <f aca="true">IF(M$5=0,L24,MAX(0,(L24-M$4)*(1+NORMINV(RAND(),INPUTS!$B$28,INPUTS!$B$29))))</f>
        <v>1277318.96093554</v>
      </c>
      <c r="N24" s="85" t="n">
        <f aca="true">IF(N$5=0,M24,MAX(0,(M24-N$4)*(1+NORMINV(RAND(),INPUTS!$B$28,INPUTS!$B$29))))</f>
        <v>1129593.5050668</v>
      </c>
      <c r="O24" s="85" t="n">
        <f aca="true">IF(O$5=0,N24,MAX(0,(N24-O$4)*(1+NORMINV(RAND(),INPUTS!$B$28,INPUTS!$B$29))))</f>
        <v>1339762.89029283</v>
      </c>
      <c r="P24" s="85" t="n">
        <f aca="true">IF(P$5=0,O24,MAX(0,(O24-P$4)*(1+NORMINV(RAND(),INPUTS!$B$28,INPUTS!$B$29))))</f>
        <v>1173574.20876195</v>
      </c>
      <c r="Q24" s="85" t="n">
        <f aca="true">IF(Q$5=0,P24,MAX(0,(P24-Q$4)*(1+NORMINV(RAND(),INPUTS!$B$28,INPUTS!$B$29))))</f>
        <v>1127214.83468827</v>
      </c>
      <c r="R24" s="85" t="n">
        <f aca="true">IF(R$5=0,Q24,MAX(0,(Q24-R$4)*(1+NORMINV(RAND(),INPUTS!$B$28,INPUTS!$B$29))))</f>
        <v>1159715.68717815</v>
      </c>
      <c r="S24" s="85" t="n">
        <f aca="true">IF(S$5=0,R24,MAX(0,(R24-S$4)*(1+NORMINV(RAND(),INPUTS!$B$28,INPUTS!$B$29))))</f>
        <v>1181844.68006348</v>
      </c>
      <c r="T24" s="85" t="n">
        <f aca="true">IF(T$5=0,S24,MAX(0,(S24-T$4)*(1+NORMINV(RAND(),INPUTS!$B$28,INPUTS!$B$29))))</f>
        <v>1269935.87361797</v>
      </c>
      <c r="U24" s="85" t="n">
        <f aca="true">IF(U$5=0,T24,MAX(0,(T24-U$4)*(1+NORMINV(RAND(),INPUTS!$B$28,INPUTS!$B$29))))</f>
        <v>1222485.34192526</v>
      </c>
      <c r="V24" s="85" t="n">
        <f aca="true">IF(V$5=0,U24,MAX(0,(U24-V$4)*(1+NORMINV(RAND(),INPUTS!$B$28,INPUTS!$B$29))))</f>
        <v>1451295.27524722</v>
      </c>
      <c r="W24" s="85" t="n">
        <f aca="true">IF(W$5=0,V24,MAX(0,(V24-W$4)*(1+NORMINV(RAND(),INPUTS!$B$28,INPUTS!$B$29))))</f>
        <v>1595137.67781112</v>
      </c>
      <c r="X24" s="85" t="n">
        <f aca="true">IF(X$5=0,W24,MAX(0,(W24-X$4)*(1+NORMINV(RAND(),INPUTS!$B$28,INPUTS!$B$29))))</f>
        <v>1595672.87953406</v>
      </c>
      <c r="Y24" s="85" t="n">
        <f aca="true">IF(Y$5=0,X24,MAX(0,(X24-Y$4)*(1+NORMINV(RAND(),INPUTS!$B$28,INPUTS!$B$29))))</f>
        <v>1726839.98116254</v>
      </c>
      <c r="Z24" s="85" t="n">
        <f aca="true">IF(Z$5=0,Y24,MAX(0,(Y24-Z$4)*(1+NORMINV(RAND(),INPUTS!$B$28,INPUTS!$B$29))))</f>
        <v>1880222.00762611</v>
      </c>
      <c r="AA24" s="85" t="n">
        <f aca="true">IF(AA$5=0,Z24,MAX(0,(Z24-AA$4)*(1+NORMINV(RAND(),INPUTS!$B$28,INPUTS!$B$29))))</f>
        <v>1731362.54543288</v>
      </c>
      <c r="AB24" s="85" t="n">
        <f aca="true">IF(AB$5=0,AA24,MAX(0,(AA24-AB$4)*(1+NORMINV(RAND(),INPUTS!$B$28,INPUTS!$B$29))))</f>
        <v>1874435.57175091</v>
      </c>
      <c r="AC24" s="85" t="n">
        <f aca="true">IF(AC$5=0,AB24,MAX(0,(AB24-AC$4)*(1+NORMINV(RAND(),INPUTS!$B$28,INPUTS!$B$29))))</f>
        <v>2050573.70776704</v>
      </c>
      <c r="AD24" s="85" t="n">
        <f aca="true">IF(AD$5=0,AC24,MAX(0,(AC24-AD$4)*(1+NORMINV(RAND(),INPUTS!$B$28,INPUTS!$B$29))))</f>
        <v>2378076.80944649</v>
      </c>
      <c r="AE24" s="85" t="n">
        <f aca="true">IF(AE$5=0,AD24,MAX(0,(AD24-AE$4)*(1+NORMINV(RAND(),INPUTS!$B$28,INPUTS!$B$29))))</f>
        <v>2507291.79921334</v>
      </c>
      <c r="AF24" s="85" t="n">
        <f aca="true">IF(AF$5=0,AE24,MAX(0,(AE24-AF$4)*(1+NORMINV(RAND(),INPUTS!$B$28,INPUTS!$B$29))))</f>
        <v>2734735.99969776</v>
      </c>
      <c r="AG24" s="85" t="n">
        <f aca="true">IF(AG$5=0,AF24,MAX(0,(AF24-AG$4)*(1+NORMINV(RAND(),INPUTS!$B$28,INPUTS!$B$29))))</f>
        <v>3075059.88549226</v>
      </c>
      <c r="AH24" s="85" t="n">
        <f aca="true">IF(AH$5=0,AG24,MAX(0,(AG24-AH$4)*(1+NORMINV(RAND(),INPUTS!$B$28,INPUTS!$B$29))))</f>
        <v>3143005.33365512</v>
      </c>
      <c r="AI24" s="85" t="n">
        <f aca="true">IF(AI$5=0,AH24,MAX(0,(AH24-AI$4)*(1+NORMINV(RAND(),INPUTS!$B$28,INPUTS!$B$29))))</f>
        <v>2644064.3395465</v>
      </c>
      <c r="AJ24" s="85" t="n">
        <f aca="true">IF(AJ$5=0,AI24,MAX(0,(AI24-AJ$4)*(1+NORMINV(RAND(),INPUTS!$B$28,INPUTS!$B$29))))</f>
        <v>2553469.36132307</v>
      </c>
      <c r="AK24" s="85" t="n">
        <f aca="true">IF(AK$5=0,AJ24,MAX(0,(AJ24-AK$4)*(1+NORMINV(RAND(),INPUTS!$B$28,INPUTS!$B$29))))</f>
        <v>2694061.95623954</v>
      </c>
      <c r="AL24" s="85" t="n">
        <f aca="true">IF(AL$5=0,AK24,MAX(0,(AK24-AL$4)*(1+NORMINV(RAND(),INPUTS!$B$28,INPUTS!$B$29))))</f>
        <v>2976208.57570482</v>
      </c>
      <c r="AM24" s="85" t="n">
        <f aca="true">IF(AM$5=0,AL24,MAX(0,(AL24-AM$4)*(1+NORMINV(RAND(),INPUTS!$B$28,INPUTS!$B$29))))</f>
        <v>2976208.57570482</v>
      </c>
      <c r="AN24" s="85" t="n">
        <f aca="true">IF(AN$5=0,AM24,MAX(0,(AM24-AN$4)*(1+NORMINV(RAND(),INPUTS!$B$28,INPUTS!$B$29))))</f>
        <v>2976208.57570482</v>
      </c>
      <c r="AO24" s="85" t="n">
        <f aca="true">IF(AO$5=0,AN24,MAX(0,(AN24-AO$4)*(1+NORMINV(RAND(),INPUTS!$B$28,INPUTS!$B$29))))</f>
        <v>2976208.57570482</v>
      </c>
      <c r="AP24" s="85" t="n">
        <f aca="true">IF(AP$5=0,AO24,MAX(0,(AO24-AP$4)*(1+NORMINV(RAND(),INPUTS!$B$28,INPUTS!$B$29))))</f>
        <v>2976208.57570482</v>
      </c>
    </row>
    <row r="25" customFormat="false" ht="15" hidden="false" customHeight="true" outlineLevel="0" collapsed="false">
      <c r="A25" s="83" t="n">
        <v>18</v>
      </c>
      <c r="B25" s="84" t="n">
        <f aca="false">LOOKUP(9.99E+307,C25:AP25)</f>
        <v>0</v>
      </c>
      <c r="C25" s="85" t="n">
        <f aca="true">IF(C$5=0,INPUTS!$B$19,MAX(0,(INPUTS!$B$19-C$4)*(1+NORMINV(RAND(),INPUTS!$B$28,INPUTS!$B$29))))</f>
        <v>1278990.91503303</v>
      </c>
      <c r="D25" s="85" t="n">
        <f aca="true">IF(D$5=0,C25,MAX(0,(C25-D$4)*(1+NORMINV(RAND(),INPUTS!$B$28,INPUTS!$B$29))))</f>
        <v>1331394.48928966</v>
      </c>
      <c r="E25" s="85" t="n">
        <f aca="true">IF(E$5=0,D25,MAX(0,(D25-E$4)*(1+NORMINV(RAND(),INPUTS!$B$28,INPUTS!$B$29))))</f>
        <v>1356863.57717527</v>
      </c>
      <c r="F25" s="85" t="n">
        <f aca="true">IF(F$5=0,E25,MAX(0,(E25-F$4)*(1+NORMINV(RAND(),INPUTS!$B$28,INPUTS!$B$29))))</f>
        <v>1241029.81815099</v>
      </c>
      <c r="G25" s="85" t="n">
        <f aca="true">IF(G$5=0,F25,MAX(0,(F25-G$4)*(1+NORMINV(RAND(),INPUTS!$B$28,INPUTS!$B$29))))</f>
        <v>1313526.59554062</v>
      </c>
      <c r="H25" s="85" t="n">
        <f aca="true">IF(H$5=0,G25,MAX(0,(G25-H$4)*(1+NORMINV(RAND(),INPUTS!$B$28,INPUTS!$B$29))))</f>
        <v>1234863.86015056</v>
      </c>
      <c r="I25" s="85" t="n">
        <f aca="true">IF(I$5=0,H25,MAX(0,(H25-I$4)*(1+NORMINV(RAND(),INPUTS!$B$28,INPUTS!$B$29))))</f>
        <v>1024614.67324073</v>
      </c>
      <c r="J25" s="85" t="n">
        <f aca="true">IF(J$5=0,I25,MAX(0,(I25-J$4)*(1+NORMINV(RAND(),INPUTS!$B$28,INPUTS!$B$29))))</f>
        <v>832646.581390614</v>
      </c>
      <c r="K25" s="85" t="n">
        <f aca="true">IF(K$5=0,J25,MAX(0,(J25-K$4)*(1+NORMINV(RAND(),INPUTS!$B$28,INPUTS!$B$29))))</f>
        <v>785138.278986636</v>
      </c>
      <c r="L25" s="85" t="n">
        <f aca="true">IF(L$5=0,K25,MAX(0,(K25-L$4)*(1+NORMINV(RAND(),INPUTS!$B$28,INPUTS!$B$29))))</f>
        <v>708678.652405732</v>
      </c>
      <c r="M25" s="85" t="n">
        <f aca="true">IF(M$5=0,L25,MAX(0,(L25-M$4)*(1+NORMINV(RAND(),INPUTS!$B$28,INPUTS!$B$29))))</f>
        <v>618299.724297849</v>
      </c>
      <c r="N25" s="85" t="n">
        <f aca="true">IF(N$5=0,M25,MAX(0,(M25-N$4)*(1+NORMINV(RAND(),INPUTS!$B$28,INPUTS!$B$29))))</f>
        <v>549756.551578345</v>
      </c>
      <c r="O25" s="85" t="n">
        <f aca="true">IF(O$5=0,N25,MAX(0,(N25-O$4)*(1+NORMINV(RAND(),INPUTS!$B$28,INPUTS!$B$29))))</f>
        <v>571564.698571971</v>
      </c>
      <c r="P25" s="85" t="n">
        <f aca="true">IF(P$5=0,O25,MAX(0,(O25-P$4)*(1+NORMINV(RAND(),INPUTS!$B$28,INPUTS!$B$29))))</f>
        <v>617797.674537083</v>
      </c>
      <c r="Q25" s="85" t="n">
        <f aca="true">IF(Q$5=0,P25,MAX(0,(P25-Q$4)*(1+NORMINV(RAND(),INPUTS!$B$28,INPUTS!$B$29))))</f>
        <v>582081.869233212</v>
      </c>
      <c r="R25" s="85" t="n">
        <f aca="true">IF(R$5=0,Q25,MAX(0,(Q25-R$4)*(1+NORMINV(RAND(),INPUTS!$B$28,INPUTS!$B$29))))</f>
        <v>555838.479176614</v>
      </c>
      <c r="S25" s="85" t="n">
        <f aca="true">IF(S$5=0,R25,MAX(0,(R25-S$4)*(1+NORMINV(RAND(),INPUTS!$B$28,INPUTS!$B$29))))</f>
        <v>514534.395250744</v>
      </c>
      <c r="T25" s="85" t="n">
        <f aca="true">IF(T$5=0,S25,MAX(0,(S25-T$4)*(1+NORMINV(RAND(),INPUTS!$B$28,INPUTS!$B$29))))</f>
        <v>533658.905999867</v>
      </c>
      <c r="U25" s="85" t="n">
        <f aca="true">IF(U$5=0,T25,MAX(0,(T25-U$4)*(1+NORMINV(RAND(),INPUTS!$B$28,INPUTS!$B$29))))</f>
        <v>505119.41655912</v>
      </c>
      <c r="V25" s="85" t="n">
        <f aca="true">IF(V$5=0,U25,MAX(0,(U25-V$4)*(1+NORMINV(RAND(),INPUTS!$B$28,INPUTS!$B$29))))</f>
        <v>520289.507843276</v>
      </c>
      <c r="W25" s="85" t="n">
        <f aca="true">IF(W$5=0,V25,MAX(0,(V25-W$4)*(1+NORMINV(RAND(),INPUTS!$B$28,INPUTS!$B$29))))</f>
        <v>416640.977901957</v>
      </c>
      <c r="X25" s="85" t="n">
        <f aca="true">IF(X$5=0,W25,MAX(0,(W25-X$4)*(1+NORMINV(RAND(),INPUTS!$B$28,INPUTS!$B$29))))</f>
        <v>428998.157041475</v>
      </c>
      <c r="Y25" s="85" t="n">
        <f aca="true">IF(Y$5=0,X25,MAX(0,(X25-Y$4)*(1+NORMINV(RAND(),INPUTS!$B$28,INPUTS!$B$29))))</f>
        <v>376884.128023259</v>
      </c>
      <c r="Z25" s="85" t="n">
        <f aca="true">IF(Z$5=0,Y25,MAX(0,(Y25-Z$4)*(1+NORMINV(RAND(),INPUTS!$B$28,INPUTS!$B$29))))</f>
        <v>342966.809992106</v>
      </c>
      <c r="AA25" s="85" t="n">
        <f aca="true">IF(AA$5=0,Z25,MAX(0,(Z25-AA$4)*(1+NORMINV(RAND(),INPUTS!$B$28,INPUTS!$B$29))))</f>
        <v>365705.646036151</v>
      </c>
      <c r="AB25" s="85" t="n">
        <f aca="true">IF(AB$5=0,AA25,MAX(0,(AA25-AB$4)*(1+NORMINV(RAND(),INPUTS!$B$28,INPUTS!$B$29))))</f>
        <v>351954.596880614</v>
      </c>
      <c r="AC25" s="85" t="n">
        <f aca="true">IF(AC$5=0,AB25,MAX(0,(AB25-AC$4)*(1+NORMINV(RAND(),INPUTS!$B$28,INPUTS!$B$29))))</f>
        <v>269104.068284719</v>
      </c>
      <c r="AD25" s="85" t="n">
        <f aca="true">IF(AD$5=0,AC25,MAX(0,(AC25-AD$4)*(1+NORMINV(RAND(),INPUTS!$B$28,INPUTS!$B$29))))</f>
        <v>184184.338240327</v>
      </c>
      <c r="AE25" s="85" t="n">
        <f aca="true">IF(AE$5=0,AD25,MAX(0,(AD25-AE$4)*(1+NORMINV(RAND(),INPUTS!$B$28,INPUTS!$B$29))))</f>
        <v>146574.018275277</v>
      </c>
      <c r="AF25" s="85" t="n">
        <f aca="true">IF(AF$5=0,AE25,MAX(0,(AE25-AF$4)*(1+NORMINV(RAND(),INPUTS!$B$28,INPUTS!$B$29))))</f>
        <v>73111.9287247549</v>
      </c>
      <c r="AG25" s="85" t="n">
        <f aca="true">IF(AG$5=0,AF25,MAX(0,(AF25-AG$4)*(1+NORMINV(RAND(),INPUTS!$B$28,INPUTS!$B$29))))</f>
        <v>3112.15044492652</v>
      </c>
      <c r="AH25" s="85" t="n">
        <f aca="true">IF(AH$5=0,AG25,MAX(0,(AG25-AH$4)*(1+NORMINV(RAND(),INPUTS!$B$28,INPUTS!$B$29))))</f>
        <v>0</v>
      </c>
      <c r="AI25" s="85" t="n">
        <f aca="true">IF(AI$5=0,AH25,MAX(0,(AH25-AI$4)*(1+NORMINV(RAND(),INPUTS!$B$28,INPUTS!$B$29))))</f>
        <v>0</v>
      </c>
      <c r="AJ25" s="85" t="n">
        <f aca="true">IF(AJ$5=0,AI25,MAX(0,(AI25-AJ$4)*(1+NORMINV(RAND(),INPUTS!$B$28,INPUTS!$B$29))))</f>
        <v>0</v>
      </c>
      <c r="AK25" s="85" t="n">
        <f aca="true">IF(AK$5=0,AJ25,MAX(0,(AJ25-AK$4)*(1+NORMINV(RAND(),INPUTS!$B$28,INPUTS!$B$29))))</f>
        <v>0</v>
      </c>
      <c r="AL25" s="85" t="n">
        <f aca="true">IF(AL$5=0,AK25,MAX(0,(AK25-AL$4)*(1+NORMINV(RAND(),INPUTS!$B$28,INPUTS!$B$29))))</f>
        <v>0</v>
      </c>
      <c r="AM25" s="85" t="n">
        <f aca="true">IF(AM$5=0,AL25,MAX(0,(AL25-AM$4)*(1+NORMINV(RAND(),INPUTS!$B$28,INPUTS!$B$29))))</f>
        <v>0</v>
      </c>
      <c r="AN25" s="85" t="n">
        <f aca="true">IF(AN$5=0,AM25,MAX(0,(AM25-AN$4)*(1+NORMINV(RAND(),INPUTS!$B$28,INPUTS!$B$29))))</f>
        <v>0</v>
      </c>
      <c r="AO25" s="85" t="n">
        <f aca="true">IF(AO$5=0,AN25,MAX(0,(AN25-AO$4)*(1+NORMINV(RAND(),INPUTS!$B$28,INPUTS!$B$29))))</f>
        <v>0</v>
      </c>
      <c r="AP25" s="85" t="n">
        <f aca="true">IF(AP$5=0,AO25,MAX(0,(AO25-AP$4)*(1+NORMINV(RAND(),INPUTS!$B$28,INPUTS!$B$29))))</f>
        <v>0</v>
      </c>
    </row>
    <row r="26" customFormat="false" ht="15" hidden="false" customHeight="true" outlineLevel="0" collapsed="false">
      <c r="A26" s="83" t="n">
        <v>19</v>
      </c>
      <c r="B26" s="84" t="n">
        <f aca="false">LOOKUP(9.99E+307,C26:AP26)</f>
        <v>766869.347082526</v>
      </c>
      <c r="C26" s="85" t="n">
        <f aca="true">IF(C$5=0,INPUTS!$B$19,MAX(0,(INPUTS!$B$19-C$4)*(1+NORMINV(RAND(),INPUTS!$B$28,INPUTS!$B$29))))</f>
        <v>1073295.73983248</v>
      </c>
      <c r="D26" s="85" t="n">
        <f aca="true">IF(D$5=0,C26,MAX(0,(C26-D$4)*(1+NORMINV(RAND(),INPUTS!$B$28,INPUTS!$B$29))))</f>
        <v>1113912.84586684</v>
      </c>
      <c r="E26" s="85" t="n">
        <f aca="true">IF(E$5=0,D26,MAX(0,(D26-E$4)*(1+NORMINV(RAND(),INPUTS!$B$28,INPUTS!$B$29))))</f>
        <v>1092525.68768458</v>
      </c>
      <c r="F26" s="85" t="n">
        <f aca="true">IF(F$5=0,E26,MAX(0,(E26-F$4)*(1+NORMINV(RAND(),INPUTS!$B$28,INPUTS!$B$29))))</f>
        <v>1018044.39868704</v>
      </c>
      <c r="G26" s="85" t="n">
        <f aca="true">IF(G$5=0,F26,MAX(0,(F26-G$4)*(1+NORMINV(RAND(),INPUTS!$B$28,INPUTS!$B$29))))</f>
        <v>1019168.00519429</v>
      </c>
      <c r="H26" s="85" t="n">
        <f aca="true">IF(H$5=0,G26,MAX(0,(G26-H$4)*(1+NORMINV(RAND(),INPUTS!$B$28,INPUTS!$B$29))))</f>
        <v>1009385.03866319</v>
      </c>
      <c r="I26" s="85" t="n">
        <f aca="true">IF(I$5=0,H26,MAX(0,(H26-I$4)*(1+NORMINV(RAND(),INPUTS!$B$28,INPUTS!$B$29))))</f>
        <v>1150658.53056632</v>
      </c>
      <c r="J26" s="85" t="n">
        <f aca="true">IF(J$5=0,I26,MAX(0,(I26-J$4)*(1+NORMINV(RAND(),INPUTS!$B$28,INPUTS!$B$29))))</f>
        <v>1112582.92106949</v>
      </c>
      <c r="K26" s="85" t="n">
        <f aca="true">IF(K$5=0,J26,MAX(0,(J26-K$4)*(1+NORMINV(RAND(),INPUTS!$B$28,INPUTS!$B$29))))</f>
        <v>919543.674398829</v>
      </c>
      <c r="L26" s="85" t="n">
        <f aca="true">IF(L$5=0,K26,MAX(0,(K26-L$4)*(1+NORMINV(RAND(),INPUTS!$B$28,INPUTS!$B$29))))</f>
        <v>840124.620317058</v>
      </c>
      <c r="M26" s="85" t="n">
        <f aca="true">IF(M$5=0,L26,MAX(0,(L26-M$4)*(1+NORMINV(RAND(),INPUTS!$B$28,INPUTS!$B$29))))</f>
        <v>858425.692821323</v>
      </c>
      <c r="N26" s="85" t="n">
        <f aca="true">IF(N$5=0,M26,MAX(0,(M26-N$4)*(1+NORMINV(RAND(),INPUTS!$B$28,INPUTS!$B$29))))</f>
        <v>795467.339005628</v>
      </c>
      <c r="O26" s="85" t="n">
        <f aca="true">IF(O$5=0,N26,MAX(0,(N26-O$4)*(1+NORMINV(RAND(),INPUTS!$B$28,INPUTS!$B$29))))</f>
        <v>777240.699873805</v>
      </c>
      <c r="P26" s="85" t="n">
        <f aca="true">IF(P$5=0,O26,MAX(0,(O26-P$4)*(1+NORMINV(RAND(),INPUTS!$B$28,INPUTS!$B$29))))</f>
        <v>798988.206961849</v>
      </c>
      <c r="Q26" s="85" t="n">
        <f aca="true">IF(Q$5=0,P26,MAX(0,(P26-Q$4)*(1+NORMINV(RAND(),INPUTS!$B$28,INPUTS!$B$29))))</f>
        <v>837343.434841365</v>
      </c>
      <c r="R26" s="85" t="n">
        <f aca="true">IF(R$5=0,Q26,MAX(0,(Q26-R$4)*(1+NORMINV(RAND(),INPUTS!$B$28,INPUTS!$B$29))))</f>
        <v>1028345.98589811</v>
      </c>
      <c r="S26" s="85" t="n">
        <f aca="true">IF(S$5=0,R26,MAX(0,(R26-S$4)*(1+NORMINV(RAND(),INPUTS!$B$28,INPUTS!$B$29))))</f>
        <v>988694.954650541</v>
      </c>
      <c r="T26" s="85" t="n">
        <f aca="true">IF(T$5=0,S26,MAX(0,(S26-T$4)*(1+NORMINV(RAND(),INPUTS!$B$28,INPUTS!$B$29))))</f>
        <v>1062428.34825562</v>
      </c>
      <c r="U26" s="85" t="n">
        <f aca="true">IF(U$5=0,T26,MAX(0,(T26-U$4)*(1+NORMINV(RAND(),INPUTS!$B$28,INPUTS!$B$29))))</f>
        <v>1070250.13204437</v>
      </c>
      <c r="V26" s="85" t="n">
        <f aca="true">IF(V$5=0,U26,MAX(0,(U26-V$4)*(1+NORMINV(RAND(),INPUTS!$B$28,INPUTS!$B$29))))</f>
        <v>1048902.38062919</v>
      </c>
      <c r="W26" s="85" t="n">
        <f aca="true">IF(W$5=0,V26,MAX(0,(V26-W$4)*(1+NORMINV(RAND(),INPUTS!$B$28,INPUTS!$B$29))))</f>
        <v>1133862.34461152</v>
      </c>
      <c r="X26" s="85" t="n">
        <f aca="true">IF(X$5=0,W26,MAX(0,(W26-X$4)*(1+NORMINV(RAND(),INPUTS!$B$28,INPUTS!$B$29))))</f>
        <v>1129431.53487796</v>
      </c>
      <c r="Y26" s="85" t="n">
        <f aca="true">IF(Y$5=0,X26,MAX(0,(X26-Y$4)*(1+NORMINV(RAND(),INPUTS!$B$28,INPUTS!$B$29))))</f>
        <v>1077073.75496647</v>
      </c>
      <c r="Z26" s="85" t="n">
        <f aca="true">IF(Z$5=0,Y26,MAX(0,(Y26-Z$4)*(1+NORMINV(RAND(),INPUTS!$B$28,INPUTS!$B$29))))</f>
        <v>1037040.8237941</v>
      </c>
      <c r="AA26" s="85" t="n">
        <f aca="true">IF(AA$5=0,Z26,MAX(0,(Z26-AA$4)*(1+NORMINV(RAND(),INPUTS!$B$28,INPUTS!$B$29))))</f>
        <v>1147804.49263335</v>
      </c>
      <c r="AB26" s="85" t="n">
        <f aca="true">IF(AB$5=0,AA26,MAX(0,(AA26-AB$4)*(1+NORMINV(RAND(),INPUTS!$B$28,INPUTS!$B$29))))</f>
        <v>985301.134345799</v>
      </c>
      <c r="AC26" s="85" t="n">
        <f aca="true">IF(AC$5=0,AB26,MAX(0,(AB26-AC$4)*(1+NORMINV(RAND(),INPUTS!$B$28,INPUTS!$B$29))))</f>
        <v>932202.01251458</v>
      </c>
      <c r="AD26" s="85" t="n">
        <f aca="true">IF(AD$5=0,AC26,MAX(0,(AC26-AD$4)*(1+NORMINV(RAND(),INPUTS!$B$28,INPUTS!$B$29))))</f>
        <v>995053.683119368</v>
      </c>
      <c r="AE26" s="85" t="n">
        <f aca="true">IF(AE$5=0,AD26,MAX(0,(AD26-AE$4)*(1+NORMINV(RAND(),INPUTS!$B$28,INPUTS!$B$29))))</f>
        <v>894433.860208449</v>
      </c>
      <c r="AF26" s="85" t="n">
        <f aca="true">IF(AF$5=0,AE26,MAX(0,(AE26-AF$4)*(1+NORMINV(RAND(),INPUTS!$B$28,INPUTS!$B$29))))</f>
        <v>751435.57575351</v>
      </c>
      <c r="AG26" s="85" t="n">
        <f aca="true">IF(AG$5=0,AF26,MAX(0,(AF26-AG$4)*(1+NORMINV(RAND(),INPUTS!$B$28,INPUTS!$B$29))))</f>
        <v>847810.96931008</v>
      </c>
      <c r="AH26" s="85" t="n">
        <f aca="true">IF(AH$5=0,AG26,MAX(0,(AG26-AH$4)*(1+NORMINV(RAND(),INPUTS!$B$28,INPUTS!$B$29))))</f>
        <v>872167.61458509</v>
      </c>
      <c r="AI26" s="85" t="n">
        <f aca="true">IF(AI$5=0,AH26,MAX(0,(AH26-AI$4)*(1+NORMINV(RAND(),INPUTS!$B$28,INPUTS!$B$29))))</f>
        <v>828716.603100113</v>
      </c>
      <c r="AJ26" s="85" t="n">
        <f aca="true">IF(AJ$5=0,AI26,MAX(0,(AI26-AJ$4)*(1+NORMINV(RAND(),INPUTS!$B$28,INPUTS!$B$29))))</f>
        <v>773512.2327661</v>
      </c>
      <c r="AK26" s="85" t="n">
        <f aca="true">IF(AK$5=0,AJ26,MAX(0,(AJ26-AK$4)*(1+NORMINV(RAND(),INPUTS!$B$28,INPUTS!$B$29))))</f>
        <v>741594.252022317</v>
      </c>
      <c r="AL26" s="85" t="n">
        <f aca="true">IF(AL$5=0,AK26,MAX(0,(AK26-AL$4)*(1+NORMINV(RAND(),INPUTS!$B$28,INPUTS!$B$29))))</f>
        <v>766869.347082526</v>
      </c>
      <c r="AM26" s="85" t="n">
        <f aca="true">IF(AM$5=0,AL26,MAX(0,(AL26-AM$4)*(1+NORMINV(RAND(),INPUTS!$B$28,INPUTS!$B$29))))</f>
        <v>766869.347082526</v>
      </c>
      <c r="AN26" s="85" t="n">
        <f aca="true">IF(AN$5=0,AM26,MAX(0,(AM26-AN$4)*(1+NORMINV(RAND(),INPUTS!$B$28,INPUTS!$B$29))))</f>
        <v>766869.347082526</v>
      </c>
      <c r="AO26" s="85" t="n">
        <f aca="true">IF(AO$5=0,AN26,MAX(0,(AN26-AO$4)*(1+NORMINV(RAND(),INPUTS!$B$28,INPUTS!$B$29))))</f>
        <v>766869.347082526</v>
      </c>
      <c r="AP26" s="85" t="n">
        <f aca="true">IF(AP$5=0,AO26,MAX(0,(AO26-AP$4)*(1+NORMINV(RAND(),INPUTS!$B$28,INPUTS!$B$29))))</f>
        <v>766869.347082526</v>
      </c>
    </row>
    <row r="27" customFormat="false" ht="15" hidden="false" customHeight="true" outlineLevel="0" collapsed="false">
      <c r="A27" s="83" t="n">
        <v>20</v>
      </c>
      <c r="B27" s="84" t="n">
        <f aca="false">LOOKUP(9.99E+307,C27:AP27)</f>
        <v>3816146.5002003</v>
      </c>
      <c r="C27" s="85" t="n">
        <f aca="true">IF(C$5=0,INPUTS!$B$19,MAX(0,(INPUTS!$B$19-C$4)*(1+NORMINV(RAND(),INPUTS!$B$28,INPUTS!$B$29))))</f>
        <v>1112394.02272531</v>
      </c>
      <c r="D27" s="85" t="n">
        <f aca="true">IF(D$5=0,C27,MAX(0,(C27-D$4)*(1+NORMINV(RAND(),INPUTS!$B$28,INPUTS!$B$29))))</f>
        <v>1077136.81231603</v>
      </c>
      <c r="E27" s="85" t="n">
        <f aca="true">IF(E$5=0,D27,MAX(0,(D27-E$4)*(1+NORMINV(RAND(),INPUTS!$B$28,INPUTS!$B$29))))</f>
        <v>1125126.9237663</v>
      </c>
      <c r="F27" s="85" t="n">
        <f aca="true">IF(F$5=0,E27,MAX(0,(E27-F$4)*(1+NORMINV(RAND(),INPUTS!$B$28,INPUTS!$B$29))))</f>
        <v>1286519.68313112</v>
      </c>
      <c r="G27" s="85" t="n">
        <f aca="true">IF(G$5=0,F27,MAX(0,(F27-G$4)*(1+NORMINV(RAND(),INPUTS!$B$28,INPUTS!$B$29))))</f>
        <v>1362938.90290283</v>
      </c>
      <c r="H27" s="85" t="n">
        <f aca="true">IF(H$5=0,G27,MAX(0,(G27-H$4)*(1+NORMINV(RAND(),INPUTS!$B$28,INPUTS!$B$29))))</f>
        <v>1406083.98005057</v>
      </c>
      <c r="I27" s="85" t="n">
        <f aca="true">IF(I$5=0,H27,MAX(0,(H27-I$4)*(1+NORMINV(RAND(),INPUTS!$B$28,INPUTS!$B$29))))</f>
        <v>1279216.51335764</v>
      </c>
      <c r="J27" s="85" t="n">
        <f aca="true">IF(J$5=0,I27,MAX(0,(I27-J$4)*(1+NORMINV(RAND(),INPUTS!$B$28,INPUTS!$B$29))))</f>
        <v>1268928.84426265</v>
      </c>
      <c r="K27" s="85" t="n">
        <f aca="true">IF(K$5=0,J27,MAX(0,(J27-K$4)*(1+NORMINV(RAND(),INPUTS!$B$28,INPUTS!$B$29))))</f>
        <v>1095424.61541149</v>
      </c>
      <c r="L27" s="85" t="n">
        <f aca="true">IF(L$5=0,K27,MAX(0,(K27-L$4)*(1+NORMINV(RAND(),INPUTS!$B$28,INPUTS!$B$29))))</f>
        <v>1115034.8164525</v>
      </c>
      <c r="M27" s="85" t="n">
        <f aca="true">IF(M$5=0,L27,MAX(0,(L27-M$4)*(1+NORMINV(RAND(),INPUTS!$B$28,INPUTS!$B$29))))</f>
        <v>1283760.53659095</v>
      </c>
      <c r="N27" s="85" t="n">
        <f aca="true">IF(N$5=0,M27,MAX(0,(M27-N$4)*(1+NORMINV(RAND(),INPUTS!$B$28,INPUTS!$B$29))))</f>
        <v>1200157.04859338</v>
      </c>
      <c r="O27" s="85" t="n">
        <f aca="true">IF(O$5=0,N27,MAX(0,(N27-O$4)*(1+NORMINV(RAND(),INPUTS!$B$28,INPUTS!$B$29))))</f>
        <v>1446553.30984431</v>
      </c>
      <c r="P27" s="85" t="n">
        <f aca="true">IF(P$5=0,O27,MAX(0,(O27-P$4)*(1+NORMINV(RAND(),INPUTS!$B$28,INPUTS!$B$29))))</f>
        <v>1469746.90367022</v>
      </c>
      <c r="Q27" s="85" t="n">
        <f aca="true">IF(Q$5=0,P27,MAX(0,(P27-Q$4)*(1+NORMINV(RAND(),INPUTS!$B$28,INPUTS!$B$29))))</f>
        <v>1477410.36314596</v>
      </c>
      <c r="R27" s="85" t="n">
        <f aca="true">IF(R$5=0,Q27,MAX(0,(Q27-R$4)*(1+NORMINV(RAND(),INPUTS!$B$28,INPUTS!$B$29))))</f>
        <v>1704189.38469068</v>
      </c>
      <c r="S27" s="85" t="n">
        <f aca="true">IF(S$5=0,R27,MAX(0,(R27-S$4)*(1+NORMINV(RAND(),INPUTS!$B$28,INPUTS!$B$29))))</f>
        <v>1860319.32137609</v>
      </c>
      <c r="T27" s="85" t="n">
        <f aca="true">IF(T$5=0,S27,MAX(0,(S27-T$4)*(1+NORMINV(RAND(),INPUTS!$B$28,INPUTS!$B$29))))</f>
        <v>1607824.19279984</v>
      </c>
      <c r="U27" s="85" t="n">
        <f aca="true">IF(U$5=0,T27,MAX(0,(T27-U$4)*(1+NORMINV(RAND(),INPUTS!$B$28,INPUTS!$B$29))))</f>
        <v>1526757.42400467</v>
      </c>
      <c r="V27" s="85" t="n">
        <f aca="true">IF(V$5=0,U27,MAX(0,(U27-V$4)*(1+NORMINV(RAND(),INPUTS!$B$28,INPUTS!$B$29))))</f>
        <v>1313526.82959344</v>
      </c>
      <c r="W27" s="85" t="n">
        <f aca="true">IF(W$5=0,V27,MAX(0,(V27-W$4)*(1+NORMINV(RAND(),INPUTS!$B$28,INPUTS!$B$29))))</f>
        <v>1345771.94291382</v>
      </c>
      <c r="X27" s="85" t="n">
        <f aca="true">IF(X$5=0,W27,MAX(0,(W27-X$4)*(1+NORMINV(RAND(),INPUTS!$B$28,INPUTS!$B$29))))</f>
        <v>1514544.25845477</v>
      </c>
      <c r="Y27" s="85" t="n">
        <f aca="true">IF(Y$5=0,X27,MAX(0,(X27-Y$4)*(1+NORMINV(RAND(),INPUTS!$B$28,INPUTS!$B$29))))</f>
        <v>1619423.96419654</v>
      </c>
      <c r="Z27" s="85" t="n">
        <f aca="true">IF(Z$5=0,Y27,MAX(0,(Y27-Z$4)*(1+NORMINV(RAND(),INPUTS!$B$28,INPUTS!$B$29))))</f>
        <v>1522001.25165846</v>
      </c>
      <c r="AA27" s="85" t="n">
        <f aca="true">IF(AA$5=0,Z27,MAX(0,(Z27-AA$4)*(1+NORMINV(RAND(),INPUTS!$B$28,INPUTS!$B$29))))</f>
        <v>1637279.17772726</v>
      </c>
      <c r="AB27" s="85" t="n">
        <f aca="true">IF(AB$5=0,AA27,MAX(0,(AA27-AB$4)*(1+NORMINV(RAND(),INPUTS!$B$28,INPUTS!$B$29))))</f>
        <v>1629176.78788036</v>
      </c>
      <c r="AC27" s="85" t="n">
        <f aca="true">IF(AC$5=0,AB27,MAX(0,(AB27-AC$4)*(1+NORMINV(RAND(),INPUTS!$B$28,INPUTS!$B$29))))</f>
        <v>1551399.33028655</v>
      </c>
      <c r="AD27" s="85" t="n">
        <f aca="true">IF(AD$5=0,AC27,MAX(0,(AC27-AD$4)*(1+NORMINV(RAND(),INPUTS!$B$28,INPUTS!$B$29))))</f>
        <v>1684471.56680851</v>
      </c>
      <c r="AE27" s="85" t="n">
        <f aca="true">IF(AE$5=0,AD27,MAX(0,(AD27-AE$4)*(1+NORMINV(RAND(),INPUTS!$B$28,INPUTS!$B$29))))</f>
        <v>1861021.46258563</v>
      </c>
      <c r="AF27" s="85" t="n">
        <f aca="true">IF(AF$5=0,AE27,MAX(0,(AE27-AF$4)*(1+NORMINV(RAND(),INPUTS!$B$28,INPUTS!$B$29))))</f>
        <v>1921780.59460489</v>
      </c>
      <c r="AG27" s="85" t="n">
        <f aca="true">IF(AG$5=0,AF27,MAX(0,(AF27-AG$4)*(1+NORMINV(RAND(),INPUTS!$B$28,INPUTS!$B$29))))</f>
        <v>1840651.76808444</v>
      </c>
      <c r="AH27" s="85" t="n">
        <f aca="true">IF(AH$5=0,AG27,MAX(0,(AG27-AH$4)*(1+NORMINV(RAND(),INPUTS!$B$28,INPUTS!$B$29))))</f>
        <v>2268159.18584185</v>
      </c>
      <c r="AI27" s="85" t="n">
        <f aca="true">IF(AI$5=0,AH27,MAX(0,(AH27-AI$4)*(1+NORMINV(RAND(),INPUTS!$B$28,INPUTS!$B$29))))</f>
        <v>2490295.48515435</v>
      </c>
      <c r="AJ27" s="85" t="n">
        <f aca="true">IF(AJ$5=0,AI27,MAX(0,(AI27-AJ$4)*(1+NORMINV(RAND(),INPUTS!$B$28,INPUTS!$B$29))))</f>
        <v>2810791.00301035</v>
      </c>
      <c r="AK27" s="85" t="n">
        <f aca="true">IF(AK$5=0,AJ27,MAX(0,(AJ27-AK$4)*(1+NORMINV(RAND(),INPUTS!$B$28,INPUTS!$B$29))))</f>
        <v>3113737.51525699</v>
      </c>
      <c r="AL27" s="85" t="n">
        <f aca="true">IF(AL$5=0,AK27,MAX(0,(AK27-AL$4)*(1+NORMINV(RAND(),INPUTS!$B$28,INPUTS!$B$29))))</f>
        <v>3816146.5002003</v>
      </c>
      <c r="AM27" s="85" t="n">
        <f aca="true">IF(AM$5=0,AL27,MAX(0,(AL27-AM$4)*(1+NORMINV(RAND(),INPUTS!$B$28,INPUTS!$B$29))))</f>
        <v>3816146.5002003</v>
      </c>
      <c r="AN27" s="85" t="n">
        <f aca="true">IF(AN$5=0,AM27,MAX(0,(AM27-AN$4)*(1+NORMINV(RAND(),INPUTS!$B$28,INPUTS!$B$29))))</f>
        <v>3816146.5002003</v>
      </c>
      <c r="AO27" s="85" t="n">
        <f aca="true">IF(AO$5=0,AN27,MAX(0,(AN27-AO$4)*(1+NORMINV(RAND(),INPUTS!$B$28,INPUTS!$B$29))))</f>
        <v>3816146.5002003</v>
      </c>
      <c r="AP27" s="85" t="n">
        <f aca="true">IF(AP$5=0,AO27,MAX(0,(AO27-AP$4)*(1+NORMINV(RAND(),INPUTS!$B$28,INPUTS!$B$29))))</f>
        <v>3816146.5002003</v>
      </c>
    </row>
    <row r="28" customFormat="false" ht="15" hidden="false" customHeight="true" outlineLevel="0" collapsed="false">
      <c r="A28" s="83" t="n">
        <v>21</v>
      </c>
      <c r="B28" s="84" t="n">
        <f aca="false">LOOKUP(9.99E+307,C28:AP28)</f>
        <v>0</v>
      </c>
      <c r="C28" s="85" t="n">
        <f aca="true">IF(C$5=0,INPUTS!$B$19,MAX(0,(INPUTS!$B$19-C$4)*(1+NORMINV(RAND(),INPUTS!$B$28,INPUTS!$B$29))))</f>
        <v>1288488.24866563</v>
      </c>
      <c r="D28" s="85" t="n">
        <f aca="true">IF(D$5=0,C28,MAX(0,(C28-D$4)*(1+NORMINV(RAND(),INPUTS!$B$28,INPUTS!$B$29))))</f>
        <v>1353477.40604023</v>
      </c>
      <c r="E28" s="85" t="n">
        <f aca="true">IF(E$5=0,D28,MAX(0,(D28-E$4)*(1+NORMINV(RAND(),INPUTS!$B$28,INPUTS!$B$29))))</f>
        <v>1299977.14165454</v>
      </c>
      <c r="F28" s="85" t="n">
        <f aca="true">IF(F$5=0,E28,MAX(0,(E28-F$4)*(1+NORMINV(RAND(),INPUTS!$B$28,INPUTS!$B$29))))</f>
        <v>1234520.58420756</v>
      </c>
      <c r="G28" s="85" t="n">
        <f aca="true">IF(G$5=0,F28,MAX(0,(F28-G$4)*(1+NORMINV(RAND(),INPUTS!$B$28,INPUTS!$B$29))))</f>
        <v>955563.311600061</v>
      </c>
      <c r="H28" s="85" t="n">
        <f aca="true">IF(H$5=0,G28,MAX(0,(G28-H$4)*(1+NORMINV(RAND(),INPUTS!$B$28,INPUTS!$B$29))))</f>
        <v>1043404.91726002</v>
      </c>
      <c r="I28" s="85" t="n">
        <f aca="true">IF(I$5=0,H28,MAX(0,(H28-I$4)*(1+NORMINV(RAND(),INPUTS!$B$28,INPUTS!$B$29))))</f>
        <v>876120.687657925</v>
      </c>
      <c r="J28" s="85" t="n">
        <f aca="true">IF(J$5=0,I28,MAX(0,(I28-J$4)*(1+NORMINV(RAND(),INPUTS!$B$28,INPUTS!$B$29))))</f>
        <v>737843.079035755</v>
      </c>
      <c r="K28" s="85" t="n">
        <f aca="true">IF(K$5=0,J28,MAX(0,(J28-K$4)*(1+NORMINV(RAND(),INPUTS!$B$28,INPUTS!$B$29))))</f>
        <v>873458.705735846</v>
      </c>
      <c r="L28" s="85" t="n">
        <f aca="true">IF(L$5=0,K28,MAX(0,(K28-L$4)*(1+NORMINV(RAND(),INPUTS!$B$28,INPUTS!$B$29))))</f>
        <v>865070.475422353</v>
      </c>
      <c r="M28" s="85" t="n">
        <f aca="true">IF(M$5=0,L28,MAX(0,(L28-M$4)*(1+NORMINV(RAND(),INPUTS!$B$28,INPUTS!$B$29))))</f>
        <v>770408.560945361</v>
      </c>
      <c r="N28" s="85" t="n">
        <f aca="true">IF(N$5=0,M28,MAX(0,(M28-N$4)*(1+NORMINV(RAND(),INPUTS!$B$28,INPUTS!$B$29))))</f>
        <v>676367.973302515</v>
      </c>
      <c r="O28" s="85" t="n">
        <f aca="true">IF(O$5=0,N28,MAX(0,(N28-O$4)*(1+NORMINV(RAND(),INPUTS!$B$28,INPUTS!$B$29))))</f>
        <v>708267.049695295</v>
      </c>
      <c r="P28" s="85" t="n">
        <f aca="true">IF(P$5=0,O28,MAX(0,(O28-P$4)*(1+NORMINV(RAND(),INPUTS!$B$28,INPUTS!$B$29))))</f>
        <v>604936.905703002</v>
      </c>
      <c r="Q28" s="85" t="n">
        <f aca="true">IF(Q$5=0,P28,MAX(0,(P28-Q$4)*(1+NORMINV(RAND(),INPUTS!$B$28,INPUTS!$B$29))))</f>
        <v>557391.906210427</v>
      </c>
      <c r="R28" s="85" t="n">
        <f aca="true">IF(R$5=0,Q28,MAX(0,(Q28-R$4)*(1+NORMINV(RAND(),INPUTS!$B$28,INPUTS!$B$29))))</f>
        <v>502594.620095659</v>
      </c>
      <c r="S28" s="85" t="n">
        <f aca="true">IF(S$5=0,R28,MAX(0,(R28-S$4)*(1+NORMINV(RAND(),INPUTS!$B$28,INPUTS!$B$29))))</f>
        <v>550165.425807984</v>
      </c>
      <c r="T28" s="85" t="n">
        <f aca="true">IF(T$5=0,S28,MAX(0,(S28-T$4)*(1+NORMINV(RAND(),INPUTS!$B$28,INPUTS!$B$29))))</f>
        <v>480076.454654414</v>
      </c>
      <c r="U28" s="85" t="n">
        <f aca="true">IF(U$5=0,T28,MAX(0,(T28-U$4)*(1+NORMINV(RAND(),INPUTS!$B$28,INPUTS!$B$29))))</f>
        <v>422344.159522601</v>
      </c>
      <c r="V28" s="85" t="n">
        <f aca="true">IF(V$5=0,U28,MAX(0,(U28-V$4)*(1+NORMINV(RAND(),INPUTS!$B$28,INPUTS!$B$29))))</f>
        <v>426390.790941944</v>
      </c>
      <c r="W28" s="85" t="n">
        <f aca="true">IF(W$5=0,V28,MAX(0,(V28-W$4)*(1+NORMINV(RAND(),INPUTS!$B$28,INPUTS!$B$29))))</f>
        <v>426541.774540727</v>
      </c>
      <c r="X28" s="85" t="n">
        <f aca="true">IF(X$5=0,W28,MAX(0,(W28-X$4)*(1+NORMINV(RAND(),INPUTS!$B$28,INPUTS!$B$29))))</f>
        <v>372487.174228932</v>
      </c>
      <c r="Y28" s="85" t="n">
        <f aca="true">IF(Y$5=0,X28,MAX(0,(X28-Y$4)*(1+NORMINV(RAND(),INPUTS!$B$28,INPUTS!$B$29))))</f>
        <v>336486.804860722</v>
      </c>
      <c r="Z28" s="85" t="n">
        <f aca="true">IF(Z$5=0,Y28,MAX(0,(Y28-Z$4)*(1+NORMINV(RAND(),INPUTS!$B$28,INPUTS!$B$29))))</f>
        <v>291709.115054289</v>
      </c>
      <c r="AA28" s="85" t="n">
        <f aca="true">IF(AA$5=0,Z28,MAX(0,(Z28-AA$4)*(1+NORMINV(RAND(),INPUTS!$B$28,INPUTS!$B$29))))</f>
        <v>236373.153010992</v>
      </c>
      <c r="AB28" s="85" t="n">
        <f aca="true">IF(AB$5=0,AA28,MAX(0,(AA28-AB$4)*(1+NORMINV(RAND(),INPUTS!$B$28,INPUTS!$B$29))))</f>
        <v>162040.572585098</v>
      </c>
      <c r="AC28" s="85" t="n">
        <f aca="true">IF(AC$5=0,AB28,MAX(0,(AB28-AC$4)*(1+NORMINV(RAND(),INPUTS!$B$28,INPUTS!$B$29))))</f>
        <v>113886.560356145</v>
      </c>
      <c r="AD28" s="85" t="n">
        <f aca="true">IF(AD$5=0,AC28,MAX(0,(AC28-AD$4)*(1+NORMINV(RAND(),INPUTS!$B$28,INPUTS!$B$29))))</f>
        <v>60353.1436074589</v>
      </c>
      <c r="AE28" s="85" t="n">
        <f aca="true">IF(AE$5=0,AD28,MAX(0,(AD28-AE$4)*(1+NORMINV(RAND(),INPUTS!$B$28,INPUTS!$B$29))))</f>
        <v>0</v>
      </c>
      <c r="AF28" s="85" t="n">
        <f aca="true">IF(AF$5=0,AE28,MAX(0,(AE28-AF$4)*(1+NORMINV(RAND(),INPUTS!$B$28,INPUTS!$B$29))))</f>
        <v>0</v>
      </c>
      <c r="AG28" s="85" t="n">
        <f aca="true">IF(AG$5=0,AF28,MAX(0,(AF28-AG$4)*(1+NORMINV(RAND(),INPUTS!$B$28,INPUTS!$B$29))))</f>
        <v>0</v>
      </c>
      <c r="AH28" s="85" t="n">
        <f aca="true">IF(AH$5=0,AG28,MAX(0,(AG28-AH$4)*(1+NORMINV(RAND(),INPUTS!$B$28,INPUTS!$B$29))))</f>
        <v>0</v>
      </c>
      <c r="AI28" s="85" t="n">
        <f aca="true">IF(AI$5=0,AH28,MAX(0,(AH28-AI$4)*(1+NORMINV(RAND(),INPUTS!$B$28,INPUTS!$B$29))))</f>
        <v>0</v>
      </c>
      <c r="AJ28" s="85" t="n">
        <f aca="true">IF(AJ$5=0,AI28,MAX(0,(AI28-AJ$4)*(1+NORMINV(RAND(),INPUTS!$B$28,INPUTS!$B$29))))</f>
        <v>0</v>
      </c>
      <c r="AK28" s="85" t="n">
        <f aca="true">IF(AK$5=0,AJ28,MAX(0,(AJ28-AK$4)*(1+NORMINV(RAND(),INPUTS!$B$28,INPUTS!$B$29))))</f>
        <v>0</v>
      </c>
      <c r="AL28" s="85" t="n">
        <f aca="true">IF(AL$5=0,AK28,MAX(0,(AK28-AL$4)*(1+NORMINV(RAND(),INPUTS!$B$28,INPUTS!$B$29))))</f>
        <v>0</v>
      </c>
      <c r="AM28" s="85" t="n">
        <f aca="true">IF(AM$5=0,AL28,MAX(0,(AL28-AM$4)*(1+NORMINV(RAND(),INPUTS!$B$28,INPUTS!$B$29))))</f>
        <v>0</v>
      </c>
      <c r="AN28" s="85" t="n">
        <f aca="true">IF(AN$5=0,AM28,MAX(0,(AM28-AN$4)*(1+NORMINV(RAND(),INPUTS!$B$28,INPUTS!$B$29))))</f>
        <v>0</v>
      </c>
      <c r="AO28" s="85" t="n">
        <f aca="true">IF(AO$5=0,AN28,MAX(0,(AN28-AO$4)*(1+NORMINV(RAND(),INPUTS!$B$28,INPUTS!$B$29))))</f>
        <v>0</v>
      </c>
      <c r="AP28" s="85" t="n">
        <f aca="true">IF(AP$5=0,AO28,MAX(0,(AO28-AP$4)*(1+NORMINV(RAND(),INPUTS!$B$28,INPUTS!$B$29))))</f>
        <v>0</v>
      </c>
    </row>
    <row r="29" customFormat="false" ht="15" hidden="false" customHeight="true" outlineLevel="0" collapsed="false">
      <c r="A29" s="83" t="n">
        <v>22</v>
      </c>
      <c r="B29" s="84" t="n">
        <f aca="false">LOOKUP(9.99E+307,C29:AP29)</f>
        <v>6746482.16737362</v>
      </c>
      <c r="C29" s="85" t="n">
        <f aca="true">IF(C$5=0,INPUTS!$B$19,MAX(0,(INPUTS!$B$19-C$4)*(1+NORMINV(RAND(),INPUTS!$B$28,INPUTS!$B$29))))</f>
        <v>1094836.58601312</v>
      </c>
      <c r="D29" s="85" t="n">
        <f aca="true">IF(D$5=0,C29,MAX(0,(C29-D$4)*(1+NORMINV(RAND(),INPUTS!$B$28,INPUTS!$B$29))))</f>
        <v>1047823.19424091</v>
      </c>
      <c r="E29" s="85" t="n">
        <f aca="true">IF(E$5=0,D29,MAX(0,(D29-E$4)*(1+NORMINV(RAND(),INPUTS!$B$28,INPUTS!$B$29))))</f>
        <v>949523.107584678</v>
      </c>
      <c r="F29" s="85" t="n">
        <f aca="true">IF(F$5=0,E29,MAX(0,(E29-F$4)*(1+NORMINV(RAND(),INPUTS!$B$28,INPUTS!$B$29))))</f>
        <v>1008229.34099655</v>
      </c>
      <c r="G29" s="85" t="n">
        <f aca="true">IF(G$5=0,F29,MAX(0,(F29-G$4)*(1+NORMINV(RAND(),INPUTS!$B$28,INPUTS!$B$29))))</f>
        <v>950263.329752693</v>
      </c>
      <c r="H29" s="85" t="n">
        <f aca="true">IF(H$5=0,G29,MAX(0,(G29-H$4)*(1+NORMINV(RAND(),INPUTS!$B$28,INPUTS!$B$29))))</f>
        <v>1009081.54363446</v>
      </c>
      <c r="I29" s="85" t="n">
        <f aca="true">IF(I$5=0,H29,MAX(0,(H29-I$4)*(1+NORMINV(RAND(),INPUTS!$B$28,INPUTS!$B$29))))</f>
        <v>1166593.45788943</v>
      </c>
      <c r="J29" s="85" t="n">
        <f aca="true">IF(J$5=0,I29,MAX(0,(I29-J$4)*(1+NORMINV(RAND(),INPUTS!$B$28,INPUTS!$B$29))))</f>
        <v>1148320.95246353</v>
      </c>
      <c r="K29" s="85" t="n">
        <f aca="true">IF(K$5=0,J29,MAX(0,(J29-K$4)*(1+NORMINV(RAND(),INPUTS!$B$28,INPUTS!$B$29))))</f>
        <v>1266862.04687927</v>
      </c>
      <c r="L29" s="85" t="n">
        <f aca="true">IF(L$5=0,K29,MAX(0,(K29-L$4)*(1+NORMINV(RAND(),INPUTS!$B$28,INPUTS!$B$29))))</f>
        <v>1309183.72797337</v>
      </c>
      <c r="M29" s="85" t="n">
        <f aca="true">IF(M$5=0,L29,MAX(0,(L29-M$4)*(1+NORMINV(RAND(),INPUTS!$B$28,INPUTS!$B$29))))</f>
        <v>1218907.55675839</v>
      </c>
      <c r="N29" s="85" t="n">
        <f aca="true">IF(N$5=0,M29,MAX(0,(M29-N$4)*(1+NORMINV(RAND(),INPUTS!$B$28,INPUTS!$B$29))))</f>
        <v>1281502.77947134</v>
      </c>
      <c r="O29" s="85" t="n">
        <f aca="true">IF(O$5=0,N29,MAX(0,(N29-O$4)*(1+NORMINV(RAND(),INPUTS!$B$28,INPUTS!$B$29))))</f>
        <v>1773310.41978208</v>
      </c>
      <c r="P29" s="85" t="n">
        <f aca="true">IF(P$5=0,O29,MAX(0,(O29-P$4)*(1+NORMINV(RAND(),INPUTS!$B$28,INPUTS!$B$29))))</f>
        <v>1724765.55890669</v>
      </c>
      <c r="Q29" s="85" t="n">
        <f aca="true">IF(Q$5=0,P29,MAX(0,(P29-Q$4)*(1+NORMINV(RAND(),INPUTS!$B$28,INPUTS!$B$29))))</f>
        <v>1607654.9526088</v>
      </c>
      <c r="R29" s="85" t="n">
        <f aca="true">IF(R$5=0,Q29,MAX(0,(Q29-R$4)*(1+NORMINV(RAND(),INPUTS!$B$28,INPUTS!$B$29))))</f>
        <v>1728771.10262948</v>
      </c>
      <c r="S29" s="85" t="n">
        <f aca="true">IF(S$5=0,R29,MAX(0,(R29-S$4)*(1+NORMINV(RAND(),INPUTS!$B$28,INPUTS!$B$29))))</f>
        <v>1731821.06814823</v>
      </c>
      <c r="T29" s="85" t="n">
        <f aca="true">IF(T$5=0,S29,MAX(0,(S29-T$4)*(1+NORMINV(RAND(),INPUTS!$B$28,INPUTS!$B$29))))</f>
        <v>1643370.33425812</v>
      </c>
      <c r="U29" s="85" t="n">
        <f aca="true">IF(U$5=0,T29,MAX(0,(T29-U$4)*(1+NORMINV(RAND(),INPUTS!$B$28,INPUTS!$B$29))))</f>
        <v>1973379.75415959</v>
      </c>
      <c r="V29" s="85" t="n">
        <f aca="true">IF(V$5=0,U29,MAX(0,(U29-V$4)*(1+NORMINV(RAND(),INPUTS!$B$28,INPUTS!$B$29))))</f>
        <v>1994240.95723743</v>
      </c>
      <c r="W29" s="85" t="n">
        <f aca="true">IF(W$5=0,V29,MAX(0,(V29-W$4)*(1+NORMINV(RAND(),INPUTS!$B$28,INPUTS!$B$29))))</f>
        <v>2028782.51155414</v>
      </c>
      <c r="X29" s="85" t="n">
        <f aca="true">IF(X$5=0,W29,MAX(0,(W29-X$4)*(1+NORMINV(RAND(),INPUTS!$B$28,INPUTS!$B$29))))</f>
        <v>2237160.97998417</v>
      </c>
      <c r="Y29" s="85" t="n">
        <f aca="true">IF(Y$5=0,X29,MAX(0,(X29-Y$4)*(1+NORMINV(RAND(),INPUTS!$B$28,INPUTS!$B$29))))</f>
        <v>2396488.12571712</v>
      </c>
      <c r="Z29" s="85" t="n">
        <f aca="true">IF(Z$5=0,Y29,MAX(0,(Y29-Z$4)*(1+NORMINV(RAND(),INPUTS!$B$28,INPUTS!$B$29))))</f>
        <v>2752857.33633237</v>
      </c>
      <c r="AA29" s="85" t="n">
        <f aca="true">IF(AA$5=0,Z29,MAX(0,(Z29-AA$4)*(1+NORMINV(RAND(),INPUTS!$B$28,INPUTS!$B$29))))</f>
        <v>3159347.88768872</v>
      </c>
      <c r="AB29" s="85" t="n">
        <f aca="true">IF(AB$5=0,AA29,MAX(0,(AA29-AB$4)*(1+NORMINV(RAND(),INPUTS!$B$28,INPUTS!$B$29))))</f>
        <v>3037912.10095327</v>
      </c>
      <c r="AC29" s="85" t="n">
        <f aca="true">IF(AC$5=0,AB29,MAX(0,(AB29-AC$4)*(1+NORMINV(RAND(),INPUTS!$B$28,INPUTS!$B$29))))</f>
        <v>3182915.22914923</v>
      </c>
      <c r="AD29" s="85" t="n">
        <f aca="true">IF(AD$5=0,AC29,MAX(0,(AC29-AD$4)*(1+NORMINV(RAND(),INPUTS!$B$28,INPUTS!$B$29))))</f>
        <v>3199307.23787397</v>
      </c>
      <c r="AE29" s="85" t="n">
        <f aca="true">IF(AE$5=0,AD29,MAX(0,(AD29-AE$4)*(1+NORMINV(RAND(),INPUTS!$B$28,INPUTS!$B$29))))</f>
        <v>4125377.24526219</v>
      </c>
      <c r="AF29" s="85" t="n">
        <f aca="true">IF(AF$5=0,AE29,MAX(0,(AE29-AF$4)*(1+NORMINV(RAND(),INPUTS!$B$28,INPUTS!$B$29))))</f>
        <v>3859992.73325393</v>
      </c>
      <c r="AG29" s="85" t="n">
        <f aca="true">IF(AG$5=0,AF29,MAX(0,(AF29-AG$4)*(1+NORMINV(RAND(),INPUTS!$B$28,INPUTS!$B$29))))</f>
        <v>4358045.76830498</v>
      </c>
      <c r="AH29" s="85" t="n">
        <f aca="true">IF(AH$5=0,AG29,MAX(0,(AG29-AH$4)*(1+NORMINV(RAND(),INPUTS!$B$28,INPUTS!$B$29))))</f>
        <v>4793594.72333194</v>
      </c>
      <c r="AI29" s="85" t="n">
        <f aca="true">IF(AI$5=0,AH29,MAX(0,(AH29-AI$4)*(1+NORMINV(RAND(),INPUTS!$B$28,INPUTS!$B$29))))</f>
        <v>4973919.87609131</v>
      </c>
      <c r="AJ29" s="85" t="n">
        <f aca="true">IF(AJ$5=0,AI29,MAX(0,(AI29-AJ$4)*(1+NORMINV(RAND(),INPUTS!$B$28,INPUTS!$B$29))))</f>
        <v>5386792.16585528</v>
      </c>
      <c r="AK29" s="85" t="n">
        <f aca="true">IF(AK$5=0,AJ29,MAX(0,(AJ29-AK$4)*(1+NORMINV(RAND(),INPUTS!$B$28,INPUTS!$B$29))))</f>
        <v>6462680.49779473</v>
      </c>
      <c r="AL29" s="85" t="n">
        <f aca="true">IF(AL$5=0,AK29,MAX(0,(AK29-AL$4)*(1+NORMINV(RAND(),INPUTS!$B$28,INPUTS!$B$29))))</f>
        <v>6746482.16737362</v>
      </c>
      <c r="AM29" s="85" t="n">
        <f aca="true">IF(AM$5=0,AL29,MAX(0,(AL29-AM$4)*(1+NORMINV(RAND(),INPUTS!$B$28,INPUTS!$B$29))))</f>
        <v>6746482.16737362</v>
      </c>
      <c r="AN29" s="85" t="n">
        <f aca="true">IF(AN$5=0,AM29,MAX(0,(AM29-AN$4)*(1+NORMINV(RAND(),INPUTS!$B$28,INPUTS!$B$29))))</f>
        <v>6746482.16737362</v>
      </c>
      <c r="AO29" s="85" t="n">
        <f aca="true">IF(AO$5=0,AN29,MAX(0,(AN29-AO$4)*(1+NORMINV(RAND(),INPUTS!$B$28,INPUTS!$B$29))))</f>
        <v>6746482.16737362</v>
      </c>
      <c r="AP29" s="85" t="n">
        <f aca="true">IF(AP$5=0,AO29,MAX(0,(AO29-AP$4)*(1+NORMINV(RAND(),INPUTS!$B$28,INPUTS!$B$29))))</f>
        <v>6746482.16737362</v>
      </c>
    </row>
    <row r="30" customFormat="false" ht="15" hidden="false" customHeight="true" outlineLevel="0" collapsed="false">
      <c r="A30" s="83" t="n">
        <v>23</v>
      </c>
      <c r="B30" s="84" t="n">
        <f aca="false">LOOKUP(9.99E+307,C30:AP30)</f>
        <v>0</v>
      </c>
      <c r="C30" s="85" t="n">
        <f aca="true">IF(C$5=0,INPUTS!$B$19,MAX(0,(INPUTS!$B$19-C$4)*(1+NORMINV(RAND(),INPUTS!$B$28,INPUTS!$B$29))))</f>
        <v>1349569.49609513</v>
      </c>
      <c r="D30" s="85" t="n">
        <f aca="true">IF(D$5=0,C30,MAX(0,(C30-D$4)*(1+NORMINV(RAND(),INPUTS!$B$28,INPUTS!$B$29))))</f>
        <v>1210221.19488145</v>
      </c>
      <c r="E30" s="85" t="n">
        <f aca="true">IF(E$5=0,D30,MAX(0,(D30-E$4)*(1+NORMINV(RAND(),INPUTS!$B$28,INPUTS!$B$29))))</f>
        <v>1053606.80751535</v>
      </c>
      <c r="F30" s="85" t="n">
        <f aca="true">IF(F$5=0,E30,MAX(0,(E30-F$4)*(1+NORMINV(RAND(),INPUTS!$B$28,INPUTS!$B$29))))</f>
        <v>1006300.41561694</v>
      </c>
      <c r="G30" s="85" t="n">
        <f aca="true">IF(G$5=0,F30,MAX(0,(F30-G$4)*(1+NORMINV(RAND(),INPUTS!$B$28,INPUTS!$B$29))))</f>
        <v>812404.539597579</v>
      </c>
      <c r="H30" s="85" t="n">
        <f aca="true">IF(H$5=0,G30,MAX(0,(G30-H$4)*(1+NORMINV(RAND(),INPUTS!$B$28,INPUTS!$B$29))))</f>
        <v>721193.465825614</v>
      </c>
      <c r="I30" s="85" t="n">
        <f aca="true">IF(I$5=0,H30,MAX(0,(H30-I$4)*(1+NORMINV(RAND(),INPUTS!$B$28,INPUTS!$B$29))))</f>
        <v>755005.945233519</v>
      </c>
      <c r="J30" s="85" t="n">
        <f aca="true">IF(J$5=0,I30,MAX(0,(I30-J$4)*(1+NORMINV(RAND(),INPUTS!$B$28,INPUTS!$B$29))))</f>
        <v>693905.99287183</v>
      </c>
      <c r="K30" s="85" t="n">
        <f aca="true">IF(K$5=0,J30,MAX(0,(J30-K$4)*(1+NORMINV(RAND(),INPUTS!$B$28,INPUTS!$B$29))))</f>
        <v>586565.434097108</v>
      </c>
      <c r="L30" s="85" t="n">
        <f aca="true">IF(L$5=0,K30,MAX(0,(K30-L$4)*(1+NORMINV(RAND(),INPUTS!$B$28,INPUTS!$B$29))))</f>
        <v>593398.87195915</v>
      </c>
      <c r="M30" s="85" t="n">
        <f aca="true">IF(M$5=0,L30,MAX(0,(L30-M$4)*(1+NORMINV(RAND(),INPUTS!$B$28,INPUTS!$B$29))))</f>
        <v>511289.360987362</v>
      </c>
      <c r="N30" s="85" t="n">
        <f aca="true">IF(N$5=0,M30,MAX(0,(M30-N$4)*(1+NORMINV(RAND(),INPUTS!$B$28,INPUTS!$B$29))))</f>
        <v>488882.457250173</v>
      </c>
      <c r="O30" s="85" t="n">
        <f aca="true">IF(O$5=0,N30,MAX(0,(N30-O$4)*(1+NORMINV(RAND(),INPUTS!$B$28,INPUTS!$B$29))))</f>
        <v>445911.567587142</v>
      </c>
      <c r="P30" s="85" t="n">
        <f aca="true">IF(P$5=0,O30,MAX(0,(O30-P$4)*(1+NORMINV(RAND(),INPUTS!$B$28,INPUTS!$B$29))))</f>
        <v>422366.163714926</v>
      </c>
      <c r="Q30" s="85" t="n">
        <f aca="true">IF(Q$5=0,P30,MAX(0,(P30-Q$4)*(1+NORMINV(RAND(),INPUTS!$B$28,INPUTS!$B$29))))</f>
        <v>381578.625743495</v>
      </c>
      <c r="R30" s="85" t="n">
        <f aca="true">IF(R$5=0,Q30,MAX(0,(Q30-R$4)*(1+NORMINV(RAND(),INPUTS!$B$28,INPUTS!$B$29))))</f>
        <v>334489.978228676</v>
      </c>
      <c r="S30" s="85" t="n">
        <f aca="true">IF(S$5=0,R30,MAX(0,(R30-S$4)*(1+NORMINV(RAND(),INPUTS!$B$28,INPUTS!$B$29))))</f>
        <v>287975.84231514</v>
      </c>
      <c r="T30" s="85" t="n">
        <f aca="true">IF(T$5=0,S30,MAX(0,(S30-T$4)*(1+NORMINV(RAND(),INPUTS!$B$28,INPUTS!$B$29))))</f>
        <v>265617.807787813</v>
      </c>
      <c r="U30" s="85" t="n">
        <f aca="true">IF(U$5=0,T30,MAX(0,(T30-U$4)*(1+NORMINV(RAND(),INPUTS!$B$28,INPUTS!$B$29))))</f>
        <v>229799.451745078</v>
      </c>
      <c r="V30" s="85" t="n">
        <f aca="true">IF(V$5=0,U30,MAX(0,(U30-V$4)*(1+NORMINV(RAND(),INPUTS!$B$28,INPUTS!$B$29))))</f>
        <v>168971.190980153</v>
      </c>
      <c r="W30" s="85" t="n">
        <f aca="true">IF(W$5=0,V30,MAX(0,(V30-W$4)*(1+NORMINV(RAND(),INPUTS!$B$28,INPUTS!$B$29))))</f>
        <v>131639.97850897</v>
      </c>
      <c r="X30" s="85" t="n">
        <f aca="true">IF(X$5=0,W30,MAX(0,(W30-X$4)*(1+NORMINV(RAND(),INPUTS!$B$28,INPUTS!$B$29))))</f>
        <v>75101.4336750954</v>
      </c>
      <c r="Y30" s="85" t="n">
        <f aca="true">IF(Y$5=0,X30,MAX(0,(X30-Y$4)*(1+NORMINV(RAND(),INPUTS!$B$28,INPUTS!$B$29))))</f>
        <v>18074.8768349678</v>
      </c>
      <c r="Z30" s="85" t="n">
        <f aca="true">IF(Z$5=0,Y30,MAX(0,(Y30-Z$4)*(1+NORMINV(RAND(),INPUTS!$B$28,INPUTS!$B$29))))</f>
        <v>0</v>
      </c>
      <c r="AA30" s="85" t="n">
        <f aca="true">IF(AA$5=0,Z30,MAX(0,(Z30-AA$4)*(1+NORMINV(RAND(),INPUTS!$B$28,INPUTS!$B$29))))</f>
        <v>0</v>
      </c>
      <c r="AB30" s="85" t="n">
        <f aca="true">IF(AB$5=0,AA30,MAX(0,(AA30-AB$4)*(1+NORMINV(RAND(),INPUTS!$B$28,INPUTS!$B$29))))</f>
        <v>0</v>
      </c>
      <c r="AC30" s="85" t="n">
        <f aca="true">IF(AC$5=0,AB30,MAX(0,(AB30-AC$4)*(1+NORMINV(RAND(),INPUTS!$B$28,INPUTS!$B$29))))</f>
        <v>0</v>
      </c>
      <c r="AD30" s="85" t="n">
        <f aca="true">IF(AD$5=0,AC30,MAX(0,(AC30-AD$4)*(1+NORMINV(RAND(),INPUTS!$B$28,INPUTS!$B$29))))</f>
        <v>0</v>
      </c>
      <c r="AE30" s="85" t="n">
        <f aca="true">IF(AE$5=0,AD30,MAX(0,(AD30-AE$4)*(1+NORMINV(RAND(),INPUTS!$B$28,INPUTS!$B$29))))</f>
        <v>0</v>
      </c>
      <c r="AF30" s="85" t="n">
        <f aca="true">IF(AF$5=0,AE30,MAX(0,(AE30-AF$4)*(1+NORMINV(RAND(),INPUTS!$B$28,INPUTS!$B$29))))</f>
        <v>0</v>
      </c>
      <c r="AG30" s="85" t="n">
        <f aca="true">IF(AG$5=0,AF30,MAX(0,(AF30-AG$4)*(1+NORMINV(RAND(),INPUTS!$B$28,INPUTS!$B$29))))</f>
        <v>0</v>
      </c>
      <c r="AH30" s="85" t="n">
        <f aca="true">IF(AH$5=0,AG30,MAX(0,(AG30-AH$4)*(1+NORMINV(RAND(),INPUTS!$B$28,INPUTS!$B$29))))</f>
        <v>0</v>
      </c>
      <c r="AI30" s="85" t="n">
        <f aca="true">IF(AI$5=0,AH30,MAX(0,(AH30-AI$4)*(1+NORMINV(RAND(),INPUTS!$B$28,INPUTS!$B$29))))</f>
        <v>0</v>
      </c>
      <c r="AJ30" s="85" t="n">
        <f aca="true">IF(AJ$5=0,AI30,MAX(0,(AI30-AJ$4)*(1+NORMINV(RAND(),INPUTS!$B$28,INPUTS!$B$29))))</f>
        <v>0</v>
      </c>
      <c r="AK30" s="85" t="n">
        <f aca="true">IF(AK$5=0,AJ30,MAX(0,(AJ30-AK$4)*(1+NORMINV(RAND(),INPUTS!$B$28,INPUTS!$B$29))))</f>
        <v>0</v>
      </c>
      <c r="AL30" s="85" t="n">
        <f aca="true">IF(AL$5=0,AK30,MAX(0,(AK30-AL$4)*(1+NORMINV(RAND(),INPUTS!$B$28,INPUTS!$B$29))))</f>
        <v>0</v>
      </c>
      <c r="AM30" s="85" t="n">
        <f aca="true">IF(AM$5=0,AL30,MAX(0,(AL30-AM$4)*(1+NORMINV(RAND(),INPUTS!$B$28,INPUTS!$B$29))))</f>
        <v>0</v>
      </c>
      <c r="AN30" s="85" t="n">
        <f aca="true">IF(AN$5=0,AM30,MAX(0,(AM30-AN$4)*(1+NORMINV(RAND(),INPUTS!$B$28,INPUTS!$B$29))))</f>
        <v>0</v>
      </c>
      <c r="AO30" s="85" t="n">
        <f aca="true">IF(AO$5=0,AN30,MAX(0,(AN30-AO$4)*(1+NORMINV(RAND(),INPUTS!$B$28,INPUTS!$B$29))))</f>
        <v>0</v>
      </c>
      <c r="AP30" s="85" t="n">
        <f aca="true">IF(AP$5=0,AO30,MAX(0,(AO30-AP$4)*(1+NORMINV(RAND(),INPUTS!$B$28,INPUTS!$B$29))))</f>
        <v>0</v>
      </c>
    </row>
    <row r="31" customFormat="false" ht="15" hidden="false" customHeight="true" outlineLevel="0" collapsed="false">
      <c r="A31" s="83" t="n">
        <v>24</v>
      </c>
      <c r="B31" s="84" t="n">
        <f aca="false">LOOKUP(9.99E+307,C31:AP31)</f>
        <v>4015691.03550131</v>
      </c>
      <c r="C31" s="85" t="n">
        <f aca="true">IF(C$5=0,INPUTS!$B$19,MAX(0,(INPUTS!$B$19-C$4)*(1+NORMINV(RAND(),INPUTS!$B$28,INPUTS!$B$29))))</f>
        <v>1243844.29299701</v>
      </c>
      <c r="D31" s="85" t="n">
        <f aca="true">IF(D$5=0,C31,MAX(0,(C31-D$4)*(1+NORMINV(RAND(),INPUTS!$B$28,INPUTS!$B$29))))</f>
        <v>1336195.87581026</v>
      </c>
      <c r="E31" s="85" t="n">
        <f aca="true">IF(E$5=0,D31,MAX(0,(D31-E$4)*(1+NORMINV(RAND(),INPUTS!$B$28,INPUTS!$B$29))))</f>
        <v>1332079.61124539</v>
      </c>
      <c r="F31" s="85" t="n">
        <f aca="true">IF(F$5=0,E31,MAX(0,(E31-F$4)*(1+NORMINV(RAND(),INPUTS!$B$28,INPUTS!$B$29))))</f>
        <v>1166352.13153854</v>
      </c>
      <c r="G31" s="85" t="n">
        <f aca="true">IF(G$5=0,F31,MAX(0,(F31-G$4)*(1+NORMINV(RAND(),INPUTS!$B$28,INPUTS!$B$29))))</f>
        <v>1157893.06684147</v>
      </c>
      <c r="H31" s="85" t="n">
        <f aca="true">IF(H$5=0,G31,MAX(0,(G31-H$4)*(1+NORMINV(RAND(),INPUTS!$B$28,INPUTS!$B$29))))</f>
        <v>1181453.68147362</v>
      </c>
      <c r="I31" s="85" t="n">
        <f aca="true">IF(I$5=0,H31,MAX(0,(H31-I$4)*(1+NORMINV(RAND(),INPUTS!$B$28,INPUTS!$B$29))))</f>
        <v>1147718.94563702</v>
      </c>
      <c r="J31" s="85" t="n">
        <f aca="true">IF(J$5=0,I31,MAX(0,(I31-J$4)*(1+NORMINV(RAND(),INPUTS!$B$28,INPUTS!$B$29))))</f>
        <v>1205025.44668714</v>
      </c>
      <c r="K31" s="85" t="n">
        <f aca="true">IF(K$5=0,J31,MAX(0,(J31-K$4)*(1+NORMINV(RAND(),INPUTS!$B$28,INPUTS!$B$29))))</f>
        <v>1203637.14008496</v>
      </c>
      <c r="L31" s="85" t="n">
        <f aca="true">IF(L$5=0,K31,MAX(0,(K31-L$4)*(1+NORMINV(RAND(),INPUTS!$B$28,INPUTS!$B$29))))</f>
        <v>1135501.0974774</v>
      </c>
      <c r="M31" s="85" t="n">
        <f aca="true">IF(M$5=0,L31,MAX(0,(L31-M$4)*(1+NORMINV(RAND(),INPUTS!$B$28,INPUTS!$B$29))))</f>
        <v>1311124.1223915</v>
      </c>
      <c r="N31" s="85" t="n">
        <f aca="true">IF(N$5=0,M31,MAX(0,(M31-N$4)*(1+NORMINV(RAND(),INPUTS!$B$28,INPUTS!$B$29))))</f>
        <v>1373656.53170022</v>
      </c>
      <c r="O31" s="85" t="n">
        <f aca="true">IF(O$5=0,N31,MAX(0,(N31-O$4)*(1+NORMINV(RAND(),INPUTS!$B$28,INPUTS!$B$29))))</f>
        <v>1414462.80040242</v>
      </c>
      <c r="P31" s="85" t="n">
        <f aca="true">IF(P$5=0,O31,MAX(0,(O31-P$4)*(1+NORMINV(RAND(),INPUTS!$B$28,INPUTS!$B$29))))</f>
        <v>1646305.01208162</v>
      </c>
      <c r="Q31" s="85" t="n">
        <f aca="true">IF(Q$5=0,P31,MAX(0,(P31-Q$4)*(1+NORMINV(RAND(),INPUTS!$B$28,INPUTS!$B$29))))</f>
        <v>1984277.58538815</v>
      </c>
      <c r="R31" s="85" t="n">
        <f aca="true">IF(R$5=0,Q31,MAX(0,(Q31-R$4)*(1+NORMINV(RAND(),INPUTS!$B$28,INPUTS!$B$29))))</f>
        <v>1667037.90850679</v>
      </c>
      <c r="S31" s="85" t="n">
        <f aca="true">IF(S$5=0,R31,MAX(0,(R31-S$4)*(1+NORMINV(RAND(),INPUTS!$B$28,INPUTS!$B$29))))</f>
        <v>2096984.66178665</v>
      </c>
      <c r="T31" s="85" t="n">
        <f aca="true">IF(T$5=0,S31,MAX(0,(S31-T$4)*(1+NORMINV(RAND(),INPUTS!$B$28,INPUTS!$B$29))))</f>
        <v>2144672.41533773</v>
      </c>
      <c r="U31" s="85" t="n">
        <f aca="true">IF(U$5=0,T31,MAX(0,(T31-U$4)*(1+NORMINV(RAND(),INPUTS!$B$28,INPUTS!$B$29))))</f>
        <v>2446336.36047334</v>
      </c>
      <c r="V31" s="85" t="n">
        <f aca="true">IF(V$5=0,U31,MAX(0,(U31-V$4)*(1+NORMINV(RAND(),INPUTS!$B$28,INPUTS!$B$29))))</f>
        <v>2517538.69028471</v>
      </c>
      <c r="W31" s="85" t="n">
        <f aca="true">IF(W$5=0,V31,MAX(0,(V31-W$4)*(1+NORMINV(RAND(),INPUTS!$B$28,INPUTS!$B$29))))</f>
        <v>2643137.89112812</v>
      </c>
      <c r="X31" s="85" t="n">
        <f aca="true">IF(X$5=0,W31,MAX(0,(W31-X$4)*(1+NORMINV(RAND(),INPUTS!$B$28,INPUTS!$B$29))))</f>
        <v>2615390.76608686</v>
      </c>
      <c r="Y31" s="85" t="n">
        <f aca="true">IF(Y$5=0,X31,MAX(0,(X31-Y$4)*(1+NORMINV(RAND(),INPUTS!$B$28,INPUTS!$B$29))))</f>
        <v>2720322.60862923</v>
      </c>
      <c r="Z31" s="85" t="n">
        <f aca="true">IF(Z$5=0,Y31,MAX(0,(Y31-Z$4)*(1+NORMINV(RAND(),INPUTS!$B$28,INPUTS!$B$29))))</f>
        <v>3165290.20237918</v>
      </c>
      <c r="AA31" s="85" t="n">
        <f aca="true">IF(AA$5=0,Z31,MAX(0,(Z31-AA$4)*(1+NORMINV(RAND(),INPUTS!$B$28,INPUTS!$B$29))))</f>
        <v>3238319.16685681</v>
      </c>
      <c r="AB31" s="85" t="n">
        <f aca="true">IF(AB$5=0,AA31,MAX(0,(AA31-AB$4)*(1+NORMINV(RAND(),INPUTS!$B$28,INPUTS!$B$29))))</f>
        <v>3099590.46948095</v>
      </c>
      <c r="AC31" s="85" t="n">
        <f aca="true">IF(AC$5=0,AB31,MAX(0,(AB31-AC$4)*(1+NORMINV(RAND(),INPUTS!$B$28,INPUTS!$B$29))))</f>
        <v>3320347.70846186</v>
      </c>
      <c r="AD31" s="85" t="n">
        <f aca="true">IF(AD$5=0,AC31,MAX(0,(AC31-AD$4)*(1+NORMINV(RAND(),INPUTS!$B$28,INPUTS!$B$29))))</f>
        <v>3342623.05828117</v>
      </c>
      <c r="AE31" s="85" t="n">
        <f aca="true">IF(AE$5=0,AD31,MAX(0,(AD31-AE$4)*(1+NORMINV(RAND(),INPUTS!$B$28,INPUTS!$B$29))))</f>
        <v>3580424.22174492</v>
      </c>
      <c r="AF31" s="85" t="n">
        <f aca="true">IF(AF$5=0,AE31,MAX(0,(AE31-AF$4)*(1+NORMINV(RAND(),INPUTS!$B$28,INPUTS!$B$29))))</f>
        <v>3445259.96646579</v>
      </c>
      <c r="AG31" s="85" t="n">
        <f aca="true">IF(AG$5=0,AF31,MAX(0,(AF31-AG$4)*(1+NORMINV(RAND(),INPUTS!$B$28,INPUTS!$B$29))))</f>
        <v>4066203.85343793</v>
      </c>
      <c r="AH31" s="85" t="n">
        <f aca="true">IF(AH$5=0,AG31,MAX(0,(AG31-AH$4)*(1+NORMINV(RAND(),INPUTS!$B$28,INPUTS!$B$29))))</f>
        <v>3922949.72197779</v>
      </c>
      <c r="AI31" s="85" t="n">
        <f aca="true">IF(AI$5=0,AH31,MAX(0,(AH31-AI$4)*(1+NORMINV(RAND(),INPUTS!$B$28,INPUTS!$B$29))))</f>
        <v>3883747.18207672</v>
      </c>
      <c r="AJ31" s="85" t="n">
        <f aca="true">IF(AJ$5=0,AI31,MAX(0,(AI31-AJ$4)*(1+NORMINV(RAND(),INPUTS!$B$28,INPUTS!$B$29))))</f>
        <v>3691541.88264555</v>
      </c>
      <c r="AK31" s="85" t="n">
        <f aca="true">IF(AK$5=0,AJ31,MAX(0,(AJ31-AK$4)*(1+NORMINV(RAND(),INPUTS!$B$28,INPUTS!$B$29))))</f>
        <v>3827375.71595619</v>
      </c>
      <c r="AL31" s="85" t="n">
        <f aca="true">IF(AL$5=0,AK31,MAX(0,(AK31-AL$4)*(1+NORMINV(RAND(),INPUTS!$B$28,INPUTS!$B$29))))</f>
        <v>4015691.03550131</v>
      </c>
      <c r="AM31" s="85" t="n">
        <f aca="true">IF(AM$5=0,AL31,MAX(0,(AL31-AM$4)*(1+NORMINV(RAND(),INPUTS!$B$28,INPUTS!$B$29))))</f>
        <v>4015691.03550131</v>
      </c>
      <c r="AN31" s="85" t="n">
        <f aca="true">IF(AN$5=0,AM31,MAX(0,(AM31-AN$4)*(1+NORMINV(RAND(),INPUTS!$B$28,INPUTS!$B$29))))</f>
        <v>4015691.03550131</v>
      </c>
      <c r="AO31" s="85" t="n">
        <f aca="true">IF(AO$5=0,AN31,MAX(0,(AN31-AO$4)*(1+NORMINV(RAND(),INPUTS!$B$28,INPUTS!$B$29))))</f>
        <v>4015691.03550131</v>
      </c>
      <c r="AP31" s="85" t="n">
        <f aca="true">IF(AP$5=0,AO31,MAX(0,(AO31-AP$4)*(1+NORMINV(RAND(),INPUTS!$B$28,INPUTS!$B$29))))</f>
        <v>4015691.03550131</v>
      </c>
    </row>
    <row r="32" customFormat="false" ht="15" hidden="false" customHeight="true" outlineLevel="0" collapsed="false">
      <c r="A32" s="83" t="n">
        <v>25</v>
      </c>
      <c r="B32" s="84" t="n">
        <f aca="false">LOOKUP(9.99E+307,C32:AP32)</f>
        <v>6816200.77852959</v>
      </c>
      <c r="C32" s="85" t="n">
        <f aca="true">IF(C$5=0,INPUTS!$B$19,MAX(0,(INPUTS!$B$19-C$4)*(1+NORMINV(RAND(),INPUTS!$B$28,INPUTS!$B$29))))</f>
        <v>1199269.22548546</v>
      </c>
      <c r="D32" s="85" t="n">
        <f aca="true">IF(D$5=0,C32,MAX(0,(C32-D$4)*(1+NORMINV(RAND(),INPUTS!$B$28,INPUTS!$B$29))))</f>
        <v>1176643.9659317</v>
      </c>
      <c r="E32" s="85" t="n">
        <f aca="true">IF(E$5=0,D32,MAX(0,(D32-E$4)*(1+NORMINV(RAND(),INPUTS!$B$28,INPUTS!$B$29))))</f>
        <v>1463662.65538257</v>
      </c>
      <c r="F32" s="85" t="n">
        <f aca="true">IF(F$5=0,E32,MAX(0,(E32-F$4)*(1+NORMINV(RAND(),INPUTS!$B$28,INPUTS!$B$29))))</f>
        <v>1664459.53763677</v>
      </c>
      <c r="G32" s="85" t="n">
        <f aca="true">IF(G$5=0,F32,MAX(0,(F32-G$4)*(1+NORMINV(RAND(),INPUTS!$B$28,INPUTS!$B$29))))</f>
        <v>1808263.35334669</v>
      </c>
      <c r="H32" s="85" t="n">
        <f aca="true">IF(H$5=0,G32,MAX(0,(G32-H$4)*(1+NORMINV(RAND(),INPUTS!$B$28,INPUTS!$B$29))))</f>
        <v>1633952.87744059</v>
      </c>
      <c r="I32" s="85" t="n">
        <f aca="true">IF(I$5=0,H32,MAX(0,(H32-I$4)*(1+NORMINV(RAND(),INPUTS!$B$28,INPUTS!$B$29))))</f>
        <v>1835221.41516443</v>
      </c>
      <c r="J32" s="85" t="n">
        <f aca="true">IF(J$5=0,I32,MAX(0,(I32-J$4)*(1+NORMINV(RAND(),INPUTS!$B$28,INPUTS!$B$29))))</f>
        <v>1803764.29253979</v>
      </c>
      <c r="K32" s="85" t="n">
        <f aca="true">IF(K$5=0,J32,MAX(0,(J32-K$4)*(1+NORMINV(RAND(),INPUTS!$B$28,INPUTS!$B$29))))</f>
        <v>1902796.79828557</v>
      </c>
      <c r="L32" s="85" t="n">
        <f aca="true">IF(L$5=0,K32,MAX(0,(K32-L$4)*(1+NORMINV(RAND(),INPUTS!$B$28,INPUTS!$B$29))))</f>
        <v>2097787.92730726</v>
      </c>
      <c r="M32" s="85" t="n">
        <f aca="true">IF(M$5=0,L32,MAX(0,(L32-M$4)*(1+NORMINV(RAND(),INPUTS!$B$28,INPUTS!$B$29))))</f>
        <v>2025737.90840578</v>
      </c>
      <c r="N32" s="85" t="n">
        <f aca="true">IF(N$5=0,M32,MAX(0,(M32-N$4)*(1+NORMINV(RAND(),INPUTS!$B$28,INPUTS!$B$29))))</f>
        <v>2354034.51813141</v>
      </c>
      <c r="O32" s="85" t="n">
        <f aca="true">IF(O$5=0,N32,MAX(0,(N32-O$4)*(1+NORMINV(RAND(),INPUTS!$B$28,INPUTS!$B$29))))</f>
        <v>2383340.82136627</v>
      </c>
      <c r="P32" s="85" t="n">
        <f aca="true">IF(P$5=0,O32,MAX(0,(O32-P$4)*(1+NORMINV(RAND(),INPUTS!$B$28,INPUTS!$B$29))))</f>
        <v>2095140.09599004</v>
      </c>
      <c r="Q32" s="85" t="n">
        <f aca="true">IF(Q$5=0,P32,MAX(0,(P32-Q$4)*(1+NORMINV(RAND(),INPUTS!$B$28,INPUTS!$B$29))))</f>
        <v>2655579.57290849</v>
      </c>
      <c r="R32" s="85" t="n">
        <f aca="true">IF(R$5=0,Q32,MAX(0,(Q32-R$4)*(1+NORMINV(RAND(),INPUTS!$B$28,INPUTS!$B$29))))</f>
        <v>2364434.96607533</v>
      </c>
      <c r="S32" s="85" t="n">
        <f aca="true">IF(S$5=0,R32,MAX(0,(R32-S$4)*(1+NORMINV(RAND(),INPUTS!$B$28,INPUTS!$B$29))))</f>
        <v>3389659.1983092</v>
      </c>
      <c r="T32" s="85" t="n">
        <f aca="true">IF(T$5=0,S32,MAX(0,(S32-T$4)*(1+NORMINV(RAND(),INPUTS!$B$28,INPUTS!$B$29))))</f>
        <v>3480630.96927498</v>
      </c>
      <c r="U32" s="85" t="n">
        <f aca="true">IF(U$5=0,T32,MAX(0,(T32-U$4)*(1+NORMINV(RAND(),INPUTS!$B$28,INPUTS!$B$29))))</f>
        <v>3912730.5088458</v>
      </c>
      <c r="V32" s="85" t="n">
        <f aca="true">IF(V$5=0,U32,MAX(0,(U32-V$4)*(1+NORMINV(RAND(),INPUTS!$B$28,INPUTS!$B$29))))</f>
        <v>3299044.6993674</v>
      </c>
      <c r="W32" s="85" t="n">
        <f aca="true">IF(W$5=0,V32,MAX(0,(V32-W$4)*(1+NORMINV(RAND(),INPUTS!$B$28,INPUTS!$B$29))))</f>
        <v>4378710.86653848</v>
      </c>
      <c r="X32" s="85" t="n">
        <f aca="true">IF(X$5=0,W32,MAX(0,(W32-X$4)*(1+NORMINV(RAND(),INPUTS!$B$28,INPUTS!$B$29))))</f>
        <v>4496425.53112289</v>
      </c>
      <c r="Y32" s="85" t="n">
        <f aca="true">IF(Y$5=0,X32,MAX(0,(X32-Y$4)*(1+NORMINV(RAND(),INPUTS!$B$28,INPUTS!$B$29))))</f>
        <v>4533546.03242242</v>
      </c>
      <c r="Z32" s="85" t="n">
        <f aca="true">IF(Z$5=0,Y32,MAX(0,(Y32-Z$4)*(1+NORMINV(RAND(),INPUTS!$B$28,INPUTS!$B$29))))</f>
        <v>5138408.07630876</v>
      </c>
      <c r="AA32" s="85" t="n">
        <f aca="true">IF(AA$5=0,Z32,MAX(0,(Z32-AA$4)*(1+NORMINV(RAND(),INPUTS!$B$28,INPUTS!$B$29))))</f>
        <v>5696340.53552304</v>
      </c>
      <c r="AB32" s="85" t="n">
        <f aca="true">IF(AB$5=0,AA32,MAX(0,(AA32-AB$4)*(1+NORMINV(RAND(),INPUTS!$B$28,INPUTS!$B$29))))</f>
        <v>5460282.17815113</v>
      </c>
      <c r="AC32" s="85" t="n">
        <f aca="true">IF(AC$5=0,AB32,MAX(0,(AB32-AC$4)*(1+NORMINV(RAND(),INPUTS!$B$28,INPUTS!$B$29))))</f>
        <v>5260333.34458414</v>
      </c>
      <c r="AD32" s="85" t="n">
        <f aca="true">IF(AD$5=0,AC32,MAX(0,(AC32-AD$4)*(1+NORMINV(RAND(),INPUTS!$B$28,INPUTS!$B$29))))</f>
        <v>4933662.74420678</v>
      </c>
      <c r="AE32" s="85" t="n">
        <f aca="true">IF(AE$5=0,AD32,MAX(0,(AD32-AE$4)*(1+NORMINV(RAND(),INPUTS!$B$28,INPUTS!$B$29))))</f>
        <v>5338821.17049489</v>
      </c>
      <c r="AF32" s="85" t="n">
        <f aca="true">IF(AF$5=0,AE32,MAX(0,(AE32-AF$4)*(1+NORMINV(RAND(),INPUTS!$B$28,INPUTS!$B$29))))</f>
        <v>6406996.80879189</v>
      </c>
      <c r="AG32" s="85" t="n">
        <f aca="true">IF(AG$5=0,AF32,MAX(0,(AF32-AG$4)*(1+NORMINV(RAND(),INPUTS!$B$28,INPUTS!$B$29))))</f>
        <v>6612221.86854826</v>
      </c>
      <c r="AH32" s="85" t="n">
        <f aca="true">IF(AH$5=0,AG32,MAX(0,(AG32-AH$4)*(1+NORMINV(RAND(),INPUTS!$B$28,INPUTS!$B$29))))</f>
        <v>7460728.71598699</v>
      </c>
      <c r="AI32" s="85" t="n">
        <f aca="true">IF(AI$5=0,AH32,MAX(0,(AH32-AI$4)*(1+NORMINV(RAND(),INPUTS!$B$28,INPUTS!$B$29))))</f>
        <v>7623088.15327606</v>
      </c>
      <c r="AJ32" s="85" t="n">
        <f aca="true">IF(AJ$5=0,AI32,MAX(0,(AI32-AJ$4)*(1+NORMINV(RAND(),INPUTS!$B$28,INPUTS!$B$29))))</f>
        <v>7680465.5501813</v>
      </c>
      <c r="AK32" s="85" t="n">
        <f aca="true">IF(AK$5=0,AJ32,MAX(0,(AJ32-AK$4)*(1+NORMINV(RAND(),INPUTS!$B$28,INPUTS!$B$29))))</f>
        <v>7598332.79309116</v>
      </c>
      <c r="AL32" s="85" t="n">
        <f aca="true">IF(AL$5=0,AK32,MAX(0,(AK32-AL$4)*(1+NORMINV(RAND(),INPUTS!$B$28,INPUTS!$B$29))))</f>
        <v>6816200.77852959</v>
      </c>
      <c r="AM32" s="85" t="n">
        <f aca="true">IF(AM$5=0,AL32,MAX(0,(AL32-AM$4)*(1+NORMINV(RAND(),INPUTS!$B$28,INPUTS!$B$29))))</f>
        <v>6816200.77852959</v>
      </c>
      <c r="AN32" s="85" t="n">
        <f aca="true">IF(AN$5=0,AM32,MAX(0,(AM32-AN$4)*(1+NORMINV(RAND(),INPUTS!$B$28,INPUTS!$B$29))))</f>
        <v>6816200.77852959</v>
      </c>
      <c r="AO32" s="85" t="n">
        <f aca="true">IF(AO$5=0,AN32,MAX(0,(AN32-AO$4)*(1+NORMINV(RAND(),INPUTS!$B$28,INPUTS!$B$29))))</f>
        <v>6816200.77852959</v>
      </c>
      <c r="AP32" s="85" t="n">
        <f aca="true">IF(AP$5=0,AO32,MAX(0,(AO32-AP$4)*(1+NORMINV(RAND(),INPUTS!$B$28,INPUTS!$B$29))))</f>
        <v>6816200.77852959</v>
      </c>
    </row>
    <row r="33" customFormat="false" ht="15" hidden="false" customHeight="true" outlineLevel="0" collapsed="false">
      <c r="A33" s="83" t="n">
        <v>26</v>
      </c>
      <c r="B33" s="84" t="n">
        <f aca="false">LOOKUP(9.99E+307,C33:AP33)</f>
        <v>7495316.25857506</v>
      </c>
      <c r="C33" s="85" t="n">
        <f aca="true">IF(C$5=0,INPUTS!$B$19,MAX(0,(INPUTS!$B$19-C$4)*(1+NORMINV(RAND(),INPUTS!$B$28,INPUTS!$B$29))))</f>
        <v>1345982.80515466</v>
      </c>
      <c r="D33" s="85" t="n">
        <f aca="true">IF(D$5=0,C33,MAX(0,(C33-D$4)*(1+NORMINV(RAND(),INPUTS!$B$28,INPUTS!$B$29))))</f>
        <v>1409421.00739197</v>
      </c>
      <c r="E33" s="85" t="n">
        <f aca="true">IF(E$5=0,D33,MAX(0,(D33-E$4)*(1+NORMINV(RAND(),INPUTS!$B$28,INPUTS!$B$29))))</f>
        <v>1708414.91816412</v>
      </c>
      <c r="F33" s="85" t="n">
        <f aca="true">IF(F$5=0,E33,MAX(0,(E33-F$4)*(1+NORMINV(RAND(),INPUTS!$B$28,INPUTS!$B$29))))</f>
        <v>1831302.25610204</v>
      </c>
      <c r="G33" s="85" t="n">
        <f aca="true">IF(G$5=0,F33,MAX(0,(F33-G$4)*(1+NORMINV(RAND(),INPUTS!$B$28,INPUTS!$B$29))))</f>
        <v>1855394.12080152</v>
      </c>
      <c r="H33" s="85" t="n">
        <f aca="true">IF(H$5=0,G33,MAX(0,(G33-H$4)*(1+NORMINV(RAND(),INPUTS!$B$28,INPUTS!$B$29))))</f>
        <v>1894566.02224417</v>
      </c>
      <c r="I33" s="85" t="n">
        <f aca="true">IF(I$5=0,H33,MAX(0,(H33-I$4)*(1+NORMINV(RAND(),INPUTS!$B$28,INPUTS!$B$29))))</f>
        <v>2094962.56626499</v>
      </c>
      <c r="J33" s="85" t="n">
        <f aca="true">IF(J$5=0,I33,MAX(0,(I33-J$4)*(1+NORMINV(RAND(),INPUTS!$B$28,INPUTS!$B$29))))</f>
        <v>2059061.12439524</v>
      </c>
      <c r="K33" s="85" t="n">
        <f aca="true">IF(K$5=0,J33,MAX(0,(J33-K$4)*(1+NORMINV(RAND(),INPUTS!$B$28,INPUTS!$B$29))))</f>
        <v>2236578.44648087</v>
      </c>
      <c r="L33" s="85" t="n">
        <f aca="true">IF(L$5=0,K33,MAX(0,(K33-L$4)*(1+NORMINV(RAND(),INPUTS!$B$28,INPUTS!$B$29))))</f>
        <v>2294961.43328041</v>
      </c>
      <c r="M33" s="85" t="n">
        <f aca="true">IF(M$5=0,L33,MAX(0,(L33-M$4)*(1+NORMINV(RAND(),INPUTS!$B$28,INPUTS!$B$29))))</f>
        <v>2454831.09744616</v>
      </c>
      <c r="N33" s="85" t="n">
        <f aca="true">IF(N$5=0,M33,MAX(0,(M33-N$4)*(1+NORMINV(RAND(),INPUTS!$B$28,INPUTS!$B$29))))</f>
        <v>2657275.53828086</v>
      </c>
      <c r="O33" s="85" t="n">
        <f aca="true">IF(O$5=0,N33,MAX(0,(N33-O$4)*(1+NORMINV(RAND(),INPUTS!$B$28,INPUTS!$B$29))))</f>
        <v>2878423.37973192</v>
      </c>
      <c r="P33" s="85" t="n">
        <f aca="true">IF(P$5=0,O33,MAX(0,(O33-P$4)*(1+NORMINV(RAND(),INPUTS!$B$28,INPUTS!$B$29))))</f>
        <v>2888901.32828721</v>
      </c>
      <c r="Q33" s="85" t="n">
        <f aca="true">IF(Q$5=0,P33,MAX(0,(P33-Q$4)*(1+NORMINV(RAND(),INPUTS!$B$28,INPUTS!$B$29))))</f>
        <v>2829128.81369748</v>
      </c>
      <c r="R33" s="85" t="n">
        <f aca="true">IF(R$5=0,Q33,MAX(0,(Q33-R$4)*(1+NORMINV(RAND(),INPUTS!$B$28,INPUTS!$B$29))))</f>
        <v>2833707.88876561</v>
      </c>
      <c r="S33" s="85" t="n">
        <f aca="true">IF(S$5=0,R33,MAX(0,(R33-S$4)*(1+NORMINV(RAND(),INPUTS!$B$28,INPUTS!$B$29))))</f>
        <v>2598171.08096673</v>
      </c>
      <c r="T33" s="85" t="n">
        <f aca="true">IF(T$5=0,S33,MAX(0,(S33-T$4)*(1+NORMINV(RAND(),INPUTS!$B$28,INPUTS!$B$29))))</f>
        <v>2647082.33553731</v>
      </c>
      <c r="U33" s="85" t="n">
        <f aca="true">IF(U$5=0,T33,MAX(0,(T33-U$4)*(1+NORMINV(RAND(),INPUTS!$B$28,INPUTS!$B$29))))</f>
        <v>2887728.30311184</v>
      </c>
      <c r="V33" s="85" t="n">
        <f aca="true">IF(V$5=0,U33,MAX(0,(U33-V$4)*(1+NORMINV(RAND(),INPUTS!$B$28,INPUTS!$B$29))))</f>
        <v>3238296.56355674</v>
      </c>
      <c r="W33" s="85" t="n">
        <f aca="true">IF(W$5=0,V33,MAX(0,(V33-W$4)*(1+NORMINV(RAND(),INPUTS!$B$28,INPUTS!$B$29))))</f>
        <v>3608057.33968548</v>
      </c>
      <c r="X33" s="85" t="n">
        <f aca="true">IF(X$5=0,W33,MAX(0,(W33-X$4)*(1+NORMINV(RAND(),INPUTS!$B$28,INPUTS!$B$29))))</f>
        <v>3073441.29117492</v>
      </c>
      <c r="Y33" s="85" t="n">
        <f aca="true">IF(Y$5=0,X33,MAX(0,(X33-Y$4)*(1+NORMINV(RAND(),INPUTS!$B$28,INPUTS!$B$29))))</f>
        <v>3547620.27114269</v>
      </c>
      <c r="Z33" s="85" t="n">
        <f aca="true">IF(Z$5=0,Y33,MAX(0,(Y33-Z$4)*(1+NORMINV(RAND(),INPUTS!$B$28,INPUTS!$B$29))))</f>
        <v>4308394.27957624</v>
      </c>
      <c r="AA33" s="85" t="n">
        <f aca="true">IF(AA$5=0,Z33,MAX(0,(Z33-AA$4)*(1+NORMINV(RAND(),INPUTS!$B$28,INPUTS!$B$29))))</f>
        <v>5200705.87307991</v>
      </c>
      <c r="AB33" s="85" t="n">
        <f aca="true">IF(AB$5=0,AA33,MAX(0,(AA33-AB$4)*(1+NORMINV(RAND(),INPUTS!$B$28,INPUTS!$B$29))))</f>
        <v>7141775.77666031</v>
      </c>
      <c r="AC33" s="85" t="n">
        <f aca="true">IF(AC$5=0,AB33,MAX(0,(AB33-AC$4)*(1+NORMINV(RAND(),INPUTS!$B$28,INPUTS!$B$29))))</f>
        <v>6946618.45233885</v>
      </c>
      <c r="AD33" s="85" t="n">
        <f aca="true">IF(AD$5=0,AC33,MAX(0,(AC33-AD$4)*(1+NORMINV(RAND(),INPUTS!$B$28,INPUTS!$B$29))))</f>
        <v>6801135.22620307</v>
      </c>
      <c r="AE33" s="85" t="n">
        <f aca="true">IF(AE$5=0,AD33,MAX(0,(AD33-AE$4)*(1+NORMINV(RAND(),INPUTS!$B$28,INPUTS!$B$29))))</f>
        <v>7330353.58049819</v>
      </c>
      <c r="AF33" s="85" t="n">
        <f aca="true">IF(AF$5=0,AE33,MAX(0,(AE33-AF$4)*(1+NORMINV(RAND(),INPUTS!$B$28,INPUTS!$B$29))))</f>
        <v>8419463.99118451</v>
      </c>
      <c r="AG33" s="85" t="n">
        <f aca="true">IF(AG$5=0,AF33,MAX(0,(AF33-AG$4)*(1+NORMINV(RAND(),INPUTS!$B$28,INPUTS!$B$29))))</f>
        <v>9456445.30760084</v>
      </c>
      <c r="AH33" s="85" t="n">
        <f aca="true">IF(AH$5=0,AG33,MAX(0,(AG33-AH$4)*(1+NORMINV(RAND(),INPUTS!$B$28,INPUTS!$B$29))))</f>
        <v>10513105.7827786</v>
      </c>
      <c r="AI33" s="85" t="n">
        <f aca="true">IF(AI$5=0,AH33,MAX(0,(AH33-AI$4)*(1+NORMINV(RAND(),INPUTS!$B$28,INPUTS!$B$29))))</f>
        <v>8586149.21990857</v>
      </c>
      <c r="AJ33" s="85" t="n">
        <f aca="true">IF(AJ$5=0,AI33,MAX(0,(AI33-AJ$4)*(1+NORMINV(RAND(),INPUTS!$B$28,INPUTS!$B$29))))</f>
        <v>7952955.1423643</v>
      </c>
      <c r="AK33" s="85" t="n">
        <f aca="true">IF(AK$5=0,AJ33,MAX(0,(AJ33-AK$4)*(1+NORMINV(RAND(),INPUTS!$B$28,INPUTS!$B$29))))</f>
        <v>6254501.94309446</v>
      </c>
      <c r="AL33" s="85" t="n">
        <f aca="true">IF(AL$5=0,AK33,MAX(0,(AK33-AL$4)*(1+NORMINV(RAND(),INPUTS!$B$28,INPUTS!$B$29))))</f>
        <v>7495316.25857506</v>
      </c>
      <c r="AM33" s="85" t="n">
        <f aca="true">IF(AM$5=0,AL33,MAX(0,(AL33-AM$4)*(1+NORMINV(RAND(),INPUTS!$B$28,INPUTS!$B$29))))</f>
        <v>7495316.25857506</v>
      </c>
      <c r="AN33" s="85" t="n">
        <f aca="true">IF(AN$5=0,AM33,MAX(0,(AM33-AN$4)*(1+NORMINV(RAND(),INPUTS!$B$28,INPUTS!$B$29))))</f>
        <v>7495316.25857506</v>
      </c>
      <c r="AO33" s="85" t="n">
        <f aca="true">IF(AO$5=0,AN33,MAX(0,(AN33-AO$4)*(1+NORMINV(RAND(),INPUTS!$B$28,INPUTS!$B$29))))</f>
        <v>7495316.25857506</v>
      </c>
      <c r="AP33" s="85" t="n">
        <f aca="true">IF(AP$5=0,AO33,MAX(0,(AO33-AP$4)*(1+NORMINV(RAND(),INPUTS!$B$28,INPUTS!$B$29))))</f>
        <v>7495316.25857506</v>
      </c>
    </row>
    <row r="34" customFormat="false" ht="15" hidden="false" customHeight="true" outlineLevel="0" collapsed="false">
      <c r="A34" s="83" t="n">
        <v>27</v>
      </c>
      <c r="B34" s="84" t="n">
        <f aca="false">LOOKUP(9.99E+307,C34:AP34)</f>
        <v>0</v>
      </c>
      <c r="C34" s="85" t="n">
        <f aca="true">IF(C$5=0,INPUTS!$B$19,MAX(0,(INPUTS!$B$19-C$4)*(1+NORMINV(RAND(),INPUTS!$B$28,INPUTS!$B$29))))</f>
        <v>1033435.42262551</v>
      </c>
      <c r="D34" s="85" t="n">
        <f aca="true">IF(D$5=0,C34,MAX(0,(C34-D$4)*(1+NORMINV(RAND(),INPUTS!$B$28,INPUTS!$B$29))))</f>
        <v>1122559.52665297</v>
      </c>
      <c r="E34" s="85" t="n">
        <f aca="true">IF(E$5=0,D34,MAX(0,(D34-E$4)*(1+NORMINV(RAND(),INPUTS!$B$28,INPUTS!$B$29))))</f>
        <v>1053849.57391534</v>
      </c>
      <c r="F34" s="85" t="n">
        <f aca="true">IF(F$5=0,E34,MAX(0,(E34-F$4)*(1+NORMINV(RAND(),INPUTS!$B$28,INPUTS!$B$29))))</f>
        <v>879574.993994518</v>
      </c>
      <c r="G34" s="85" t="n">
        <f aca="true">IF(G$5=0,F34,MAX(0,(F34-G$4)*(1+NORMINV(RAND(),INPUTS!$B$28,INPUTS!$B$29))))</f>
        <v>897506.923877531</v>
      </c>
      <c r="H34" s="85" t="n">
        <f aca="true">IF(H$5=0,G34,MAX(0,(G34-H$4)*(1+NORMINV(RAND(),INPUTS!$B$28,INPUTS!$B$29))))</f>
        <v>829915.874377473</v>
      </c>
      <c r="I34" s="85" t="n">
        <f aca="true">IF(I$5=0,H34,MAX(0,(H34-I$4)*(1+NORMINV(RAND(),INPUTS!$B$28,INPUTS!$B$29))))</f>
        <v>943036.244640142</v>
      </c>
      <c r="J34" s="85" t="n">
        <f aca="true">IF(J$5=0,I34,MAX(0,(I34-J$4)*(1+NORMINV(RAND(),INPUTS!$B$28,INPUTS!$B$29))))</f>
        <v>858185.431494619</v>
      </c>
      <c r="K34" s="85" t="n">
        <f aca="true">IF(K$5=0,J34,MAX(0,(J34-K$4)*(1+NORMINV(RAND(),INPUTS!$B$28,INPUTS!$B$29))))</f>
        <v>839432.583064475</v>
      </c>
      <c r="L34" s="85" t="n">
        <f aca="true">IF(L$5=0,K34,MAX(0,(K34-L$4)*(1+NORMINV(RAND(),INPUTS!$B$28,INPUTS!$B$29))))</f>
        <v>1035523.94420273</v>
      </c>
      <c r="M34" s="85" t="n">
        <f aca="true">IF(M$5=0,L34,MAX(0,(L34-M$4)*(1+NORMINV(RAND(),INPUTS!$B$28,INPUTS!$B$29))))</f>
        <v>883596.749687114</v>
      </c>
      <c r="N34" s="85" t="n">
        <f aca="true">IF(N$5=0,M34,MAX(0,(M34-N$4)*(1+NORMINV(RAND(),INPUTS!$B$28,INPUTS!$B$29))))</f>
        <v>721688.112693631</v>
      </c>
      <c r="O34" s="85" t="n">
        <f aca="true">IF(O$5=0,N34,MAX(0,(N34-O$4)*(1+NORMINV(RAND(),INPUTS!$B$28,INPUTS!$B$29))))</f>
        <v>761536.462157649</v>
      </c>
      <c r="P34" s="85" t="n">
        <f aca="true">IF(P$5=0,O34,MAX(0,(O34-P$4)*(1+NORMINV(RAND(),INPUTS!$B$28,INPUTS!$B$29))))</f>
        <v>589851.537380328</v>
      </c>
      <c r="Q34" s="85" t="n">
        <f aca="true">IF(Q$5=0,P34,MAX(0,(P34-Q$4)*(1+NORMINV(RAND(),INPUTS!$B$28,INPUTS!$B$29))))</f>
        <v>604352.069985972</v>
      </c>
      <c r="R34" s="85" t="n">
        <f aca="true">IF(R$5=0,Q34,MAX(0,(Q34-R$4)*(1+NORMINV(RAND(),INPUTS!$B$28,INPUTS!$B$29))))</f>
        <v>605212.152724253</v>
      </c>
      <c r="S34" s="85" t="n">
        <f aca="true">IF(S$5=0,R34,MAX(0,(R34-S$4)*(1+NORMINV(RAND(),INPUTS!$B$28,INPUTS!$B$29))))</f>
        <v>568908.306297486</v>
      </c>
      <c r="T34" s="85" t="n">
        <f aca="true">IF(T$5=0,S34,MAX(0,(S34-T$4)*(1+NORMINV(RAND(),INPUTS!$B$28,INPUTS!$B$29))))</f>
        <v>602888.842956203</v>
      </c>
      <c r="U34" s="85" t="n">
        <f aca="true">IF(U$5=0,T34,MAX(0,(T34-U$4)*(1+NORMINV(RAND(),INPUTS!$B$28,INPUTS!$B$29))))</f>
        <v>595834.274493349</v>
      </c>
      <c r="V34" s="85" t="n">
        <f aca="true">IF(V$5=0,U34,MAX(0,(U34-V$4)*(1+NORMINV(RAND(),INPUTS!$B$28,INPUTS!$B$29))))</f>
        <v>638984.305434311</v>
      </c>
      <c r="W34" s="85" t="n">
        <f aca="true">IF(W$5=0,V34,MAX(0,(V34-W$4)*(1+NORMINV(RAND(),INPUTS!$B$28,INPUTS!$B$29))))</f>
        <v>663438.968124598</v>
      </c>
      <c r="X34" s="85" t="n">
        <f aca="true">IF(X$5=0,W34,MAX(0,(W34-X$4)*(1+NORMINV(RAND(),INPUTS!$B$28,INPUTS!$B$29))))</f>
        <v>653601.635605371</v>
      </c>
      <c r="Y34" s="85" t="n">
        <f aca="true">IF(Y$5=0,X34,MAX(0,(X34-Y$4)*(1+NORMINV(RAND(),INPUTS!$B$28,INPUTS!$B$29))))</f>
        <v>540164.797560853</v>
      </c>
      <c r="Z34" s="85" t="n">
        <f aca="true">IF(Z$5=0,Y34,MAX(0,(Y34-Z$4)*(1+NORMINV(RAND(),INPUTS!$B$28,INPUTS!$B$29))))</f>
        <v>449071.384318285</v>
      </c>
      <c r="AA34" s="85" t="n">
        <f aca="true">IF(AA$5=0,Z34,MAX(0,(Z34-AA$4)*(1+NORMINV(RAND(),INPUTS!$B$28,INPUTS!$B$29))))</f>
        <v>435247.902803241</v>
      </c>
      <c r="AB34" s="85" t="n">
        <f aca="true">IF(AB$5=0,AA34,MAX(0,(AA34-AB$4)*(1+NORMINV(RAND(),INPUTS!$B$28,INPUTS!$B$29))))</f>
        <v>336444.072521195</v>
      </c>
      <c r="AC34" s="85" t="n">
        <f aca="true">IF(AC$5=0,AB34,MAX(0,(AB34-AC$4)*(1+NORMINV(RAND(),INPUTS!$B$28,INPUTS!$B$29))))</f>
        <v>296036.937708023</v>
      </c>
      <c r="AD34" s="85" t="n">
        <f aca="true">IF(AD$5=0,AC34,MAX(0,(AC34-AD$4)*(1+NORMINV(RAND(),INPUTS!$B$28,INPUTS!$B$29))))</f>
        <v>210042.825463295</v>
      </c>
      <c r="AE34" s="85" t="n">
        <f aca="true">IF(AE$5=0,AD34,MAX(0,(AD34-AE$4)*(1+NORMINV(RAND(),INPUTS!$B$28,INPUTS!$B$29))))</f>
        <v>177567.632829275</v>
      </c>
      <c r="AF34" s="85" t="n">
        <f aca="true">IF(AF$5=0,AE34,MAX(0,(AE34-AF$4)*(1+NORMINV(RAND(),INPUTS!$B$28,INPUTS!$B$29))))</f>
        <v>121706.129061347</v>
      </c>
      <c r="AG34" s="85" t="n">
        <f aca="true">IF(AG$5=0,AF34,MAX(0,(AF34-AG$4)*(1+NORMINV(RAND(),INPUTS!$B$28,INPUTS!$B$29))))</f>
        <v>47440.8121705531</v>
      </c>
      <c r="AH34" s="85" t="n">
        <f aca="true">IF(AH$5=0,AG34,MAX(0,(AG34-AH$4)*(1+NORMINV(RAND(),INPUTS!$B$28,INPUTS!$B$29))))</f>
        <v>0</v>
      </c>
      <c r="AI34" s="85" t="n">
        <f aca="true">IF(AI$5=0,AH34,MAX(0,(AH34-AI$4)*(1+NORMINV(RAND(),INPUTS!$B$28,INPUTS!$B$29))))</f>
        <v>0</v>
      </c>
      <c r="AJ34" s="85" t="n">
        <f aca="true">IF(AJ$5=0,AI34,MAX(0,(AI34-AJ$4)*(1+NORMINV(RAND(),INPUTS!$B$28,INPUTS!$B$29))))</f>
        <v>0</v>
      </c>
      <c r="AK34" s="85" t="n">
        <f aca="true">IF(AK$5=0,AJ34,MAX(0,(AJ34-AK$4)*(1+NORMINV(RAND(),INPUTS!$B$28,INPUTS!$B$29))))</f>
        <v>0</v>
      </c>
      <c r="AL34" s="85" t="n">
        <f aca="true">IF(AL$5=0,AK34,MAX(0,(AK34-AL$4)*(1+NORMINV(RAND(),INPUTS!$B$28,INPUTS!$B$29))))</f>
        <v>0</v>
      </c>
      <c r="AM34" s="85" t="n">
        <f aca="true">IF(AM$5=0,AL34,MAX(0,(AL34-AM$4)*(1+NORMINV(RAND(),INPUTS!$B$28,INPUTS!$B$29))))</f>
        <v>0</v>
      </c>
      <c r="AN34" s="85" t="n">
        <f aca="true">IF(AN$5=0,AM34,MAX(0,(AM34-AN$4)*(1+NORMINV(RAND(),INPUTS!$B$28,INPUTS!$B$29))))</f>
        <v>0</v>
      </c>
      <c r="AO34" s="85" t="n">
        <f aca="true">IF(AO$5=0,AN34,MAX(0,(AN34-AO$4)*(1+NORMINV(RAND(),INPUTS!$B$28,INPUTS!$B$29))))</f>
        <v>0</v>
      </c>
      <c r="AP34" s="85" t="n">
        <f aca="true">IF(AP$5=0,AO34,MAX(0,(AO34-AP$4)*(1+NORMINV(RAND(),INPUTS!$B$28,INPUTS!$B$29))))</f>
        <v>0</v>
      </c>
    </row>
    <row r="35" customFormat="false" ht="15" hidden="false" customHeight="true" outlineLevel="0" collapsed="false">
      <c r="A35" s="83" t="n">
        <v>28</v>
      </c>
      <c r="B35" s="84" t="n">
        <f aca="false">LOOKUP(9.99E+307,C35:AP35)</f>
        <v>4119159.85347293</v>
      </c>
      <c r="C35" s="85" t="n">
        <f aca="true">IF(C$5=0,INPUTS!$B$19,MAX(0,(INPUTS!$B$19-C$4)*(1+NORMINV(RAND(),INPUTS!$B$28,INPUTS!$B$29))))</f>
        <v>1409227.64292068</v>
      </c>
      <c r="D35" s="85" t="n">
        <f aca="true">IF(D$5=0,C35,MAX(0,(C35-D$4)*(1+NORMINV(RAND(),INPUTS!$B$28,INPUTS!$B$29))))</f>
        <v>1227065.96120684</v>
      </c>
      <c r="E35" s="85" t="n">
        <f aca="true">IF(E$5=0,D35,MAX(0,(D35-E$4)*(1+NORMINV(RAND(),INPUTS!$B$28,INPUTS!$B$29))))</f>
        <v>1225978.43754639</v>
      </c>
      <c r="F35" s="85" t="n">
        <f aca="true">IF(F$5=0,E35,MAX(0,(E35-F$4)*(1+NORMINV(RAND(),INPUTS!$B$28,INPUTS!$B$29))))</f>
        <v>1295062.65135033</v>
      </c>
      <c r="G35" s="85" t="n">
        <f aca="true">IF(G$5=0,F35,MAX(0,(F35-G$4)*(1+NORMINV(RAND(),INPUTS!$B$28,INPUTS!$B$29))))</f>
        <v>1083066.0708137</v>
      </c>
      <c r="H35" s="85" t="n">
        <f aca="true">IF(H$5=0,G35,MAX(0,(G35-H$4)*(1+NORMINV(RAND(),INPUTS!$B$28,INPUTS!$B$29))))</f>
        <v>1185044.39401282</v>
      </c>
      <c r="I35" s="85" t="n">
        <f aca="true">IF(I$5=0,H35,MAX(0,(H35-I$4)*(1+NORMINV(RAND(),INPUTS!$B$28,INPUTS!$B$29))))</f>
        <v>1376982.60069281</v>
      </c>
      <c r="J35" s="85" t="n">
        <f aca="true">IF(J$5=0,I35,MAX(0,(I35-J$4)*(1+NORMINV(RAND(),INPUTS!$B$28,INPUTS!$B$29))))</f>
        <v>1196313.85880859</v>
      </c>
      <c r="K35" s="85" t="n">
        <f aca="true">IF(K$5=0,J35,MAX(0,(J35-K$4)*(1+NORMINV(RAND(),INPUTS!$B$28,INPUTS!$B$29))))</f>
        <v>1225535.44101092</v>
      </c>
      <c r="L35" s="85" t="n">
        <f aca="true">IF(L$5=0,K35,MAX(0,(K35-L$4)*(1+NORMINV(RAND(),INPUTS!$B$28,INPUTS!$B$29))))</f>
        <v>1173965.34244638</v>
      </c>
      <c r="M35" s="85" t="n">
        <f aca="true">IF(M$5=0,L35,MAX(0,(L35-M$4)*(1+NORMINV(RAND(),INPUTS!$B$28,INPUTS!$B$29))))</f>
        <v>1222905.61496857</v>
      </c>
      <c r="N35" s="85" t="n">
        <f aca="true">IF(N$5=0,M35,MAX(0,(M35-N$4)*(1+NORMINV(RAND(),INPUTS!$B$28,INPUTS!$B$29))))</f>
        <v>1467071.02699947</v>
      </c>
      <c r="O35" s="85" t="n">
        <f aca="true">IF(O$5=0,N35,MAX(0,(N35-O$4)*(1+NORMINV(RAND(),INPUTS!$B$28,INPUTS!$B$29))))</f>
        <v>1353561.19087653</v>
      </c>
      <c r="P35" s="85" t="n">
        <f aca="true">IF(P$5=0,O35,MAX(0,(O35-P$4)*(1+NORMINV(RAND(),INPUTS!$B$28,INPUTS!$B$29))))</f>
        <v>1839454.36434424</v>
      </c>
      <c r="Q35" s="85" t="n">
        <f aca="true">IF(Q$5=0,P35,MAX(0,(P35-Q$4)*(1+NORMINV(RAND(),INPUTS!$B$28,INPUTS!$B$29))))</f>
        <v>2241330.2602476</v>
      </c>
      <c r="R35" s="85" t="n">
        <f aca="true">IF(R$5=0,Q35,MAX(0,(Q35-R$4)*(1+NORMINV(RAND(),INPUTS!$B$28,INPUTS!$B$29))))</f>
        <v>1808204.21052324</v>
      </c>
      <c r="S35" s="85" t="n">
        <f aca="true">IF(S$5=0,R35,MAX(0,(R35-S$4)*(1+NORMINV(RAND(),INPUTS!$B$28,INPUTS!$B$29))))</f>
        <v>1805961.88032806</v>
      </c>
      <c r="T35" s="85" t="n">
        <f aca="true">IF(T$5=0,S35,MAX(0,(S35-T$4)*(1+NORMINV(RAND(),INPUTS!$B$28,INPUTS!$B$29))))</f>
        <v>1946049.62833515</v>
      </c>
      <c r="U35" s="85" t="n">
        <f aca="true">IF(U$5=0,T35,MAX(0,(T35-U$4)*(1+NORMINV(RAND(),INPUTS!$B$28,INPUTS!$B$29))))</f>
        <v>1924885.82331004</v>
      </c>
      <c r="V35" s="85" t="n">
        <f aca="true">IF(V$5=0,U35,MAX(0,(U35-V$4)*(1+NORMINV(RAND(),INPUTS!$B$28,INPUTS!$B$29))))</f>
        <v>2290871.00694872</v>
      </c>
      <c r="W35" s="85" t="n">
        <f aca="true">IF(W$5=0,V35,MAX(0,(V35-W$4)*(1+NORMINV(RAND(),INPUTS!$B$28,INPUTS!$B$29))))</f>
        <v>2355139.14488424</v>
      </c>
      <c r="X35" s="85" t="n">
        <f aca="true">IF(X$5=0,W35,MAX(0,(W35-X$4)*(1+NORMINV(RAND(),INPUTS!$B$28,INPUTS!$B$29))))</f>
        <v>2405646.24925741</v>
      </c>
      <c r="Y35" s="85" t="n">
        <f aca="true">IF(Y$5=0,X35,MAX(0,(X35-Y$4)*(1+NORMINV(RAND(),INPUTS!$B$28,INPUTS!$B$29))))</f>
        <v>2739315.41116363</v>
      </c>
      <c r="Z35" s="85" t="n">
        <f aca="true">IF(Z$5=0,Y35,MAX(0,(Y35-Z$4)*(1+NORMINV(RAND(),INPUTS!$B$28,INPUTS!$B$29))))</f>
        <v>2845496.40305906</v>
      </c>
      <c r="AA35" s="85" t="n">
        <f aca="true">IF(AA$5=0,Z35,MAX(0,(Z35-AA$4)*(1+NORMINV(RAND(),INPUTS!$B$28,INPUTS!$B$29))))</f>
        <v>2732487.15332318</v>
      </c>
      <c r="AB35" s="85" t="n">
        <f aca="true">IF(AB$5=0,AA35,MAX(0,(AA35-AB$4)*(1+NORMINV(RAND(),INPUTS!$B$28,INPUTS!$B$29))))</f>
        <v>2962814.09730653</v>
      </c>
      <c r="AC35" s="85" t="n">
        <f aca="true">IF(AC$5=0,AB35,MAX(0,(AB35-AC$4)*(1+NORMINV(RAND(),INPUTS!$B$28,INPUTS!$B$29))))</f>
        <v>2695629.64035835</v>
      </c>
      <c r="AD35" s="85" t="n">
        <f aca="true">IF(AD$5=0,AC35,MAX(0,(AC35-AD$4)*(1+NORMINV(RAND(),INPUTS!$B$28,INPUTS!$B$29))))</f>
        <v>2501674.79549781</v>
      </c>
      <c r="AE35" s="85" t="n">
        <f aca="true">IF(AE$5=0,AD35,MAX(0,(AD35-AE$4)*(1+NORMINV(RAND(),INPUTS!$B$28,INPUTS!$B$29))))</f>
        <v>2586318.18489875</v>
      </c>
      <c r="AF35" s="85" t="n">
        <f aca="true">IF(AF$5=0,AE35,MAX(0,(AE35-AF$4)*(1+NORMINV(RAND(),INPUTS!$B$28,INPUTS!$B$29))))</f>
        <v>3199579.36411438</v>
      </c>
      <c r="AG35" s="85" t="n">
        <f aca="true">IF(AG$5=0,AF35,MAX(0,(AF35-AG$4)*(1+NORMINV(RAND(),INPUTS!$B$28,INPUTS!$B$29))))</f>
        <v>3381363.90804397</v>
      </c>
      <c r="AH35" s="85" t="n">
        <f aca="true">IF(AH$5=0,AG35,MAX(0,(AG35-AH$4)*(1+NORMINV(RAND(),INPUTS!$B$28,INPUTS!$B$29))))</f>
        <v>3398051.77813994</v>
      </c>
      <c r="AI35" s="85" t="n">
        <f aca="true">IF(AI$5=0,AH35,MAX(0,(AH35-AI$4)*(1+NORMINV(RAND(),INPUTS!$B$28,INPUTS!$B$29))))</f>
        <v>3883039.19495089</v>
      </c>
      <c r="AJ35" s="85" t="n">
        <f aca="true">IF(AJ$5=0,AI35,MAX(0,(AI35-AJ$4)*(1+NORMINV(RAND(),INPUTS!$B$28,INPUTS!$B$29))))</f>
        <v>4070808.78052376</v>
      </c>
      <c r="AK35" s="85" t="n">
        <f aca="true">IF(AK$5=0,AJ35,MAX(0,(AJ35-AK$4)*(1+NORMINV(RAND(),INPUTS!$B$28,INPUTS!$B$29))))</f>
        <v>3725738.60093976</v>
      </c>
      <c r="AL35" s="85" t="n">
        <f aca="true">IF(AL$5=0,AK35,MAX(0,(AK35-AL$4)*(1+NORMINV(RAND(),INPUTS!$B$28,INPUTS!$B$29))))</f>
        <v>4119159.85347293</v>
      </c>
      <c r="AM35" s="85" t="n">
        <f aca="true">IF(AM$5=0,AL35,MAX(0,(AL35-AM$4)*(1+NORMINV(RAND(),INPUTS!$B$28,INPUTS!$B$29))))</f>
        <v>4119159.85347293</v>
      </c>
      <c r="AN35" s="85" t="n">
        <f aca="true">IF(AN$5=0,AM35,MAX(0,(AM35-AN$4)*(1+NORMINV(RAND(),INPUTS!$B$28,INPUTS!$B$29))))</f>
        <v>4119159.85347293</v>
      </c>
      <c r="AO35" s="85" t="n">
        <f aca="true">IF(AO$5=0,AN35,MAX(0,(AN35-AO$4)*(1+NORMINV(RAND(),INPUTS!$B$28,INPUTS!$B$29))))</f>
        <v>4119159.85347293</v>
      </c>
      <c r="AP35" s="85" t="n">
        <f aca="true">IF(AP$5=0,AO35,MAX(0,(AO35-AP$4)*(1+NORMINV(RAND(),INPUTS!$B$28,INPUTS!$B$29))))</f>
        <v>4119159.85347293</v>
      </c>
    </row>
    <row r="36" customFormat="false" ht="15" hidden="false" customHeight="true" outlineLevel="0" collapsed="false">
      <c r="A36" s="83" t="n">
        <v>29</v>
      </c>
      <c r="B36" s="84" t="n">
        <f aca="false">LOOKUP(9.99E+307,C36:AP36)</f>
        <v>1345712.97917278</v>
      </c>
      <c r="C36" s="85" t="n">
        <f aca="true">IF(C$5=0,INPUTS!$B$19,MAX(0,(INPUTS!$B$19-C$4)*(1+NORMINV(RAND(),INPUTS!$B$28,INPUTS!$B$29))))</f>
        <v>1037143.31885774</v>
      </c>
      <c r="D36" s="85" t="n">
        <f aca="true">IF(D$5=0,C36,MAX(0,(C36-D$4)*(1+NORMINV(RAND(),INPUTS!$B$28,INPUTS!$B$29))))</f>
        <v>1155359.52461441</v>
      </c>
      <c r="E36" s="85" t="n">
        <f aca="true">IF(E$5=0,D36,MAX(0,(D36-E$4)*(1+NORMINV(RAND(),INPUTS!$B$28,INPUTS!$B$29))))</f>
        <v>1198834.28459866</v>
      </c>
      <c r="F36" s="85" t="n">
        <f aca="true">IF(F$5=0,E36,MAX(0,(E36-F$4)*(1+NORMINV(RAND(),INPUTS!$B$28,INPUTS!$B$29))))</f>
        <v>1207116.33108654</v>
      </c>
      <c r="G36" s="85" t="n">
        <f aca="true">IF(G$5=0,F36,MAX(0,(F36-G$4)*(1+NORMINV(RAND(),INPUTS!$B$28,INPUTS!$B$29))))</f>
        <v>1213701.45355449</v>
      </c>
      <c r="H36" s="85" t="n">
        <f aca="true">IF(H$5=0,G36,MAX(0,(G36-H$4)*(1+NORMINV(RAND(),INPUTS!$B$28,INPUTS!$B$29))))</f>
        <v>1386516.65081191</v>
      </c>
      <c r="I36" s="85" t="n">
        <f aca="true">IF(I$5=0,H36,MAX(0,(H36-I$4)*(1+NORMINV(RAND(),INPUTS!$B$28,INPUTS!$B$29))))</f>
        <v>1250765.99702225</v>
      </c>
      <c r="J36" s="85" t="n">
        <f aca="true">IF(J$5=0,I36,MAX(0,(I36-J$4)*(1+NORMINV(RAND(),INPUTS!$B$28,INPUTS!$B$29))))</f>
        <v>1168328.59172332</v>
      </c>
      <c r="K36" s="85" t="n">
        <f aca="true">IF(K$5=0,J36,MAX(0,(J36-K$4)*(1+NORMINV(RAND(),INPUTS!$B$28,INPUTS!$B$29))))</f>
        <v>1184728.87027354</v>
      </c>
      <c r="L36" s="85" t="n">
        <f aca="true">IF(L$5=0,K36,MAX(0,(K36-L$4)*(1+NORMINV(RAND(),INPUTS!$B$28,INPUTS!$B$29))))</f>
        <v>1201648.71752478</v>
      </c>
      <c r="M36" s="85" t="n">
        <f aca="true">IF(M$5=0,L36,MAX(0,(L36-M$4)*(1+NORMINV(RAND(),INPUTS!$B$28,INPUTS!$B$29))))</f>
        <v>1139136.51061237</v>
      </c>
      <c r="N36" s="85" t="n">
        <f aca="true">IF(N$5=0,M36,MAX(0,(M36-N$4)*(1+NORMINV(RAND(),INPUTS!$B$28,INPUTS!$B$29))))</f>
        <v>1050611.52781103</v>
      </c>
      <c r="O36" s="85" t="n">
        <f aca="true">IF(O$5=0,N36,MAX(0,(N36-O$4)*(1+NORMINV(RAND(),INPUTS!$B$28,INPUTS!$B$29))))</f>
        <v>1179175.16510961</v>
      </c>
      <c r="P36" s="85" t="n">
        <f aca="true">IF(P$5=0,O36,MAX(0,(O36-P$4)*(1+NORMINV(RAND(),INPUTS!$B$28,INPUTS!$B$29))))</f>
        <v>1005756.35585597</v>
      </c>
      <c r="Q36" s="85" t="n">
        <f aca="true">IF(Q$5=0,P36,MAX(0,(P36-Q$4)*(1+NORMINV(RAND(),INPUTS!$B$28,INPUTS!$B$29))))</f>
        <v>1345721.53797759</v>
      </c>
      <c r="R36" s="85" t="n">
        <f aca="true">IF(R$5=0,Q36,MAX(0,(Q36-R$4)*(1+NORMINV(RAND(),INPUTS!$B$28,INPUTS!$B$29))))</f>
        <v>1581050.21857198</v>
      </c>
      <c r="S36" s="85" t="n">
        <f aca="true">IF(S$5=0,R36,MAX(0,(R36-S$4)*(1+NORMINV(RAND(),INPUTS!$B$28,INPUTS!$B$29))))</f>
        <v>1400425.7319991</v>
      </c>
      <c r="T36" s="85" t="n">
        <f aca="true">IF(T$5=0,S36,MAX(0,(S36-T$4)*(1+NORMINV(RAND(),INPUTS!$B$28,INPUTS!$B$29))))</f>
        <v>1254135.01615614</v>
      </c>
      <c r="U36" s="85" t="n">
        <f aca="true">IF(U$5=0,T36,MAX(0,(T36-U$4)*(1+NORMINV(RAND(),INPUTS!$B$28,INPUTS!$B$29))))</f>
        <v>1227191.54262589</v>
      </c>
      <c r="V36" s="85" t="n">
        <f aca="true">IF(V$5=0,U36,MAX(0,(U36-V$4)*(1+NORMINV(RAND(),INPUTS!$B$28,INPUTS!$B$29))))</f>
        <v>1252879.77616175</v>
      </c>
      <c r="W36" s="85" t="n">
        <f aca="true">IF(W$5=0,V36,MAX(0,(V36-W$4)*(1+NORMINV(RAND(),INPUTS!$B$28,INPUTS!$B$29))))</f>
        <v>1133241.72910212</v>
      </c>
      <c r="X36" s="85" t="n">
        <f aca="true">IF(X$5=0,W36,MAX(0,(W36-X$4)*(1+NORMINV(RAND(),INPUTS!$B$28,INPUTS!$B$29))))</f>
        <v>1058459.40321353</v>
      </c>
      <c r="Y36" s="85" t="n">
        <f aca="true">IF(Y$5=0,X36,MAX(0,(X36-Y$4)*(1+NORMINV(RAND(),INPUTS!$B$28,INPUTS!$B$29))))</f>
        <v>1064005.50888072</v>
      </c>
      <c r="Z36" s="85" t="n">
        <f aca="true">IF(Z$5=0,Y36,MAX(0,(Y36-Z$4)*(1+NORMINV(RAND(),INPUTS!$B$28,INPUTS!$B$29))))</f>
        <v>1265319.82445363</v>
      </c>
      <c r="AA36" s="85" t="n">
        <f aca="true">IF(AA$5=0,Z36,MAX(0,(Z36-AA$4)*(1+NORMINV(RAND(),INPUTS!$B$28,INPUTS!$B$29))))</f>
        <v>1322278.38756822</v>
      </c>
      <c r="AB36" s="85" t="n">
        <f aca="true">IF(AB$5=0,AA36,MAX(0,(AA36-AB$4)*(1+NORMINV(RAND(),INPUTS!$B$28,INPUTS!$B$29))))</f>
        <v>1277304.75666544</v>
      </c>
      <c r="AC36" s="85" t="n">
        <f aca="true">IF(AC$5=0,AB36,MAX(0,(AB36-AC$4)*(1+NORMINV(RAND(),INPUTS!$B$28,INPUTS!$B$29))))</f>
        <v>1344506.0084023</v>
      </c>
      <c r="AD36" s="85" t="n">
        <f aca="true">IF(AD$5=0,AC36,MAX(0,(AC36-AD$4)*(1+NORMINV(RAND(),INPUTS!$B$28,INPUTS!$B$29))))</f>
        <v>1345651.63697248</v>
      </c>
      <c r="AE36" s="85" t="n">
        <f aca="true">IF(AE$5=0,AD36,MAX(0,(AD36-AE$4)*(1+NORMINV(RAND(),INPUTS!$B$28,INPUTS!$B$29))))</f>
        <v>1161009.38020677</v>
      </c>
      <c r="AF36" s="85" t="n">
        <f aca="true">IF(AF$5=0,AE36,MAX(0,(AE36-AF$4)*(1+NORMINV(RAND(),INPUTS!$B$28,INPUTS!$B$29))))</f>
        <v>1052116.71815005</v>
      </c>
      <c r="AG36" s="85" t="n">
        <f aca="true">IF(AG$5=0,AF36,MAX(0,(AF36-AG$4)*(1+NORMINV(RAND(),INPUTS!$B$28,INPUTS!$B$29))))</f>
        <v>1123624.99731619</v>
      </c>
      <c r="AH36" s="85" t="n">
        <f aca="true">IF(AH$5=0,AG36,MAX(0,(AG36-AH$4)*(1+NORMINV(RAND(),INPUTS!$B$28,INPUTS!$B$29))))</f>
        <v>1237477.73083192</v>
      </c>
      <c r="AI36" s="85" t="n">
        <f aca="true">IF(AI$5=0,AH36,MAX(0,(AH36-AI$4)*(1+NORMINV(RAND(),INPUTS!$B$28,INPUTS!$B$29))))</f>
        <v>1128139.71999149</v>
      </c>
      <c r="AJ36" s="85" t="n">
        <f aca="true">IF(AJ$5=0,AI36,MAX(0,(AI36-AJ$4)*(1+NORMINV(RAND(),INPUTS!$B$28,INPUTS!$B$29))))</f>
        <v>1247141.84301326</v>
      </c>
      <c r="AK36" s="85" t="n">
        <f aca="true">IF(AK$5=0,AJ36,MAX(0,(AJ36-AK$4)*(1+NORMINV(RAND(),INPUTS!$B$28,INPUTS!$B$29))))</f>
        <v>1377898.01808914</v>
      </c>
      <c r="AL36" s="85" t="n">
        <f aca="true">IF(AL$5=0,AK36,MAX(0,(AK36-AL$4)*(1+NORMINV(RAND(),INPUTS!$B$28,INPUTS!$B$29))))</f>
        <v>1345712.97917278</v>
      </c>
      <c r="AM36" s="85" t="n">
        <f aca="true">IF(AM$5=0,AL36,MAX(0,(AL36-AM$4)*(1+NORMINV(RAND(),INPUTS!$B$28,INPUTS!$B$29))))</f>
        <v>1345712.97917278</v>
      </c>
      <c r="AN36" s="85" t="n">
        <f aca="true">IF(AN$5=0,AM36,MAX(0,(AM36-AN$4)*(1+NORMINV(RAND(),INPUTS!$B$28,INPUTS!$B$29))))</f>
        <v>1345712.97917278</v>
      </c>
      <c r="AO36" s="85" t="n">
        <f aca="true">IF(AO$5=0,AN36,MAX(0,(AN36-AO$4)*(1+NORMINV(RAND(),INPUTS!$B$28,INPUTS!$B$29))))</f>
        <v>1345712.97917278</v>
      </c>
      <c r="AP36" s="85" t="n">
        <f aca="true">IF(AP$5=0,AO36,MAX(0,(AO36-AP$4)*(1+NORMINV(RAND(),INPUTS!$B$28,INPUTS!$B$29))))</f>
        <v>1345712.97917278</v>
      </c>
    </row>
    <row r="37" customFormat="false" ht="15" hidden="false" customHeight="true" outlineLevel="0" collapsed="false">
      <c r="A37" s="83" t="n">
        <v>30</v>
      </c>
      <c r="B37" s="84" t="n">
        <f aca="false">LOOKUP(9.99E+307,C37:AP37)</f>
        <v>4807659.28300678</v>
      </c>
      <c r="C37" s="85" t="n">
        <f aca="true">IF(C$5=0,INPUTS!$B$19,MAX(0,(INPUTS!$B$19-C$4)*(1+NORMINV(RAND(),INPUTS!$B$28,INPUTS!$B$29))))</f>
        <v>1256496.61076499</v>
      </c>
      <c r="D37" s="85" t="n">
        <f aca="true">IF(D$5=0,C37,MAX(0,(C37-D$4)*(1+NORMINV(RAND(),INPUTS!$B$28,INPUTS!$B$29))))</f>
        <v>1340236.29585038</v>
      </c>
      <c r="E37" s="85" t="n">
        <f aca="true">IF(E$5=0,D37,MAX(0,(D37-E$4)*(1+NORMINV(RAND(),INPUTS!$B$28,INPUTS!$B$29))))</f>
        <v>1420562.17381075</v>
      </c>
      <c r="F37" s="85" t="n">
        <f aca="true">IF(F$5=0,E37,MAX(0,(E37-F$4)*(1+NORMINV(RAND(),INPUTS!$B$28,INPUTS!$B$29))))</f>
        <v>1727725.52376913</v>
      </c>
      <c r="G37" s="85" t="n">
        <f aca="true">IF(G$5=0,F37,MAX(0,(F37-G$4)*(1+NORMINV(RAND(),INPUTS!$B$28,INPUTS!$B$29))))</f>
        <v>1633603.67674227</v>
      </c>
      <c r="H37" s="85" t="n">
        <f aca="true">IF(H$5=0,G37,MAX(0,(G37-H$4)*(1+NORMINV(RAND(),INPUTS!$B$28,INPUTS!$B$29))))</f>
        <v>1522563.15380922</v>
      </c>
      <c r="I37" s="85" t="n">
        <f aca="true">IF(I$5=0,H37,MAX(0,(H37-I$4)*(1+NORMINV(RAND(),INPUTS!$B$28,INPUTS!$B$29))))</f>
        <v>1345843.52802047</v>
      </c>
      <c r="J37" s="85" t="n">
        <f aca="true">IF(J$5=0,I37,MAX(0,(I37-J$4)*(1+NORMINV(RAND(),INPUTS!$B$28,INPUTS!$B$29))))</f>
        <v>1265692.01741164</v>
      </c>
      <c r="K37" s="85" t="n">
        <f aca="true">IF(K$5=0,J37,MAX(0,(J37-K$4)*(1+NORMINV(RAND(),INPUTS!$B$28,INPUTS!$B$29))))</f>
        <v>1418469.98443467</v>
      </c>
      <c r="L37" s="85" t="n">
        <f aca="true">IF(L$5=0,K37,MAX(0,(K37-L$4)*(1+NORMINV(RAND(),INPUTS!$B$28,INPUTS!$B$29))))</f>
        <v>1383870.91699571</v>
      </c>
      <c r="M37" s="85" t="n">
        <f aca="true">IF(M$5=0,L37,MAX(0,(L37-M$4)*(1+NORMINV(RAND(),INPUTS!$B$28,INPUTS!$B$29))))</f>
        <v>1543840.86384688</v>
      </c>
      <c r="N37" s="85" t="n">
        <f aca="true">IF(N$5=0,M37,MAX(0,(M37-N$4)*(1+NORMINV(RAND(),INPUTS!$B$28,INPUTS!$B$29))))</f>
        <v>1407058.58582357</v>
      </c>
      <c r="O37" s="85" t="n">
        <f aca="true">IF(O$5=0,N37,MAX(0,(N37-O$4)*(1+NORMINV(RAND(),INPUTS!$B$28,INPUTS!$B$29))))</f>
        <v>1049119.34472151</v>
      </c>
      <c r="P37" s="85" t="n">
        <f aca="true">IF(P$5=0,O37,MAX(0,(O37-P$4)*(1+NORMINV(RAND(),INPUTS!$B$28,INPUTS!$B$29))))</f>
        <v>1208172.49049177</v>
      </c>
      <c r="Q37" s="85" t="n">
        <f aca="true">IF(Q$5=0,P37,MAX(0,(P37-Q$4)*(1+NORMINV(RAND(),INPUTS!$B$28,INPUTS!$B$29))))</f>
        <v>1302364.04538339</v>
      </c>
      <c r="R37" s="85" t="n">
        <f aca="true">IF(R$5=0,Q37,MAX(0,(Q37-R$4)*(1+NORMINV(RAND(),INPUTS!$B$28,INPUTS!$B$29))))</f>
        <v>1304954.67919393</v>
      </c>
      <c r="S37" s="85" t="n">
        <f aca="true">IF(S$5=0,R37,MAX(0,(R37-S$4)*(1+NORMINV(RAND(),INPUTS!$B$28,INPUTS!$B$29))))</f>
        <v>1346790.05478124</v>
      </c>
      <c r="T37" s="85" t="n">
        <f aca="true">IF(T$5=0,S37,MAX(0,(S37-T$4)*(1+NORMINV(RAND(),INPUTS!$B$28,INPUTS!$B$29))))</f>
        <v>1670199.04398217</v>
      </c>
      <c r="U37" s="85" t="n">
        <f aca="true">IF(U$5=0,T37,MAX(0,(T37-U$4)*(1+NORMINV(RAND(),INPUTS!$B$28,INPUTS!$B$29))))</f>
        <v>1634078.53568436</v>
      </c>
      <c r="V37" s="85" t="n">
        <f aca="true">IF(V$5=0,U37,MAX(0,(U37-V$4)*(1+NORMINV(RAND(),INPUTS!$B$28,INPUTS!$B$29))))</f>
        <v>1781178.67177367</v>
      </c>
      <c r="W37" s="85" t="n">
        <f aca="true">IF(W$5=0,V37,MAX(0,(V37-W$4)*(1+NORMINV(RAND(),INPUTS!$B$28,INPUTS!$B$29))))</f>
        <v>1517012.46630882</v>
      </c>
      <c r="X37" s="85" t="n">
        <f aca="true">IF(X$5=0,W37,MAX(0,(W37-X$4)*(1+NORMINV(RAND(),INPUTS!$B$28,INPUTS!$B$29))))</f>
        <v>1864420.7917478</v>
      </c>
      <c r="Y37" s="85" t="n">
        <f aca="true">IF(Y$5=0,X37,MAX(0,(X37-Y$4)*(1+NORMINV(RAND(),INPUTS!$B$28,INPUTS!$B$29))))</f>
        <v>1880784.53501524</v>
      </c>
      <c r="Z37" s="85" t="n">
        <f aca="true">IF(Z$5=0,Y37,MAX(0,(Y37-Z$4)*(1+NORMINV(RAND(),INPUTS!$B$28,INPUTS!$B$29))))</f>
        <v>2039118.98050027</v>
      </c>
      <c r="AA37" s="85" t="n">
        <f aca="true">IF(AA$5=0,Z37,MAX(0,(Z37-AA$4)*(1+NORMINV(RAND(),INPUTS!$B$28,INPUTS!$B$29))))</f>
        <v>2587923.37408539</v>
      </c>
      <c r="AB37" s="85" t="n">
        <f aca="true">IF(AB$5=0,AA37,MAX(0,(AA37-AB$4)*(1+NORMINV(RAND(),INPUTS!$B$28,INPUTS!$B$29))))</f>
        <v>2680099.16652063</v>
      </c>
      <c r="AC37" s="85" t="n">
        <f aca="true">IF(AC$5=0,AB37,MAX(0,(AB37-AC$4)*(1+NORMINV(RAND(),INPUTS!$B$28,INPUTS!$B$29))))</f>
        <v>2637749.91125809</v>
      </c>
      <c r="AD37" s="85" t="n">
        <f aca="true">IF(AD$5=0,AC37,MAX(0,(AC37-AD$4)*(1+NORMINV(RAND(),INPUTS!$B$28,INPUTS!$B$29))))</f>
        <v>2573431.26098549</v>
      </c>
      <c r="AE37" s="85" t="n">
        <f aca="true">IF(AE$5=0,AD37,MAX(0,(AD37-AE$4)*(1+NORMINV(RAND(),INPUTS!$B$28,INPUTS!$B$29))))</f>
        <v>3155127.79288161</v>
      </c>
      <c r="AF37" s="85" t="n">
        <f aca="true">IF(AF$5=0,AE37,MAX(0,(AE37-AF$4)*(1+NORMINV(RAND(),INPUTS!$B$28,INPUTS!$B$29))))</f>
        <v>3680012.2268611</v>
      </c>
      <c r="AG37" s="85" t="n">
        <f aca="true">IF(AG$5=0,AF37,MAX(0,(AF37-AG$4)*(1+NORMINV(RAND(),INPUTS!$B$28,INPUTS!$B$29))))</f>
        <v>3160640.62191836</v>
      </c>
      <c r="AH37" s="85" t="n">
        <f aca="true">IF(AH$5=0,AG37,MAX(0,(AG37-AH$4)*(1+NORMINV(RAND(),INPUTS!$B$28,INPUTS!$B$29))))</f>
        <v>3781139.40205931</v>
      </c>
      <c r="AI37" s="85" t="n">
        <f aca="true">IF(AI$5=0,AH37,MAX(0,(AH37-AI$4)*(1+NORMINV(RAND(),INPUTS!$B$28,INPUTS!$B$29))))</f>
        <v>4422303.6406011</v>
      </c>
      <c r="AJ37" s="85" t="n">
        <f aca="true">IF(AJ$5=0,AI37,MAX(0,(AI37-AJ$4)*(1+NORMINV(RAND(),INPUTS!$B$28,INPUTS!$B$29))))</f>
        <v>5331773.72092725</v>
      </c>
      <c r="AK37" s="85" t="n">
        <f aca="true">IF(AK$5=0,AJ37,MAX(0,(AJ37-AK$4)*(1+NORMINV(RAND(),INPUTS!$B$28,INPUTS!$B$29))))</f>
        <v>4236207.89989205</v>
      </c>
      <c r="AL37" s="85" t="n">
        <f aca="true">IF(AL$5=0,AK37,MAX(0,(AK37-AL$4)*(1+NORMINV(RAND(),INPUTS!$B$28,INPUTS!$B$29))))</f>
        <v>4807659.28300678</v>
      </c>
      <c r="AM37" s="85" t="n">
        <f aca="true">IF(AM$5=0,AL37,MAX(0,(AL37-AM$4)*(1+NORMINV(RAND(),INPUTS!$B$28,INPUTS!$B$29))))</f>
        <v>4807659.28300678</v>
      </c>
      <c r="AN37" s="85" t="n">
        <f aca="true">IF(AN$5=0,AM37,MAX(0,(AM37-AN$4)*(1+NORMINV(RAND(),INPUTS!$B$28,INPUTS!$B$29))))</f>
        <v>4807659.28300678</v>
      </c>
      <c r="AO37" s="85" t="n">
        <f aca="true">IF(AO$5=0,AN37,MAX(0,(AN37-AO$4)*(1+NORMINV(RAND(),INPUTS!$B$28,INPUTS!$B$29))))</f>
        <v>4807659.28300678</v>
      </c>
      <c r="AP37" s="85" t="n">
        <f aca="true">IF(AP$5=0,AO37,MAX(0,(AO37-AP$4)*(1+NORMINV(RAND(),INPUTS!$B$28,INPUTS!$B$29))))</f>
        <v>4807659.28300678</v>
      </c>
    </row>
    <row r="38" customFormat="false" ht="15" hidden="false" customHeight="true" outlineLevel="0" collapsed="false">
      <c r="A38" s="83" t="n">
        <v>31</v>
      </c>
      <c r="B38" s="84" t="n">
        <f aca="false">LOOKUP(9.99E+307,C38:AP38)</f>
        <v>1835599.17525442</v>
      </c>
      <c r="C38" s="85" t="n">
        <f aca="true">IF(C$5=0,INPUTS!$B$19,MAX(0,(INPUTS!$B$19-C$4)*(1+NORMINV(RAND(),INPUTS!$B$28,INPUTS!$B$29))))</f>
        <v>1186065.04482631</v>
      </c>
      <c r="D38" s="85" t="n">
        <f aca="true">IF(D$5=0,C38,MAX(0,(C38-D$4)*(1+NORMINV(RAND(),INPUTS!$B$28,INPUTS!$B$29))))</f>
        <v>1314577.71877326</v>
      </c>
      <c r="E38" s="85" t="n">
        <f aca="true">IF(E$5=0,D38,MAX(0,(D38-E$4)*(1+NORMINV(RAND(),INPUTS!$B$28,INPUTS!$B$29))))</f>
        <v>1126208.52766859</v>
      </c>
      <c r="F38" s="85" t="n">
        <f aca="true">IF(F$5=0,E38,MAX(0,(E38-F$4)*(1+NORMINV(RAND(),INPUTS!$B$28,INPUTS!$B$29))))</f>
        <v>1063524.33921073</v>
      </c>
      <c r="G38" s="85" t="n">
        <f aca="true">IF(G$5=0,F38,MAX(0,(F38-G$4)*(1+NORMINV(RAND(),INPUTS!$B$28,INPUTS!$B$29))))</f>
        <v>1100941.75275742</v>
      </c>
      <c r="H38" s="85" t="n">
        <f aca="true">IF(H$5=0,G38,MAX(0,(G38-H$4)*(1+NORMINV(RAND(),INPUTS!$B$28,INPUTS!$B$29))))</f>
        <v>1225866.22642348</v>
      </c>
      <c r="I38" s="85" t="n">
        <f aca="true">IF(I$5=0,H38,MAX(0,(H38-I$4)*(1+NORMINV(RAND(),INPUTS!$B$28,INPUTS!$B$29))))</f>
        <v>1043353.72932754</v>
      </c>
      <c r="J38" s="85" t="n">
        <f aca="true">IF(J$5=0,I38,MAX(0,(I38-J$4)*(1+NORMINV(RAND(),INPUTS!$B$28,INPUTS!$B$29))))</f>
        <v>1089569.21659949</v>
      </c>
      <c r="K38" s="85" t="n">
        <f aca="true">IF(K$5=0,J38,MAX(0,(J38-K$4)*(1+NORMINV(RAND(),INPUTS!$B$28,INPUTS!$B$29))))</f>
        <v>1190984.14238467</v>
      </c>
      <c r="L38" s="85" t="n">
        <f aca="true">IF(L$5=0,K38,MAX(0,(K38-L$4)*(1+NORMINV(RAND(),INPUTS!$B$28,INPUTS!$B$29))))</f>
        <v>1105961.41213144</v>
      </c>
      <c r="M38" s="85" t="n">
        <f aca="true">IF(M$5=0,L38,MAX(0,(L38-M$4)*(1+NORMINV(RAND(),INPUTS!$B$28,INPUTS!$B$29))))</f>
        <v>1179937.63710774</v>
      </c>
      <c r="N38" s="85" t="n">
        <f aca="true">IF(N$5=0,M38,MAX(0,(M38-N$4)*(1+NORMINV(RAND(),INPUTS!$B$28,INPUTS!$B$29))))</f>
        <v>1244240.31754307</v>
      </c>
      <c r="O38" s="85" t="n">
        <f aca="true">IF(O$5=0,N38,MAX(0,(N38-O$4)*(1+NORMINV(RAND(),INPUTS!$B$28,INPUTS!$B$29))))</f>
        <v>1262579.93665387</v>
      </c>
      <c r="P38" s="85" t="n">
        <f aca="true">IF(P$5=0,O38,MAX(0,(O38-P$4)*(1+NORMINV(RAND(),INPUTS!$B$28,INPUTS!$B$29))))</f>
        <v>1381378.49050463</v>
      </c>
      <c r="Q38" s="85" t="n">
        <f aca="true">IF(Q$5=0,P38,MAX(0,(P38-Q$4)*(1+NORMINV(RAND(),INPUTS!$B$28,INPUTS!$B$29))))</f>
        <v>1587079.68818532</v>
      </c>
      <c r="R38" s="85" t="n">
        <f aca="true">IF(R$5=0,Q38,MAX(0,(Q38-R$4)*(1+NORMINV(RAND(),INPUTS!$B$28,INPUTS!$B$29))))</f>
        <v>1494138.23655897</v>
      </c>
      <c r="S38" s="85" t="n">
        <f aca="true">IF(S$5=0,R38,MAX(0,(R38-S$4)*(1+NORMINV(RAND(),INPUTS!$B$28,INPUTS!$B$29))))</f>
        <v>1711474.85879282</v>
      </c>
      <c r="T38" s="85" t="n">
        <f aca="true">IF(T$5=0,S38,MAX(0,(S38-T$4)*(1+NORMINV(RAND(),INPUTS!$B$28,INPUTS!$B$29))))</f>
        <v>1800658.0593976</v>
      </c>
      <c r="U38" s="85" t="n">
        <f aca="true">IF(U$5=0,T38,MAX(0,(T38-U$4)*(1+NORMINV(RAND(),INPUTS!$B$28,INPUTS!$B$29))))</f>
        <v>2065505.2529997</v>
      </c>
      <c r="V38" s="85" t="n">
        <f aca="true">IF(V$5=0,U38,MAX(0,(U38-V$4)*(1+NORMINV(RAND(),INPUTS!$B$28,INPUTS!$B$29))))</f>
        <v>1885183.65731435</v>
      </c>
      <c r="W38" s="85" t="n">
        <f aca="true">IF(W$5=0,V38,MAX(0,(V38-W$4)*(1+NORMINV(RAND(),INPUTS!$B$28,INPUTS!$B$29))))</f>
        <v>1928287.32129296</v>
      </c>
      <c r="X38" s="85" t="n">
        <f aca="true">IF(X$5=0,W38,MAX(0,(W38-X$4)*(1+NORMINV(RAND(),INPUTS!$B$28,INPUTS!$B$29))))</f>
        <v>2259809.91288888</v>
      </c>
      <c r="Y38" s="85" t="n">
        <f aca="true">IF(Y$5=0,X38,MAX(0,(X38-Y$4)*(1+NORMINV(RAND(),INPUTS!$B$28,INPUTS!$B$29))))</f>
        <v>2355087.81177836</v>
      </c>
      <c r="Z38" s="85" t="n">
        <f aca="true">IF(Z$5=0,Y38,MAX(0,(Y38-Z$4)*(1+NORMINV(RAND(),INPUTS!$B$28,INPUTS!$B$29))))</f>
        <v>2449167.22958896</v>
      </c>
      <c r="AA38" s="85" t="n">
        <f aca="true">IF(AA$5=0,Z38,MAX(0,(Z38-AA$4)*(1+NORMINV(RAND(),INPUTS!$B$28,INPUTS!$B$29))))</f>
        <v>2674780.69931132</v>
      </c>
      <c r="AB38" s="85" t="n">
        <f aca="true">IF(AB$5=0,AA38,MAX(0,(AA38-AB$4)*(1+NORMINV(RAND(),INPUTS!$B$28,INPUTS!$B$29))))</f>
        <v>2528835.07087199</v>
      </c>
      <c r="AC38" s="85" t="n">
        <f aca="true">IF(AC$5=0,AB38,MAX(0,(AB38-AC$4)*(1+NORMINV(RAND(),INPUTS!$B$28,INPUTS!$B$29))))</f>
        <v>2456941.73430731</v>
      </c>
      <c r="AD38" s="85" t="n">
        <f aca="true">IF(AD$5=0,AC38,MAX(0,(AC38-AD$4)*(1+NORMINV(RAND(),INPUTS!$B$28,INPUTS!$B$29))))</f>
        <v>2209690.47594396</v>
      </c>
      <c r="AE38" s="85" t="n">
        <f aca="true">IF(AE$5=0,AD38,MAX(0,(AD38-AE$4)*(1+NORMINV(RAND(),INPUTS!$B$28,INPUTS!$B$29))))</f>
        <v>1998005.54012573</v>
      </c>
      <c r="AF38" s="85" t="n">
        <f aca="true">IF(AF$5=0,AE38,MAX(0,(AE38-AF$4)*(1+NORMINV(RAND(),INPUTS!$B$28,INPUTS!$B$29))))</f>
        <v>2208112.0547903</v>
      </c>
      <c r="AG38" s="85" t="n">
        <f aca="true">IF(AG$5=0,AF38,MAX(0,(AF38-AG$4)*(1+NORMINV(RAND(),INPUTS!$B$28,INPUTS!$B$29))))</f>
        <v>2343028.71716881</v>
      </c>
      <c r="AH38" s="85" t="n">
        <f aca="true">IF(AH$5=0,AG38,MAX(0,(AG38-AH$4)*(1+NORMINV(RAND(),INPUTS!$B$28,INPUTS!$B$29))))</f>
        <v>2651923.62896813</v>
      </c>
      <c r="AI38" s="85" t="n">
        <f aca="true">IF(AI$5=0,AH38,MAX(0,(AH38-AI$4)*(1+NORMINV(RAND(),INPUTS!$B$28,INPUTS!$B$29))))</f>
        <v>2430369.45222069</v>
      </c>
      <c r="AJ38" s="85" t="n">
        <f aca="true">IF(AJ$5=0,AI38,MAX(0,(AI38-AJ$4)*(1+NORMINV(RAND(),INPUTS!$B$28,INPUTS!$B$29))))</f>
        <v>2402814.48862782</v>
      </c>
      <c r="AK38" s="85" t="n">
        <f aca="true">IF(AK$5=0,AJ38,MAX(0,(AJ38-AK$4)*(1+NORMINV(RAND(),INPUTS!$B$28,INPUTS!$B$29))))</f>
        <v>2249442.48896722</v>
      </c>
      <c r="AL38" s="85" t="n">
        <f aca="true">IF(AL$5=0,AK38,MAX(0,(AK38-AL$4)*(1+NORMINV(RAND(),INPUTS!$B$28,INPUTS!$B$29))))</f>
        <v>1835599.17525442</v>
      </c>
      <c r="AM38" s="85" t="n">
        <f aca="true">IF(AM$5=0,AL38,MAX(0,(AL38-AM$4)*(1+NORMINV(RAND(),INPUTS!$B$28,INPUTS!$B$29))))</f>
        <v>1835599.17525442</v>
      </c>
      <c r="AN38" s="85" t="n">
        <f aca="true">IF(AN$5=0,AM38,MAX(0,(AM38-AN$4)*(1+NORMINV(RAND(),INPUTS!$B$28,INPUTS!$B$29))))</f>
        <v>1835599.17525442</v>
      </c>
      <c r="AO38" s="85" t="n">
        <f aca="true">IF(AO$5=0,AN38,MAX(0,(AN38-AO$4)*(1+NORMINV(RAND(),INPUTS!$B$28,INPUTS!$B$29))))</f>
        <v>1835599.17525442</v>
      </c>
      <c r="AP38" s="85" t="n">
        <f aca="true">IF(AP$5=0,AO38,MAX(0,(AO38-AP$4)*(1+NORMINV(RAND(),INPUTS!$B$28,INPUTS!$B$29))))</f>
        <v>1835599.17525442</v>
      </c>
    </row>
    <row r="39" customFormat="false" ht="15" hidden="false" customHeight="true" outlineLevel="0" collapsed="false">
      <c r="A39" s="83" t="n">
        <v>32</v>
      </c>
      <c r="B39" s="84" t="n">
        <f aca="false">LOOKUP(9.99E+307,C39:AP39)</f>
        <v>4522425.39355733</v>
      </c>
      <c r="C39" s="85" t="n">
        <f aca="true">IF(C$5=0,INPUTS!$B$19,MAX(0,(INPUTS!$B$19-C$4)*(1+NORMINV(RAND(),INPUTS!$B$28,INPUTS!$B$29))))</f>
        <v>1281496.91619168</v>
      </c>
      <c r="D39" s="85" t="n">
        <f aca="true">IF(D$5=0,C39,MAX(0,(C39-D$4)*(1+NORMINV(RAND(),INPUTS!$B$28,INPUTS!$B$29))))</f>
        <v>1279590.62467162</v>
      </c>
      <c r="E39" s="85" t="n">
        <f aca="true">IF(E$5=0,D39,MAX(0,(D39-E$4)*(1+NORMINV(RAND(),INPUTS!$B$28,INPUTS!$B$29))))</f>
        <v>1274017.6773567</v>
      </c>
      <c r="F39" s="85" t="n">
        <f aca="true">IF(F$5=0,E39,MAX(0,(E39-F$4)*(1+NORMINV(RAND(),INPUTS!$B$28,INPUTS!$B$29))))</f>
        <v>1373113.91608517</v>
      </c>
      <c r="G39" s="85" t="n">
        <f aca="true">IF(G$5=0,F39,MAX(0,(F39-G$4)*(1+NORMINV(RAND(),INPUTS!$B$28,INPUTS!$B$29))))</f>
        <v>1168538.09331489</v>
      </c>
      <c r="H39" s="85" t="n">
        <f aca="true">IF(H$5=0,G39,MAX(0,(G39-H$4)*(1+NORMINV(RAND(),INPUTS!$B$28,INPUTS!$B$29))))</f>
        <v>1392878.76013306</v>
      </c>
      <c r="I39" s="85" t="n">
        <f aca="true">IF(I$5=0,H39,MAX(0,(H39-I$4)*(1+NORMINV(RAND(),INPUTS!$B$28,INPUTS!$B$29))))</f>
        <v>1133875.2250402</v>
      </c>
      <c r="J39" s="85" t="n">
        <f aca="true">IF(J$5=0,I39,MAX(0,(I39-J$4)*(1+NORMINV(RAND(),INPUTS!$B$28,INPUTS!$B$29))))</f>
        <v>1310789.44471557</v>
      </c>
      <c r="K39" s="85" t="n">
        <f aca="true">IF(K$5=0,J39,MAX(0,(J39-K$4)*(1+NORMINV(RAND(),INPUTS!$B$28,INPUTS!$B$29))))</f>
        <v>1398503.72529463</v>
      </c>
      <c r="L39" s="85" t="n">
        <f aca="true">IF(L$5=0,K39,MAX(0,(K39-L$4)*(1+NORMINV(RAND(),INPUTS!$B$28,INPUTS!$B$29))))</f>
        <v>1533256.67247247</v>
      </c>
      <c r="M39" s="85" t="n">
        <f aca="true">IF(M$5=0,L39,MAX(0,(L39-M$4)*(1+NORMINV(RAND(),INPUTS!$B$28,INPUTS!$B$29))))</f>
        <v>1768485.44480973</v>
      </c>
      <c r="N39" s="85" t="n">
        <f aca="true">IF(N$5=0,M39,MAX(0,(M39-N$4)*(1+NORMINV(RAND(),INPUTS!$B$28,INPUTS!$B$29))))</f>
        <v>1945121.54000064</v>
      </c>
      <c r="O39" s="85" t="n">
        <f aca="true">IF(O$5=0,N39,MAX(0,(N39-O$4)*(1+NORMINV(RAND(),INPUTS!$B$28,INPUTS!$B$29))))</f>
        <v>2005040.02157021</v>
      </c>
      <c r="P39" s="85" t="n">
        <f aca="true">IF(P$5=0,O39,MAX(0,(O39-P$4)*(1+NORMINV(RAND(),INPUTS!$B$28,INPUTS!$B$29))))</f>
        <v>2417031.65037368</v>
      </c>
      <c r="Q39" s="85" t="n">
        <f aca="true">IF(Q$5=0,P39,MAX(0,(P39-Q$4)*(1+NORMINV(RAND(),INPUTS!$B$28,INPUTS!$B$29))))</f>
        <v>2208290.13972804</v>
      </c>
      <c r="R39" s="85" t="n">
        <f aca="true">IF(R$5=0,Q39,MAX(0,(Q39-R$4)*(1+NORMINV(RAND(),INPUTS!$B$28,INPUTS!$B$29))))</f>
        <v>2774506.02447581</v>
      </c>
      <c r="S39" s="85" t="n">
        <f aca="true">IF(S$5=0,R39,MAX(0,(R39-S$4)*(1+NORMINV(RAND(),INPUTS!$B$28,INPUTS!$B$29))))</f>
        <v>2698711.81887446</v>
      </c>
      <c r="T39" s="85" t="n">
        <f aca="true">IF(T$5=0,S39,MAX(0,(S39-T$4)*(1+NORMINV(RAND(),INPUTS!$B$28,INPUTS!$B$29))))</f>
        <v>2238560.19211012</v>
      </c>
      <c r="U39" s="85" t="n">
        <f aca="true">IF(U$5=0,T39,MAX(0,(T39-U$4)*(1+NORMINV(RAND(),INPUTS!$B$28,INPUTS!$B$29))))</f>
        <v>2447090.67917391</v>
      </c>
      <c r="V39" s="85" t="n">
        <f aca="true">IF(V$5=0,U39,MAX(0,(U39-V$4)*(1+NORMINV(RAND(),INPUTS!$B$28,INPUTS!$B$29))))</f>
        <v>3171940.84650732</v>
      </c>
      <c r="W39" s="85" t="n">
        <f aca="true">IF(W$5=0,V39,MAX(0,(V39-W$4)*(1+NORMINV(RAND(),INPUTS!$B$28,INPUTS!$B$29))))</f>
        <v>3196234.98447921</v>
      </c>
      <c r="X39" s="85" t="n">
        <f aca="true">IF(X$5=0,W39,MAX(0,(W39-X$4)*(1+NORMINV(RAND(),INPUTS!$B$28,INPUTS!$B$29))))</f>
        <v>3236903.63476366</v>
      </c>
      <c r="Y39" s="85" t="n">
        <f aca="true">IF(Y$5=0,X39,MAX(0,(X39-Y$4)*(1+NORMINV(RAND(),INPUTS!$B$28,INPUTS!$B$29))))</f>
        <v>2569087.83819889</v>
      </c>
      <c r="Z39" s="85" t="n">
        <f aca="true">IF(Z$5=0,Y39,MAX(0,(Y39-Z$4)*(1+NORMINV(RAND(),INPUTS!$B$28,INPUTS!$B$29))))</f>
        <v>2690781.02215892</v>
      </c>
      <c r="AA39" s="85" t="n">
        <f aca="true">IF(AA$5=0,Z39,MAX(0,(Z39-AA$4)*(1+NORMINV(RAND(),INPUTS!$B$28,INPUTS!$B$29))))</f>
        <v>2893368.87131207</v>
      </c>
      <c r="AB39" s="85" t="n">
        <f aca="true">IF(AB$5=0,AA39,MAX(0,(AA39-AB$4)*(1+NORMINV(RAND(),INPUTS!$B$28,INPUTS!$B$29))))</f>
        <v>3173283.0867252</v>
      </c>
      <c r="AC39" s="85" t="n">
        <f aca="true">IF(AC$5=0,AB39,MAX(0,(AB39-AC$4)*(1+NORMINV(RAND(),INPUTS!$B$28,INPUTS!$B$29))))</f>
        <v>3426072.96885479</v>
      </c>
      <c r="AD39" s="85" t="n">
        <f aca="true">IF(AD$5=0,AC39,MAX(0,(AC39-AD$4)*(1+NORMINV(RAND(),INPUTS!$B$28,INPUTS!$B$29))))</f>
        <v>2988683.14479839</v>
      </c>
      <c r="AE39" s="85" t="n">
        <f aca="true">IF(AE$5=0,AD39,MAX(0,(AD39-AE$4)*(1+NORMINV(RAND(),INPUTS!$B$28,INPUTS!$B$29))))</f>
        <v>3347755.22657721</v>
      </c>
      <c r="AF39" s="85" t="n">
        <f aca="true">IF(AF$5=0,AE39,MAX(0,(AE39-AF$4)*(1+NORMINV(RAND(),INPUTS!$B$28,INPUTS!$B$29))))</f>
        <v>3133782.41885859</v>
      </c>
      <c r="AG39" s="85" t="n">
        <f aca="true">IF(AG$5=0,AF39,MAX(0,(AF39-AG$4)*(1+NORMINV(RAND(),INPUTS!$B$28,INPUTS!$B$29))))</f>
        <v>3477267.25378282</v>
      </c>
      <c r="AH39" s="85" t="n">
        <f aca="true">IF(AH$5=0,AG39,MAX(0,(AG39-AH$4)*(1+NORMINV(RAND(),INPUTS!$B$28,INPUTS!$B$29))))</f>
        <v>3275700.61299691</v>
      </c>
      <c r="AI39" s="85" t="n">
        <f aca="true">IF(AI$5=0,AH39,MAX(0,(AH39-AI$4)*(1+NORMINV(RAND(),INPUTS!$B$28,INPUTS!$B$29))))</f>
        <v>3505113.23627933</v>
      </c>
      <c r="AJ39" s="85" t="n">
        <f aca="true">IF(AJ$5=0,AI39,MAX(0,(AI39-AJ$4)*(1+NORMINV(RAND(),INPUTS!$B$28,INPUTS!$B$29))))</f>
        <v>4306462.04787875</v>
      </c>
      <c r="AK39" s="85" t="n">
        <f aca="true">IF(AK$5=0,AJ39,MAX(0,(AJ39-AK$4)*(1+NORMINV(RAND(),INPUTS!$B$28,INPUTS!$B$29))))</f>
        <v>4787416.14286199</v>
      </c>
      <c r="AL39" s="85" t="n">
        <f aca="true">IF(AL$5=0,AK39,MAX(0,(AK39-AL$4)*(1+NORMINV(RAND(),INPUTS!$B$28,INPUTS!$B$29))))</f>
        <v>4522425.39355733</v>
      </c>
      <c r="AM39" s="85" t="n">
        <f aca="true">IF(AM$5=0,AL39,MAX(0,(AL39-AM$4)*(1+NORMINV(RAND(),INPUTS!$B$28,INPUTS!$B$29))))</f>
        <v>4522425.39355733</v>
      </c>
      <c r="AN39" s="85" t="n">
        <f aca="true">IF(AN$5=0,AM39,MAX(0,(AM39-AN$4)*(1+NORMINV(RAND(),INPUTS!$B$28,INPUTS!$B$29))))</f>
        <v>4522425.39355733</v>
      </c>
      <c r="AO39" s="85" t="n">
        <f aca="true">IF(AO$5=0,AN39,MAX(0,(AN39-AO$4)*(1+NORMINV(RAND(),INPUTS!$B$28,INPUTS!$B$29))))</f>
        <v>4522425.39355733</v>
      </c>
      <c r="AP39" s="85" t="n">
        <f aca="true">IF(AP$5=0,AO39,MAX(0,(AO39-AP$4)*(1+NORMINV(RAND(),INPUTS!$B$28,INPUTS!$B$29))))</f>
        <v>4522425.39355733</v>
      </c>
    </row>
    <row r="40" customFormat="false" ht="15" hidden="false" customHeight="true" outlineLevel="0" collapsed="false">
      <c r="A40" s="83" t="n">
        <v>33</v>
      </c>
      <c r="B40" s="84" t="n">
        <f aca="false">LOOKUP(9.99E+307,C40:AP40)</f>
        <v>13949255.60492</v>
      </c>
      <c r="C40" s="85" t="n">
        <f aca="true">IF(C$5=0,INPUTS!$B$19,MAX(0,(INPUTS!$B$19-C$4)*(1+NORMINV(RAND(),INPUTS!$B$28,INPUTS!$B$29))))</f>
        <v>1399890.05341081</v>
      </c>
      <c r="D40" s="85" t="n">
        <f aca="true">IF(D$5=0,C40,MAX(0,(C40-D$4)*(1+NORMINV(RAND(),INPUTS!$B$28,INPUTS!$B$29))))</f>
        <v>1549208.15472915</v>
      </c>
      <c r="E40" s="85" t="n">
        <f aca="true">IF(E$5=0,D40,MAX(0,(D40-E$4)*(1+NORMINV(RAND(),INPUTS!$B$28,INPUTS!$B$29))))</f>
        <v>1752680.03289777</v>
      </c>
      <c r="F40" s="85" t="n">
        <f aca="true">IF(F$5=0,E40,MAX(0,(E40-F$4)*(1+NORMINV(RAND(),INPUTS!$B$28,INPUTS!$B$29))))</f>
        <v>1944294.85041507</v>
      </c>
      <c r="G40" s="85" t="n">
        <f aca="true">IF(G$5=0,F40,MAX(0,(F40-G$4)*(1+NORMINV(RAND(),INPUTS!$B$28,INPUTS!$B$29))))</f>
        <v>1734433.93766546</v>
      </c>
      <c r="H40" s="85" t="n">
        <f aca="true">IF(H$5=0,G40,MAX(0,(G40-H$4)*(1+NORMINV(RAND(),INPUTS!$B$28,INPUTS!$B$29))))</f>
        <v>1724859.11232021</v>
      </c>
      <c r="I40" s="85" t="n">
        <f aca="true">IF(I$5=0,H40,MAX(0,(H40-I$4)*(1+NORMINV(RAND(),INPUTS!$B$28,INPUTS!$B$29))))</f>
        <v>1706526.57863008</v>
      </c>
      <c r="J40" s="85" t="n">
        <f aca="true">IF(J$5=0,I40,MAX(0,(I40-J$4)*(1+NORMINV(RAND(),INPUTS!$B$28,INPUTS!$B$29))))</f>
        <v>1752536.07800776</v>
      </c>
      <c r="K40" s="85" t="n">
        <f aca="true">IF(K$5=0,J40,MAX(0,(J40-K$4)*(1+NORMINV(RAND(),INPUTS!$B$28,INPUTS!$B$29))))</f>
        <v>1656956.61814022</v>
      </c>
      <c r="L40" s="85" t="n">
        <f aca="true">IF(L$5=0,K40,MAX(0,(K40-L$4)*(1+NORMINV(RAND(),INPUTS!$B$28,INPUTS!$B$29))))</f>
        <v>1738073.14131155</v>
      </c>
      <c r="M40" s="85" t="n">
        <f aca="true">IF(M$5=0,L40,MAX(0,(L40-M$4)*(1+NORMINV(RAND(),INPUTS!$B$28,INPUTS!$B$29))))</f>
        <v>1912732.31866006</v>
      </c>
      <c r="N40" s="85" t="n">
        <f aca="true">IF(N$5=0,M40,MAX(0,(M40-N$4)*(1+NORMINV(RAND(),INPUTS!$B$28,INPUTS!$B$29))))</f>
        <v>2276461.07985166</v>
      </c>
      <c r="O40" s="85" t="n">
        <f aca="true">IF(O$5=0,N40,MAX(0,(N40-O$4)*(1+NORMINV(RAND(),INPUTS!$B$28,INPUTS!$B$29))))</f>
        <v>2438993.81023979</v>
      </c>
      <c r="P40" s="85" t="n">
        <f aca="true">IF(P$5=0,O40,MAX(0,(O40-P$4)*(1+NORMINV(RAND(),INPUTS!$B$28,INPUTS!$B$29))))</f>
        <v>3100840.68019497</v>
      </c>
      <c r="Q40" s="85" t="n">
        <f aca="true">IF(Q$5=0,P40,MAX(0,(P40-Q$4)*(1+NORMINV(RAND(),INPUTS!$B$28,INPUTS!$B$29))))</f>
        <v>3362762.81558001</v>
      </c>
      <c r="R40" s="85" t="n">
        <f aca="true">IF(R$5=0,Q40,MAX(0,(Q40-R$4)*(1+NORMINV(RAND(),INPUTS!$B$28,INPUTS!$B$29))))</f>
        <v>3294421.45114166</v>
      </c>
      <c r="S40" s="85" t="n">
        <f aca="true">IF(S$5=0,R40,MAX(0,(R40-S$4)*(1+NORMINV(RAND(),INPUTS!$B$28,INPUTS!$B$29))))</f>
        <v>3537580.8535369</v>
      </c>
      <c r="T40" s="85" t="n">
        <f aca="true">IF(T$5=0,S40,MAX(0,(S40-T$4)*(1+NORMINV(RAND(),INPUTS!$B$28,INPUTS!$B$29))))</f>
        <v>3478987.15835856</v>
      </c>
      <c r="U40" s="85" t="n">
        <f aca="true">IF(U$5=0,T40,MAX(0,(T40-U$4)*(1+NORMINV(RAND(),INPUTS!$B$28,INPUTS!$B$29))))</f>
        <v>3733125.1696674</v>
      </c>
      <c r="V40" s="85" t="n">
        <f aca="true">IF(V$5=0,U40,MAX(0,(U40-V$4)*(1+NORMINV(RAND(),INPUTS!$B$28,INPUTS!$B$29))))</f>
        <v>3791890.71347296</v>
      </c>
      <c r="W40" s="85" t="n">
        <f aca="true">IF(W$5=0,V40,MAX(0,(V40-W$4)*(1+NORMINV(RAND(),INPUTS!$B$28,INPUTS!$B$29))))</f>
        <v>4459413.5194951</v>
      </c>
      <c r="X40" s="85" t="n">
        <f aca="true">IF(X$5=0,W40,MAX(0,(W40-X$4)*(1+NORMINV(RAND(),INPUTS!$B$28,INPUTS!$B$29))))</f>
        <v>5066209.23194836</v>
      </c>
      <c r="Y40" s="85" t="n">
        <f aca="true">IF(Y$5=0,X40,MAX(0,(X40-Y$4)*(1+NORMINV(RAND(),INPUTS!$B$28,INPUTS!$B$29))))</f>
        <v>5643479.63761888</v>
      </c>
      <c r="Z40" s="85" t="n">
        <f aca="true">IF(Z$5=0,Y40,MAX(0,(Y40-Z$4)*(1+NORMINV(RAND(),INPUTS!$B$28,INPUTS!$B$29))))</f>
        <v>5897337.08697861</v>
      </c>
      <c r="AA40" s="85" t="n">
        <f aca="true">IF(AA$5=0,Z40,MAX(0,(Z40-AA$4)*(1+NORMINV(RAND(),INPUTS!$B$28,INPUTS!$B$29))))</f>
        <v>7189669.75380466</v>
      </c>
      <c r="AB40" s="85" t="n">
        <f aca="true">IF(AB$5=0,AA40,MAX(0,(AA40-AB$4)*(1+NORMINV(RAND(),INPUTS!$B$28,INPUTS!$B$29))))</f>
        <v>8621803.52268594</v>
      </c>
      <c r="AC40" s="85" t="n">
        <f aca="true">IF(AC$5=0,AB40,MAX(0,(AB40-AC$4)*(1+NORMINV(RAND(),INPUTS!$B$28,INPUTS!$B$29))))</f>
        <v>9556188.38321651</v>
      </c>
      <c r="AD40" s="85" t="n">
        <f aca="true">IF(AD$5=0,AC40,MAX(0,(AC40-AD$4)*(1+NORMINV(RAND(),INPUTS!$B$28,INPUTS!$B$29))))</f>
        <v>9234585.20815086</v>
      </c>
      <c r="AE40" s="85" t="n">
        <f aca="true">IF(AE$5=0,AD40,MAX(0,(AD40-AE$4)*(1+NORMINV(RAND(),INPUTS!$B$28,INPUTS!$B$29))))</f>
        <v>10979147.4617011</v>
      </c>
      <c r="AF40" s="85" t="n">
        <f aca="true">IF(AF$5=0,AE40,MAX(0,(AE40-AF$4)*(1+NORMINV(RAND(),INPUTS!$B$28,INPUTS!$B$29))))</f>
        <v>11225169.3586308</v>
      </c>
      <c r="AG40" s="85" t="n">
        <f aca="true">IF(AG$5=0,AF40,MAX(0,(AF40-AG$4)*(1+NORMINV(RAND(),INPUTS!$B$28,INPUTS!$B$29))))</f>
        <v>9021106.97063616</v>
      </c>
      <c r="AH40" s="85" t="n">
        <f aca="true">IF(AH$5=0,AG40,MAX(0,(AG40-AH$4)*(1+NORMINV(RAND(),INPUTS!$B$28,INPUTS!$B$29))))</f>
        <v>10385480.3623687</v>
      </c>
      <c r="AI40" s="85" t="n">
        <f aca="true">IF(AI$5=0,AH40,MAX(0,(AH40-AI$4)*(1+NORMINV(RAND(),INPUTS!$B$28,INPUTS!$B$29))))</f>
        <v>10331182.3553611</v>
      </c>
      <c r="AJ40" s="85" t="n">
        <f aca="true">IF(AJ$5=0,AI40,MAX(0,(AI40-AJ$4)*(1+NORMINV(RAND(),INPUTS!$B$28,INPUTS!$B$29))))</f>
        <v>11312172.4811628</v>
      </c>
      <c r="AK40" s="85" t="n">
        <f aca="true">IF(AK$5=0,AJ40,MAX(0,(AJ40-AK$4)*(1+NORMINV(RAND(),INPUTS!$B$28,INPUTS!$B$29))))</f>
        <v>12531213.9585546</v>
      </c>
      <c r="AL40" s="85" t="n">
        <f aca="true">IF(AL$5=0,AK40,MAX(0,(AK40-AL$4)*(1+NORMINV(RAND(),INPUTS!$B$28,INPUTS!$B$29))))</f>
        <v>13949255.60492</v>
      </c>
      <c r="AM40" s="85" t="n">
        <f aca="true">IF(AM$5=0,AL40,MAX(0,(AL40-AM$4)*(1+NORMINV(RAND(),INPUTS!$B$28,INPUTS!$B$29))))</f>
        <v>13949255.60492</v>
      </c>
      <c r="AN40" s="85" t="n">
        <f aca="true">IF(AN$5=0,AM40,MAX(0,(AM40-AN$4)*(1+NORMINV(RAND(),INPUTS!$B$28,INPUTS!$B$29))))</f>
        <v>13949255.60492</v>
      </c>
      <c r="AO40" s="85" t="n">
        <f aca="true">IF(AO$5=0,AN40,MAX(0,(AN40-AO$4)*(1+NORMINV(RAND(),INPUTS!$B$28,INPUTS!$B$29))))</f>
        <v>13949255.60492</v>
      </c>
      <c r="AP40" s="85" t="n">
        <f aca="true">IF(AP$5=0,AO40,MAX(0,(AO40-AP$4)*(1+NORMINV(RAND(),INPUTS!$B$28,INPUTS!$B$29))))</f>
        <v>13949255.60492</v>
      </c>
    </row>
    <row r="41" customFormat="false" ht="15" hidden="false" customHeight="true" outlineLevel="0" collapsed="false">
      <c r="A41" s="83" t="n">
        <v>34</v>
      </c>
      <c r="B41" s="84" t="n">
        <f aca="false">LOOKUP(9.99E+307,C41:AP41)</f>
        <v>0</v>
      </c>
      <c r="C41" s="85" t="n">
        <f aca="true">IF(C$5=0,INPUTS!$B$19,MAX(0,(INPUTS!$B$19-C$4)*(1+NORMINV(RAND(),INPUTS!$B$28,INPUTS!$B$29))))</f>
        <v>1103859.36819046</v>
      </c>
      <c r="D41" s="85" t="n">
        <f aca="true">IF(D$5=0,C41,MAX(0,(C41-D$4)*(1+NORMINV(RAND(),INPUTS!$B$28,INPUTS!$B$29))))</f>
        <v>1047098.27917223</v>
      </c>
      <c r="E41" s="85" t="n">
        <f aca="true">IF(E$5=0,D41,MAX(0,(D41-E$4)*(1+NORMINV(RAND(),INPUTS!$B$28,INPUTS!$B$29))))</f>
        <v>1089147.66012404</v>
      </c>
      <c r="F41" s="85" t="n">
        <f aca="true">IF(F$5=0,E41,MAX(0,(E41-F$4)*(1+NORMINV(RAND(),INPUTS!$B$28,INPUTS!$B$29))))</f>
        <v>973279.297780685</v>
      </c>
      <c r="G41" s="85" t="n">
        <f aca="true">IF(G$5=0,F41,MAX(0,(F41-G$4)*(1+NORMINV(RAND(),INPUTS!$B$28,INPUTS!$B$29))))</f>
        <v>958140.347728456</v>
      </c>
      <c r="H41" s="85" t="n">
        <f aca="true">IF(H$5=0,G41,MAX(0,(G41-H$4)*(1+NORMINV(RAND(),INPUTS!$B$28,INPUTS!$B$29))))</f>
        <v>998936.796414525</v>
      </c>
      <c r="I41" s="85" t="n">
        <f aca="true">IF(I$5=0,H41,MAX(0,(H41-I$4)*(1+NORMINV(RAND(),INPUTS!$B$28,INPUTS!$B$29))))</f>
        <v>1063960.84104713</v>
      </c>
      <c r="J41" s="85" t="n">
        <f aca="true">IF(J$5=0,I41,MAX(0,(I41-J$4)*(1+NORMINV(RAND(),INPUTS!$B$28,INPUTS!$B$29))))</f>
        <v>1051533.13905837</v>
      </c>
      <c r="K41" s="85" t="n">
        <f aca="true">IF(K$5=0,J41,MAX(0,(J41-K$4)*(1+NORMINV(RAND(),INPUTS!$B$28,INPUTS!$B$29))))</f>
        <v>1098873.57342401</v>
      </c>
      <c r="L41" s="85" t="n">
        <f aca="true">IF(L$5=0,K41,MAX(0,(K41-L$4)*(1+NORMINV(RAND(),INPUTS!$B$28,INPUTS!$B$29))))</f>
        <v>1113963.70308873</v>
      </c>
      <c r="M41" s="85" t="n">
        <f aca="true">IF(M$5=0,L41,MAX(0,(L41-M$4)*(1+NORMINV(RAND(),INPUTS!$B$28,INPUTS!$B$29))))</f>
        <v>1018122.26864889</v>
      </c>
      <c r="N41" s="85" t="n">
        <f aca="true">IF(N$5=0,M41,MAX(0,(M41-N$4)*(1+NORMINV(RAND(),INPUTS!$B$28,INPUTS!$B$29))))</f>
        <v>1044946.70139404</v>
      </c>
      <c r="O41" s="85" t="n">
        <f aca="true">IF(O$5=0,N41,MAX(0,(N41-O$4)*(1+NORMINV(RAND(),INPUTS!$B$28,INPUTS!$B$29))))</f>
        <v>1035551.1097688</v>
      </c>
      <c r="P41" s="85" t="n">
        <f aca="true">IF(P$5=0,O41,MAX(0,(O41-P$4)*(1+NORMINV(RAND(),INPUTS!$B$28,INPUTS!$B$29))))</f>
        <v>1021313.2230674</v>
      </c>
      <c r="Q41" s="85" t="n">
        <f aca="true">IF(Q$5=0,P41,MAX(0,(P41-Q$4)*(1+NORMINV(RAND(),INPUTS!$B$28,INPUTS!$B$29))))</f>
        <v>912526.846611818</v>
      </c>
      <c r="R41" s="85" t="n">
        <f aca="true">IF(R$5=0,Q41,MAX(0,(Q41-R$4)*(1+NORMINV(RAND(),INPUTS!$B$28,INPUTS!$B$29))))</f>
        <v>954808.05492146</v>
      </c>
      <c r="S41" s="85" t="n">
        <f aca="true">IF(S$5=0,R41,MAX(0,(R41-S$4)*(1+NORMINV(RAND(),INPUTS!$B$28,INPUTS!$B$29))))</f>
        <v>795187.111391566</v>
      </c>
      <c r="T41" s="85" t="n">
        <f aca="true">IF(T$5=0,S41,MAX(0,(S41-T$4)*(1+NORMINV(RAND(),INPUTS!$B$28,INPUTS!$B$29))))</f>
        <v>760578.980583528</v>
      </c>
      <c r="U41" s="85" t="n">
        <f aca="true">IF(U$5=0,T41,MAX(0,(T41-U$4)*(1+NORMINV(RAND(),INPUTS!$B$28,INPUTS!$B$29))))</f>
        <v>879033.975621646</v>
      </c>
      <c r="V41" s="85" t="n">
        <f aca="true">IF(V$5=0,U41,MAX(0,(U41-V$4)*(1+NORMINV(RAND(),INPUTS!$B$28,INPUTS!$B$29))))</f>
        <v>758956.956427036</v>
      </c>
      <c r="W41" s="85" t="n">
        <f aca="true">IF(W$5=0,V41,MAX(0,(V41-W$4)*(1+NORMINV(RAND(),INPUTS!$B$28,INPUTS!$B$29))))</f>
        <v>679643.695952367</v>
      </c>
      <c r="X41" s="85" t="n">
        <f aca="true">IF(X$5=0,W41,MAX(0,(W41-X$4)*(1+NORMINV(RAND(),INPUTS!$B$28,INPUTS!$B$29))))</f>
        <v>658683.548948692</v>
      </c>
      <c r="Y41" s="85" t="n">
        <f aca="true">IF(Y$5=0,X41,MAX(0,(X41-Y$4)*(1+NORMINV(RAND(),INPUTS!$B$28,INPUTS!$B$29))))</f>
        <v>546642.361163094</v>
      </c>
      <c r="Z41" s="85" t="n">
        <f aca="true">IF(Z$5=0,Y41,MAX(0,(Y41-Z$4)*(1+NORMINV(RAND(),INPUTS!$B$28,INPUTS!$B$29))))</f>
        <v>486391.019989946</v>
      </c>
      <c r="AA41" s="85" t="n">
        <f aca="true">IF(AA$5=0,Z41,MAX(0,(Z41-AA$4)*(1+NORMINV(RAND(),INPUTS!$B$28,INPUTS!$B$29))))</f>
        <v>435105.557242784</v>
      </c>
      <c r="AB41" s="85" t="n">
        <f aca="true">IF(AB$5=0,AA41,MAX(0,(AA41-AB$4)*(1+NORMINV(RAND(),INPUTS!$B$28,INPUTS!$B$29))))</f>
        <v>420690.068916942</v>
      </c>
      <c r="AC41" s="85" t="n">
        <f aca="true">IF(AC$5=0,AB41,MAX(0,(AB41-AC$4)*(1+NORMINV(RAND(),INPUTS!$B$28,INPUTS!$B$29))))</f>
        <v>299996.455761247</v>
      </c>
      <c r="AD41" s="85" t="n">
        <f aca="true">IF(AD$5=0,AC41,MAX(0,(AC41-AD$4)*(1+NORMINV(RAND(),INPUTS!$B$28,INPUTS!$B$29))))</f>
        <v>236521.073292604</v>
      </c>
      <c r="AE41" s="85" t="n">
        <f aca="true">IF(AE$5=0,AD41,MAX(0,(AD41-AE$4)*(1+NORMINV(RAND(),INPUTS!$B$28,INPUTS!$B$29))))</f>
        <v>171982.304584079</v>
      </c>
      <c r="AF41" s="85" t="n">
        <f aca="true">IF(AF$5=0,AE41,MAX(0,(AE41-AF$4)*(1+NORMINV(RAND(),INPUTS!$B$28,INPUTS!$B$29))))</f>
        <v>98816.3051178319</v>
      </c>
      <c r="AG41" s="85" t="n">
        <f aca="true">IF(AG$5=0,AF41,MAX(0,(AF41-AG$4)*(1+NORMINV(RAND(),INPUTS!$B$28,INPUTS!$B$29))))</f>
        <v>30308.821227556</v>
      </c>
      <c r="AH41" s="85" t="n">
        <f aca="true">IF(AH$5=0,AG41,MAX(0,(AG41-AH$4)*(1+NORMINV(RAND(),INPUTS!$B$28,INPUTS!$B$29))))</f>
        <v>0</v>
      </c>
      <c r="AI41" s="85" t="n">
        <f aca="true">IF(AI$5=0,AH41,MAX(0,(AH41-AI$4)*(1+NORMINV(RAND(),INPUTS!$B$28,INPUTS!$B$29))))</f>
        <v>0</v>
      </c>
      <c r="AJ41" s="85" t="n">
        <f aca="true">IF(AJ$5=0,AI41,MAX(0,(AI41-AJ$4)*(1+NORMINV(RAND(),INPUTS!$B$28,INPUTS!$B$29))))</f>
        <v>0</v>
      </c>
      <c r="AK41" s="85" t="n">
        <f aca="true">IF(AK$5=0,AJ41,MAX(0,(AJ41-AK$4)*(1+NORMINV(RAND(),INPUTS!$B$28,INPUTS!$B$29))))</f>
        <v>0</v>
      </c>
      <c r="AL41" s="85" t="n">
        <f aca="true">IF(AL$5=0,AK41,MAX(0,(AK41-AL$4)*(1+NORMINV(RAND(),INPUTS!$B$28,INPUTS!$B$29))))</f>
        <v>0</v>
      </c>
      <c r="AM41" s="85" t="n">
        <f aca="true">IF(AM$5=0,AL41,MAX(0,(AL41-AM$4)*(1+NORMINV(RAND(),INPUTS!$B$28,INPUTS!$B$29))))</f>
        <v>0</v>
      </c>
      <c r="AN41" s="85" t="n">
        <f aca="true">IF(AN$5=0,AM41,MAX(0,(AM41-AN$4)*(1+NORMINV(RAND(),INPUTS!$B$28,INPUTS!$B$29))))</f>
        <v>0</v>
      </c>
      <c r="AO41" s="85" t="n">
        <f aca="true">IF(AO$5=0,AN41,MAX(0,(AN41-AO$4)*(1+NORMINV(RAND(),INPUTS!$B$28,INPUTS!$B$29))))</f>
        <v>0</v>
      </c>
      <c r="AP41" s="85" t="n">
        <f aca="true">IF(AP$5=0,AO41,MAX(0,(AO41-AP$4)*(1+NORMINV(RAND(),INPUTS!$B$28,INPUTS!$B$29))))</f>
        <v>0</v>
      </c>
    </row>
    <row r="42" customFormat="false" ht="15" hidden="false" customHeight="true" outlineLevel="0" collapsed="false">
      <c r="A42" s="83" t="n">
        <v>35</v>
      </c>
      <c r="B42" s="84" t="n">
        <f aca="false">LOOKUP(9.99E+307,C42:AP42)</f>
        <v>9399944.13977367</v>
      </c>
      <c r="C42" s="85" t="n">
        <f aca="true">IF(C$5=0,INPUTS!$B$19,MAX(0,(INPUTS!$B$19-C$4)*(1+NORMINV(RAND(),INPUTS!$B$28,INPUTS!$B$29))))</f>
        <v>1402833.68197375</v>
      </c>
      <c r="D42" s="85" t="n">
        <f aca="true">IF(D$5=0,C42,MAX(0,(C42-D$4)*(1+NORMINV(RAND(),INPUTS!$B$28,INPUTS!$B$29))))</f>
        <v>1359440.21316291</v>
      </c>
      <c r="E42" s="85" t="n">
        <f aca="true">IF(E$5=0,D42,MAX(0,(D42-E$4)*(1+NORMINV(RAND(),INPUTS!$B$28,INPUTS!$B$29))))</f>
        <v>1604593.52620985</v>
      </c>
      <c r="F42" s="85" t="n">
        <f aca="true">IF(F$5=0,E42,MAX(0,(E42-F$4)*(1+NORMINV(RAND(),INPUTS!$B$28,INPUTS!$B$29))))</f>
        <v>1762622.29806975</v>
      </c>
      <c r="G42" s="85" t="n">
        <f aca="true">IF(G$5=0,F42,MAX(0,(F42-G$4)*(1+NORMINV(RAND(),INPUTS!$B$28,INPUTS!$B$29))))</f>
        <v>2165382.55468199</v>
      </c>
      <c r="H42" s="85" t="n">
        <f aca="true">IF(H$5=0,G42,MAX(0,(G42-H$4)*(1+NORMINV(RAND(),INPUTS!$B$28,INPUTS!$B$29))))</f>
        <v>2459893.1513305</v>
      </c>
      <c r="I42" s="85" t="n">
        <f aca="true">IF(I$5=0,H42,MAX(0,(H42-I$4)*(1+NORMINV(RAND(),INPUTS!$B$28,INPUTS!$B$29))))</f>
        <v>2341080.00264311</v>
      </c>
      <c r="J42" s="85" t="n">
        <f aca="true">IF(J$5=0,I42,MAX(0,(I42-J$4)*(1+NORMINV(RAND(),INPUTS!$B$28,INPUTS!$B$29))))</f>
        <v>2645454.06421068</v>
      </c>
      <c r="K42" s="85" t="n">
        <f aca="true">IF(K$5=0,J42,MAX(0,(J42-K$4)*(1+NORMINV(RAND(),INPUTS!$B$28,INPUTS!$B$29))))</f>
        <v>2827530.62589298</v>
      </c>
      <c r="L42" s="85" t="n">
        <f aca="true">IF(L$5=0,K42,MAX(0,(K42-L$4)*(1+NORMINV(RAND(),INPUTS!$B$28,INPUTS!$B$29))))</f>
        <v>2752499.87432851</v>
      </c>
      <c r="M42" s="85" t="n">
        <f aca="true">IF(M$5=0,L42,MAX(0,(L42-M$4)*(1+NORMINV(RAND(),INPUTS!$B$28,INPUTS!$B$29))))</f>
        <v>3265193.50288044</v>
      </c>
      <c r="N42" s="85" t="n">
        <f aca="true">IF(N$5=0,M42,MAX(0,(M42-N$4)*(1+NORMINV(RAND(),INPUTS!$B$28,INPUTS!$B$29))))</f>
        <v>3251928.46606009</v>
      </c>
      <c r="O42" s="85" t="n">
        <f aca="true">IF(O$5=0,N42,MAX(0,(N42-O$4)*(1+NORMINV(RAND(),INPUTS!$B$28,INPUTS!$B$29))))</f>
        <v>3271245.97201736</v>
      </c>
      <c r="P42" s="85" t="n">
        <f aca="true">IF(P$5=0,O42,MAX(0,(O42-P$4)*(1+NORMINV(RAND(),INPUTS!$B$28,INPUTS!$B$29))))</f>
        <v>3348554.37947978</v>
      </c>
      <c r="Q42" s="85" t="n">
        <f aca="true">IF(Q$5=0,P42,MAX(0,(P42-Q$4)*(1+NORMINV(RAND(),INPUTS!$B$28,INPUTS!$B$29))))</f>
        <v>3737863.11024669</v>
      </c>
      <c r="R42" s="85" t="n">
        <f aca="true">IF(R$5=0,Q42,MAX(0,(Q42-R$4)*(1+NORMINV(RAND(),INPUTS!$B$28,INPUTS!$B$29))))</f>
        <v>3692519.75585303</v>
      </c>
      <c r="S42" s="85" t="n">
        <f aca="true">IF(S$5=0,R42,MAX(0,(R42-S$4)*(1+NORMINV(RAND(),INPUTS!$B$28,INPUTS!$B$29))))</f>
        <v>3563853.61680735</v>
      </c>
      <c r="T42" s="85" t="n">
        <f aca="true">IF(T$5=0,S42,MAX(0,(S42-T$4)*(1+NORMINV(RAND(),INPUTS!$B$28,INPUTS!$B$29))))</f>
        <v>3601812.55490384</v>
      </c>
      <c r="U42" s="85" t="n">
        <f aca="true">IF(U$5=0,T42,MAX(0,(T42-U$4)*(1+NORMINV(RAND(),INPUTS!$B$28,INPUTS!$B$29))))</f>
        <v>3735754.28310994</v>
      </c>
      <c r="V42" s="85" t="n">
        <f aca="true">IF(V$5=0,U42,MAX(0,(U42-V$4)*(1+NORMINV(RAND(),INPUTS!$B$28,INPUTS!$B$29))))</f>
        <v>3770050.16409962</v>
      </c>
      <c r="W42" s="85" t="n">
        <f aca="true">IF(W$5=0,V42,MAX(0,(V42-W$4)*(1+NORMINV(RAND(),INPUTS!$B$28,INPUTS!$B$29))))</f>
        <v>3346733.84080429</v>
      </c>
      <c r="X42" s="85" t="n">
        <f aca="true">IF(X$5=0,W42,MAX(0,(W42-X$4)*(1+NORMINV(RAND(),INPUTS!$B$28,INPUTS!$B$29))))</f>
        <v>3512131.75896479</v>
      </c>
      <c r="Y42" s="85" t="n">
        <f aca="true">IF(Y$5=0,X42,MAX(0,(X42-Y$4)*(1+NORMINV(RAND(),INPUTS!$B$28,INPUTS!$B$29))))</f>
        <v>3135748.04962779</v>
      </c>
      <c r="Z42" s="85" t="n">
        <f aca="true">IF(Z$5=0,Y42,MAX(0,(Y42-Z$4)*(1+NORMINV(RAND(),INPUTS!$B$28,INPUTS!$B$29))))</f>
        <v>3664457.46837133</v>
      </c>
      <c r="AA42" s="85" t="n">
        <f aca="true">IF(AA$5=0,Z42,MAX(0,(Z42-AA$4)*(1+NORMINV(RAND(),INPUTS!$B$28,INPUTS!$B$29))))</f>
        <v>4133847.68374598</v>
      </c>
      <c r="AB42" s="85" t="n">
        <f aca="true">IF(AB$5=0,AA42,MAX(0,(AA42-AB$4)*(1+NORMINV(RAND(),INPUTS!$B$28,INPUTS!$B$29))))</f>
        <v>3851667.57829507</v>
      </c>
      <c r="AC42" s="85" t="n">
        <f aca="true">IF(AC$5=0,AB42,MAX(0,(AB42-AC$4)*(1+NORMINV(RAND(),INPUTS!$B$28,INPUTS!$B$29))))</f>
        <v>3924723.00746375</v>
      </c>
      <c r="AD42" s="85" t="n">
        <f aca="true">IF(AD$5=0,AC42,MAX(0,(AC42-AD$4)*(1+NORMINV(RAND(),INPUTS!$B$28,INPUTS!$B$29))))</f>
        <v>3210377.46683322</v>
      </c>
      <c r="AE42" s="85" t="n">
        <f aca="true">IF(AE$5=0,AD42,MAX(0,(AD42-AE$4)*(1+NORMINV(RAND(),INPUTS!$B$28,INPUTS!$B$29))))</f>
        <v>3883375.70840358</v>
      </c>
      <c r="AF42" s="85" t="n">
        <f aca="true">IF(AF$5=0,AE42,MAX(0,(AE42-AF$4)*(1+NORMINV(RAND(),INPUTS!$B$28,INPUTS!$B$29))))</f>
        <v>3975070.32845926</v>
      </c>
      <c r="AG42" s="85" t="n">
        <f aca="true">IF(AG$5=0,AF42,MAX(0,(AF42-AG$4)*(1+NORMINV(RAND(),INPUTS!$B$28,INPUTS!$B$29))))</f>
        <v>4460414.97634766</v>
      </c>
      <c r="AH42" s="85" t="n">
        <f aca="true">IF(AH$5=0,AG42,MAX(0,(AG42-AH$4)*(1+NORMINV(RAND(),INPUTS!$B$28,INPUTS!$B$29))))</f>
        <v>6018763.32547807</v>
      </c>
      <c r="AI42" s="85" t="n">
        <f aca="true">IF(AI$5=0,AH42,MAX(0,(AH42-AI$4)*(1+NORMINV(RAND(),INPUTS!$B$28,INPUTS!$B$29))))</f>
        <v>6503749.35113887</v>
      </c>
      <c r="AJ42" s="85" t="n">
        <f aca="true">IF(AJ$5=0,AI42,MAX(0,(AI42-AJ$4)*(1+NORMINV(RAND(),INPUTS!$B$28,INPUTS!$B$29))))</f>
        <v>7722434.37940832</v>
      </c>
      <c r="AK42" s="85" t="n">
        <f aca="true">IF(AK$5=0,AJ42,MAX(0,(AJ42-AK$4)*(1+NORMINV(RAND(),INPUTS!$B$28,INPUTS!$B$29))))</f>
        <v>8544501.94539467</v>
      </c>
      <c r="AL42" s="85" t="n">
        <f aca="true">IF(AL$5=0,AK42,MAX(0,(AK42-AL$4)*(1+NORMINV(RAND(),INPUTS!$B$28,INPUTS!$B$29))))</f>
        <v>9399944.13977367</v>
      </c>
      <c r="AM42" s="85" t="n">
        <f aca="true">IF(AM$5=0,AL42,MAX(0,(AL42-AM$4)*(1+NORMINV(RAND(),INPUTS!$B$28,INPUTS!$B$29))))</f>
        <v>9399944.13977367</v>
      </c>
      <c r="AN42" s="85" t="n">
        <f aca="true">IF(AN$5=0,AM42,MAX(0,(AM42-AN$4)*(1+NORMINV(RAND(),INPUTS!$B$28,INPUTS!$B$29))))</f>
        <v>9399944.13977367</v>
      </c>
      <c r="AO42" s="85" t="n">
        <f aca="true">IF(AO$5=0,AN42,MAX(0,(AN42-AO$4)*(1+NORMINV(RAND(),INPUTS!$B$28,INPUTS!$B$29))))</f>
        <v>9399944.13977367</v>
      </c>
      <c r="AP42" s="85" t="n">
        <f aca="true">IF(AP$5=0,AO42,MAX(0,(AO42-AP$4)*(1+NORMINV(RAND(),INPUTS!$B$28,INPUTS!$B$29))))</f>
        <v>9399944.13977367</v>
      </c>
    </row>
    <row r="43" customFormat="false" ht="15" hidden="false" customHeight="true" outlineLevel="0" collapsed="false">
      <c r="A43" s="83" t="n">
        <v>36</v>
      </c>
      <c r="B43" s="84" t="n">
        <f aca="false">LOOKUP(9.99E+307,C43:AP43)</f>
        <v>2273920.56188665</v>
      </c>
      <c r="C43" s="85" t="n">
        <f aca="true">IF(C$5=0,INPUTS!$B$19,MAX(0,(INPUTS!$B$19-C$4)*(1+NORMINV(RAND(),INPUTS!$B$28,INPUTS!$B$29))))</f>
        <v>1159185.93900038</v>
      </c>
      <c r="D43" s="85" t="n">
        <f aca="true">IF(D$5=0,C43,MAX(0,(C43-D$4)*(1+NORMINV(RAND(),INPUTS!$B$28,INPUTS!$B$29))))</f>
        <v>1285699.26847655</v>
      </c>
      <c r="E43" s="85" t="n">
        <f aca="true">IF(E$5=0,D43,MAX(0,(D43-E$4)*(1+NORMINV(RAND(),INPUTS!$B$28,INPUTS!$B$29))))</f>
        <v>1475289.34201108</v>
      </c>
      <c r="F43" s="85" t="n">
        <f aca="true">IF(F$5=0,E43,MAX(0,(E43-F$4)*(1+NORMINV(RAND(),INPUTS!$B$28,INPUTS!$B$29))))</f>
        <v>1389500.49381398</v>
      </c>
      <c r="G43" s="85" t="n">
        <f aca="true">IF(G$5=0,F43,MAX(0,(F43-G$4)*(1+NORMINV(RAND(),INPUTS!$B$28,INPUTS!$B$29))))</f>
        <v>1629860.2879879</v>
      </c>
      <c r="H43" s="85" t="n">
        <f aca="true">IF(H$5=0,G43,MAX(0,(G43-H$4)*(1+NORMINV(RAND(),INPUTS!$B$28,INPUTS!$B$29))))</f>
        <v>1740587.66573194</v>
      </c>
      <c r="I43" s="85" t="n">
        <f aca="true">IF(I$5=0,H43,MAX(0,(H43-I$4)*(1+NORMINV(RAND(),INPUTS!$B$28,INPUTS!$B$29))))</f>
        <v>1849644.35054107</v>
      </c>
      <c r="J43" s="85" t="n">
        <f aca="true">IF(J$5=0,I43,MAX(0,(I43-J$4)*(1+NORMINV(RAND(),INPUTS!$B$28,INPUTS!$B$29))))</f>
        <v>2256846.26030635</v>
      </c>
      <c r="K43" s="85" t="n">
        <f aca="true">IF(K$5=0,J43,MAX(0,(J43-K$4)*(1+NORMINV(RAND(),INPUTS!$B$28,INPUTS!$B$29))))</f>
        <v>2031748.22611506</v>
      </c>
      <c r="L43" s="85" t="n">
        <f aca="true">IF(L$5=0,K43,MAX(0,(K43-L$4)*(1+NORMINV(RAND(),INPUTS!$B$28,INPUTS!$B$29))))</f>
        <v>2213173.16566921</v>
      </c>
      <c r="M43" s="85" t="n">
        <f aca="true">IF(M$5=0,L43,MAX(0,(L43-M$4)*(1+NORMINV(RAND(),INPUTS!$B$28,INPUTS!$B$29))))</f>
        <v>2234333.97644515</v>
      </c>
      <c r="N43" s="85" t="n">
        <f aca="true">IF(N$5=0,M43,MAX(0,(M43-N$4)*(1+NORMINV(RAND(),INPUTS!$B$28,INPUTS!$B$29))))</f>
        <v>2421577.0189975</v>
      </c>
      <c r="O43" s="85" t="n">
        <f aca="true">IF(O$5=0,N43,MAX(0,(N43-O$4)*(1+NORMINV(RAND(),INPUTS!$B$28,INPUTS!$B$29))))</f>
        <v>2662869.5365704</v>
      </c>
      <c r="P43" s="85" t="n">
        <f aca="true">IF(P$5=0,O43,MAX(0,(O43-P$4)*(1+NORMINV(RAND(),INPUTS!$B$28,INPUTS!$B$29))))</f>
        <v>2286413.27297795</v>
      </c>
      <c r="Q43" s="85" t="n">
        <f aca="true">IF(Q$5=0,P43,MAX(0,(P43-Q$4)*(1+NORMINV(RAND(),INPUTS!$B$28,INPUTS!$B$29))))</f>
        <v>2113137.41372376</v>
      </c>
      <c r="R43" s="85" t="n">
        <f aca="true">IF(R$5=0,Q43,MAX(0,(Q43-R$4)*(1+NORMINV(RAND(),INPUTS!$B$28,INPUTS!$B$29))))</f>
        <v>1864941.50275417</v>
      </c>
      <c r="S43" s="85" t="n">
        <f aca="true">IF(S$5=0,R43,MAX(0,(R43-S$4)*(1+NORMINV(RAND(),INPUTS!$B$28,INPUTS!$B$29))))</f>
        <v>1437002.63343627</v>
      </c>
      <c r="T43" s="85" t="n">
        <f aca="true">IF(T$5=0,S43,MAX(0,(S43-T$4)*(1+NORMINV(RAND(),INPUTS!$B$28,INPUTS!$B$29))))</f>
        <v>1406562.93459756</v>
      </c>
      <c r="U43" s="85" t="n">
        <f aca="true">IF(U$5=0,T43,MAX(0,(T43-U$4)*(1+NORMINV(RAND(),INPUTS!$B$28,INPUTS!$B$29))))</f>
        <v>1181056.76137635</v>
      </c>
      <c r="V43" s="85" t="n">
        <f aca="true">IF(V$5=0,U43,MAX(0,(U43-V$4)*(1+NORMINV(RAND(),INPUTS!$B$28,INPUTS!$B$29))))</f>
        <v>1169577.37021972</v>
      </c>
      <c r="W43" s="85" t="n">
        <f aca="true">IF(W$5=0,V43,MAX(0,(V43-W$4)*(1+NORMINV(RAND(),INPUTS!$B$28,INPUTS!$B$29))))</f>
        <v>1213934.88243963</v>
      </c>
      <c r="X43" s="85" t="n">
        <f aca="true">IF(X$5=0,W43,MAX(0,(W43-X$4)*(1+NORMINV(RAND(),INPUTS!$B$28,INPUTS!$B$29))))</f>
        <v>1358333.8724513</v>
      </c>
      <c r="Y43" s="85" t="n">
        <f aca="true">IF(Y$5=0,X43,MAX(0,(X43-Y$4)*(1+NORMINV(RAND(),INPUTS!$B$28,INPUTS!$B$29))))</f>
        <v>1356581.76868679</v>
      </c>
      <c r="Z43" s="85" t="n">
        <f aca="true">IF(Z$5=0,Y43,MAX(0,(Y43-Z$4)*(1+NORMINV(RAND(),INPUTS!$B$28,INPUTS!$B$29))))</f>
        <v>1312232.82124214</v>
      </c>
      <c r="AA43" s="85" t="n">
        <f aca="true">IF(AA$5=0,Z43,MAX(0,(Z43-AA$4)*(1+NORMINV(RAND(),INPUTS!$B$28,INPUTS!$B$29))))</f>
        <v>1550016.86720459</v>
      </c>
      <c r="AB43" s="85" t="n">
        <f aca="true">IF(AB$5=0,AA43,MAX(0,(AA43-AB$4)*(1+NORMINV(RAND(),INPUTS!$B$28,INPUTS!$B$29))))</f>
        <v>1664619.20088533</v>
      </c>
      <c r="AC43" s="85" t="n">
        <f aca="true">IF(AC$5=0,AB43,MAX(0,(AB43-AC$4)*(1+NORMINV(RAND(),INPUTS!$B$28,INPUTS!$B$29))))</f>
        <v>1727666.71380963</v>
      </c>
      <c r="AD43" s="85" t="n">
        <f aca="true">IF(AD$5=0,AC43,MAX(0,(AC43-AD$4)*(1+NORMINV(RAND(),INPUTS!$B$28,INPUTS!$B$29))))</f>
        <v>1804906.59993895</v>
      </c>
      <c r="AE43" s="85" t="n">
        <f aca="true">IF(AE$5=0,AD43,MAX(0,(AD43-AE$4)*(1+NORMINV(RAND(),INPUTS!$B$28,INPUTS!$B$29))))</f>
        <v>1794317.72175237</v>
      </c>
      <c r="AF43" s="85" t="n">
        <f aca="true">IF(AF$5=0,AE43,MAX(0,(AE43-AF$4)*(1+NORMINV(RAND(),INPUTS!$B$28,INPUTS!$B$29))))</f>
        <v>2026183.81898573</v>
      </c>
      <c r="AG43" s="85" t="n">
        <f aca="true">IF(AG$5=0,AF43,MAX(0,(AF43-AG$4)*(1+NORMINV(RAND(),INPUTS!$B$28,INPUTS!$B$29))))</f>
        <v>1915980.737041</v>
      </c>
      <c r="AH43" s="85" t="n">
        <f aca="true">IF(AH$5=0,AG43,MAX(0,(AG43-AH$4)*(1+NORMINV(RAND(),INPUTS!$B$28,INPUTS!$B$29))))</f>
        <v>1699550.72438224</v>
      </c>
      <c r="AI43" s="85" t="n">
        <f aca="true">IF(AI$5=0,AH43,MAX(0,(AH43-AI$4)*(1+NORMINV(RAND(),INPUTS!$B$28,INPUTS!$B$29))))</f>
        <v>1809017.5150821</v>
      </c>
      <c r="AJ43" s="85" t="n">
        <f aca="true">IF(AJ$5=0,AI43,MAX(0,(AI43-AJ$4)*(1+NORMINV(RAND(),INPUTS!$B$28,INPUTS!$B$29))))</f>
        <v>1819456.16547233</v>
      </c>
      <c r="AK43" s="85" t="n">
        <f aca="true">IF(AK$5=0,AJ43,MAX(0,(AJ43-AK$4)*(1+NORMINV(RAND(),INPUTS!$B$28,INPUTS!$B$29))))</f>
        <v>2128693.33921765</v>
      </c>
      <c r="AL43" s="85" t="n">
        <f aca="true">IF(AL$5=0,AK43,MAX(0,(AK43-AL$4)*(1+NORMINV(RAND(),INPUTS!$B$28,INPUTS!$B$29))))</f>
        <v>2273920.56188665</v>
      </c>
      <c r="AM43" s="85" t="n">
        <f aca="true">IF(AM$5=0,AL43,MAX(0,(AL43-AM$4)*(1+NORMINV(RAND(),INPUTS!$B$28,INPUTS!$B$29))))</f>
        <v>2273920.56188665</v>
      </c>
      <c r="AN43" s="85" t="n">
        <f aca="true">IF(AN$5=0,AM43,MAX(0,(AM43-AN$4)*(1+NORMINV(RAND(),INPUTS!$B$28,INPUTS!$B$29))))</f>
        <v>2273920.56188665</v>
      </c>
      <c r="AO43" s="85" t="n">
        <f aca="true">IF(AO$5=0,AN43,MAX(0,(AN43-AO$4)*(1+NORMINV(RAND(),INPUTS!$B$28,INPUTS!$B$29))))</f>
        <v>2273920.56188665</v>
      </c>
      <c r="AP43" s="85" t="n">
        <f aca="true">IF(AP$5=0,AO43,MAX(0,(AO43-AP$4)*(1+NORMINV(RAND(),INPUTS!$B$28,INPUTS!$B$29))))</f>
        <v>2273920.56188665</v>
      </c>
    </row>
    <row r="44" customFormat="false" ht="15" hidden="false" customHeight="true" outlineLevel="0" collapsed="false">
      <c r="A44" s="83" t="n">
        <v>37</v>
      </c>
      <c r="B44" s="84" t="n">
        <f aca="false">LOOKUP(9.99E+307,C44:AP44)</f>
        <v>4060696.75075824</v>
      </c>
      <c r="C44" s="85" t="n">
        <f aca="true">IF(C$5=0,INPUTS!$B$19,MAX(0,(INPUTS!$B$19-C$4)*(1+NORMINV(RAND(),INPUTS!$B$28,INPUTS!$B$29))))</f>
        <v>1357207.15558703</v>
      </c>
      <c r="D44" s="85" t="n">
        <f aca="true">IF(D$5=0,C44,MAX(0,(C44-D$4)*(1+NORMINV(RAND(),INPUTS!$B$28,INPUTS!$B$29))))</f>
        <v>1546515.27100374</v>
      </c>
      <c r="E44" s="85" t="n">
        <f aca="true">IF(E$5=0,D44,MAX(0,(D44-E$4)*(1+NORMINV(RAND(),INPUTS!$B$28,INPUTS!$B$29))))</f>
        <v>2039400.65771196</v>
      </c>
      <c r="F44" s="85" t="n">
        <f aca="true">IF(F$5=0,E44,MAX(0,(E44-F$4)*(1+NORMINV(RAND(),INPUTS!$B$28,INPUTS!$B$29))))</f>
        <v>2001147.79812233</v>
      </c>
      <c r="G44" s="85" t="n">
        <f aca="true">IF(G$5=0,F44,MAX(0,(F44-G$4)*(1+NORMINV(RAND(),INPUTS!$B$28,INPUTS!$B$29))))</f>
        <v>2429009.15602491</v>
      </c>
      <c r="H44" s="85" t="n">
        <f aca="true">IF(H$5=0,G44,MAX(0,(G44-H$4)*(1+NORMINV(RAND(),INPUTS!$B$28,INPUTS!$B$29))))</f>
        <v>2826183.59553921</v>
      </c>
      <c r="I44" s="85" t="n">
        <f aca="true">IF(I$5=0,H44,MAX(0,(H44-I$4)*(1+NORMINV(RAND(),INPUTS!$B$28,INPUTS!$B$29))))</f>
        <v>2980629.05899577</v>
      </c>
      <c r="J44" s="85" t="n">
        <f aca="true">IF(J$5=0,I44,MAX(0,(I44-J$4)*(1+NORMINV(RAND(),INPUTS!$B$28,INPUTS!$B$29))))</f>
        <v>2697531.17974237</v>
      </c>
      <c r="K44" s="85" t="n">
        <f aca="true">IF(K$5=0,J44,MAX(0,(J44-K$4)*(1+NORMINV(RAND(),INPUTS!$B$28,INPUTS!$B$29))))</f>
        <v>2763541.77384379</v>
      </c>
      <c r="L44" s="85" t="n">
        <f aca="true">IF(L$5=0,K44,MAX(0,(K44-L$4)*(1+NORMINV(RAND(),INPUTS!$B$28,INPUTS!$B$29))))</f>
        <v>2474086.67828719</v>
      </c>
      <c r="M44" s="85" t="n">
        <f aca="true">IF(M$5=0,L44,MAX(0,(L44-M$4)*(1+NORMINV(RAND(),INPUTS!$B$28,INPUTS!$B$29))))</f>
        <v>2486999.81648686</v>
      </c>
      <c r="N44" s="85" t="n">
        <f aca="true">IF(N$5=0,M44,MAX(0,(M44-N$4)*(1+NORMINV(RAND(),INPUTS!$B$28,INPUTS!$B$29))))</f>
        <v>3029899.3288466</v>
      </c>
      <c r="O44" s="85" t="n">
        <f aca="true">IF(O$5=0,N44,MAX(0,(N44-O$4)*(1+NORMINV(RAND(),INPUTS!$B$28,INPUTS!$B$29))))</f>
        <v>3283107.44456014</v>
      </c>
      <c r="P44" s="85" t="n">
        <f aca="true">IF(P$5=0,O44,MAX(0,(O44-P$4)*(1+NORMINV(RAND(),INPUTS!$B$28,INPUTS!$B$29))))</f>
        <v>3396617.5264055</v>
      </c>
      <c r="Q44" s="85" t="n">
        <f aca="true">IF(Q$5=0,P44,MAX(0,(P44-Q$4)*(1+NORMINV(RAND(),INPUTS!$B$28,INPUTS!$B$29))))</f>
        <v>2857475.94903062</v>
      </c>
      <c r="R44" s="85" t="n">
        <f aca="true">IF(R$5=0,Q44,MAX(0,(Q44-R$4)*(1+NORMINV(RAND(),INPUTS!$B$28,INPUTS!$B$29))))</f>
        <v>3072033.88712681</v>
      </c>
      <c r="S44" s="85" t="n">
        <f aca="true">IF(S$5=0,R44,MAX(0,(R44-S$4)*(1+NORMINV(RAND(),INPUTS!$B$28,INPUTS!$B$29))))</f>
        <v>3044268.45174297</v>
      </c>
      <c r="T44" s="85" t="n">
        <f aca="true">IF(T$5=0,S44,MAX(0,(S44-T$4)*(1+NORMINV(RAND(),INPUTS!$B$28,INPUTS!$B$29))))</f>
        <v>3368657.30352559</v>
      </c>
      <c r="U44" s="85" t="n">
        <f aca="true">IF(U$5=0,T44,MAX(0,(T44-U$4)*(1+NORMINV(RAND(),INPUTS!$B$28,INPUTS!$B$29))))</f>
        <v>3310871.26322283</v>
      </c>
      <c r="V44" s="85" t="n">
        <f aca="true">IF(V$5=0,U44,MAX(0,(U44-V$4)*(1+NORMINV(RAND(),INPUTS!$B$28,INPUTS!$B$29))))</f>
        <v>3674979.83668433</v>
      </c>
      <c r="W44" s="85" t="n">
        <f aca="true">IF(W$5=0,V44,MAX(0,(V44-W$4)*(1+NORMINV(RAND(),INPUTS!$B$28,INPUTS!$B$29))))</f>
        <v>3784719.48757181</v>
      </c>
      <c r="X44" s="85" t="n">
        <f aca="true">IF(X$5=0,W44,MAX(0,(W44-X$4)*(1+NORMINV(RAND(),INPUTS!$B$28,INPUTS!$B$29))))</f>
        <v>3478878.80832385</v>
      </c>
      <c r="Y44" s="85" t="n">
        <f aca="true">IF(Y$5=0,X44,MAX(0,(X44-Y$4)*(1+NORMINV(RAND(),INPUTS!$B$28,INPUTS!$B$29))))</f>
        <v>3115694.89799349</v>
      </c>
      <c r="Z44" s="85" t="n">
        <f aca="true">IF(Z$5=0,Y44,MAX(0,(Y44-Z$4)*(1+NORMINV(RAND(),INPUTS!$B$28,INPUTS!$B$29))))</f>
        <v>2934075.67430646</v>
      </c>
      <c r="AA44" s="85" t="n">
        <f aca="true">IF(AA$5=0,Z44,MAX(0,(Z44-AA$4)*(1+NORMINV(RAND(),INPUTS!$B$28,INPUTS!$B$29))))</f>
        <v>2851884.55295034</v>
      </c>
      <c r="AB44" s="85" t="n">
        <f aca="true">IF(AB$5=0,AA44,MAX(0,(AA44-AB$4)*(1+NORMINV(RAND(),INPUTS!$B$28,INPUTS!$B$29))))</f>
        <v>2927190.35489374</v>
      </c>
      <c r="AC44" s="85" t="n">
        <f aca="true">IF(AC$5=0,AB44,MAX(0,(AB44-AC$4)*(1+NORMINV(RAND(),INPUTS!$B$28,INPUTS!$B$29))))</f>
        <v>2871946.28907438</v>
      </c>
      <c r="AD44" s="85" t="n">
        <f aca="true">IF(AD$5=0,AC44,MAX(0,(AC44-AD$4)*(1+NORMINV(RAND(),INPUTS!$B$28,INPUTS!$B$29))))</f>
        <v>2958587.16101572</v>
      </c>
      <c r="AE44" s="85" t="n">
        <f aca="true">IF(AE$5=0,AD44,MAX(0,(AD44-AE$4)*(1+NORMINV(RAND(),INPUTS!$B$28,INPUTS!$B$29))))</f>
        <v>3216729.94901521</v>
      </c>
      <c r="AF44" s="85" t="n">
        <f aca="true">IF(AF$5=0,AE44,MAX(0,(AE44-AF$4)*(1+NORMINV(RAND(),INPUTS!$B$28,INPUTS!$B$29))))</f>
        <v>3554826.8649439</v>
      </c>
      <c r="AG44" s="85" t="n">
        <f aca="true">IF(AG$5=0,AF44,MAX(0,(AF44-AG$4)*(1+NORMINV(RAND(),INPUTS!$B$28,INPUTS!$B$29))))</f>
        <v>2825287.14415658</v>
      </c>
      <c r="AH44" s="85" t="n">
        <f aca="true">IF(AH$5=0,AG44,MAX(0,(AG44-AH$4)*(1+NORMINV(RAND(),INPUTS!$B$28,INPUTS!$B$29))))</f>
        <v>2747328.91531854</v>
      </c>
      <c r="AI44" s="85" t="n">
        <f aca="true">IF(AI$5=0,AH44,MAX(0,(AH44-AI$4)*(1+NORMINV(RAND(),INPUTS!$B$28,INPUTS!$B$29))))</f>
        <v>2756067.11567235</v>
      </c>
      <c r="AJ44" s="85" t="n">
        <f aca="true">IF(AJ$5=0,AI44,MAX(0,(AI44-AJ$4)*(1+NORMINV(RAND(),INPUTS!$B$28,INPUTS!$B$29))))</f>
        <v>3263196.20120585</v>
      </c>
      <c r="AK44" s="85" t="n">
        <f aca="true">IF(AK$5=0,AJ44,MAX(0,(AJ44-AK$4)*(1+NORMINV(RAND(),INPUTS!$B$28,INPUTS!$B$29))))</f>
        <v>3794396.04815777</v>
      </c>
      <c r="AL44" s="85" t="n">
        <f aca="true">IF(AL$5=0,AK44,MAX(0,(AK44-AL$4)*(1+NORMINV(RAND(),INPUTS!$B$28,INPUTS!$B$29))))</f>
        <v>4060696.75075824</v>
      </c>
      <c r="AM44" s="85" t="n">
        <f aca="true">IF(AM$5=0,AL44,MAX(0,(AL44-AM$4)*(1+NORMINV(RAND(),INPUTS!$B$28,INPUTS!$B$29))))</f>
        <v>4060696.75075824</v>
      </c>
      <c r="AN44" s="85" t="n">
        <f aca="true">IF(AN$5=0,AM44,MAX(0,(AM44-AN$4)*(1+NORMINV(RAND(),INPUTS!$B$28,INPUTS!$B$29))))</f>
        <v>4060696.75075824</v>
      </c>
      <c r="AO44" s="85" t="n">
        <f aca="true">IF(AO$5=0,AN44,MAX(0,(AN44-AO$4)*(1+NORMINV(RAND(),INPUTS!$B$28,INPUTS!$B$29))))</f>
        <v>4060696.75075824</v>
      </c>
      <c r="AP44" s="85" t="n">
        <f aca="true">IF(AP$5=0,AO44,MAX(0,(AO44-AP$4)*(1+NORMINV(RAND(),INPUTS!$B$28,INPUTS!$B$29))))</f>
        <v>4060696.75075824</v>
      </c>
    </row>
    <row r="45" customFormat="false" ht="15" hidden="false" customHeight="true" outlineLevel="0" collapsed="false">
      <c r="A45" s="83" t="n">
        <v>38</v>
      </c>
      <c r="B45" s="84" t="n">
        <f aca="false">LOOKUP(9.99E+307,C45:AP45)</f>
        <v>875951.129610001</v>
      </c>
      <c r="C45" s="85" t="n">
        <f aca="true">IF(C$5=0,INPUTS!$B$19,MAX(0,(INPUTS!$B$19-C$4)*(1+NORMINV(RAND(),INPUTS!$B$28,INPUTS!$B$29))))</f>
        <v>1229954.44717436</v>
      </c>
      <c r="D45" s="85" t="n">
        <f aca="true">IF(D$5=0,C45,MAX(0,(C45-D$4)*(1+NORMINV(RAND(),INPUTS!$B$28,INPUTS!$B$29))))</f>
        <v>1014810.21606146</v>
      </c>
      <c r="E45" s="85" t="n">
        <f aca="true">IF(E$5=0,D45,MAX(0,(D45-E$4)*(1+NORMINV(RAND(),INPUTS!$B$28,INPUTS!$B$29))))</f>
        <v>1095113.95563165</v>
      </c>
      <c r="F45" s="85" t="n">
        <f aca="true">IF(F$5=0,E45,MAX(0,(E45-F$4)*(1+NORMINV(RAND(),INPUTS!$B$28,INPUTS!$B$29))))</f>
        <v>1127918.07539356</v>
      </c>
      <c r="G45" s="85" t="n">
        <f aca="true">IF(G$5=0,F45,MAX(0,(F45-G$4)*(1+NORMINV(RAND(),INPUTS!$B$28,INPUTS!$B$29))))</f>
        <v>1100443.5375148</v>
      </c>
      <c r="H45" s="85" t="n">
        <f aca="true">IF(H$5=0,G45,MAX(0,(G45-H$4)*(1+NORMINV(RAND(),INPUTS!$B$28,INPUTS!$B$29))))</f>
        <v>1070534.81884131</v>
      </c>
      <c r="I45" s="85" t="n">
        <f aca="true">IF(I$5=0,H45,MAX(0,(H45-I$4)*(1+NORMINV(RAND(),INPUTS!$B$28,INPUTS!$B$29))))</f>
        <v>1039866.33338865</v>
      </c>
      <c r="J45" s="85" t="n">
        <f aca="true">IF(J$5=0,I45,MAX(0,(I45-J$4)*(1+NORMINV(RAND(),INPUTS!$B$28,INPUTS!$B$29))))</f>
        <v>1046246.92717451</v>
      </c>
      <c r="K45" s="85" t="n">
        <f aca="true">IF(K$5=0,J45,MAX(0,(J45-K$4)*(1+NORMINV(RAND(),INPUTS!$B$28,INPUTS!$B$29))))</f>
        <v>941829.970033791</v>
      </c>
      <c r="L45" s="85" t="n">
        <f aca="true">IF(L$5=0,K45,MAX(0,(K45-L$4)*(1+NORMINV(RAND(),INPUTS!$B$28,INPUTS!$B$29))))</f>
        <v>1022016.82346059</v>
      </c>
      <c r="M45" s="85" t="n">
        <f aca="true">IF(M$5=0,L45,MAX(0,(L45-M$4)*(1+NORMINV(RAND(),INPUTS!$B$28,INPUTS!$B$29))))</f>
        <v>945360.748198621</v>
      </c>
      <c r="N45" s="85" t="n">
        <f aca="true">IF(N$5=0,M45,MAX(0,(M45-N$4)*(1+NORMINV(RAND(),INPUTS!$B$28,INPUTS!$B$29))))</f>
        <v>942719.630529459</v>
      </c>
      <c r="O45" s="85" t="n">
        <f aca="true">IF(O$5=0,N45,MAX(0,(N45-O$4)*(1+NORMINV(RAND(),INPUTS!$B$28,INPUTS!$B$29))))</f>
        <v>905412.339909147</v>
      </c>
      <c r="P45" s="85" t="n">
        <f aca="true">IF(P$5=0,O45,MAX(0,(O45-P$4)*(1+NORMINV(RAND(),INPUTS!$B$28,INPUTS!$B$29))))</f>
        <v>806924.071573773</v>
      </c>
      <c r="Q45" s="85" t="n">
        <f aca="true">IF(Q$5=0,P45,MAX(0,(P45-Q$4)*(1+NORMINV(RAND(),INPUTS!$B$28,INPUTS!$B$29))))</f>
        <v>941562.158861</v>
      </c>
      <c r="R45" s="85" t="n">
        <f aca="true">IF(R$5=0,Q45,MAX(0,(Q45-R$4)*(1+NORMINV(RAND(),INPUTS!$B$28,INPUTS!$B$29))))</f>
        <v>882763.869958229</v>
      </c>
      <c r="S45" s="85" t="n">
        <f aca="true">IF(S$5=0,R45,MAX(0,(R45-S$4)*(1+NORMINV(RAND(),INPUTS!$B$28,INPUTS!$B$29))))</f>
        <v>910433.731375596</v>
      </c>
      <c r="T45" s="85" t="n">
        <f aca="true">IF(T$5=0,S45,MAX(0,(S45-T$4)*(1+NORMINV(RAND(),INPUTS!$B$28,INPUTS!$B$29))))</f>
        <v>847627.156729964</v>
      </c>
      <c r="U45" s="85" t="n">
        <f aca="true">IF(U$5=0,T45,MAX(0,(T45-U$4)*(1+NORMINV(RAND(),INPUTS!$B$28,INPUTS!$B$29))))</f>
        <v>888875.095386645</v>
      </c>
      <c r="V45" s="85" t="n">
        <f aca="true">IF(V$5=0,U45,MAX(0,(U45-V$4)*(1+NORMINV(RAND(),INPUTS!$B$28,INPUTS!$B$29))))</f>
        <v>963962.753205094</v>
      </c>
      <c r="W45" s="85" t="n">
        <f aca="true">IF(W$5=0,V45,MAX(0,(V45-W$4)*(1+NORMINV(RAND(),INPUTS!$B$28,INPUTS!$B$29))))</f>
        <v>863029.749226873</v>
      </c>
      <c r="X45" s="85" t="n">
        <f aca="true">IF(X$5=0,W45,MAX(0,(W45-X$4)*(1+NORMINV(RAND(),INPUTS!$B$28,INPUTS!$B$29))))</f>
        <v>935384.221319569</v>
      </c>
      <c r="Y45" s="85" t="n">
        <f aca="true">IF(Y$5=0,X45,MAX(0,(X45-Y$4)*(1+NORMINV(RAND(),INPUTS!$B$28,INPUTS!$B$29))))</f>
        <v>813686.548243727</v>
      </c>
      <c r="Z45" s="85" t="n">
        <f aca="true">IF(Z$5=0,Y45,MAX(0,(Y45-Z$4)*(1+NORMINV(RAND(),INPUTS!$B$28,INPUTS!$B$29))))</f>
        <v>724406.727932076</v>
      </c>
      <c r="AA45" s="85" t="n">
        <f aca="true">IF(AA$5=0,Z45,MAX(0,(Z45-AA$4)*(1+NORMINV(RAND(),INPUTS!$B$28,INPUTS!$B$29))))</f>
        <v>825445.541901912</v>
      </c>
      <c r="AB45" s="85" t="n">
        <f aca="true">IF(AB$5=0,AA45,MAX(0,(AA45-AB$4)*(1+NORMINV(RAND(),INPUTS!$B$28,INPUTS!$B$29))))</f>
        <v>890152.752480693</v>
      </c>
      <c r="AC45" s="85" t="n">
        <f aca="true">IF(AC$5=0,AB45,MAX(0,(AB45-AC$4)*(1+NORMINV(RAND(),INPUTS!$B$28,INPUTS!$B$29))))</f>
        <v>892031.260993802</v>
      </c>
      <c r="AD45" s="85" t="n">
        <f aca="true">IF(AD$5=0,AC45,MAX(0,(AC45-AD$4)*(1+NORMINV(RAND(),INPUTS!$B$28,INPUTS!$B$29))))</f>
        <v>1048637.8891015</v>
      </c>
      <c r="AE45" s="85" t="n">
        <f aca="true">IF(AE$5=0,AD45,MAX(0,(AD45-AE$4)*(1+NORMINV(RAND(),INPUTS!$B$28,INPUTS!$B$29))))</f>
        <v>1131589.86694122</v>
      </c>
      <c r="AF45" s="85" t="n">
        <f aca="true">IF(AF$5=0,AE45,MAX(0,(AE45-AF$4)*(1+NORMINV(RAND(),INPUTS!$B$28,INPUTS!$B$29))))</f>
        <v>1110418.94567427</v>
      </c>
      <c r="AG45" s="85" t="n">
        <f aca="true">IF(AG$5=0,AF45,MAX(0,(AF45-AG$4)*(1+NORMINV(RAND(),INPUTS!$B$28,INPUTS!$B$29))))</f>
        <v>874210.673989878</v>
      </c>
      <c r="AH45" s="85" t="n">
        <f aca="true">IF(AH$5=0,AG45,MAX(0,(AG45-AH$4)*(1+NORMINV(RAND(),INPUTS!$B$28,INPUTS!$B$29))))</f>
        <v>849666.405173127</v>
      </c>
      <c r="AI45" s="85" t="n">
        <f aca="true">IF(AI$5=0,AH45,MAX(0,(AH45-AI$4)*(1+NORMINV(RAND(),INPUTS!$B$28,INPUTS!$B$29))))</f>
        <v>863326.899326307</v>
      </c>
      <c r="AJ45" s="85" t="n">
        <f aca="true">IF(AJ$5=0,AI45,MAX(0,(AI45-AJ$4)*(1+NORMINV(RAND(),INPUTS!$B$28,INPUTS!$B$29))))</f>
        <v>786237.67208164</v>
      </c>
      <c r="AK45" s="85" t="n">
        <f aca="true">IF(AK$5=0,AJ45,MAX(0,(AJ45-AK$4)*(1+NORMINV(RAND(),INPUTS!$B$28,INPUTS!$B$29))))</f>
        <v>766638.375382535</v>
      </c>
      <c r="AL45" s="85" t="n">
        <f aca="true">IF(AL$5=0,AK45,MAX(0,(AK45-AL$4)*(1+NORMINV(RAND(),INPUTS!$B$28,INPUTS!$B$29))))</f>
        <v>875951.129610001</v>
      </c>
      <c r="AM45" s="85" t="n">
        <f aca="true">IF(AM$5=0,AL45,MAX(0,(AL45-AM$4)*(1+NORMINV(RAND(),INPUTS!$B$28,INPUTS!$B$29))))</f>
        <v>875951.129610001</v>
      </c>
      <c r="AN45" s="85" t="n">
        <f aca="true">IF(AN$5=0,AM45,MAX(0,(AM45-AN$4)*(1+NORMINV(RAND(),INPUTS!$B$28,INPUTS!$B$29))))</f>
        <v>875951.129610001</v>
      </c>
      <c r="AO45" s="85" t="n">
        <f aca="true">IF(AO$5=0,AN45,MAX(0,(AN45-AO$4)*(1+NORMINV(RAND(),INPUTS!$B$28,INPUTS!$B$29))))</f>
        <v>875951.129610001</v>
      </c>
      <c r="AP45" s="85" t="n">
        <f aca="true">IF(AP$5=0,AO45,MAX(0,(AO45-AP$4)*(1+NORMINV(RAND(),INPUTS!$B$28,INPUTS!$B$29))))</f>
        <v>875951.129610001</v>
      </c>
    </row>
    <row r="46" customFormat="false" ht="15" hidden="false" customHeight="true" outlineLevel="0" collapsed="false">
      <c r="A46" s="83" t="n">
        <v>39</v>
      </c>
      <c r="B46" s="84" t="n">
        <f aca="false">LOOKUP(9.99E+307,C46:AP46)</f>
        <v>3907304.03230428</v>
      </c>
      <c r="C46" s="85" t="n">
        <f aca="true">IF(C$5=0,INPUTS!$B$19,MAX(0,(INPUTS!$B$19-C$4)*(1+NORMINV(RAND(),INPUTS!$B$28,INPUTS!$B$29))))</f>
        <v>1454359.50834492</v>
      </c>
      <c r="D46" s="85" t="n">
        <f aca="true">IF(D$5=0,C46,MAX(0,(C46-D$4)*(1+NORMINV(RAND(),INPUTS!$B$28,INPUTS!$B$29))))</f>
        <v>1462528.99648156</v>
      </c>
      <c r="E46" s="85" t="n">
        <f aca="true">IF(E$5=0,D46,MAX(0,(D46-E$4)*(1+NORMINV(RAND(),INPUTS!$B$28,INPUTS!$B$29))))</f>
        <v>1440827.93257334</v>
      </c>
      <c r="F46" s="85" t="n">
        <f aca="true">IF(F$5=0,E46,MAX(0,(E46-F$4)*(1+NORMINV(RAND(),INPUTS!$B$28,INPUTS!$B$29))))</f>
        <v>1786097.58154457</v>
      </c>
      <c r="G46" s="85" t="n">
        <f aca="true">IF(G$5=0,F46,MAX(0,(F46-G$4)*(1+NORMINV(RAND(),INPUTS!$B$28,INPUTS!$B$29))))</f>
        <v>1863705.97706228</v>
      </c>
      <c r="H46" s="85" t="n">
        <f aca="true">IF(H$5=0,G46,MAX(0,(G46-H$4)*(1+NORMINV(RAND(),INPUTS!$B$28,INPUTS!$B$29))))</f>
        <v>2208655.69304275</v>
      </c>
      <c r="I46" s="85" t="n">
        <f aca="true">IF(I$5=0,H46,MAX(0,(H46-I$4)*(1+NORMINV(RAND(),INPUTS!$B$28,INPUTS!$B$29))))</f>
        <v>2094212.69935443</v>
      </c>
      <c r="J46" s="85" t="n">
        <f aca="true">IF(J$5=0,I46,MAX(0,(I46-J$4)*(1+NORMINV(RAND(),INPUTS!$B$28,INPUTS!$B$29))))</f>
        <v>1989259.17678122</v>
      </c>
      <c r="K46" s="85" t="n">
        <f aca="true">IF(K$5=0,J46,MAX(0,(J46-K$4)*(1+NORMINV(RAND(),INPUTS!$B$28,INPUTS!$B$29))))</f>
        <v>2084586.33096073</v>
      </c>
      <c r="L46" s="85" t="n">
        <f aca="true">IF(L$5=0,K46,MAX(0,(K46-L$4)*(1+NORMINV(RAND(),INPUTS!$B$28,INPUTS!$B$29))))</f>
        <v>2318742.94463554</v>
      </c>
      <c r="M46" s="85" t="n">
        <f aca="true">IF(M$5=0,L46,MAX(0,(L46-M$4)*(1+NORMINV(RAND(),INPUTS!$B$28,INPUTS!$B$29))))</f>
        <v>2679701.93272019</v>
      </c>
      <c r="N46" s="85" t="n">
        <f aca="true">IF(N$5=0,M46,MAX(0,(M46-N$4)*(1+NORMINV(RAND(),INPUTS!$B$28,INPUTS!$B$29))))</f>
        <v>2504117.26135338</v>
      </c>
      <c r="O46" s="85" t="n">
        <f aca="true">IF(O$5=0,N46,MAX(0,(N46-O$4)*(1+NORMINV(RAND(),INPUTS!$B$28,INPUTS!$B$29))))</f>
        <v>2958212.15258729</v>
      </c>
      <c r="P46" s="85" t="n">
        <f aca="true">IF(P$5=0,O46,MAX(0,(O46-P$4)*(1+NORMINV(RAND(),INPUTS!$B$28,INPUTS!$B$29))))</f>
        <v>3241523.80289508</v>
      </c>
      <c r="Q46" s="85" t="n">
        <f aca="true">IF(Q$5=0,P46,MAX(0,(P46-Q$4)*(1+NORMINV(RAND(),INPUTS!$B$28,INPUTS!$B$29))))</f>
        <v>3857138.32164284</v>
      </c>
      <c r="R46" s="85" t="n">
        <f aca="true">IF(R$5=0,Q46,MAX(0,(Q46-R$4)*(1+NORMINV(RAND(),INPUTS!$B$28,INPUTS!$B$29))))</f>
        <v>3699026.49501187</v>
      </c>
      <c r="S46" s="85" t="n">
        <f aca="true">IF(S$5=0,R46,MAX(0,(R46-S$4)*(1+NORMINV(RAND(),INPUTS!$B$28,INPUTS!$B$29))))</f>
        <v>3592742.00851696</v>
      </c>
      <c r="T46" s="85" t="n">
        <f aca="true">IF(T$5=0,S46,MAX(0,(S46-T$4)*(1+NORMINV(RAND(),INPUTS!$B$28,INPUTS!$B$29))))</f>
        <v>3074598.12161959</v>
      </c>
      <c r="U46" s="85" t="n">
        <f aca="true">IF(U$5=0,T46,MAX(0,(T46-U$4)*(1+NORMINV(RAND(),INPUTS!$B$28,INPUTS!$B$29))))</f>
        <v>3497690.76133166</v>
      </c>
      <c r="V46" s="85" t="n">
        <f aca="true">IF(V$5=0,U46,MAX(0,(U46-V$4)*(1+NORMINV(RAND(),INPUTS!$B$28,INPUTS!$B$29))))</f>
        <v>3646859.57002391</v>
      </c>
      <c r="W46" s="85" t="n">
        <f aca="true">IF(W$5=0,V46,MAX(0,(V46-W$4)*(1+NORMINV(RAND(),INPUTS!$B$28,INPUTS!$B$29))))</f>
        <v>4334901.23231405</v>
      </c>
      <c r="X46" s="85" t="n">
        <f aca="true">IF(X$5=0,W46,MAX(0,(W46-X$4)*(1+NORMINV(RAND(),INPUTS!$B$28,INPUTS!$B$29))))</f>
        <v>3990486.62499637</v>
      </c>
      <c r="Y46" s="85" t="n">
        <f aca="true">IF(Y$5=0,X46,MAX(0,(X46-Y$4)*(1+NORMINV(RAND(),INPUTS!$B$28,INPUTS!$B$29))))</f>
        <v>4274781.77767271</v>
      </c>
      <c r="Z46" s="85" t="n">
        <f aca="true">IF(Z$5=0,Y46,MAX(0,(Y46-Z$4)*(1+NORMINV(RAND(),INPUTS!$B$28,INPUTS!$B$29))))</f>
        <v>3828634.7460962</v>
      </c>
      <c r="AA46" s="85" t="n">
        <f aca="true">IF(AA$5=0,Z46,MAX(0,(Z46-AA$4)*(1+NORMINV(RAND(),INPUTS!$B$28,INPUTS!$B$29))))</f>
        <v>4395320.45471856</v>
      </c>
      <c r="AB46" s="85" t="n">
        <f aca="true">IF(AB$5=0,AA46,MAX(0,(AA46-AB$4)*(1+NORMINV(RAND(),INPUTS!$B$28,INPUTS!$B$29))))</f>
        <v>4372725.06055851</v>
      </c>
      <c r="AC46" s="85" t="n">
        <f aca="true">IF(AC$5=0,AB46,MAX(0,(AB46-AC$4)*(1+NORMINV(RAND(),INPUTS!$B$28,INPUTS!$B$29))))</f>
        <v>3718345.34685982</v>
      </c>
      <c r="AD46" s="85" t="n">
        <f aca="true">IF(AD$5=0,AC46,MAX(0,(AC46-AD$4)*(1+NORMINV(RAND(),INPUTS!$B$28,INPUTS!$B$29))))</f>
        <v>3659585.36612181</v>
      </c>
      <c r="AE46" s="85" t="n">
        <f aca="true">IF(AE$5=0,AD46,MAX(0,(AD46-AE$4)*(1+NORMINV(RAND(),INPUTS!$B$28,INPUTS!$B$29))))</f>
        <v>3381832.46175635</v>
      </c>
      <c r="AF46" s="85" t="n">
        <f aca="true">IF(AF$5=0,AE46,MAX(0,(AE46-AF$4)*(1+NORMINV(RAND(),INPUTS!$B$28,INPUTS!$B$29))))</f>
        <v>4278972.28154151</v>
      </c>
      <c r="AG46" s="85" t="n">
        <f aca="true">IF(AG$5=0,AF46,MAX(0,(AF46-AG$4)*(1+NORMINV(RAND(),INPUTS!$B$28,INPUTS!$B$29))))</f>
        <v>3944031.42347908</v>
      </c>
      <c r="AH46" s="85" t="n">
        <f aca="true">IF(AH$5=0,AG46,MAX(0,(AG46-AH$4)*(1+NORMINV(RAND(),INPUTS!$B$28,INPUTS!$B$29))))</f>
        <v>3595284.9084835</v>
      </c>
      <c r="AI46" s="85" t="n">
        <f aca="true">IF(AI$5=0,AH46,MAX(0,(AH46-AI$4)*(1+NORMINV(RAND(),INPUTS!$B$28,INPUTS!$B$29))))</f>
        <v>3442651.27807893</v>
      </c>
      <c r="AJ46" s="85" t="n">
        <f aca="true">IF(AJ$5=0,AI46,MAX(0,(AI46-AJ$4)*(1+NORMINV(RAND(),INPUTS!$B$28,INPUTS!$B$29))))</f>
        <v>3300853.48170767</v>
      </c>
      <c r="AK46" s="85" t="n">
        <f aca="true">IF(AK$5=0,AJ46,MAX(0,(AJ46-AK$4)*(1+NORMINV(RAND(),INPUTS!$B$28,INPUTS!$B$29))))</f>
        <v>3454004.95474141</v>
      </c>
      <c r="AL46" s="85" t="n">
        <f aca="true">IF(AL$5=0,AK46,MAX(0,(AK46-AL$4)*(1+NORMINV(RAND(),INPUTS!$B$28,INPUTS!$B$29))))</f>
        <v>3907304.03230428</v>
      </c>
      <c r="AM46" s="85" t="n">
        <f aca="true">IF(AM$5=0,AL46,MAX(0,(AL46-AM$4)*(1+NORMINV(RAND(),INPUTS!$B$28,INPUTS!$B$29))))</f>
        <v>3907304.03230428</v>
      </c>
      <c r="AN46" s="85" t="n">
        <f aca="true">IF(AN$5=0,AM46,MAX(0,(AM46-AN$4)*(1+NORMINV(RAND(),INPUTS!$B$28,INPUTS!$B$29))))</f>
        <v>3907304.03230428</v>
      </c>
      <c r="AO46" s="85" t="n">
        <f aca="true">IF(AO$5=0,AN46,MAX(0,(AN46-AO$4)*(1+NORMINV(RAND(),INPUTS!$B$28,INPUTS!$B$29))))</f>
        <v>3907304.03230428</v>
      </c>
      <c r="AP46" s="85" t="n">
        <f aca="true">IF(AP$5=0,AO46,MAX(0,(AO46-AP$4)*(1+NORMINV(RAND(),INPUTS!$B$28,INPUTS!$B$29))))</f>
        <v>3907304.03230428</v>
      </c>
    </row>
    <row r="47" customFormat="false" ht="15" hidden="false" customHeight="true" outlineLevel="0" collapsed="false">
      <c r="A47" s="83" t="n">
        <v>40</v>
      </c>
      <c r="B47" s="84" t="n">
        <f aca="false">LOOKUP(9.99E+307,C47:AP47)</f>
        <v>0</v>
      </c>
      <c r="C47" s="85" t="n">
        <f aca="true">IF(C$5=0,INPUTS!$B$19,MAX(0,(INPUTS!$B$19-C$4)*(1+NORMINV(RAND(),INPUTS!$B$28,INPUTS!$B$29))))</f>
        <v>1078591.93801172</v>
      </c>
      <c r="D47" s="85" t="n">
        <f aca="true">IF(D$5=0,C47,MAX(0,(C47-D$4)*(1+NORMINV(RAND(),INPUTS!$B$28,INPUTS!$B$29))))</f>
        <v>1056468.23400745</v>
      </c>
      <c r="E47" s="85" t="n">
        <f aca="true">IF(E$5=0,D47,MAX(0,(D47-E$4)*(1+NORMINV(RAND(),INPUTS!$B$28,INPUTS!$B$29))))</f>
        <v>1201427.02578664</v>
      </c>
      <c r="F47" s="85" t="n">
        <f aca="true">IF(F$5=0,E47,MAX(0,(E47-F$4)*(1+NORMINV(RAND(),INPUTS!$B$28,INPUTS!$B$29))))</f>
        <v>1096499.06888136</v>
      </c>
      <c r="G47" s="85" t="n">
        <f aca="true">IF(G$5=0,F47,MAX(0,(F47-G$4)*(1+NORMINV(RAND(),INPUTS!$B$28,INPUTS!$B$29))))</f>
        <v>934375.085424245</v>
      </c>
      <c r="H47" s="85" t="n">
        <f aca="true">IF(H$5=0,G47,MAX(0,(G47-H$4)*(1+NORMINV(RAND(),INPUTS!$B$28,INPUTS!$B$29))))</f>
        <v>789080.919809555</v>
      </c>
      <c r="I47" s="85" t="n">
        <f aca="true">IF(I$5=0,H47,MAX(0,(H47-I$4)*(1+NORMINV(RAND(),INPUTS!$B$28,INPUTS!$B$29))))</f>
        <v>595118.33536202</v>
      </c>
      <c r="J47" s="85" t="n">
        <f aca="true">IF(J$5=0,I47,MAX(0,(I47-J$4)*(1+NORMINV(RAND(),INPUTS!$B$28,INPUTS!$B$29))))</f>
        <v>558974.565042908</v>
      </c>
      <c r="K47" s="85" t="n">
        <f aca="true">IF(K$5=0,J47,MAX(0,(J47-K$4)*(1+NORMINV(RAND(),INPUTS!$B$28,INPUTS!$B$29))))</f>
        <v>469774.144237066</v>
      </c>
      <c r="L47" s="85" t="n">
        <f aca="true">IF(L$5=0,K47,MAX(0,(K47-L$4)*(1+NORMINV(RAND(),INPUTS!$B$28,INPUTS!$B$29))))</f>
        <v>360591.543644833</v>
      </c>
      <c r="M47" s="85" t="n">
        <f aca="true">IF(M$5=0,L47,MAX(0,(L47-M$4)*(1+NORMINV(RAND(),INPUTS!$B$28,INPUTS!$B$29))))</f>
        <v>364420.718324681</v>
      </c>
      <c r="N47" s="85" t="n">
        <f aca="true">IF(N$5=0,M47,MAX(0,(M47-N$4)*(1+NORMINV(RAND(),INPUTS!$B$28,INPUTS!$B$29))))</f>
        <v>311697.835367135</v>
      </c>
      <c r="O47" s="85" t="n">
        <f aca="true">IF(O$5=0,N47,MAX(0,(N47-O$4)*(1+NORMINV(RAND(),INPUTS!$B$28,INPUTS!$B$29))))</f>
        <v>284700.654361422</v>
      </c>
      <c r="P47" s="85" t="n">
        <f aca="true">IF(P$5=0,O47,MAX(0,(O47-P$4)*(1+NORMINV(RAND(),INPUTS!$B$28,INPUTS!$B$29))))</f>
        <v>282476.357506684</v>
      </c>
      <c r="Q47" s="85" t="n">
        <f aca="true">IF(Q$5=0,P47,MAX(0,(P47-Q$4)*(1+NORMINV(RAND(),INPUTS!$B$28,INPUTS!$B$29))))</f>
        <v>233671.324773226</v>
      </c>
      <c r="R47" s="85" t="n">
        <f aca="true">IF(R$5=0,Q47,MAX(0,(Q47-R$4)*(1+NORMINV(RAND(),INPUTS!$B$28,INPUTS!$B$29))))</f>
        <v>200188.321574112</v>
      </c>
      <c r="S47" s="85" t="n">
        <f aca="true">IF(S$5=0,R47,MAX(0,(R47-S$4)*(1+NORMINV(RAND(),INPUTS!$B$28,INPUTS!$B$29))))</f>
        <v>173780.997949064</v>
      </c>
      <c r="T47" s="85" t="n">
        <f aca="true">IF(T$5=0,S47,MAX(0,(S47-T$4)*(1+NORMINV(RAND(),INPUTS!$B$28,INPUTS!$B$29))))</f>
        <v>143994.193430286</v>
      </c>
      <c r="U47" s="85" t="n">
        <f aca="true">IF(U$5=0,T47,MAX(0,(T47-U$4)*(1+NORMINV(RAND(),INPUTS!$B$28,INPUTS!$B$29))))</f>
        <v>98795.6971184214</v>
      </c>
      <c r="V47" s="85" t="n">
        <f aca="true">IF(V$5=0,U47,MAX(0,(U47-V$4)*(1+NORMINV(RAND(),INPUTS!$B$28,INPUTS!$B$29))))</f>
        <v>43233.3148396506</v>
      </c>
      <c r="W47" s="85" t="n">
        <f aca="true">IF(W$5=0,V47,MAX(0,(V47-W$4)*(1+NORMINV(RAND(),INPUTS!$B$28,INPUTS!$B$29))))</f>
        <v>0</v>
      </c>
      <c r="X47" s="85" t="n">
        <f aca="true">IF(X$5=0,W47,MAX(0,(W47-X$4)*(1+NORMINV(RAND(),INPUTS!$B$28,INPUTS!$B$29))))</f>
        <v>0</v>
      </c>
      <c r="Y47" s="85" t="n">
        <f aca="true">IF(Y$5=0,X47,MAX(0,(X47-Y$4)*(1+NORMINV(RAND(),INPUTS!$B$28,INPUTS!$B$29))))</f>
        <v>0</v>
      </c>
      <c r="Z47" s="85" t="n">
        <f aca="true">IF(Z$5=0,Y47,MAX(0,(Y47-Z$4)*(1+NORMINV(RAND(),INPUTS!$B$28,INPUTS!$B$29))))</f>
        <v>0</v>
      </c>
      <c r="AA47" s="85" t="n">
        <f aca="true">IF(AA$5=0,Z47,MAX(0,(Z47-AA$4)*(1+NORMINV(RAND(),INPUTS!$B$28,INPUTS!$B$29))))</f>
        <v>0</v>
      </c>
      <c r="AB47" s="85" t="n">
        <f aca="true">IF(AB$5=0,AA47,MAX(0,(AA47-AB$4)*(1+NORMINV(RAND(),INPUTS!$B$28,INPUTS!$B$29))))</f>
        <v>0</v>
      </c>
      <c r="AC47" s="85" t="n">
        <f aca="true">IF(AC$5=0,AB47,MAX(0,(AB47-AC$4)*(1+NORMINV(RAND(),INPUTS!$B$28,INPUTS!$B$29))))</f>
        <v>0</v>
      </c>
      <c r="AD47" s="85" t="n">
        <f aca="true">IF(AD$5=0,AC47,MAX(0,(AC47-AD$4)*(1+NORMINV(RAND(),INPUTS!$B$28,INPUTS!$B$29))))</f>
        <v>0</v>
      </c>
      <c r="AE47" s="85" t="n">
        <f aca="true">IF(AE$5=0,AD47,MAX(0,(AD47-AE$4)*(1+NORMINV(RAND(),INPUTS!$B$28,INPUTS!$B$29))))</f>
        <v>0</v>
      </c>
      <c r="AF47" s="85" t="n">
        <f aca="true">IF(AF$5=0,AE47,MAX(0,(AE47-AF$4)*(1+NORMINV(RAND(),INPUTS!$B$28,INPUTS!$B$29))))</f>
        <v>0</v>
      </c>
      <c r="AG47" s="85" t="n">
        <f aca="true">IF(AG$5=0,AF47,MAX(0,(AF47-AG$4)*(1+NORMINV(RAND(),INPUTS!$B$28,INPUTS!$B$29))))</f>
        <v>0</v>
      </c>
      <c r="AH47" s="85" t="n">
        <f aca="true">IF(AH$5=0,AG47,MAX(0,(AG47-AH$4)*(1+NORMINV(RAND(),INPUTS!$B$28,INPUTS!$B$29))))</f>
        <v>0</v>
      </c>
      <c r="AI47" s="85" t="n">
        <f aca="true">IF(AI$5=0,AH47,MAX(0,(AH47-AI$4)*(1+NORMINV(RAND(),INPUTS!$B$28,INPUTS!$B$29))))</f>
        <v>0</v>
      </c>
      <c r="AJ47" s="85" t="n">
        <f aca="true">IF(AJ$5=0,AI47,MAX(0,(AI47-AJ$4)*(1+NORMINV(RAND(),INPUTS!$B$28,INPUTS!$B$29))))</f>
        <v>0</v>
      </c>
      <c r="AK47" s="85" t="n">
        <f aca="true">IF(AK$5=0,AJ47,MAX(0,(AJ47-AK$4)*(1+NORMINV(RAND(),INPUTS!$B$28,INPUTS!$B$29))))</f>
        <v>0</v>
      </c>
      <c r="AL47" s="85" t="n">
        <f aca="true">IF(AL$5=0,AK47,MAX(0,(AK47-AL$4)*(1+NORMINV(RAND(),INPUTS!$B$28,INPUTS!$B$29))))</f>
        <v>0</v>
      </c>
      <c r="AM47" s="85" t="n">
        <f aca="true">IF(AM$5=0,AL47,MAX(0,(AL47-AM$4)*(1+NORMINV(RAND(),INPUTS!$B$28,INPUTS!$B$29))))</f>
        <v>0</v>
      </c>
      <c r="AN47" s="85" t="n">
        <f aca="true">IF(AN$5=0,AM47,MAX(0,(AM47-AN$4)*(1+NORMINV(RAND(),INPUTS!$B$28,INPUTS!$B$29))))</f>
        <v>0</v>
      </c>
      <c r="AO47" s="85" t="n">
        <f aca="true">IF(AO$5=0,AN47,MAX(0,(AN47-AO$4)*(1+NORMINV(RAND(),INPUTS!$B$28,INPUTS!$B$29))))</f>
        <v>0</v>
      </c>
      <c r="AP47" s="85" t="n">
        <f aca="true">IF(AP$5=0,AO47,MAX(0,(AO47-AP$4)*(1+NORMINV(RAND(),INPUTS!$B$28,INPUTS!$B$29))))</f>
        <v>0</v>
      </c>
    </row>
    <row r="48" customFormat="false" ht="15" hidden="false" customHeight="true" outlineLevel="0" collapsed="false">
      <c r="A48" s="83" t="n">
        <v>41</v>
      </c>
      <c r="B48" s="84" t="n">
        <f aca="false">LOOKUP(9.99E+307,C48:AP48)</f>
        <v>1237467.54139137</v>
      </c>
      <c r="C48" s="85" t="n">
        <f aca="true">IF(C$5=0,INPUTS!$B$19,MAX(0,(INPUTS!$B$19-C$4)*(1+NORMINV(RAND(),INPUTS!$B$28,INPUTS!$B$29))))</f>
        <v>1381472.30303881</v>
      </c>
      <c r="D48" s="85" t="n">
        <f aca="true">IF(D$5=0,C48,MAX(0,(C48-D$4)*(1+NORMINV(RAND(),INPUTS!$B$28,INPUTS!$B$29))))</f>
        <v>1317495.96895332</v>
      </c>
      <c r="E48" s="85" t="n">
        <f aca="true">IF(E$5=0,D48,MAX(0,(D48-E$4)*(1+NORMINV(RAND(),INPUTS!$B$28,INPUTS!$B$29))))</f>
        <v>1241545.83940184</v>
      </c>
      <c r="F48" s="85" t="n">
        <f aca="true">IF(F$5=0,E48,MAX(0,(E48-F$4)*(1+NORMINV(RAND(),INPUTS!$B$28,INPUTS!$B$29))))</f>
        <v>1354364.91212102</v>
      </c>
      <c r="G48" s="85" t="n">
        <f aca="true">IF(G$5=0,F48,MAX(0,(F48-G$4)*(1+NORMINV(RAND(),INPUTS!$B$28,INPUTS!$B$29))))</f>
        <v>1428743.97689932</v>
      </c>
      <c r="H48" s="85" t="n">
        <f aca="true">IF(H$5=0,G48,MAX(0,(G48-H$4)*(1+NORMINV(RAND(),INPUTS!$B$28,INPUTS!$B$29))))</f>
        <v>1235734.85373322</v>
      </c>
      <c r="I48" s="85" t="n">
        <f aca="true">IF(I$5=0,H48,MAX(0,(H48-I$4)*(1+NORMINV(RAND(),INPUTS!$B$28,INPUTS!$B$29))))</f>
        <v>1334479.0256343</v>
      </c>
      <c r="J48" s="85" t="n">
        <f aca="true">IF(J$5=0,I48,MAX(0,(I48-J$4)*(1+NORMINV(RAND(),INPUTS!$B$28,INPUTS!$B$29))))</f>
        <v>1415146.46549799</v>
      </c>
      <c r="K48" s="85" t="n">
        <f aca="true">IF(K$5=0,J48,MAX(0,(J48-K$4)*(1+NORMINV(RAND(),INPUTS!$B$28,INPUTS!$B$29))))</f>
        <v>1224808.66033368</v>
      </c>
      <c r="L48" s="85" t="n">
        <f aca="true">IF(L$5=0,K48,MAX(0,(K48-L$4)*(1+NORMINV(RAND(),INPUTS!$B$28,INPUTS!$B$29))))</f>
        <v>1243534.86070342</v>
      </c>
      <c r="M48" s="85" t="n">
        <f aca="true">IF(M$5=0,L48,MAX(0,(L48-M$4)*(1+NORMINV(RAND(),INPUTS!$B$28,INPUTS!$B$29))))</f>
        <v>1460376.61018726</v>
      </c>
      <c r="N48" s="85" t="n">
        <f aca="true">IF(N$5=0,M48,MAX(0,(M48-N$4)*(1+NORMINV(RAND(),INPUTS!$B$28,INPUTS!$B$29))))</f>
        <v>1204616.18392505</v>
      </c>
      <c r="O48" s="85" t="n">
        <f aca="true">IF(O$5=0,N48,MAX(0,(N48-O$4)*(1+NORMINV(RAND(),INPUTS!$B$28,INPUTS!$B$29))))</f>
        <v>1249919.3817723</v>
      </c>
      <c r="P48" s="85" t="n">
        <f aca="true">IF(P$5=0,O48,MAX(0,(O48-P$4)*(1+NORMINV(RAND(),INPUTS!$B$28,INPUTS!$B$29))))</f>
        <v>1297000.00400881</v>
      </c>
      <c r="Q48" s="85" t="n">
        <f aca="true">IF(Q$5=0,P48,MAX(0,(P48-Q$4)*(1+NORMINV(RAND(),INPUTS!$B$28,INPUTS!$B$29))))</f>
        <v>1240915.12094858</v>
      </c>
      <c r="R48" s="85" t="n">
        <f aca="true">IF(R$5=0,Q48,MAX(0,(Q48-R$4)*(1+NORMINV(RAND(),INPUTS!$B$28,INPUTS!$B$29))))</f>
        <v>1280178.21193862</v>
      </c>
      <c r="S48" s="85" t="n">
        <f aca="true">IF(S$5=0,R48,MAX(0,(R48-S$4)*(1+NORMINV(RAND(),INPUTS!$B$28,INPUTS!$B$29))))</f>
        <v>1186740.69134752</v>
      </c>
      <c r="T48" s="85" t="n">
        <f aca="true">IF(T$5=0,S48,MAX(0,(S48-T$4)*(1+NORMINV(RAND(),INPUTS!$B$28,INPUTS!$B$29))))</f>
        <v>1175610.9835581</v>
      </c>
      <c r="U48" s="85" t="n">
        <f aca="true">IF(U$5=0,T48,MAX(0,(T48-U$4)*(1+NORMINV(RAND(),INPUTS!$B$28,INPUTS!$B$29))))</f>
        <v>1185366.66054784</v>
      </c>
      <c r="V48" s="85" t="n">
        <f aca="true">IF(V$5=0,U48,MAX(0,(U48-V$4)*(1+NORMINV(RAND(),INPUTS!$B$28,INPUTS!$B$29))))</f>
        <v>1261063.75641797</v>
      </c>
      <c r="W48" s="85" t="n">
        <f aca="true">IF(W$5=0,V48,MAX(0,(V48-W$4)*(1+NORMINV(RAND(),INPUTS!$B$28,INPUTS!$B$29))))</f>
        <v>1173166.71618118</v>
      </c>
      <c r="X48" s="85" t="n">
        <f aca="true">IF(X$5=0,W48,MAX(0,(W48-X$4)*(1+NORMINV(RAND(),INPUTS!$B$28,INPUTS!$B$29))))</f>
        <v>1153625.26287125</v>
      </c>
      <c r="Y48" s="85" t="n">
        <f aca="true">IF(Y$5=0,X48,MAX(0,(X48-Y$4)*(1+NORMINV(RAND(),INPUTS!$B$28,INPUTS!$B$29))))</f>
        <v>1160540.56680579</v>
      </c>
      <c r="Z48" s="85" t="n">
        <f aca="true">IF(Z$5=0,Y48,MAX(0,(Y48-Z$4)*(1+NORMINV(RAND(),INPUTS!$B$28,INPUTS!$B$29))))</f>
        <v>1052343.24010817</v>
      </c>
      <c r="AA48" s="85" t="n">
        <f aca="true">IF(AA$5=0,Z48,MAX(0,(Z48-AA$4)*(1+NORMINV(RAND(),INPUTS!$B$28,INPUTS!$B$29))))</f>
        <v>1203057.56432127</v>
      </c>
      <c r="AB48" s="85" t="n">
        <f aca="true">IF(AB$5=0,AA48,MAX(0,(AA48-AB$4)*(1+NORMINV(RAND(),INPUTS!$B$28,INPUTS!$B$29))))</f>
        <v>1094755.72323446</v>
      </c>
      <c r="AC48" s="85" t="n">
        <f aca="true">IF(AC$5=0,AB48,MAX(0,(AB48-AC$4)*(1+NORMINV(RAND(),INPUTS!$B$28,INPUTS!$B$29))))</f>
        <v>1098018.00349452</v>
      </c>
      <c r="AD48" s="85" t="n">
        <f aca="true">IF(AD$5=0,AC48,MAX(0,(AC48-AD$4)*(1+NORMINV(RAND(),INPUTS!$B$28,INPUTS!$B$29))))</f>
        <v>1043694.24131467</v>
      </c>
      <c r="AE48" s="85" t="n">
        <f aca="true">IF(AE$5=0,AD48,MAX(0,(AD48-AE$4)*(1+NORMINV(RAND(),INPUTS!$B$28,INPUTS!$B$29))))</f>
        <v>1146154.23322608</v>
      </c>
      <c r="AF48" s="85" t="n">
        <f aca="true">IF(AF$5=0,AE48,MAX(0,(AE48-AF$4)*(1+NORMINV(RAND(),INPUTS!$B$28,INPUTS!$B$29))))</f>
        <v>1141427.70945915</v>
      </c>
      <c r="AG48" s="85" t="n">
        <f aca="true">IF(AG$5=0,AF48,MAX(0,(AF48-AG$4)*(1+NORMINV(RAND(),INPUTS!$B$28,INPUTS!$B$29))))</f>
        <v>1225923.45681621</v>
      </c>
      <c r="AH48" s="85" t="n">
        <f aca="true">IF(AH$5=0,AG48,MAX(0,(AG48-AH$4)*(1+NORMINV(RAND(),INPUTS!$B$28,INPUTS!$B$29))))</f>
        <v>1123589.37764956</v>
      </c>
      <c r="AI48" s="85" t="n">
        <f aca="true">IF(AI$5=0,AH48,MAX(0,(AH48-AI$4)*(1+NORMINV(RAND(),INPUTS!$B$28,INPUTS!$B$29))))</f>
        <v>1194759.10944607</v>
      </c>
      <c r="AJ48" s="85" t="n">
        <f aca="true">IF(AJ$5=0,AI48,MAX(0,(AI48-AJ$4)*(1+NORMINV(RAND(),INPUTS!$B$28,INPUTS!$B$29))))</f>
        <v>1329539.49992487</v>
      </c>
      <c r="AK48" s="85" t="n">
        <f aca="true">IF(AK$5=0,AJ48,MAX(0,(AJ48-AK$4)*(1+NORMINV(RAND(),INPUTS!$B$28,INPUTS!$B$29))))</f>
        <v>1462867.62788721</v>
      </c>
      <c r="AL48" s="85" t="n">
        <f aca="true">IF(AL$5=0,AK48,MAX(0,(AK48-AL$4)*(1+NORMINV(RAND(),INPUTS!$B$28,INPUTS!$B$29))))</f>
        <v>1237467.54139137</v>
      </c>
      <c r="AM48" s="85" t="n">
        <f aca="true">IF(AM$5=0,AL48,MAX(0,(AL48-AM$4)*(1+NORMINV(RAND(),INPUTS!$B$28,INPUTS!$B$29))))</f>
        <v>1237467.54139137</v>
      </c>
      <c r="AN48" s="85" t="n">
        <f aca="true">IF(AN$5=0,AM48,MAX(0,(AM48-AN$4)*(1+NORMINV(RAND(),INPUTS!$B$28,INPUTS!$B$29))))</f>
        <v>1237467.54139137</v>
      </c>
      <c r="AO48" s="85" t="n">
        <f aca="true">IF(AO$5=0,AN48,MAX(0,(AN48-AO$4)*(1+NORMINV(RAND(),INPUTS!$B$28,INPUTS!$B$29))))</f>
        <v>1237467.54139137</v>
      </c>
      <c r="AP48" s="85" t="n">
        <f aca="true">IF(AP$5=0,AO48,MAX(0,(AO48-AP$4)*(1+NORMINV(RAND(),INPUTS!$B$28,INPUTS!$B$29))))</f>
        <v>1237467.54139137</v>
      </c>
    </row>
    <row r="49" customFormat="false" ht="15" hidden="false" customHeight="true" outlineLevel="0" collapsed="false">
      <c r="A49" s="83" t="n">
        <v>42</v>
      </c>
      <c r="B49" s="84" t="n">
        <f aca="false">LOOKUP(9.99E+307,C49:AP49)</f>
        <v>1797304.8346102</v>
      </c>
      <c r="C49" s="85" t="n">
        <f aca="true">IF(C$5=0,INPUTS!$B$19,MAX(0,(INPUTS!$B$19-C$4)*(1+NORMINV(RAND(),INPUTS!$B$28,INPUTS!$B$29))))</f>
        <v>1210290.91849412</v>
      </c>
      <c r="D49" s="85" t="n">
        <f aca="true">IF(D$5=0,C49,MAX(0,(C49-D$4)*(1+NORMINV(RAND(),INPUTS!$B$28,INPUTS!$B$29))))</f>
        <v>1064161.15984637</v>
      </c>
      <c r="E49" s="85" t="n">
        <f aca="true">IF(E$5=0,D49,MAX(0,(D49-E$4)*(1+NORMINV(RAND(),INPUTS!$B$28,INPUTS!$B$29))))</f>
        <v>964293.28728419</v>
      </c>
      <c r="F49" s="85" t="n">
        <f aca="true">IF(F$5=0,E49,MAX(0,(E49-F$4)*(1+NORMINV(RAND(),INPUTS!$B$28,INPUTS!$B$29))))</f>
        <v>1097711.88012318</v>
      </c>
      <c r="G49" s="85" t="n">
        <f aca="true">IF(G$5=0,F49,MAX(0,(F49-G$4)*(1+NORMINV(RAND(),INPUTS!$B$28,INPUTS!$B$29))))</f>
        <v>1109449.75517401</v>
      </c>
      <c r="H49" s="85" t="n">
        <f aca="true">IF(H$5=0,G49,MAX(0,(G49-H$4)*(1+NORMINV(RAND(),INPUTS!$B$28,INPUTS!$B$29))))</f>
        <v>1094673.55344146</v>
      </c>
      <c r="I49" s="85" t="n">
        <f aca="true">IF(I$5=0,H49,MAX(0,(H49-I$4)*(1+NORMINV(RAND(),INPUTS!$B$28,INPUTS!$B$29))))</f>
        <v>1194282.56640009</v>
      </c>
      <c r="J49" s="85" t="n">
        <f aca="true">IF(J$5=0,I49,MAX(0,(I49-J$4)*(1+NORMINV(RAND(),INPUTS!$B$28,INPUTS!$B$29))))</f>
        <v>952381.707624237</v>
      </c>
      <c r="K49" s="85" t="n">
        <f aca="true">IF(K$5=0,J49,MAX(0,(J49-K$4)*(1+NORMINV(RAND(),INPUTS!$B$28,INPUTS!$B$29))))</f>
        <v>935604.29141028</v>
      </c>
      <c r="L49" s="85" t="n">
        <f aca="true">IF(L$5=0,K49,MAX(0,(K49-L$4)*(1+NORMINV(RAND(),INPUTS!$B$28,INPUTS!$B$29))))</f>
        <v>936351.432657056</v>
      </c>
      <c r="M49" s="85" t="n">
        <f aca="true">IF(M$5=0,L49,MAX(0,(L49-M$4)*(1+NORMINV(RAND(),INPUTS!$B$28,INPUTS!$B$29))))</f>
        <v>951252.314420818</v>
      </c>
      <c r="N49" s="85" t="n">
        <f aca="true">IF(N$5=0,M49,MAX(0,(M49-N$4)*(1+NORMINV(RAND(),INPUTS!$B$28,INPUTS!$B$29))))</f>
        <v>1091676.13403539</v>
      </c>
      <c r="O49" s="85" t="n">
        <f aca="true">IF(O$5=0,N49,MAX(0,(N49-O$4)*(1+NORMINV(RAND(),INPUTS!$B$28,INPUTS!$B$29))))</f>
        <v>1260696.42275801</v>
      </c>
      <c r="P49" s="85" t="n">
        <f aca="true">IF(P$5=0,O49,MAX(0,(O49-P$4)*(1+NORMINV(RAND(),INPUTS!$B$28,INPUTS!$B$29))))</f>
        <v>1473977.49640556</v>
      </c>
      <c r="Q49" s="85" t="n">
        <f aca="true">IF(Q$5=0,P49,MAX(0,(P49-Q$4)*(1+NORMINV(RAND(),INPUTS!$B$28,INPUTS!$B$29))))</f>
        <v>1538205.58828958</v>
      </c>
      <c r="R49" s="85" t="n">
        <f aca="true">IF(R$5=0,Q49,MAX(0,(Q49-R$4)*(1+NORMINV(RAND(),INPUTS!$B$28,INPUTS!$B$29))))</f>
        <v>1410270.58246116</v>
      </c>
      <c r="S49" s="85" t="n">
        <f aca="true">IF(S$5=0,R49,MAX(0,(R49-S$4)*(1+NORMINV(RAND(),INPUTS!$B$28,INPUTS!$B$29))))</f>
        <v>1210744.82358609</v>
      </c>
      <c r="T49" s="85" t="n">
        <f aca="true">IF(T$5=0,S49,MAX(0,(S49-T$4)*(1+NORMINV(RAND(),INPUTS!$B$28,INPUTS!$B$29))))</f>
        <v>1183463.29987733</v>
      </c>
      <c r="U49" s="85" t="n">
        <f aca="true">IF(U$5=0,T49,MAX(0,(T49-U$4)*(1+NORMINV(RAND(),INPUTS!$B$28,INPUTS!$B$29))))</f>
        <v>1187314.22512577</v>
      </c>
      <c r="V49" s="85" t="n">
        <f aca="true">IF(V$5=0,U49,MAX(0,(U49-V$4)*(1+NORMINV(RAND(),INPUTS!$B$28,INPUTS!$B$29))))</f>
        <v>1175005.47773747</v>
      </c>
      <c r="W49" s="85" t="n">
        <f aca="true">IF(W$5=0,V49,MAX(0,(V49-W$4)*(1+NORMINV(RAND(),INPUTS!$B$28,INPUTS!$B$29))))</f>
        <v>1149618.96082511</v>
      </c>
      <c r="X49" s="85" t="n">
        <f aca="true">IF(X$5=0,W49,MAX(0,(W49-X$4)*(1+NORMINV(RAND(),INPUTS!$B$28,INPUTS!$B$29))))</f>
        <v>1306752.87359902</v>
      </c>
      <c r="Y49" s="85" t="n">
        <f aca="true">IF(Y$5=0,X49,MAX(0,(X49-Y$4)*(1+NORMINV(RAND(),INPUTS!$B$28,INPUTS!$B$29))))</f>
        <v>1328079.88484886</v>
      </c>
      <c r="Z49" s="85" t="n">
        <f aca="true">IF(Z$5=0,Y49,MAX(0,(Y49-Z$4)*(1+NORMINV(RAND(),INPUTS!$B$28,INPUTS!$B$29))))</f>
        <v>1476978.34682712</v>
      </c>
      <c r="AA49" s="85" t="n">
        <f aca="true">IF(AA$5=0,Z49,MAX(0,(Z49-AA$4)*(1+NORMINV(RAND(),INPUTS!$B$28,INPUTS!$B$29))))</f>
        <v>1203055.82764079</v>
      </c>
      <c r="AB49" s="85" t="n">
        <f aca="true">IF(AB$5=0,AA49,MAX(0,(AA49-AB$4)*(1+NORMINV(RAND(),INPUTS!$B$28,INPUTS!$B$29))))</f>
        <v>1207098.08772123</v>
      </c>
      <c r="AC49" s="85" t="n">
        <f aca="true">IF(AC$5=0,AB49,MAX(0,(AB49-AC$4)*(1+NORMINV(RAND(),INPUTS!$B$28,INPUTS!$B$29))))</f>
        <v>1312992.70093934</v>
      </c>
      <c r="AD49" s="85" t="n">
        <f aca="true">IF(AD$5=0,AC49,MAX(0,(AC49-AD$4)*(1+NORMINV(RAND(),INPUTS!$B$28,INPUTS!$B$29))))</f>
        <v>1357129.67703394</v>
      </c>
      <c r="AE49" s="85" t="n">
        <f aca="true">IF(AE$5=0,AD49,MAX(0,(AD49-AE$4)*(1+NORMINV(RAND(),INPUTS!$B$28,INPUTS!$B$29))))</f>
        <v>1310702.77709076</v>
      </c>
      <c r="AF49" s="85" t="n">
        <f aca="true">IF(AF$5=0,AE49,MAX(0,(AE49-AF$4)*(1+NORMINV(RAND(),INPUTS!$B$28,INPUTS!$B$29))))</f>
        <v>1069280.11591931</v>
      </c>
      <c r="AG49" s="85" t="n">
        <f aca="true">IF(AG$5=0,AF49,MAX(0,(AF49-AG$4)*(1+NORMINV(RAND(),INPUTS!$B$28,INPUTS!$B$29))))</f>
        <v>1177386.64468278</v>
      </c>
      <c r="AH49" s="85" t="n">
        <f aca="true">IF(AH$5=0,AG49,MAX(0,(AG49-AH$4)*(1+NORMINV(RAND(),INPUTS!$B$28,INPUTS!$B$29))))</f>
        <v>1268887.82396195</v>
      </c>
      <c r="AI49" s="85" t="n">
        <f aca="true">IF(AI$5=0,AH49,MAX(0,(AH49-AI$4)*(1+NORMINV(RAND(),INPUTS!$B$28,INPUTS!$B$29))))</f>
        <v>1296987.01768722</v>
      </c>
      <c r="AJ49" s="85" t="n">
        <f aca="true">IF(AJ$5=0,AI49,MAX(0,(AI49-AJ$4)*(1+NORMINV(RAND(),INPUTS!$B$28,INPUTS!$B$29))))</f>
        <v>1605350.35090272</v>
      </c>
      <c r="AK49" s="85" t="n">
        <f aca="true">IF(AK$5=0,AJ49,MAX(0,(AJ49-AK$4)*(1+NORMINV(RAND(),INPUTS!$B$28,INPUTS!$B$29))))</f>
        <v>1474596.46575465</v>
      </c>
      <c r="AL49" s="85" t="n">
        <f aca="true">IF(AL$5=0,AK49,MAX(0,(AK49-AL$4)*(1+NORMINV(RAND(),INPUTS!$B$28,INPUTS!$B$29))))</f>
        <v>1797304.8346102</v>
      </c>
      <c r="AM49" s="85" t="n">
        <f aca="true">IF(AM$5=0,AL49,MAX(0,(AL49-AM$4)*(1+NORMINV(RAND(),INPUTS!$B$28,INPUTS!$B$29))))</f>
        <v>1797304.8346102</v>
      </c>
      <c r="AN49" s="85" t="n">
        <f aca="true">IF(AN$5=0,AM49,MAX(0,(AM49-AN$4)*(1+NORMINV(RAND(),INPUTS!$B$28,INPUTS!$B$29))))</f>
        <v>1797304.8346102</v>
      </c>
      <c r="AO49" s="85" t="n">
        <f aca="true">IF(AO$5=0,AN49,MAX(0,(AN49-AO$4)*(1+NORMINV(RAND(),INPUTS!$B$28,INPUTS!$B$29))))</f>
        <v>1797304.8346102</v>
      </c>
      <c r="AP49" s="85" t="n">
        <f aca="true">IF(AP$5=0,AO49,MAX(0,(AO49-AP$4)*(1+NORMINV(RAND(),INPUTS!$B$28,INPUTS!$B$29))))</f>
        <v>1797304.8346102</v>
      </c>
    </row>
    <row r="50" customFormat="false" ht="15" hidden="false" customHeight="true" outlineLevel="0" collapsed="false">
      <c r="A50" s="83" t="n">
        <v>43</v>
      </c>
      <c r="B50" s="84" t="n">
        <f aca="false">LOOKUP(9.99E+307,C50:AP50)</f>
        <v>2948308.90609447</v>
      </c>
      <c r="C50" s="85" t="n">
        <f aca="true">IF(C$5=0,INPUTS!$B$19,MAX(0,(INPUTS!$B$19-C$4)*(1+NORMINV(RAND(),INPUTS!$B$28,INPUTS!$B$29))))</f>
        <v>1250883.57297718</v>
      </c>
      <c r="D50" s="85" t="n">
        <f aca="true">IF(D$5=0,C50,MAX(0,(C50-D$4)*(1+NORMINV(RAND(),INPUTS!$B$28,INPUTS!$B$29))))</f>
        <v>1453399.3445614</v>
      </c>
      <c r="E50" s="85" t="n">
        <f aca="true">IF(E$5=0,D50,MAX(0,(D50-E$4)*(1+NORMINV(RAND(),INPUTS!$B$28,INPUTS!$B$29))))</f>
        <v>1323361.33757979</v>
      </c>
      <c r="F50" s="85" t="n">
        <f aca="true">IF(F$5=0,E50,MAX(0,(E50-F$4)*(1+NORMINV(RAND(),INPUTS!$B$28,INPUTS!$B$29))))</f>
        <v>1519126.74086037</v>
      </c>
      <c r="G50" s="85" t="n">
        <f aca="true">IF(G$5=0,F50,MAX(0,(F50-G$4)*(1+NORMINV(RAND(),INPUTS!$B$28,INPUTS!$B$29))))</f>
        <v>1759454.15201971</v>
      </c>
      <c r="H50" s="85" t="n">
        <f aca="true">IF(H$5=0,G50,MAX(0,(G50-H$4)*(1+NORMINV(RAND(),INPUTS!$B$28,INPUTS!$B$29))))</f>
        <v>1548748.98036538</v>
      </c>
      <c r="I50" s="85" t="n">
        <f aca="true">IF(I$5=0,H50,MAX(0,(H50-I$4)*(1+NORMINV(RAND(),INPUTS!$B$28,INPUTS!$B$29))))</f>
        <v>1429809.94372445</v>
      </c>
      <c r="J50" s="85" t="n">
        <f aca="true">IF(J$5=0,I50,MAX(0,(I50-J$4)*(1+NORMINV(RAND(),INPUTS!$B$28,INPUTS!$B$29))))</f>
        <v>1318205.70586564</v>
      </c>
      <c r="K50" s="85" t="n">
        <f aca="true">IF(K$5=0,J50,MAX(0,(J50-K$4)*(1+NORMINV(RAND(),INPUTS!$B$28,INPUTS!$B$29))))</f>
        <v>1512583.07354223</v>
      </c>
      <c r="L50" s="85" t="n">
        <f aca="true">IF(L$5=0,K50,MAX(0,(K50-L$4)*(1+NORMINV(RAND(),INPUTS!$B$28,INPUTS!$B$29))))</f>
        <v>1466741.54842418</v>
      </c>
      <c r="M50" s="85" t="n">
        <f aca="true">IF(M$5=0,L50,MAX(0,(L50-M$4)*(1+NORMINV(RAND(),INPUTS!$B$28,INPUTS!$B$29))))</f>
        <v>1497085.84535544</v>
      </c>
      <c r="N50" s="85" t="n">
        <f aca="true">IF(N$5=0,M50,MAX(0,(M50-N$4)*(1+NORMINV(RAND(),INPUTS!$B$28,INPUTS!$B$29))))</f>
        <v>1409744.13353857</v>
      </c>
      <c r="O50" s="85" t="n">
        <f aca="true">IF(O$5=0,N50,MAX(0,(N50-O$4)*(1+NORMINV(RAND(),INPUTS!$B$28,INPUTS!$B$29))))</f>
        <v>1666486.86459382</v>
      </c>
      <c r="P50" s="85" t="n">
        <f aca="true">IF(P$5=0,O50,MAX(0,(O50-P$4)*(1+NORMINV(RAND(),INPUTS!$B$28,INPUTS!$B$29))))</f>
        <v>1533074.99401186</v>
      </c>
      <c r="Q50" s="85" t="n">
        <f aca="true">IF(Q$5=0,P50,MAX(0,(P50-Q$4)*(1+NORMINV(RAND(),INPUTS!$B$28,INPUTS!$B$29))))</f>
        <v>1466958.06994108</v>
      </c>
      <c r="R50" s="85" t="n">
        <f aca="true">IF(R$5=0,Q50,MAX(0,(Q50-R$4)*(1+NORMINV(RAND(),INPUTS!$B$28,INPUTS!$B$29))))</f>
        <v>1657387.48254793</v>
      </c>
      <c r="S50" s="85" t="n">
        <f aca="true">IF(S$5=0,R50,MAX(0,(R50-S$4)*(1+NORMINV(RAND(),INPUTS!$B$28,INPUTS!$B$29))))</f>
        <v>1967431.16945329</v>
      </c>
      <c r="T50" s="85" t="n">
        <f aca="true">IF(T$5=0,S50,MAX(0,(S50-T$4)*(1+NORMINV(RAND(),INPUTS!$B$28,INPUTS!$B$29))))</f>
        <v>2407714.21841927</v>
      </c>
      <c r="U50" s="85" t="n">
        <f aca="true">IF(U$5=0,T50,MAX(0,(T50-U$4)*(1+NORMINV(RAND(),INPUTS!$B$28,INPUTS!$B$29))))</f>
        <v>2897092.22626307</v>
      </c>
      <c r="V50" s="85" t="n">
        <f aca="true">IF(V$5=0,U50,MAX(0,(U50-V$4)*(1+NORMINV(RAND(),INPUTS!$B$28,INPUTS!$B$29))))</f>
        <v>3097663.56005799</v>
      </c>
      <c r="W50" s="85" t="n">
        <f aca="true">IF(W$5=0,V50,MAX(0,(V50-W$4)*(1+NORMINV(RAND(),INPUTS!$B$28,INPUTS!$B$29))))</f>
        <v>2759164.52172803</v>
      </c>
      <c r="X50" s="85" t="n">
        <f aca="true">IF(X$5=0,W50,MAX(0,(W50-X$4)*(1+NORMINV(RAND(),INPUTS!$B$28,INPUTS!$B$29))))</f>
        <v>2767109.4710226</v>
      </c>
      <c r="Y50" s="85" t="n">
        <f aca="true">IF(Y$5=0,X50,MAX(0,(X50-Y$4)*(1+NORMINV(RAND(),INPUTS!$B$28,INPUTS!$B$29))))</f>
        <v>1833577.97252954</v>
      </c>
      <c r="Z50" s="85" t="n">
        <f aca="true">IF(Z$5=0,Y50,MAX(0,(Y50-Z$4)*(1+NORMINV(RAND(),INPUTS!$B$28,INPUTS!$B$29))))</f>
        <v>1739684.23928338</v>
      </c>
      <c r="AA50" s="85" t="n">
        <f aca="true">IF(AA$5=0,Z50,MAX(0,(Z50-AA$4)*(1+NORMINV(RAND(),INPUTS!$B$28,INPUTS!$B$29))))</f>
        <v>1975203.07645313</v>
      </c>
      <c r="AB50" s="85" t="n">
        <f aca="true">IF(AB$5=0,AA50,MAX(0,(AA50-AB$4)*(1+NORMINV(RAND(),INPUTS!$B$28,INPUTS!$B$29))))</f>
        <v>2000387.82274768</v>
      </c>
      <c r="AC50" s="85" t="n">
        <f aca="true">IF(AC$5=0,AB50,MAX(0,(AB50-AC$4)*(1+NORMINV(RAND(),INPUTS!$B$28,INPUTS!$B$29))))</f>
        <v>2139364.42833893</v>
      </c>
      <c r="AD50" s="85" t="n">
        <f aca="true">IF(AD$5=0,AC50,MAX(0,(AC50-AD$4)*(1+NORMINV(RAND(),INPUTS!$B$28,INPUTS!$B$29))))</f>
        <v>2686883.28980244</v>
      </c>
      <c r="AE50" s="85" t="n">
        <f aca="true">IF(AE$5=0,AD50,MAX(0,(AD50-AE$4)*(1+NORMINV(RAND(),INPUTS!$B$28,INPUTS!$B$29))))</f>
        <v>2370208.52218312</v>
      </c>
      <c r="AF50" s="85" t="n">
        <f aca="true">IF(AF$5=0,AE50,MAX(0,(AE50-AF$4)*(1+NORMINV(RAND(),INPUTS!$B$28,INPUTS!$B$29))))</f>
        <v>2449270.47870093</v>
      </c>
      <c r="AG50" s="85" t="n">
        <f aca="true">IF(AG$5=0,AF50,MAX(0,(AF50-AG$4)*(1+NORMINV(RAND(),INPUTS!$B$28,INPUTS!$B$29))))</f>
        <v>3112329.88487802</v>
      </c>
      <c r="AH50" s="85" t="n">
        <f aca="true">IF(AH$5=0,AG50,MAX(0,(AG50-AH$4)*(1+NORMINV(RAND(),INPUTS!$B$28,INPUTS!$B$29))))</f>
        <v>2724890.66751531</v>
      </c>
      <c r="AI50" s="85" t="n">
        <f aca="true">IF(AI$5=0,AH50,MAX(0,(AH50-AI$4)*(1+NORMINV(RAND(),INPUTS!$B$28,INPUTS!$B$29))))</f>
        <v>2749075.42905149</v>
      </c>
      <c r="AJ50" s="85" t="n">
        <f aca="true">IF(AJ$5=0,AI50,MAX(0,(AI50-AJ$4)*(1+NORMINV(RAND(),INPUTS!$B$28,INPUTS!$B$29))))</f>
        <v>2734632.29468823</v>
      </c>
      <c r="AK50" s="85" t="n">
        <f aca="true">IF(AK$5=0,AJ50,MAX(0,(AJ50-AK$4)*(1+NORMINV(RAND(),INPUTS!$B$28,INPUTS!$B$29))))</f>
        <v>3060866.55650029</v>
      </c>
      <c r="AL50" s="85" t="n">
        <f aca="true">IF(AL$5=0,AK50,MAX(0,(AK50-AL$4)*(1+NORMINV(RAND(),INPUTS!$B$28,INPUTS!$B$29))))</f>
        <v>2948308.90609447</v>
      </c>
      <c r="AM50" s="85" t="n">
        <f aca="true">IF(AM$5=0,AL50,MAX(0,(AL50-AM$4)*(1+NORMINV(RAND(),INPUTS!$B$28,INPUTS!$B$29))))</f>
        <v>2948308.90609447</v>
      </c>
      <c r="AN50" s="85" t="n">
        <f aca="true">IF(AN$5=0,AM50,MAX(0,(AM50-AN$4)*(1+NORMINV(RAND(),INPUTS!$B$28,INPUTS!$B$29))))</f>
        <v>2948308.90609447</v>
      </c>
      <c r="AO50" s="85" t="n">
        <f aca="true">IF(AO$5=0,AN50,MAX(0,(AN50-AO$4)*(1+NORMINV(RAND(),INPUTS!$B$28,INPUTS!$B$29))))</f>
        <v>2948308.90609447</v>
      </c>
      <c r="AP50" s="85" t="n">
        <f aca="true">IF(AP$5=0,AO50,MAX(0,(AO50-AP$4)*(1+NORMINV(RAND(),INPUTS!$B$28,INPUTS!$B$29))))</f>
        <v>2948308.90609447</v>
      </c>
    </row>
    <row r="51" customFormat="false" ht="15" hidden="false" customHeight="true" outlineLevel="0" collapsed="false">
      <c r="A51" s="83" t="n">
        <v>44</v>
      </c>
      <c r="B51" s="84" t="n">
        <f aca="false">LOOKUP(9.99E+307,C51:AP51)</f>
        <v>1337425.7152023</v>
      </c>
      <c r="C51" s="85" t="n">
        <f aca="true">IF(C$5=0,INPUTS!$B$19,MAX(0,(INPUTS!$B$19-C$4)*(1+NORMINV(RAND(),INPUTS!$B$28,INPUTS!$B$29))))</f>
        <v>1265843.08528008</v>
      </c>
      <c r="D51" s="85" t="n">
        <f aca="true">IF(D$5=0,C51,MAX(0,(C51-D$4)*(1+NORMINV(RAND(),INPUTS!$B$28,INPUTS!$B$29))))</f>
        <v>1230752.0691463</v>
      </c>
      <c r="E51" s="85" t="n">
        <f aca="true">IF(E$5=0,D51,MAX(0,(D51-E$4)*(1+NORMINV(RAND(),INPUTS!$B$28,INPUTS!$B$29))))</f>
        <v>1108215.71577295</v>
      </c>
      <c r="F51" s="85" t="n">
        <f aca="true">IF(F$5=0,E51,MAX(0,(E51-F$4)*(1+NORMINV(RAND(),INPUTS!$B$28,INPUTS!$B$29))))</f>
        <v>939414.730637586</v>
      </c>
      <c r="G51" s="85" t="n">
        <f aca="true">IF(G$5=0,F51,MAX(0,(F51-G$4)*(1+NORMINV(RAND(),INPUTS!$B$28,INPUTS!$B$29))))</f>
        <v>945880.814577024</v>
      </c>
      <c r="H51" s="85" t="n">
        <f aca="true">IF(H$5=0,G51,MAX(0,(G51-H$4)*(1+NORMINV(RAND(),INPUTS!$B$28,INPUTS!$B$29))))</f>
        <v>927617.089468986</v>
      </c>
      <c r="I51" s="85" t="n">
        <f aca="true">IF(I$5=0,H51,MAX(0,(H51-I$4)*(1+NORMINV(RAND(),INPUTS!$B$28,INPUTS!$B$29))))</f>
        <v>1004090.88751942</v>
      </c>
      <c r="J51" s="85" t="n">
        <f aca="true">IF(J$5=0,I51,MAX(0,(I51-J$4)*(1+NORMINV(RAND(),INPUTS!$B$28,INPUTS!$B$29))))</f>
        <v>898277.075573446</v>
      </c>
      <c r="K51" s="85" t="n">
        <f aca="true">IF(K$5=0,J51,MAX(0,(J51-K$4)*(1+NORMINV(RAND(),INPUTS!$B$28,INPUTS!$B$29))))</f>
        <v>793900.065511164</v>
      </c>
      <c r="L51" s="85" t="n">
        <f aca="true">IF(L$5=0,K51,MAX(0,(K51-L$4)*(1+NORMINV(RAND(),INPUTS!$B$28,INPUTS!$B$29))))</f>
        <v>877077.185562913</v>
      </c>
      <c r="M51" s="85" t="n">
        <f aca="true">IF(M$5=0,L51,MAX(0,(L51-M$4)*(1+NORMINV(RAND(),INPUTS!$B$28,INPUTS!$B$29))))</f>
        <v>866585.53224134</v>
      </c>
      <c r="N51" s="85" t="n">
        <f aca="true">IF(N$5=0,M51,MAX(0,(M51-N$4)*(1+NORMINV(RAND(),INPUTS!$B$28,INPUTS!$B$29))))</f>
        <v>917416.105539819</v>
      </c>
      <c r="O51" s="85" t="n">
        <f aca="true">IF(O$5=0,N51,MAX(0,(N51-O$4)*(1+NORMINV(RAND(),INPUTS!$B$28,INPUTS!$B$29))))</f>
        <v>1042928.07285361</v>
      </c>
      <c r="P51" s="85" t="n">
        <f aca="true">IF(P$5=0,O51,MAX(0,(O51-P$4)*(1+NORMINV(RAND(),INPUTS!$B$28,INPUTS!$B$29))))</f>
        <v>1136720.15510367</v>
      </c>
      <c r="Q51" s="85" t="n">
        <f aca="true">IF(Q$5=0,P51,MAX(0,(P51-Q$4)*(1+NORMINV(RAND(),INPUTS!$B$28,INPUTS!$B$29))))</f>
        <v>1170418.31106137</v>
      </c>
      <c r="R51" s="85" t="n">
        <f aca="true">IF(R$5=0,Q51,MAX(0,(Q51-R$4)*(1+NORMINV(RAND(),INPUTS!$B$28,INPUTS!$B$29))))</f>
        <v>1258156.25047416</v>
      </c>
      <c r="S51" s="85" t="n">
        <f aca="true">IF(S$5=0,R51,MAX(0,(R51-S$4)*(1+NORMINV(RAND(),INPUTS!$B$28,INPUTS!$B$29))))</f>
        <v>1464945.96772136</v>
      </c>
      <c r="T51" s="85" t="n">
        <f aca="true">IF(T$5=0,S51,MAX(0,(S51-T$4)*(1+NORMINV(RAND(),INPUTS!$B$28,INPUTS!$B$29))))</f>
        <v>1467742.73469702</v>
      </c>
      <c r="U51" s="85" t="n">
        <f aca="true">IF(U$5=0,T51,MAX(0,(T51-U$4)*(1+NORMINV(RAND(),INPUTS!$B$28,INPUTS!$B$29))))</f>
        <v>1788405.62969826</v>
      </c>
      <c r="V51" s="85" t="n">
        <f aca="true">IF(V$5=0,U51,MAX(0,(U51-V$4)*(1+NORMINV(RAND(),INPUTS!$B$28,INPUTS!$B$29))))</f>
        <v>1760909.78103034</v>
      </c>
      <c r="W51" s="85" t="n">
        <f aca="true">IF(W$5=0,V51,MAX(0,(V51-W$4)*(1+NORMINV(RAND(),INPUTS!$B$28,INPUTS!$B$29))))</f>
        <v>1573760.89261235</v>
      </c>
      <c r="X51" s="85" t="n">
        <f aca="true">IF(X$5=0,W51,MAX(0,(W51-X$4)*(1+NORMINV(RAND(),INPUTS!$B$28,INPUTS!$B$29))))</f>
        <v>1342553.63650583</v>
      </c>
      <c r="Y51" s="85" t="n">
        <f aca="true">IF(Y$5=0,X51,MAX(0,(X51-Y$4)*(1+NORMINV(RAND(),INPUTS!$B$28,INPUTS!$B$29))))</f>
        <v>1385764.49306578</v>
      </c>
      <c r="Z51" s="85" t="n">
        <f aca="true">IF(Z$5=0,Y51,MAX(0,(Y51-Z$4)*(1+NORMINV(RAND(),INPUTS!$B$28,INPUTS!$B$29))))</f>
        <v>1336467.57705204</v>
      </c>
      <c r="AA51" s="85" t="n">
        <f aca="true">IF(AA$5=0,Z51,MAX(0,(Z51-AA$4)*(1+NORMINV(RAND(),INPUTS!$B$28,INPUTS!$B$29))))</f>
        <v>1389158.13829972</v>
      </c>
      <c r="AB51" s="85" t="n">
        <f aca="true">IF(AB$5=0,AA51,MAX(0,(AA51-AB$4)*(1+NORMINV(RAND(),INPUTS!$B$28,INPUTS!$B$29))))</f>
        <v>1587940.43210609</v>
      </c>
      <c r="AC51" s="85" t="n">
        <f aca="true">IF(AC$5=0,AB51,MAX(0,(AB51-AC$4)*(1+NORMINV(RAND(),INPUTS!$B$28,INPUTS!$B$29))))</f>
        <v>1433071.53713947</v>
      </c>
      <c r="AD51" s="85" t="n">
        <f aca="true">IF(AD$5=0,AC51,MAX(0,(AC51-AD$4)*(1+NORMINV(RAND(),INPUTS!$B$28,INPUTS!$B$29))))</f>
        <v>1387498.16037751</v>
      </c>
      <c r="AE51" s="85" t="n">
        <f aca="true">IF(AE$5=0,AD51,MAX(0,(AD51-AE$4)*(1+NORMINV(RAND(),INPUTS!$B$28,INPUTS!$B$29))))</f>
        <v>1191998.86259479</v>
      </c>
      <c r="AF51" s="85" t="n">
        <f aca="true">IF(AF$5=0,AE51,MAX(0,(AE51-AF$4)*(1+NORMINV(RAND(),INPUTS!$B$28,INPUTS!$B$29))))</f>
        <v>1334365.04601197</v>
      </c>
      <c r="AG51" s="85" t="n">
        <f aca="true">IF(AG$5=0,AF51,MAX(0,(AF51-AG$4)*(1+NORMINV(RAND(),INPUTS!$B$28,INPUTS!$B$29))))</f>
        <v>1289069.4840027</v>
      </c>
      <c r="AH51" s="85" t="n">
        <f aca="true">IF(AH$5=0,AG51,MAX(0,(AG51-AH$4)*(1+NORMINV(RAND(),INPUTS!$B$28,INPUTS!$B$29))))</f>
        <v>1511642.9779388</v>
      </c>
      <c r="AI51" s="85" t="n">
        <f aca="true">IF(AI$5=0,AH51,MAX(0,(AH51-AI$4)*(1+NORMINV(RAND(),INPUTS!$B$28,INPUTS!$B$29))))</f>
        <v>1505330.58233202</v>
      </c>
      <c r="AJ51" s="85" t="n">
        <f aca="true">IF(AJ$5=0,AI51,MAX(0,(AI51-AJ$4)*(1+NORMINV(RAND(),INPUTS!$B$28,INPUTS!$B$29))))</f>
        <v>1716259.32784092</v>
      </c>
      <c r="AK51" s="85" t="n">
        <f aca="true">IF(AK$5=0,AJ51,MAX(0,(AJ51-AK$4)*(1+NORMINV(RAND(),INPUTS!$B$28,INPUTS!$B$29))))</f>
        <v>1755278.86800015</v>
      </c>
      <c r="AL51" s="85" t="n">
        <f aca="true">IF(AL$5=0,AK51,MAX(0,(AK51-AL$4)*(1+NORMINV(RAND(),INPUTS!$B$28,INPUTS!$B$29))))</f>
        <v>1337425.7152023</v>
      </c>
      <c r="AM51" s="85" t="n">
        <f aca="true">IF(AM$5=0,AL51,MAX(0,(AL51-AM$4)*(1+NORMINV(RAND(),INPUTS!$B$28,INPUTS!$B$29))))</f>
        <v>1337425.7152023</v>
      </c>
      <c r="AN51" s="85" t="n">
        <f aca="true">IF(AN$5=0,AM51,MAX(0,(AM51-AN$4)*(1+NORMINV(RAND(),INPUTS!$B$28,INPUTS!$B$29))))</f>
        <v>1337425.7152023</v>
      </c>
      <c r="AO51" s="85" t="n">
        <f aca="true">IF(AO$5=0,AN51,MAX(0,(AN51-AO$4)*(1+NORMINV(RAND(),INPUTS!$B$28,INPUTS!$B$29))))</f>
        <v>1337425.7152023</v>
      </c>
      <c r="AP51" s="85" t="n">
        <f aca="true">IF(AP$5=0,AO51,MAX(0,(AO51-AP$4)*(1+NORMINV(RAND(),INPUTS!$B$28,INPUTS!$B$29))))</f>
        <v>1337425.7152023</v>
      </c>
    </row>
    <row r="52" customFormat="false" ht="15" hidden="false" customHeight="true" outlineLevel="0" collapsed="false">
      <c r="A52" s="83" t="n">
        <v>45</v>
      </c>
      <c r="B52" s="84" t="n">
        <f aca="false">LOOKUP(9.99E+307,C52:AP52)</f>
        <v>6256706.02153385</v>
      </c>
      <c r="C52" s="85" t="n">
        <f aca="true">IF(C$5=0,INPUTS!$B$19,MAX(0,(INPUTS!$B$19-C$4)*(1+NORMINV(RAND(),INPUTS!$B$28,INPUTS!$B$29))))</f>
        <v>1549811.02688998</v>
      </c>
      <c r="D52" s="85" t="n">
        <f aca="true">IF(D$5=0,C52,MAX(0,(C52-D$4)*(1+NORMINV(RAND(),INPUTS!$B$28,INPUTS!$B$29))))</f>
        <v>1728747.54643615</v>
      </c>
      <c r="E52" s="85" t="n">
        <f aca="true">IF(E$5=0,D52,MAX(0,(D52-E$4)*(1+NORMINV(RAND(),INPUTS!$B$28,INPUTS!$B$29))))</f>
        <v>1485232.63251344</v>
      </c>
      <c r="F52" s="85" t="n">
        <f aca="true">IF(F$5=0,E52,MAX(0,(E52-F$4)*(1+NORMINV(RAND(),INPUTS!$B$28,INPUTS!$B$29))))</f>
        <v>1556616.15736127</v>
      </c>
      <c r="G52" s="85" t="n">
        <f aca="true">IF(G$5=0,F52,MAX(0,(F52-G$4)*(1+NORMINV(RAND(),INPUTS!$B$28,INPUTS!$B$29))))</f>
        <v>1790813.50325518</v>
      </c>
      <c r="H52" s="85" t="n">
        <f aca="true">IF(H$5=0,G52,MAX(0,(G52-H$4)*(1+NORMINV(RAND(),INPUTS!$B$28,INPUTS!$B$29))))</f>
        <v>1828375.8109997</v>
      </c>
      <c r="I52" s="85" t="n">
        <f aca="true">IF(I$5=0,H52,MAX(0,(H52-I$4)*(1+NORMINV(RAND(),INPUTS!$B$28,INPUTS!$B$29))))</f>
        <v>2042618.6499968</v>
      </c>
      <c r="J52" s="85" t="n">
        <f aca="true">IF(J$5=0,I52,MAX(0,(I52-J$4)*(1+NORMINV(RAND(),INPUTS!$B$28,INPUTS!$B$29))))</f>
        <v>1703063.94802312</v>
      </c>
      <c r="K52" s="85" t="n">
        <f aca="true">IF(K$5=0,J52,MAX(0,(J52-K$4)*(1+NORMINV(RAND(),INPUTS!$B$28,INPUTS!$B$29))))</f>
        <v>1948460.99775832</v>
      </c>
      <c r="L52" s="85" t="n">
        <f aca="true">IF(L$5=0,K52,MAX(0,(K52-L$4)*(1+NORMINV(RAND(),INPUTS!$B$28,INPUTS!$B$29))))</f>
        <v>1832994.24127252</v>
      </c>
      <c r="M52" s="85" t="n">
        <f aca="true">IF(M$5=0,L52,MAX(0,(L52-M$4)*(1+NORMINV(RAND(),INPUTS!$B$28,INPUTS!$B$29))))</f>
        <v>1584598.67343841</v>
      </c>
      <c r="N52" s="85" t="n">
        <f aca="true">IF(N$5=0,M52,MAX(0,(M52-N$4)*(1+NORMINV(RAND(),INPUTS!$B$28,INPUTS!$B$29))))</f>
        <v>1534774.57167406</v>
      </c>
      <c r="O52" s="85" t="n">
        <f aca="true">IF(O$5=0,N52,MAX(0,(N52-O$4)*(1+NORMINV(RAND(),INPUTS!$B$28,INPUTS!$B$29))))</f>
        <v>1770234.44764928</v>
      </c>
      <c r="P52" s="85" t="n">
        <f aca="true">IF(P$5=0,O52,MAX(0,(O52-P$4)*(1+NORMINV(RAND(),INPUTS!$B$28,INPUTS!$B$29))))</f>
        <v>1760637.89603126</v>
      </c>
      <c r="Q52" s="85" t="n">
        <f aca="true">IF(Q$5=0,P52,MAX(0,(P52-Q$4)*(1+NORMINV(RAND(),INPUTS!$B$28,INPUTS!$B$29))))</f>
        <v>2313284.10425885</v>
      </c>
      <c r="R52" s="85" t="n">
        <f aca="true">IF(R$5=0,Q52,MAX(0,(Q52-R$4)*(1+NORMINV(RAND(),INPUTS!$B$28,INPUTS!$B$29))))</f>
        <v>2218186.33535117</v>
      </c>
      <c r="S52" s="85" t="n">
        <f aca="true">IF(S$5=0,R52,MAX(0,(R52-S$4)*(1+NORMINV(RAND(),INPUTS!$B$28,INPUTS!$B$29))))</f>
        <v>2098246.66300845</v>
      </c>
      <c r="T52" s="85" t="n">
        <f aca="true">IF(T$5=0,S52,MAX(0,(S52-T$4)*(1+NORMINV(RAND(),INPUTS!$B$28,INPUTS!$B$29))))</f>
        <v>2405595.24990391</v>
      </c>
      <c r="U52" s="85" t="n">
        <f aca="true">IF(U$5=0,T52,MAX(0,(T52-U$4)*(1+NORMINV(RAND(),INPUTS!$B$28,INPUTS!$B$29))))</f>
        <v>2797933.10278931</v>
      </c>
      <c r="V52" s="85" t="n">
        <f aca="true">IF(V$5=0,U52,MAX(0,(U52-V$4)*(1+NORMINV(RAND(),INPUTS!$B$28,INPUTS!$B$29))))</f>
        <v>3200659.9231533</v>
      </c>
      <c r="W52" s="85" t="n">
        <f aca="true">IF(W$5=0,V52,MAX(0,(V52-W$4)*(1+NORMINV(RAND(),INPUTS!$B$28,INPUTS!$B$29))))</f>
        <v>3265155.732801</v>
      </c>
      <c r="X52" s="85" t="n">
        <f aca="true">IF(X$5=0,W52,MAX(0,(W52-X$4)*(1+NORMINV(RAND(),INPUTS!$B$28,INPUTS!$B$29))))</f>
        <v>3187803.43867981</v>
      </c>
      <c r="Y52" s="85" t="n">
        <f aca="true">IF(Y$5=0,X52,MAX(0,(X52-Y$4)*(1+NORMINV(RAND(),INPUTS!$B$28,INPUTS!$B$29))))</f>
        <v>2992194.95539943</v>
      </c>
      <c r="Z52" s="85" t="n">
        <f aca="true">IF(Z$5=0,Y52,MAX(0,(Y52-Z$4)*(1+NORMINV(RAND(),INPUTS!$B$28,INPUTS!$B$29))))</f>
        <v>2909846.14812557</v>
      </c>
      <c r="AA52" s="85" t="n">
        <f aca="true">IF(AA$5=0,Z52,MAX(0,(Z52-AA$4)*(1+NORMINV(RAND(),INPUTS!$B$28,INPUTS!$B$29))))</f>
        <v>2502567.26823953</v>
      </c>
      <c r="AB52" s="85" t="n">
        <f aca="true">IF(AB$5=0,AA52,MAX(0,(AA52-AB$4)*(1+NORMINV(RAND(),INPUTS!$B$28,INPUTS!$B$29))))</f>
        <v>2597980.04714231</v>
      </c>
      <c r="AC52" s="85" t="n">
        <f aca="true">IF(AC$5=0,AB52,MAX(0,(AB52-AC$4)*(1+NORMINV(RAND(),INPUTS!$B$28,INPUTS!$B$29))))</f>
        <v>3477750.21887277</v>
      </c>
      <c r="AD52" s="85" t="n">
        <f aca="true">IF(AD$5=0,AC52,MAX(0,(AC52-AD$4)*(1+NORMINV(RAND(),INPUTS!$B$28,INPUTS!$B$29))))</f>
        <v>3863379.97726982</v>
      </c>
      <c r="AE52" s="85" t="n">
        <f aca="true">IF(AE$5=0,AD52,MAX(0,(AD52-AE$4)*(1+NORMINV(RAND(),INPUTS!$B$28,INPUTS!$B$29))))</f>
        <v>4332717.9351346</v>
      </c>
      <c r="AF52" s="85" t="n">
        <f aca="true">IF(AF$5=0,AE52,MAX(0,(AE52-AF$4)*(1+NORMINV(RAND(),INPUTS!$B$28,INPUTS!$B$29))))</f>
        <v>3745659.2327115</v>
      </c>
      <c r="AG52" s="85" t="n">
        <f aca="true">IF(AG$5=0,AF52,MAX(0,(AF52-AG$4)*(1+NORMINV(RAND(),INPUTS!$B$28,INPUTS!$B$29))))</f>
        <v>4476644.54520484</v>
      </c>
      <c r="AH52" s="85" t="n">
        <f aca="true">IF(AH$5=0,AG52,MAX(0,(AG52-AH$4)*(1+NORMINV(RAND(),INPUTS!$B$28,INPUTS!$B$29))))</f>
        <v>4545934.3526506</v>
      </c>
      <c r="AI52" s="85" t="n">
        <f aca="true">IF(AI$5=0,AH52,MAX(0,(AH52-AI$4)*(1+NORMINV(RAND(),INPUTS!$B$28,INPUTS!$B$29))))</f>
        <v>4896738.95422463</v>
      </c>
      <c r="AJ52" s="85" t="n">
        <f aca="true">IF(AJ$5=0,AI52,MAX(0,(AI52-AJ$4)*(1+NORMINV(RAND(),INPUTS!$B$28,INPUTS!$B$29))))</f>
        <v>5044726.83264433</v>
      </c>
      <c r="AK52" s="85" t="n">
        <f aca="true">IF(AK$5=0,AJ52,MAX(0,(AJ52-AK$4)*(1+NORMINV(RAND(),INPUTS!$B$28,INPUTS!$B$29))))</f>
        <v>5882404.54003976</v>
      </c>
      <c r="AL52" s="85" t="n">
        <f aca="true">IF(AL$5=0,AK52,MAX(0,(AK52-AL$4)*(1+NORMINV(RAND(),INPUTS!$B$28,INPUTS!$B$29))))</f>
        <v>6256706.02153385</v>
      </c>
      <c r="AM52" s="85" t="n">
        <f aca="true">IF(AM$5=0,AL52,MAX(0,(AL52-AM$4)*(1+NORMINV(RAND(),INPUTS!$B$28,INPUTS!$B$29))))</f>
        <v>6256706.02153385</v>
      </c>
      <c r="AN52" s="85" t="n">
        <f aca="true">IF(AN$5=0,AM52,MAX(0,(AM52-AN$4)*(1+NORMINV(RAND(),INPUTS!$B$28,INPUTS!$B$29))))</f>
        <v>6256706.02153385</v>
      </c>
      <c r="AO52" s="85" t="n">
        <f aca="true">IF(AO$5=0,AN52,MAX(0,(AN52-AO$4)*(1+NORMINV(RAND(),INPUTS!$B$28,INPUTS!$B$29))))</f>
        <v>6256706.02153385</v>
      </c>
      <c r="AP52" s="85" t="n">
        <f aca="true">IF(AP$5=0,AO52,MAX(0,(AO52-AP$4)*(1+NORMINV(RAND(),INPUTS!$B$28,INPUTS!$B$29))))</f>
        <v>6256706.02153385</v>
      </c>
    </row>
    <row r="53" customFormat="false" ht="15" hidden="false" customHeight="true" outlineLevel="0" collapsed="false">
      <c r="A53" s="83" t="n">
        <v>46</v>
      </c>
      <c r="B53" s="84" t="n">
        <f aca="false">LOOKUP(9.99E+307,C53:AP53)</f>
        <v>0</v>
      </c>
      <c r="C53" s="85" t="n">
        <f aca="true">IF(C$5=0,INPUTS!$B$19,MAX(0,(INPUTS!$B$19-C$4)*(1+NORMINV(RAND(),INPUTS!$B$28,INPUTS!$B$29))))</f>
        <v>1154262.95519243</v>
      </c>
      <c r="D53" s="85" t="n">
        <f aca="true">IF(D$5=0,C53,MAX(0,(C53-D$4)*(1+NORMINV(RAND(),INPUTS!$B$28,INPUTS!$B$29))))</f>
        <v>1095237.3742177</v>
      </c>
      <c r="E53" s="85" t="n">
        <f aca="true">IF(E$5=0,D53,MAX(0,(D53-E$4)*(1+NORMINV(RAND(),INPUTS!$B$28,INPUTS!$B$29))))</f>
        <v>1152565.26037674</v>
      </c>
      <c r="F53" s="85" t="n">
        <f aca="true">IF(F$5=0,E53,MAX(0,(E53-F$4)*(1+NORMINV(RAND(),INPUTS!$B$28,INPUTS!$B$29))))</f>
        <v>992662.137698605</v>
      </c>
      <c r="G53" s="85" t="n">
        <f aca="true">IF(G$5=0,F53,MAX(0,(F53-G$4)*(1+NORMINV(RAND(),INPUTS!$B$28,INPUTS!$B$29))))</f>
        <v>856806.012773154</v>
      </c>
      <c r="H53" s="85" t="n">
        <f aca="true">IF(H$5=0,G53,MAX(0,(G53-H$4)*(1+NORMINV(RAND(),INPUTS!$B$28,INPUTS!$B$29))))</f>
        <v>797251.732633771</v>
      </c>
      <c r="I53" s="85" t="n">
        <f aca="true">IF(I$5=0,H53,MAX(0,(H53-I$4)*(1+NORMINV(RAND(),INPUTS!$B$28,INPUTS!$B$29))))</f>
        <v>716504.474138325</v>
      </c>
      <c r="J53" s="85" t="n">
        <f aca="true">IF(J$5=0,I53,MAX(0,(I53-J$4)*(1+NORMINV(RAND(),INPUTS!$B$28,INPUTS!$B$29))))</f>
        <v>696368.371691644</v>
      </c>
      <c r="K53" s="85" t="n">
        <f aca="true">IF(K$5=0,J53,MAX(0,(J53-K$4)*(1+NORMINV(RAND(),INPUTS!$B$28,INPUTS!$B$29))))</f>
        <v>710631.379675944</v>
      </c>
      <c r="L53" s="85" t="n">
        <f aca="true">IF(L$5=0,K53,MAX(0,(K53-L$4)*(1+NORMINV(RAND(),INPUTS!$B$28,INPUTS!$B$29))))</f>
        <v>711389.893856036</v>
      </c>
      <c r="M53" s="85" t="n">
        <f aca="true">IF(M$5=0,L53,MAX(0,(L53-M$4)*(1+NORMINV(RAND(),INPUTS!$B$28,INPUTS!$B$29))))</f>
        <v>737672.636069688</v>
      </c>
      <c r="N53" s="85" t="n">
        <f aca="true">IF(N$5=0,M53,MAX(0,(M53-N$4)*(1+NORMINV(RAND(),INPUTS!$B$28,INPUTS!$B$29))))</f>
        <v>508858.862116581</v>
      </c>
      <c r="O53" s="85" t="n">
        <f aca="true">IF(O$5=0,N53,MAX(0,(N53-O$4)*(1+NORMINV(RAND(),INPUTS!$B$28,INPUTS!$B$29))))</f>
        <v>456993.430681466</v>
      </c>
      <c r="P53" s="85" t="n">
        <f aca="true">IF(P$5=0,O53,MAX(0,(O53-P$4)*(1+NORMINV(RAND(),INPUTS!$B$28,INPUTS!$B$29))))</f>
        <v>368141.638160248</v>
      </c>
      <c r="Q53" s="85" t="n">
        <f aca="true">IF(Q$5=0,P53,MAX(0,(P53-Q$4)*(1+NORMINV(RAND(),INPUTS!$B$28,INPUTS!$B$29))))</f>
        <v>348203.897914447</v>
      </c>
      <c r="R53" s="85" t="n">
        <f aca="true">IF(R$5=0,Q53,MAX(0,(Q53-R$4)*(1+NORMINV(RAND(),INPUTS!$B$28,INPUTS!$B$29))))</f>
        <v>241632.431519441</v>
      </c>
      <c r="S53" s="85" t="n">
        <f aca="true">IF(S$5=0,R53,MAX(0,(R53-S$4)*(1+NORMINV(RAND(),INPUTS!$B$28,INPUTS!$B$29))))</f>
        <v>173205.159401383</v>
      </c>
      <c r="T53" s="85" t="n">
        <f aca="true">IF(T$5=0,S53,MAX(0,(S53-T$4)*(1+NORMINV(RAND(),INPUTS!$B$28,INPUTS!$B$29))))</f>
        <v>129448.820686566</v>
      </c>
      <c r="U53" s="85" t="n">
        <f aca="true">IF(U$5=0,T53,MAX(0,(T53-U$4)*(1+NORMINV(RAND(),INPUTS!$B$28,INPUTS!$B$29))))</f>
        <v>75063.1219711473</v>
      </c>
      <c r="V53" s="85" t="n">
        <f aca="true">IF(V$5=0,U53,MAX(0,(U53-V$4)*(1+NORMINV(RAND(),INPUTS!$B$28,INPUTS!$B$29))))</f>
        <v>26482.28100978</v>
      </c>
      <c r="W53" s="85" t="n">
        <f aca="true">IF(W$5=0,V53,MAX(0,(V53-W$4)*(1+NORMINV(RAND(),INPUTS!$B$28,INPUTS!$B$29))))</f>
        <v>0</v>
      </c>
      <c r="X53" s="85" t="n">
        <f aca="true">IF(X$5=0,W53,MAX(0,(W53-X$4)*(1+NORMINV(RAND(),INPUTS!$B$28,INPUTS!$B$29))))</f>
        <v>0</v>
      </c>
      <c r="Y53" s="85" t="n">
        <f aca="true">IF(Y$5=0,X53,MAX(0,(X53-Y$4)*(1+NORMINV(RAND(),INPUTS!$B$28,INPUTS!$B$29))))</f>
        <v>0</v>
      </c>
      <c r="Z53" s="85" t="n">
        <f aca="true">IF(Z$5=0,Y53,MAX(0,(Y53-Z$4)*(1+NORMINV(RAND(),INPUTS!$B$28,INPUTS!$B$29))))</f>
        <v>0</v>
      </c>
      <c r="AA53" s="85" t="n">
        <f aca="true">IF(AA$5=0,Z53,MAX(0,(Z53-AA$4)*(1+NORMINV(RAND(),INPUTS!$B$28,INPUTS!$B$29))))</f>
        <v>0</v>
      </c>
      <c r="AB53" s="85" t="n">
        <f aca="true">IF(AB$5=0,AA53,MAX(0,(AA53-AB$4)*(1+NORMINV(RAND(),INPUTS!$B$28,INPUTS!$B$29))))</f>
        <v>0</v>
      </c>
      <c r="AC53" s="85" t="n">
        <f aca="true">IF(AC$5=0,AB53,MAX(0,(AB53-AC$4)*(1+NORMINV(RAND(),INPUTS!$B$28,INPUTS!$B$29))))</f>
        <v>0</v>
      </c>
      <c r="AD53" s="85" t="n">
        <f aca="true">IF(AD$5=0,AC53,MAX(0,(AC53-AD$4)*(1+NORMINV(RAND(),INPUTS!$B$28,INPUTS!$B$29))))</f>
        <v>0</v>
      </c>
      <c r="AE53" s="85" t="n">
        <f aca="true">IF(AE$5=0,AD53,MAX(0,(AD53-AE$4)*(1+NORMINV(RAND(),INPUTS!$B$28,INPUTS!$B$29))))</f>
        <v>0</v>
      </c>
      <c r="AF53" s="85" t="n">
        <f aca="true">IF(AF$5=0,AE53,MAX(0,(AE53-AF$4)*(1+NORMINV(RAND(),INPUTS!$B$28,INPUTS!$B$29))))</f>
        <v>0</v>
      </c>
      <c r="AG53" s="85" t="n">
        <f aca="true">IF(AG$5=0,AF53,MAX(0,(AF53-AG$4)*(1+NORMINV(RAND(),INPUTS!$B$28,INPUTS!$B$29))))</f>
        <v>0</v>
      </c>
      <c r="AH53" s="85" t="n">
        <f aca="true">IF(AH$5=0,AG53,MAX(0,(AG53-AH$4)*(1+NORMINV(RAND(),INPUTS!$B$28,INPUTS!$B$29))))</f>
        <v>0</v>
      </c>
      <c r="AI53" s="85" t="n">
        <f aca="true">IF(AI$5=0,AH53,MAX(0,(AH53-AI$4)*(1+NORMINV(RAND(),INPUTS!$B$28,INPUTS!$B$29))))</f>
        <v>0</v>
      </c>
      <c r="AJ53" s="85" t="n">
        <f aca="true">IF(AJ$5=0,AI53,MAX(0,(AI53-AJ$4)*(1+NORMINV(RAND(),INPUTS!$B$28,INPUTS!$B$29))))</f>
        <v>0</v>
      </c>
      <c r="AK53" s="85" t="n">
        <f aca="true">IF(AK$5=0,AJ53,MAX(0,(AJ53-AK$4)*(1+NORMINV(RAND(),INPUTS!$B$28,INPUTS!$B$29))))</f>
        <v>0</v>
      </c>
      <c r="AL53" s="85" t="n">
        <f aca="true">IF(AL$5=0,AK53,MAX(0,(AK53-AL$4)*(1+NORMINV(RAND(),INPUTS!$B$28,INPUTS!$B$29))))</f>
        <v>0</v>
      </c>
      <c r="AM53" s="85" t="n">
        <f aca="true">IF(AM$5=0,AL53,MAX(0,(AL53-AM$4)*(1+NORMINV(RAND(),INPUTS!$B$28,INPUTS!$B$29))))</f>
        <v>0</v>
      </c>
      <c r="AN53" s="85" t="n">
        <f aca="true">IF(AN$5=0,AM53,MAX(0,(AM53-AN$4)*(1+NORMINV(RAND(),INPUTS!$B$28,INPUTS!$B$29))))</f>
        <v>0</v>
      </c>
      <c r="AO53" s="85" t="n">
        <f aca="true">IF(AO$5=0,AN53,MAX(0,(AN53-AO$4)*(1+NORMINV(RAND(),INPUTS!$B$28,INPUTS!$B$29))))</f>
        <v>0</v>
      </c>
      <c r="AP53" s="85" t="n">
        <f aca="true">IF(AP$5=0,AO53,MAX(0,(AO53-AP$4)*(1+NORMINV(RAND(),INPUTS!$B$28,INPUTS!$B$29))))</f>
        <v>0</v>
      </c>
    </row>
    <row r="54" customFormat="false" ht="15" hidden="false" customHeight="true" outlineLevel="0" collapsed="false">
      <c r="A54" s="83" t="n">
        <v>47</v>
      </c>
      <c r="B54" s="84" t="n">
        <f aca="false">LOOKUP(9.99E+307,C54:AP54)</f>
        <v>0</v>
      </c>
      <c r="C54" s="85" t="n">
        <f aca="true">IF(C$5=0,INPUTS!$B$19,MAX(0,(INPUTS!$B$19-C$4)*(1+NORMINV(RAND(),INPUTS!$B$28,INPUTS!$B$29))))</f>
        <v>1119936.47786814</v>
      </c>
      <c r="D54" s="85" t="n">
        <f aca="true">IF(D$5=0,C54,MAX(0,(C54-D$4)*(1+NORMINV(RAND(),INPUTS!$B$28,INPUTS!$B$29))))</f>
        <v>1043181.1144034</v>
      </c>
      <c r="E54" s="85" t="n">
        <f aca="true">IF(E$5=0,D54,MAX(0,(D54-E$4)*(1+NORMINV(RAND(),INPUTS!$B$28,INPUTS!$B$29))))</f>
        <v>885144.835066749</v>
      </c>
      <c r="F54" s="85" t="n">
        <f aca="true">IF(F$5=0,E54,MAX(0,(E54-F$4)*(1+NORMINV(RAND(),INPUTS!$B$28,INPUTS!$B$29))))</f>
        <v>779640.351388231</v>
      </c>
      <c r="G54" s="85" t="n">
        <f aca="true">IF(G$5=0,F54,MAX(0,(F54-G$4)*(1+NORMINV(RAND(),INPUTS!$B$28,INPUTS!$B$29))))</f>
        <v>673155.369695553</v>
      </c>
      <c r="H54" s="85" t="n">
        <f aca="true">IF(H$5=0,G54,MAX(0,(G54-H$4)*(1+NORMINV(RAND(),INPUTS!$B$28,INPUTS!$B$29))))</f>
        <v>664025.022887565</v>
      </c>
      <c r="I54" s="85" t="n">
        <f aca="true">IF(I$5=0,H54,MAX(0,(H54-I$4)*(1+NORMINV(RAND(),INPUTS!$B$28,INPUTS!$B$29))))</f>
        <v>554274.010692719</v>
      </c>
      <c r="J54" s="85" t="n">
        <f aca="true">IF(J$5=0,I54,MAX(0,(I54-J$4)*(1+NORMINV(RAND(),INPUTS!$B$28,INPUTS!$B$29))))</f>
        <v>519719.908316327</v>
      </c>
      <c r="K54" s="85" t="n">
        <f aca="true">IF(K$5=0,J54,MAX(0,(J54-K$4)*(1+NORMINV(RAND(),INPUTS!$B$28,INPUTS!$B$29))))</f>
        <v>502288.864078961</v>
      </c>
      <c r="L54" s="85" t="n">
        <f aca="true">IF(L$5=0,K54,MAX(0,(K54-L$4)*(1+NORMINV(RAND(),INPUTS!$B$28,INPUTS!$B$29))))</f>
        <v>435746.65456598</v>
      </c>
      <c r="M54" s="85" t="n">
        <f aca="true">IF(M$5=0,L54,MAX(0,(L54-M$4)*(1+NORMINV(RAND(),INPUTS!$B$28,INPUTS!$B$29))))</f>
        <v>373227.582605863</v>
      </c>
      <c r="N54" s="85" t="n">
        <f aca="true">IF(N$5=0,M54,MAX(0,(M54-N$4)*(1+NORMINV(RAND(),INPUTS!$B$28,INPUTS!$B$29))))</f>
        <v>328390.029368185</v>
      </c>
      <c r="O54" s="85" t="n">
        <f aca="true">IF(O$5=0,N54,MAX(0,(N54-O$4)*(1+NORMINV(RAND(),INPUTS!$B$28,INPUTS!$B$29))))</f>
        <v>329189.648482924</v>
      </c>
      <c r="P54" s="85" t="n">
        <f aca="true">IF(P$5=0,O54,MAX(0,(O54-P$4)*(1+NORMINV(RAND(),INPUTS!$B$28,INPUTS!$B$29))))</f>
        <v>337117.417254024</v>
      </c>
      <c r="Q54" s="85" t="n">
        <f aca="true">IF(Q$5=0,P54,MAX(0,(P54-Q$4)*(1+NORMINV(RAND(),INPUTS!$B$28,INPUTS!$B$29))))</f>
        <v>312477.144525916</v>
      </c>
      <c r="R54" s="85" t="n">
        <f aca="true">IF(R$5=0,Q54,MAX(0,(Q54-R$4)*(1+NORMINV(RAND(),INPUTS!$B$28,INPUTS!$B$29))))</f>
        <v>279813.935749029</v>
      </c>
      <c r="S54" s="85" t="n">
        <f aca="true">IF(S$5=0,R54,MAX(0,(R54-S$4)*(1+NORMINV(RAND(),INPUTS!$B$28,INPUTS!$B$29))))</f>
        <v>194619.238985077</v>
      </c>
      <c r="T54" s="85" t="n">
        <f aca="true">IF(T$5=0,S54,MAX(0,(S54-T$4)*(1+NORMINV(RAND(),INPUTS!$B$28,INPUTS!$B$29))))</f>
        <v>156022.080091074</v>
      </c>
      <c r="U54" s="85" t="n">
        <f aca="true">IF(U$5=0,T54,MAX(0,(T54-U$4)*(1+NORMINV(RAND(),INPUTS!$B$28,INPUTS!$B$29))))</f>
        <v>119289.942547884</v>
      </c>
      <c r="V54" s="85" t="n">
        <f aca="true">IF(V$5=0,U54,MAX(0,(U54-V$4)*(1+NORMINV(RAND(),INPUTS!$B$28,INPUTS!$B$29))))</f>
        <v>77794.3572490696</v>
      </c>
      <c r="W54" s="85" t="n">
        <f aca="true">IF(W$5=0,V54,MAX(0,(V54-W$4)*(1+NORMINV(RAND(),INPUTS!$B$28,INPUTS!$B$29))))</f>
        <v>22215.6751362414</v>
      </c>
      <c r="X54" s="85" t="n">
        <f aca="true">IF(X$5=0,W54,MAX(0,(W54-X$4)*(1+NORMINV(RAND(),INPUTS!$B$28,INPUTS!$B$29))))</f>
        <v>0</v>
      </c>
      <c r="Y54" s="85" t="n">
        <f aca="true">IF(Y$5=0,X54,MAX(0,(X54-Y$4)*(1+NORMINV(RAND(),INPUTS!$B$28,INPUTS!$B$29))))</f>
        <v>0</v>
      </c>
      <c r="Z54" s="85" t="n">
        <f aca="true">IF(Z$5=0,Y54,MAX(0,(Y54-Z$4)*(1+NORMINV(RAND(),INPUTS!$B$28,INPUTS!$B$29))))</f>
        <v>0</v>
      </c>
      <c r="AA54" s="85" t="n">
        <f aca="true">IF(AA$5=0,Z54,MAX(0,(Z54-AA$4)*(1+NORMINV(RAND(),INPUTS!$B$28,INPUTS!$B$29))))</f>
        <v>0</v>
      </c>
      <c r="AB54" s="85" t="n">
        <f aca="true">IF(AB$5=0,AA54,MAX(0,(AA54-AB$4)*(1+NORMINV(RAND(),INPUTS!$B$28,INPUTS!$B$29))))</f>
        <v>0</v>
      </c>
      <c r="AC54" s="85" t="n">
        <f aca="true">IF(AC$5=0,AB54,MAX(0,(AB54-AC$4)*(1+NORMINV(RAND(),INPUTS!$B$28,INPUTS!$B$29))))</f>
        <v>0</v>
      </c>
      <c r="AD54" s="85" t="n">
        <f aca="true">IF(AD$5=0,AC54,MAX(0,(AC54-AD$4)*(1+NORMINV(RAND(),INPUTS!$B$28,INPUTS!$B$29))))</f>
        <v>0</v>
      </c>
      <c r="AE54" s="85" t="n">
        <f aca="true">IF(AE$5=0,AD54,MAX(0,(AD54-AE$4)*(1+NORMINV(RAND(),INPUTS!$B$28,INPUTS!$B$29))))</f>
        <v>0</v>
      </c>
      <c r="AF54" s="85" t="n">
        <f aca="true">IF(AF$5=0,AE54,MAX(0,(AE54-AF$4)*(1+NORMINV(RAND(),INPUTS!$B$28,INPUTS!$B$29))))</f>
        <v>0</v>
      </c>
      <c r="AG54" s="85" t="n">
        <f aca="true">IF(AG$5=0,AF54,MAX(0,(AF54-AG$4)*(1+NORMINV(RAND(),INPUTS!$B$28,INPUTS!$B$29))))</f>
        <v>0</v>
      </c>
      <c r="AH54" s="85" t="n">
        <f aca="true">IF(AH$5=0,AG54,MAX(0,(AG54-AH$4)*(1+NORMINV(RAND(),INPUTS!$B$28,INPUTS!$B$29))))</f>
        <v>0</v>
      </c>
      <c r="AI54" s="85" t="n">
        <f aca="true">IF(AI$5=0,AH54,MAX(0,(AH54-AI$4)*(1+NORMINV(RAND(),INPUTS!$B$28,INPUTS!$B$29))))</f>
        <v>0</v>
      </c>
      <c r="AJ54" s="85" t="n">
        <f aca="true">IF(AJ$5=0,AI54,MAX(0,(AI54-AJ$4)*(1+NORMINV(RAND(),INPUTS!$B$28,INPUTS!$B$29))))</f>
        <v>0</v>
      </c>
      <c r="AK54" s="85" t="n">
        <f aca="true">IF(AK$5=0,AJ54,MAX(0,(AJ54-AK$4)*(1+NORMINV(RAND(),INPUTS!$B$28,INPUTS!$B$29))))</f>
        <v>0</v>
      </c>
      <c r="AL54" s="85" t="n">
        <f aca="true">IF(AL$5=0,AK54,MAX(0,(AK54-AL$4)*(1+NORMINV(RAND(),INPUTS!$B$28,INPUTS!$B$29))))</f>
        <v>0</v>
      </c>
      <c r="AM54" s="85" t="n">
        <f aca="true">IF(AM$5=0,AL54,MAX(0,(AL54-AM$4)*(1+NORMINV(RAND(),INPUTS!$B$28,INPUTS!$B$29))))</f>
        <v>0</v>
      </c>
      <c r="AN54" s="85" t="n">
        <f aca="true">IF(AN$5=0,AM54,MAX(0,(AM54-AN$4)*(1+NORMINV(RAND(),INPUTS!$B$28,INPUTS!$B$29))))</f>
        <v>0</v>
      </c>
      <c r="AO54" s="85" t="n">
        <f aca="true">IF(AO$5=0,AN54,MAX(0,(AN54-AO$4)*(1+NORMINV(RAND(),INPUTS!$B$28,INPUTS!$B$29))))</f>
        <v>0</v>
      </c>
      <c r="AP54" s="85" t="n">
        <f aca="true">IF(AP$5=0,AO54,MAX(0,(AO54-AP$4)*(1+NORMINV(RAND(),INPUTS!$B$28,INPUTS!$B$29))))</f>
        <v>0</v>
      </c>
    </row>
    <row r="55" customFormat="false" ht="15" hidden="false" customHeight="true" outlineLevel="0" collapsed="false">
      <c r="A55" s="83" t="n">
        <v>48</v>
      </c>
      <c r="B55" s="84" t="n">
        <f aca="false">LOOKUP(9.99E+307,C55:AP55)</f>
        <v>2753824.59059539</v>
      </c>
      <c r="C55" s="85" t="n">
        <f aca="true">IF(C$5=0,INPUTS!$B$19,MAX(0,(INPUTS!$B$19-C$4)*(1+NORMINV(RAND(),INPUTS!$B$28,INPUTS!$B$29))))</f>
        <v>1237188.0994858</v>
      </c>
      <c r="D55" s="85" t="n">
        <f aca="true">IF(D$5=0,C55,MAX(0,(C55-D$4)*(1+NORMINV(RAND(),INPUTS!$B$28,INPUTS!$B$29))))</f>
        <v>1367932.12358827</v>
      </c>
      <c r="E55" s="85" t="n">
        <f aca="true">IF(E$5=0,D55,MAX(0,(D55-E$4)*(1+NORMINV(RAND(),INPUTS!$B$28,INPUTS!$B$29))))</f>
        <v>1301415.71943349</v>
      </c>
      <c r="F55" s="85" t="n">
        <f aca="true">IF(F$5=0,E55,MAX(0,(E55-F$4)*(1+NORMINV(RAND(),INPUTS!$B$28,INPUTS!$B$29))))</f>
        <v>1298536.58388137</v>
      </c>
      <c r="G55" s="85" t="n">
        <f aca="true">IF(G$5=0,F55,MAX(0,(F55-G$4)*(1+NORMINV(RAND(),INPUTS!$B$28,INPUTS!$B$29))))</f>
        <v>1249490.15600854</v>
      </c>
      <c r="H55" s="85" t="n">
        <f aca="true">IF(H$5=0,G55,MAX(0,(G55-H$4)*(1+NORMINV(RAND(),INPUTS!$B$28,INPUTS!$B$29))))</f>
        <v>1443263.44269908</v>
      </c>
      <c r="I55" s="85" t="n">
        <f aca="true">IF(I$5=0,H55,MAX(0,(H55-I$4)*(1+NORMINV(RAND(),INPUTS!$B$28,INPUTS!$B$29))))</f>
        <v>1339972.82213784</v>
      </c>
      <c r="J55" s="85" t="n">
        <f aca="true">IF(J$5=0,I55,MAX(0,(I55-J$4)*(1+NORMINV(RAND(),INPUTS!$B$28,INPUTS!$B$29))))</f>
        <v>1223386.3911318</v>
      </c>
      <c r="K55" s="85" t="n">
        <f aca="true">IF(K$5=0,J55,MAX(0,(J55-K$4)*(1+NORMINV(RAND(),INPUTS!$B$28,INPUTS!$B$29))))</f>
        <v>1435888.48587793</v>
      </c>
      <c r="L55" s="85" t="n">
        <f aca="true">IF(L$5=0,K55,MAX(0,(K55-L$4)*(1+NORMINV(RAND(),INPUTS!$B$28,INPUTS!$B$29))))</f>
        <v>1787574.04181905</v>
      </c>
      <c r="M55" s="85" t="n">
        <f aca="true">IF(M$5=0,L55,MAX(0,(L55-M$4)*(1+NORMINV(RAND(),INPUTS!$B$28,INPUTS!$B$29))))</f>
        <v>1901607.73972114</v>
      </c>
      <c r="N55" s="85" t="n">
        <f aca="true">IF(N$5=0,M55,MAX(0,(M55-N$4)*(1+NORMINV(RAND(),INPUTS!$B$28,INPUTS!$B$29))))</f>
        <v>1765285.43347647</v>
      </c>
      <c r="O55" s="85" t="n">
        <f aca="true">IF(O$5=0,N55,MAX(0,(N55-O$4)*(1+NORMINV(RAND(),INPUTS!$B$28,INPUTS!$B$29))))</f>
        <v>1829916.66492632</v>
      </c>
      <c r="P55" s="85" t="n">
        <f aca="true">IF(P$5=0,O55,MAX(0,(O55-P$4)*(1+NORMINV(RAND(),INPUTS!$B$28,INPUTS!$B$29))))</f>
        <v>2007163.34453493</v>
      </c>
      <c r="Q55" s="85" t="n">
        <f aca="true">IF(Q$5=0,P55,MAX(0,(P55-Q$4)*(1+NORMINV(RAND(),INPUTS!$B$28,INPUTS!$B$29))))</f>
        <v>1997498.61562757</v>
      </c>
      <c r="R55" s="85" t="n">
        <f aca="true">IF(R$5=0,Q55,MAX(0,(Q55-R$4)*(1+NORMINV(RAND(),INPUTS!$B$28,INPUTS!$B$29))))</f>
        <v>2476561.34204559</v>
      </c>
      <c r="S55" s="85" t="n">
        <f aca="true">IF(S$5=0,R55,MAX(0,(R55-S$4)*(1+NORMINV(RAND(),INPUTS!$B$28,INPUTS!$B$29))))</f>
        <v>2210153.90442289</v>
      </c>
      <c r="T55" s="85" t="n">
        <f aca="true">IF(T$5=0,S55,MAX(0,(S55-T$4)*(1+NORMINV(RAND(),INPUTS!$B$28,INPUTS!$B$29))))</f>
        <v>1892206.04228972</v>
      </c>
      <c r="U55" s="85" t="n">
        <f aca="true">IF(U$5=0,T55,MAX(0,(T55-U$4)*(1+NORMINV(RAND(),INPUTS!$B$28,INPUTS!$B$29))))</f>
        <v>1631459.19168644</v>
      </c>
      <c r="V55" s="85" t="n">
        <f aca="true">IF(V$5=0,U55,MAX(0,(U55-V$4)*(1+NORMINV(RAND(),INPUTS!$B$28,INPUTS!$B$29))))</f>
        <v>1756188.97758961</v>
      </c>
      <c r="W55" s="85" t="n">
        <f aca="true">IF(W$5=0,V55,MAX(0,(V55-W$4)*(1+NORMINV(RAND(),INPUTS!$B$28,INPUTS!$B$29))))</f>
        <v>2022434.34264635</v>
      </c>
      <c r="X55" s="85" t="n">
        <f aca="true">IF(X$5=0,W55,MAX(0,(W55-X$4)*(1+NORMINV(RAND(),INPUTS!$B$28,INPUTS!$B$29))))</f>
        <v>1896331.57897549</v>
      </c>
      <c r="Y55" s="85" t="n">
        <f aca="true">IF(Y$5=0,X55,MAX(0,(X55-Y$4)*(1+NORMINV(RAND(),INPUTS!$B$28,INPUTS!$B$29))))</f>
        <v>2131059.53911869</v>
      </c>
      <c r="Z55" s="85" t="n">
        <f aca="true">IF(Z$5=0,Y55,MAX(0,(Y55-Z$4)*(1+NORMINV(RAND(),INPUTS!$B$28,INPUTS!$B$29))))</f>
        <v>2362895.2143964</v>
      </c>
      <c r="AA55" s="85" t="n">
        <f aca="true">IF(AA$5=0,Z55,MAX(0,(Z55-AA$4)*(1+NORMINV(RAND(),INPUTS!$B$28,INPUTS!$B$29))))</f>
        <v>2540473.72775232</v>
      </c>
      <c r="AB55" s="85" t="n">
        <f aca="true">IF(AB$5=0,AA55,MAX(0,(AA55-AB$4)*(1+NORMINV(RAND(),INPUTS!$B$28,INPUTS!$B$29))))</f>
        <v>2854072.58186528</v>
      </c>
      <c r="AC55" s="85" t="n">
        <f aca="true">IF(AC$5=0,AB55,MAX(0,(AB55-AC$4)*(1+NORMINV(RAND(),INPUTS!$B$28,INPUTS!$B$29))))</f>
        <v>2381299.62149703</v>
      </c>
      <c r="AD55" s="85" t="n">
        <f aca="true">IF(AD$5=0,AC55,MAX(0,(AC55-AD$4)*(1+NORMINV(RAND(),INPUTS!$B$28,INPUTS!$B$29))))</f>
        <v>2383758.33356734</v>
      </c>
      <c r="AE55" s="85" t="n">
        <f aca="true">IF(AE$5=0,AD55,MAX(0,(AD55-AE$4)*(1+NORMINV(RAND(),INPUTS!$B$28,INPUTS!$B$29))))</f>
        <v>2592428.03531376</v>
      </c>
      <c r="AF55" s="85" t="n">
        <f aca="true">IF(AF$5=0,AE55,MAX(0,(AE55-AF$4)*(1+NORMINV(RAND(),INPUTS!$B$28,INPUTS!$B$29))))</f>
        <v>2927201.80059129</v>
      </c>
      <c r="AG55" s="85" t="n">
        <f aca="true">IF(AG$5=0,AF55,MAX(0,(AF55-AG$4)*(1+NORMINV(RAND(),INPUTS!$B$28,INPUTS!$B$29))))</f>
        <v>3263326.88289184</v>
      </c>
      <c r="AH55" s="85" t="n">
        <f aca="true">IF(AH$5=0,AG55,MAX(0,(AG55-AH$4)*(1+NORMINV(RAND(),INPUTS!$B$28,INPUTS!$B$29))))</f>
        <v>3036722.93807785</v>
      </c>
      <c r="AI55" s="85" t="n">
        <f aca="true">IF(AI$5=0,AH55,MAX(0,(AH55-AI$4)*(1+NORMINV(RAND(),INPUTS!$B$28,INPUTS!$B$29))))</f>
        <v>2915361.35194843</v>
      </c>
      <c r="AJ55" s="85" t="n">
        <f aca="true">IF(AJ$5=0,AI55,MAX(0,(AI55-AJ$4)*(1+NORMINV(RAND(),INPUTS!$B$28,INPUTS!$B$29))))</f>
        <v>2998208.65472757</v>
      </c>
      <c r="AK55" s="85" t="n">
        <f aca="true">IF(AK$5=0,AJ55,MAX(0,(AJ55-AK$4)*(1+NORMINV(RAND(),INPUTS!$B$28,INPUTS!$B$29))))</f>
        <v>2936745.50806729</v>
      </c>
      <c r="AL55" s="85" t="n">
        <f aca="true">IF(AL$5=0,AK55,MAX(0,(AK55-AL$4)*(1+NORMINV(RAND(),INPUTS!$B$28,INPUTS!$B$29))))</f>
        <v>2753824.59059539</v>
      </c>
      <c r="AM55" s="85" t="n">
        <f aca="true">IF(AM$5=0,AL55,MAX(0,(AL55-AM$4)*(1+NORMINV(RAND(),INPUTS!$B$28,INPUTS!$B$29))))</f>
        <v>2753824.59059539</v>
      </c>
      <c r="AN55" s="85" t="n">
        <f aca="true">IF(AN$5=0,AM55,MAX(0,(AM55-AN$4)*(1+NORMINV(RAND(),INPUTS!$B$28,INPUTS!$B$29))))</f>
        <v>2753824.59059539</v>
      </c>
      <c r="AO55" s="85" t="n">
        <f aca="true">IF(AO$5=0,AN55,MAX(0,(AN55-AO$4)*(1+NORMINV(RAND(),INPUTS!$B$28,INPUTS!$B$29))))</f>
        <v>2753824.59059539</v>
      </c>
      <c r="AP55" s="85" t="n">
        <f aca="true">IF(AP$5=0,AO55,MAX(0,(AO55-AP$4)*(1+NORMINV(RAND(),INPUTS!$B$28,INPUTS!$B$29))))</f>
        <v>2753824.59059539</v>
      </c>
    </row>
    <row r="56" customFormat="false" ht="15" hidden="false" customHeight="true" outlineLevel="0" collapsed="false">
      <c r="A56" s="83" t="n">
        <v>49</v>
      </c>
      <c r="B56" s="84" t="n">
        <f aca="false">LOOKUP(9.99E+307,C56:AP56)</f>
        <v>0</v>
      </c>
      <c r="C56" s="85" t="n">
        <f aca="true">IF(C$5=0,INPUTS!$B$19,MAX(0,(INPUTS!$B$19-C$4)*(1+NORMINV(RAND(),INPUTS!$B$28,INPUTS!$B$29))))</f>
        <v>1426021.26186489</v>
      </c>
      <c r="D56" s="85" t="n">
        <f aca="true">IF(D$5=0,C56,MAX(0,(C56-D$4)*(1+NORMINV(RAND(),INPUTS!$B$28,INPUTS!$B$29))))</f>
        <v>1481728.97392378</v>
      </c>
      <c r="E56" s="85" t="n">
        <f aca="true">IF(E$5=0,D56,MAX(0,(D56-E$4)*(1+NORMINV(RAND(),INPUTS!$B$28,INPUTS!$B$29))))</f>
        <v>1183295.79938225</v>
      </c>
      <c r="F56" s="85" t="n">
        <f aca="true">IF(F$5=0,E56,MAX(0,(E56-F$4)*(1+NORMINV(RAND(),INPUTS!$B$28,INPUTS!$B$29))))</f>
        <v>1012727.88180475</v>
      </c>
      <c r="G56" s="85" t="n">
        <f aca="true">IF(G$5=0,F56,MAX(0,(F56-G$4)*(1+NORMINV(RAND(),INPUTS!$B$28,INPUTS!$B$29))))</f>
        <v>911369.41941803</v>
      </c>
      <c r="H56" s="85" t="n">
        <f aca="true">IF(H$5=0,G56,MAX(0,(G56-H$4)*(1+NORMINV(RAND(),INPUTS!$B$28,INPUTS!$B$29))))</f>
        <v>861832.286306984</v>
      </c>
      <c r="I56" s="85" t="n">
        <f aca="true">IF(I$5=0,H56,MAX(0,(H56-I$4)*(1+NORMINV(RAND(),INPUTS!$B$28,INPUTS!$B$29))))</f>
        <v>911100.951602187</v>
      </c>
      <c r="J56" s="85" t="n">
        <f aca="true">IF(J$5=0,I56,MAX(0,(I56-J$4)*(1+NORMINV(RAND(),INPUTS!$B$28,INPUTS!$B$29))))</f>
        <v>917544.932409088</v>
      </c>
      <c r="K56" s="85" t="n">
        <f aca="true">IF(K$5=0,J56,MAX(0,(J56-K$4)*(1+NORMINV(RAND(),INPUTS!$B$28,INPUTS!$B$29))))</f>
        <v>825513.093326248</v>
      </c>
      <c r="L56" s="85" t="n">
        <f aca="true">IF(L$5=0,K56,MAX(0,(K56-L$4)*(1+NORMINV(RAND(),INPUTS!$B$28,INPUTS!$B$29))))</f>
        <v>724326.202877357</v>
      </c>
      <c r="M56" s="85" t="n">
        <f aca="true">IF(M$5=0,L56,MAX(0,(L56-M$4)*(1+NORMINV(RAND(),INPUTS!$B$28,INPUTS!$B$29))))</f>
        <v>639519.864000239</v>
      </c>
      <c r="N56" s="85" t="n">
        <f aca="true">IF(N$5=0,M56,MAX(0,(M56-N$4)*(1+NORMINV(RAND(),INPUTS!$B$28,INPUTS!$B$29))))</f>
        <v>595800.21558724</v>
      </c>
      <c r="O56" s="85" t="n">
        <f aca="true">IF(O$5=0,N56,MAX(0,(N56-O$4)*(1+NORMINV(RAND(),INPUTS!$B$28,INPUTS!$B$29))))</f>
        <v>513227.2053357</v>
      </c>
      <c r="P56" s="85" t="n">
        <f aca="true">IF(P$5=0,O56,MAX(0,(O56-P$4)*(1+NORMINV(RAND(),INPUTS!$B$28,INPUTS!$B$29))))</f>
        <v>536932.531115389</v>
      </c>
      <c r="Q56" s="85" t="n">
        <f aca="true">IF(Q$5=0,P56,MAX(0,(P56-Q$4)*(1+NORMINV(RAND(),INPUTS!$B$28,INPUTS!$B$29))))</f>
        <v>516095.133337971</v>
      </c>
      <c r="R56" s="85" t="n">
        <f aca="true">IF(R$5=0,Q56,MAX(0,(Q56-R$4)*(1+NORMINV(RAND(),INPUTS!$B$28,INPUTS!$B$29))))</f>
        <v>543571.124548751</v>
      </c>
      <c r="S56" s="85" t="n">
        <f aca="true">IF(S$5=0,R56,MAX(0,(R56-S$4)*(1+NORMINV(RAND(),INPUTS!$B$28,INPUTS!$B$29))))</f>
        <v>576524.357251393</v>
      </c>
      <c r="T56" s="85" t="n">
        <f aca="true">IF(T$5=0,S56,MAX(0,(S56-T$4)*(1+NORMINV(RAND(),INPUTS!$B$28,INPUTS!$B$29))))</f>
        <v>494176.235528334</v>
      </c>
      <c r="U56" s="85" t="n">
        <f aca="true">IF(U$5=0,T56,MAX(0,(T56-U$4)*(1+NORMINV(RAND(),INPUTS!$B$28,INPUTS!$B$29))))</f>
        <v>425954.989231975</v>
      </c>
      <c r="V56" s="85" t="n">
        <f aca="true">IF(V$5=0,U56,MAX(0,(U56-V$4)*(1+NORMINV(RAND(),INPUTS!$B$28,INPUTS!$B$29))))</f>
        <v>426543.587672944</v>
      </c>
      <c r="W56" s="85" t="n">
        <f aca="true">IF(W$5=0,V56,MAX(0,(V56-W$4)*(1+NORMINV(RAND(),INPUTS!$B$28,INPUTS!$B$29))))</f>
        <v>453720.637625853</v>
      </c>
      <c r="X56" s="85" t="n">
        <f aca="true">IF(X$5=0,W56,MAX(0,(W56-X$4)*(1+NORMINV(RAND(),INPUTS!$B$28,INPUTS!$B$29))))</f>
        <v>550421.37746097</v>
      </c>
      <c r="Y56" s="85" t="n">
        <f aca="true">IF(Y$5=0,X56,MAX(0,(X56-Y$4)*(1+NORMINV(RAND(),INPUTS!$B$28,INPUTS!$B$29))))</f>
        <v>530865.992140489</v>
      </c>
      <c r="Z56" s="85" t="n">
        <f aca="true">IF(Z$5=0,Y56,MAX(0,(Y56-Z$4)*(1+NORMINV(RAND(),INPUTS!$B$28,INPUTS!$B$29))))</f>
        <v>421194.555002246</v>
      </c>
      <c r="AA56" s="85" t="n">
        <f aca="true">IF(AA$5=0,Z56,MAX(0,(Z56-AA$4)*(1+NORMINV(RAND(),INPUTS!$B$28,INPUTS!$B$29))))</f>
        <v>375594.140487648</v>
      </c>
      <c r="AB56" s="85" t="n">
        <f aca="true">IF(AB$5=0,AA56,MAX(0,(AA56-AB$4)*(1+NORMINV(RAND(),INPUTS!$B$28,INPUTS!$B$29))))</f>
        <v>400311.07004853</v>
      </c>
      <c r="AC56" s="85" t="n">
        <f aca="true">IF(AC$5=0,AB56,MAX(0,(AB56-AC$4)*(1+NORMINV(RAND(),INPUTS!$B$28,INPUTS!$B$29))))</f>
        <v>309227.230451412</v>
      </c>
      <c r="AD56" s="85" t="n">
        <f aca="true">IF(AD$5=0,AC56,MAX(0,(AC56-AD$4)*(1+NORMINV(RAND(),INPUTS!$B$28,INPUTS!$B$29))))</f>
        <v>208211.724186374</v>
      </c>
      <c r="AE56" s="85" t="n">
        <f aca="true">IF(AE$5=0,AD56,MAX(0,(AD56-AE$4)*(1+NORMINV(RAND(),INPUTS!$B$28,INPUTS!$B$29))))</f>
        <v>157101.154707315</v>
      </c>
      <c r="AF56" s="85" t="n">
        <f aca="true">IF(AF$5=0,AE56,MAX(0,(AE56-AF$4)*(1+NORMINV(RAND(),INPUTS!$B$28,INPUTS!$B$29))))</f>
        <v>99840.8928950041</v>
      </c>
      <c r="AG56" s="85" t="n">
        <f aca="true">IF(AG$5=0,AF56,MAX(0,(AF56-AG$4)*(1+NORMINV(RAND(),INPUTS!$B$28,INPUTS!$B$29))))</f>
        <v>34822.4818981344</v>
      </c>
      <c r="AH56" s="85" t="n">
        <f aca="true">IF(AH$5=0,AG56,MAX(0,(AG56-AH$4)*(1+NORMINV(RAND(),INPUTS!$B$28,INPUTS!$B$29))))</f>
        <v>0</v>
      </c>
      <c r="AI56" s="85" t="n">
        <f aca="true">IF(AI$5=0,AH56,MAX(0,(AH56-AI$4)*(1+NORMINV(RAND(),INPUTS!$B$28,INPUTS!$B$29))))</f>
        <v>0</v>
      </c>
      <c r="AJ56" s="85" t="n">
        <f aca="true">IF(AJ$5=0,AI56,MAX(0,(AI56-AJ$4)*(1+NORMINV(RAND(),INPUTS!$B$28,INPUTS!$B$29))))</f>
        <v>0</v>
      </c>
      <c r="AK56" s="85" t="n">
        <f aca="true">IF(AK$5=0,AJ56,MAX(0,(AJ56-AK$4)*(1+NORMINV(RAND(),INPUTS!$B$28,INPUTS!$B$29))))</f>
        <v>0</v>
      </c>
      <c r="AL56" s="85" t="n">
        <f aca="true">IF(AL$5=0,AK56,MAX(0,(AK56-AL$4)*(1+NORMINV(RAND(),INPUTS!$B$28,INPUTS!$B$29))))</f>
        <v>0</v>
      </c>
      <c r="AM56" s="85" t="n">
        <f aca="true">IF(AM$5=0,AL56,MAX(0,(AL56-AM$4)*(1+NORMINV(RAND(),INPUTS!$B$28,INPUTS!$B$29))))</f>
        <v>0</v>
      </c>
      <c r="AN56" s="85" t="n">
        <f aca="true">IF(AN$5=0,AM56,MAX(0,(AM56-AN$4)*(1+NORMINV(RAND(),INPUTS!$B$28,INPUTS!$B$29))))</f>
        <v>0</v>
      </c>
      <c r="AO56" s="85" t="n">
        <f aca="true">IF(AO$5=0,AN56,MAX(0,(AN56-AO$4)*(1+NORMINV(RAND(),INPUTS!$B$28,INPUTS!$B$29))))</f>
        <v>0</v>
      </c>
      <c r="AP56" s="85" t="n">
        <f aca="true">IF(AP$5=0,AO56,MAX(0,(AO56-AP$4)*(1+NORMINV(RAND(),INPUTS!$B$28,INPUTS!$B$29))))</f>
        <v>0</v>
      </c>
    </row>
    <row r="57" customFormat="false" ht="15" hidden="false" customHeight="true" outlineLevel="0" collapsed="false">
      <c r="A57" s="83" t="n">
        <v>50</v>
      </c>
      <c r="B57" s="84" t="n">
        <f aca="false">LOOKUP(9.99E+307,C57:AP57)</f>
        <v>385091.570046209</v>
      </c>
      <c r="C57" s="85" t="n">
        <f aca="true">IF(C$5=0,INPUTS!$B$19,MAX(0,(INPUTS!$B$19-C$4)*(1+NORMINV(RAND(),INPUTS!$B$28,INPUTS!$B$29))))</f>
        <v>1138169.76269192</v>
      </c>
      <c r="D57" s="85" t="n">
        <f aca="true">IF(D$5=0,C57,MAX(0,(C57-D$4)*(1+NORMINV(RAND(),INPUTS!$B$28,INPUTS!$B$29))))</f>
        <v>1179195.1221148</v>
      </c>
      <c r="E57" s="85" t="n">
        <f aca="true">IF(E$5=0,D57,MAX(0,(D57-E$4)*(1+NORMINV(RAND(),INPUTS!$B$28,INPUTS!$B$29))))</f>
        <v>1384183.99378105</v>
      </c>
      <c r="F57" s="85" t="n">
        <f aca="true">IF(F$5=0,E57,MAX(0,(E57-F$4)*(1+NORMINV(RAND(),INPUTS!$B$28,INPUTS!$B$29))))</f>
        <v>1178828.3046817</v>
      </c>
      <c r="G57" s="85" t="n">
        <f aca="true">IF(G$5=0,F57,MAX(0,(F57-G$4)*(1+NORMINV(RAND(),INPUTS!$B$28,INPUTS!$B$29))))</f>
        <v>1238242.48301515</v>
      </c>
      <c r="H57" s="85" t="n">
        <f aca="true">IF(H$5=0,G57,MAX(0,(G57-H$4)*(1+NORMINV(RAND(),INPUTS!$B$28,INPUTS!$B$29))))</f>
        <v>1330208.29438329</v>
      </c>
      <c r="I57" s="85" t="n">
        <f aca="true">IF(I$5=0,H57,MAX(0,(H57-I$4)*(1+NORMINV(RAND(),INPUTS!$B$28,INPUTS!$B$29))))</f>
        <v>1136519.50319718</v>
      </c>
      <c r="J57" s="85" t="n">
        <f aca="true">IF(J$5=0,I57,MAX(0,(I57-J$4)*(1+NORMINV(RAND(),INPUTS!$B$28,INPUTS!$B$29))))</f>
        <v>1184954.78321878</v>
      </c>
      <c r="K57" s="85" t="n">
        <f aca="true">IF(K$5=0,J57,MAX(0,(J57-K$4)*(1+NORMINV(RAND(),INPUTS!$B$28,INPUTS!$B$29))))</f>
        <v>1225734.44842281</v>
      </c>
      <c r="L57" s="85" t="n">
        <f aca="true">IF(L$5=0,K57,MAX(0,(K57-L$4)*(1+NORMINV(RAND(),INPUTS!$B$28,INPUTS!$B$29))))</f>
        <v>1143499.67463224</v>
      </c>
      <c r="M57" s="85" t="n">
        <f aca="true">IF(M$5=0,L57,MAX(0,(L57-M$4)*(1+NORMINV(RAND(),INPUTS!$B$28,INPUTS!$B$29))))</f>
        <v>1187716.06074867</v>
      </c>
      <c r="N57" s="85" t="n">
        <f aca="true">IF(N$5=0,M57,MAX(0,(M57-N$4)*(1+NORMINV(RAND(),INPUTS!$B$28,INPUTS!$B$29))))</f>
        <v>1173737.18119104</v>
      </c>
      <c r="O57" s="85" t="n">
        <f aca="true">IF(O$5=0,N57,MAX(0,(N57-O$4)*(1+NORMINV(RAND(),INPUTS!$B$28,INPUTS!$B$29))))</f>
        <v>1380299.94124804</v>
      </c>
      <c r="P57" s="85" t="n">
        <f aca="true">IF(P$5=0,O57,MAX(0,(O57-P$4)*(1+NORMINV(RAND(),INPUTS!$B$28,INPUTS!$B$29))))</f>
        <v>1601439.16261359</v>
      </c>
      <c r="Q57" s="85" t="n">
        <f aca="true">IF(Q$5=0,P57,MAX(0,(P57-Q$4)*(1+NORMINV(RAND(),INPUTS!$B$28,INPUTS!$B$29))))</f>
        <v>1552413.99892733</v>
      </c>
      <c r="R57" s="85" t="n">
        <f aca="true">IF(R$5=0,Q57,MAX(0,(Q57-R$4)*(1+NORMINV(RAND(),INPUTS!$B$28,INPUTS!$B$29))))</f>
        <v>1690182.69417543</v>
      </c>
      <c r="S57" s="85" t="n">
        <f aca="true">IF(S$5=0,R57,MAX(0,(R57-S$4)*(1+NORMINV(RAND(),INPUTS!$B$28,INPUTS!$B$29))))</f>
        <v>1897231.05962351</v>
      </c>
      <c r="T57" s="85" t="n">
        <f aca="true">IF(T$5=0,S57,MAX(0,(S57-T$4)*(1+NORMINV(RAND(),INPUTS!$B$28,INPUTS!$B$29))))</f>
        <v>2083585.23667787</v>
      </c>
      <c r="U57" s="85" t="n">
        <f aca="true">IF(U$5=0,T57,MAX(0,(T57-U$4)*(1+NORMINV(RAND(),INPUTS!$B$28,INPUTS!$B$29))))</f>
        <v>2279412.00119412</v>
      </c>
      <c r="V57" s="85" t="n">
        <f aca="true">IF(V$5=0,U57,MAX(0,(U57-V$4)*(1+NORMINV(RAND(),INPUTS!$B$28,INPUTS!$B$29))))</f>
        <v>2112888.74996429</v>
      </c>
      <c r="W57" s="85" t="n">
        <f aca="true">IF(W$5=0,V57,MAX(0,(V57-W$4)*(1+NORMINV(RAND(),INPUTS!$B$28,INPUTS!$B$29))))</f>
        <v>1987134.95366503</v>
      </c>
      <c r="X57" s="85" t="n">
        <f aca="true">IF(X$5=0,W57,MAX(0,(W57-X$4)*(1+NORMINV(RAND(),INPUTS!$B$28,INPUTS!$B$29))))</f>
        <v>1716852.94428837</v>
      </c>
      <c r="Y57" s="85" t="n">
        <f aca="true">IF(Y$5=0,X57,MAX(0,(X57-Y$4)*(1+NORMINV(RAND(),INPUTS!$B$28,INPUTS!$B$29))))</f>
        <v>1562480.94084178</v>
      </c>
      <c r="Z57" s="85" t="n">
        <f aca="true">IF(Z$5=0,Y57,MAX(0,(Y57-Z$4)*(1+NORMINV(RAND(),INPUTS!$B$28,INPUTS!$B$29))))</f>
        <v>1337671.44362143</v>
      </c>
      <c r="AA57" s="85" t="n">
        <f aca="true">IF(AA$5=0,Z57,MAX(0,(Z57-AA$4)*(1+NORMINV(RAND(),INPUTS!$B$28,INPUTS!$B$29))))</f>
        <v>1174385.63566275</v>
      </c>
      <c r="AB57" s="85" t="n">
        <f aca="true">IF(AB$5=0,AA57,MAX(0,(AA57-AB$4)*(1+NORMINV(RAND(),INPUTS!$B$28,INPUTS!$B$29))))</f>
        <v>1031619.22342518</v>
      </c>
      <c r="AC57" s="85" t="n">
        <f aca="true">IF(AC$5=0,AB57,MAX(0,(AB57-AC$4)*(1+NORMINV(RAND(),INPUTS!$B$28,INPUTS!$B$29))))</f>
        <v>1001743.25477355</v>
      </c>
      <c r="AD57" s="85" t="n">
        <f aca="true">IF(AD$5=0,AC57,MAX(0,(AC57-AD$4)*(1+NORMINV(RAND(),INPUTS!$B$28,INPUTS!$B$29))))</f>
        <v>959562.127851582</v>
      </c>
      <c r="AE57" s="85" t="n">
        <f aca="true">IF(AE$5=0,AD57,MAX(0,(AD57-AE$4)*(1+NORMINV(RAND(),INPUTS!$B$28,INPUTS!$B$29))))</f>
        <v>885326.115292111</v>
      </c>
      <c r="AF57" s="85" t="n">
        <f aca="true">IF(AF$5=0,AE57,MAX(0,(AE57-AF$4)*(1+NORMINV(RAND(),INPUTS!$B$28,INPUTS!$B$29))))</f>
        <v>972610.524500049</v>
      </c>
      <c r="AG57" s="85" t="n">
        <f aca="true">IF(AG$5=0,AF57,MAX(0,(AF57-AG$4)*(1+NORMINV(RAND(),INPUTS!$B$28,INPUTS!$B$29))))</f>
        <v>900930.347009552</v>
      </c>
      <c r="AH57" s="85" t="n">
        <f aca="true">IF(AH$5=0,AG57,MAX(0,(AG57-AH$4)*(1+NORMINV(RAND(),INPUTS!$B$28,INPUTS!$B$29))))</f>
        <v>830996.533464393</v>
      </c>
      <c r="AI57" s="85" t="n">
        <f aca="true">IF(AI$5=0,AH57,MAX(0,(AH57-AI$4)*(1+NORMINV(RAND(),INPUTS!$B$28,INPUTS!$B$29))))</f>
        <v>841751.142268763</v>
      </c>
      <c r="AJ57" s="85" t="n">
        <f aca="true">IF(AJ$5=0,AI57,MAX(0,(AI57-AJ$4)*(1+NORMINV(RAND(),INPUTS!$B$28,INPUTS!$B$29))))</f>
        <v>543855.024553046</v>
      </c>
      <c r="AK57" s="85" t="n">
        <f aca="true">IF(AK$5=0,AJ57,MAX(0,(AJ57-AK$4)*(1+NORMINV(RAND(),INPUTS!$B$28,INPUTS!$B$29))))</f>
        <v>429210.091472447</v>
      </c>
      <c r="AL57" s="85" t="n">
        <f aca="true">IF(AL$5=0,AK57,MAX(0,(AK57-AL$4)*(1+NORMINV(RAND(),INPUTS!$B$28,INPUTS!$B$29))))</f>
        <v>385091.570046209</v>
      </c>
      <c r="AM57" s="85" t="n">
        <f aca="true">IF(AM$5=0,AL57,MAX(0,(AL57-AM$4)*(1+NORMINV(RAND(),INPUTS!$B$28,INPUTS!$B$29))))</f>
        <v>385091.570046209</v>
      </c>
      <c r="AN57" s="85" t="n">
        <f aca="true">IF(AN$5=0,AM57,MAX(0,(AM57-AN$4)*(1+NORMINV(RAND(),INPUTS!$B$28,INPUTS!$B$29))))</f>
        <v>385091.570046209</v>
      </c>
      <c r="AO57" s="85" t="n">
        <f aca="true">IF(AO$5=0,AN57,MAX(0,(AN57-AO$4)*(1+NORMINV(RAND(),INPUTS!$B$28,INPUTS!$B$29))))</f>
        <v>385091.570046209</v>
      </c>
      <c r="AP57" s="85" t="n">
        <f aca="true">IF(AP$5=0,AO57,MAX(0,(AO57-AP$4)*(1+NORMINV(RAND(),INPUTS!$B$28,INPUTS!$B$29))))</f>
        <v>385091.570046209</v>
      </c>
    </row>
    <row r="58" customFormat="false" ht="15" hidden="false" customHeight="true" outlineLevel="0" collapsed="false">
      <c r="A58" s="83" t="n">
        <v>51</v>
      </c>
      <c r="B58" s="84" t="n">
        <f aca="false">LOOKUP(9.99E+307,C58:AP58)</f>
        <v>809080.191573736</v>
      </c>
      <c r="C58" s="85" t="n">
        <f aca="true">IF(C$5=0,INPUTS!$B$19,MAX(0,(INPUTS!$B$19-C$4)*(1+NORMINV(RAND(),INPUTS!$B$28,INPUTS!$B$29))))</f>
        <v>1155915.11732571</v>
      </c>
      <c r="D58" s="85" t="n">
        <f aca="true">IF(D$5=0,C58,MAX(0,(C58-D$4)*(1+NORMINV(RAND(),INPUTS!$B$28,INPUTS!$B$29))))</f>
        <v>1314935.7133219</v>
      </c>
      <c r="E58" s="85" t="n">
        <f aca="true">IF(E$5=0,D58,MAX(0,(D58-E$4)*(1+NORMINV(RAND(),INPUTS!$B$28,INPUTS!$B$29))))</f>
        <v>1310308.59136531</v>
      </c>
      <c r="F58" s="85" t="n">
        <f aca="true">IF(F$5=0,E58,MAX(0,(E58-F$4)*(1+NORMINV(RAND(),INPUTS!$B$28,INPUTS!$B$29))))</f>
        <v>1025752.61938042</v>
      </c>
      <c r="G58" s="85" t="n">
        <f aca="true">IF(G$5=0,F58,MAX(0,(F58-G$4)*(1+NORMINV(RAND(),INPUTS!$B$28,INPUTS!$B$29))))</f>
        <v>920704.728286878</v>
      </c>
      <c r="H58" s="85" t="n">
        <f aca="true">IF(H$5=0,G58,MAX(0,(G58-H$4)*(1+NORMINV(RAND(),INPUTS!$B$28,INPUTS!$B$29))))</f>
        <v>829530.678819945</v>
      </c>
      <c r="I58" s="85" t="n">
        <f aca="true">IF(I$5=0,H58,MAX(0,(H58-I$4)*(1+NORMINV(RAND(),INPUTS!$B$28,INPUTS!$B$29))))</f>
        <v>890561.044363974</v>
      </c>
      <c r="J58" s="85" t="n">
        <f aca="true">IF(J$5=0,I58,MAX(0,(I58-J$4)*(1+NORMINV(RAND(),INPUTS!$B$28,INPUTS!$B$29))))</f>
        <v>1049252.05175091</v>
      </c>
      <c r="K58" s="85" t="n">
        <f aca="true">IF(K$5=0,J58,MAX(0,(J58-K$4)*(1+NORMINV(RAND(),INPUTS!$B$28,INPUTS!$B$29))))</f>
        <v>1179745.33112679</v>
      </c>
      <c r="L58" s="85" t="n">
        <f aca="true">IF(L$5=0,K58,MAX(0,(K58-L$4)*(1+NORMINV(RAND(),INPUTS!$B$28,INPUTS!$B$29))))</f>
        <v>1014545.00720796</v>
      </c>
      <c r="M58" s="85" t="n">
        <f aca="true">IF(M$5=0,L58,MAX(0,(L58-M$4)*(1+NORMINV(RAND(),INPUTS!$B$28,INPUTS!$B$29))))</f>
        <v>1049520.55847655</v>
      </c>
      <c r="N58" s="85" t="n">
        <f aca="true">IF(N$5=0,M58,MAX(0,(M58-N$4)*(1+NORMINV(RAND(),INPUTS!$B$28,INPUTS!$B$29))))</f>
        <v>1180798.94259809</v>
      </c>
      <c r="O58" s="85" t="n">
        <f aca="true">IF(O$5=0,N58,MAX(0,(N58-O$4)*(1+NORMINV(RAND(),INPUTS!$B$28,INPUTS!$B$29))))</f>
        <v>1189168.16334269</v>
      </c>
      <c r="P58" s="85" t="n">
        <f aca="true">IF(P$5=0,O58,MAX(0,(O58-P$4)*(1+NORMINV(RAND(),INPUTS!$B$28,INPUTS!$B$29))))</f>
        <v>1274903.63532666</v>
      </c>
      <c r="Q58" s="85" t="n">
        <f aca="true">IF(Q$5=0,P58,MAX(0,(P58-Q$4)*(1+NORMINV(RAND(),INPUTS!$B$28,INPUTS!$B$29))))</f>
        <v>1153095.19807335</v>
      </c>
      <c r="R58" s="85" t="n">
        <f aca="true">IF(R$5=0,Q58,MAX(0,(Q58-R$4)*(1+NORMINV(RAND(),INPUTS!$B$28,INPUTS!$B$29))))</f>
        <v>1065502.12273298</v>
      </c>
      <c r="S58" s="85" t="n">
        <f aca="true">IF(S$5=0,R58,MAX(0,(R58-S$4)*(1+NORMINV(RAND(),INPUTS!$B$28,INPUTS!$B$29))))</f>
        <v>1135695.26512523</v>
      </c>
      <c r="T58" s="85" t="n">
        <f aca="true">IF(T$5=0,S58,MAX(0,(S58-T$4)*(1+NORMINV(RAND(),INPUTS!$B$28,INPUTS!$B$29))))</f>
        <v>1098283.13344582</v>
      </c>
      <c r="U58" s="85" t="n">
        <f aca="true">IF(U$5=0,T58,MAX(0,(T58-U$4)*(1+NORMINV(RAND(),INPUTS!$B$28,INPUTS!$B$29))))</f>
        <v>971832.860669397</v>
      </c>
      <c r="V58" s="85" t="n">
        <f aca="true">IF(V$5=0,U58,MAX(0,(U58-V$4)*(1+NORMINV(RAND(),INPUTS!$B$28,INPUTS!$B$29))))</f>
        <v>789700.572250886</v>
      </c>
      <c r="W58" s="85" t="n">
        <f aca="true">IF(W$5=0,V58,MAX(0,(V58-W$4)*(1+NORMINV(RAND(),INPUTS!$B$28,INPUTS!$B$29))))</f>
        <v>738598.240308518</v>
      </c>
      <c r="X58" s="85" t="n">
        <f aca="true">IF(X$5=0,W58,MAX(0,(W58-X$4)*(1+NORMINV(RAND(),INPUTS!$B$28,INPUTS!$B$29))))</f>
        <v>764731.539144454</v>
      </c>
      <c r="Y58" s="85" t="n">
        <f aca="true">IF(Y$5=0,X58,MAX(0,(X58-Y$4)*(1+NORMINV(RAND(),INPUTS!$B$28,INPUTS!$B$29))))</f>
        <v>761245.778661314</v>
      </c>
      <c r="Z58" s="85" t="n">
        <f aca="true">IF(Z$5=0,Y58,MAX(0,(Y58-Z$4)*(1+NORMINV(RAND(),INPUTS!$B$28,INPUTS!$B$29))))</f>
        <v>698527.799668966</v>
      </c>
      <c r="AA58" s="85" t="n">
        <f aca="true">IF(AA$5=0,Z58,MAX(0,(Z58-AA$4)*(1+NORMINV(RAND(),INPUTS!$B$28,INPUTS!$B$29))))</f>
        <v>750096.880489559</v>
      </c>
      <c r="AB58" s="85" t="n">
        <f aca="true">IF(AB$5=0,AA58,MAX(0,(AA58-AB$4)*(1+NORMINV(RAND(),INPUTS!$B$28,INPUTS!$B$29))))</f>
        <v>806036.965485963</v>
      </c>
      <c r="AC58" s="85" t="n">
        <f aca="true">IF(AC$5=0,AB58,MAX(0,(AB58-AC$4)*(1+NORMINV(RAND(),INPUTS!$B$28,INPUTS!$B$29))))</f>
        <v>857641.16166994</v>
      </c>
      <c r="AD58" s="85" t="n">
        <f aca="true">IF(AD$5=0,AC58,MAX(0,(AC58-AD$4)*(1+NORMINV(RAND(),INPUTS!$B$28,INPUTS!$B$29))))</f>
        <v>876396.59780563</v>
      </c>
      <c r="AE58" s="85" t="n">
        <f aca="true">IF(AE$5=0,AD58,MAX(0,(AD58-AE$4)*(1+NORMINV(RAND(),INPUTS!$B$28,INPUTS!$B$29))))</f>
        <v>726783.604340388</v>
      </c>
      <c r="AF58" s="85" t="n">
        <f aca="true">IF(AF$5=0,AE58,MAX(0,(AE58-AF$4)*(1+NORMINV(RAND(),INPUTS!$B$28,INPUTS!$B$29))))</f>
        <v>726382.986020467</v>
      </c>
      <c r="AG58" s="85" t="n">
        <f aca="true">IF(AG$5=0,AF58,MAX(0,(AF58-AG$4)*(1+NORMINV(RAND(),INPUTS!$B$28,INPUTS!$B$29))))</f>
        <v>830759.175874464</v>
      </c>
      <c r="AH58" s="85" t="n">
        <f aca="true">IF(AH$5=0,AG58,MAX(0,(AG58-AH$4)*(1+NORMINV(RAND(),INPUTS!$B$28,INPUTS!$B$29))))</f>
        <v>997843.645378163</v>
      </c>
      <c r="AI58" s="85" t="n">
        <f aca="true">IF(AI$5=0,AH58,MAX(0,(AH58-AI$4)*(1+NORMINV(RAND(),INPUTS!$B$28,INPUTS!$B$29))))</f>
        <v>840045.534977306</v>
      </c>
      <c r="AJ58" s="85" t="n">
        <f aca="true">IF(AJ$5=0,AI58,MAX(0,(AI58-AJ$4)*(1+NORMINV(RAND(),INPUTS!$B$28,INPUTS!$B$29))))</f>
        <v>804422.718208563</v>
      </c>
      <c r="AK58" s="85" t="n">
        <f aca="true">IF(AK$5=0,AJ58,MAX(0,(AJ58-AK$4)*(1+NORMINV(RAND(),INPUTS!$B$28,INPUTS!$B$29))))</f>
        <v>872815.619317693</v>
      </c>
      <c r="AL58" s="85" t="n">
        <f aca="true">IF(AL$5=0,AK58,MAX(0,(AK58-AL$4)*(1+NORMINV(RAND(),INPUTS!$B$28,INPUTS!$B$29))))</f>
        <v>809080.191573736</v>
      </c>
      <c r="AM58" s="85" t="n">
        <f aca="true">IF(AM$5=0,AL58,MAX(0,(AL58-AM$4)*(1+NORMINV(RAND(),INPUTS!$B$28,INPUTS!$B$29))))</f>
        <v>809080.191573736</v>
      </c>
      <c r="AN58" s="85" t="n">
        <f aca="true">IF(AN$5=0,AM58,MAX(0,(AM58-AN$4)*(1+NORMINV(RAND(),INPUTS!$B$28,INPUTS!$B$29))))</f>
        <v>809080.191573736</v>
      </c>
      <c r="AO58" s="85" t="n">
        <f aca="true">IF(AO$5=0,AN58,MAX(0,(AN58-AO$4)*(1+NORMINV(RAND(),INPUTS!$B$28,INPUTS!$B$29))))</f>
        <v>809080.191573736</v>
      </c>
      <c r="AP58" s="85" t="n">
        <f aca="true">IF(AP$5=0,AO58,MAX(0,(AO58-AP$4)*(1+NORMINV(RAND(),INPUTS!$B$28,INPUTS!$B$29))))</f>
        <v>809080.191573736</v>
      </c>
    </row>
    <row r="59" customFormat="false" ht="15" hidden="false" customHeight="true" outlineLevel="0" collapsed="false">
      <c r="A59" s="83" t="n">
        <v>52</v>
      </c>
      <c r="B59" s="84" t="n">
        <f aca="false">LOOKUP(9.99E+307,C59:AP59)</f>
        <v>6158973.46925583</v>
      </c>
      <c r="C59" s="85" t="n">
        <f aca="true">IF(C$5=0,INPUTS!$B$19,MAX(0,(INPUTS!$B$19-C$4)*(1+NORMINV(RAND(),INPUTS!$B$28,INPUTS!$B$29))))</f>
        <v>1360743.55380612</v>
      </c>
      <c r="D59" s="85" t="n">
        <f aca="true">IF(D$5=0,C59,MAX(0,(C59-D$4)*(1+NORMINV(RAND(),INPUTS!$B$28,INPUTS!$B$29))))</f>
        <v>1519716.9779008</v>
      </c>
      <c r="E59" s="85" t="n">
        <f aca="true">IF(E$5=0,D59,MAX(0,(D59-E$4)*(1+NORMINV(RAND(),INPUTS!$B$28,INPUTS!$B$29))))</f>
        <v>1749555.61628587</v>
      </c>
      <c r="F59" s="85" t="n">
        <f aca="true">IF(F$5=0,E59,MAX(0,(E59-F$4)*(1+NORMINV(RAND(),INPUTS!$B$28,INPUTS!$B$29))))</f>
        <v>1533860.35125856</v>
      </c>
      <c r="G59" s="85" t="n">
        <f aca="true">IF(G$5=0,F59,MAX(0,(F59-G$4)*(1+NORMINV(RAND(),INPUTS!$B$28,INPUTS!$B$29))))</f>
        <v>1644623.92896159</v>
      </c>
      <c r="H59" s="85" t="n">
        <f aca="true">IF(H$5=0,G59,MAX(0,(G59-H$4)*(1+NORMINV(RAND(),INPUTS!$B$28,INPUTS!$B$29))))</f>
        <v>2027235.94669368</v>
      </c>
      <c r="I59" s="85" t="n">
        <f aca="true">IF(I$5=0,H59,MAX(0,(H59-I$4)*(1+NORMINV(RAND(),INPUTS!$B$28,INPUTS!$B$29))))</f>
        <v>2369896.8015572</v>
      </c>
      <c r="J59" s="85" t="n">
        <f aca="true">IF(J$5=0,I59,MAX(0,(I59-J$4)*(1+NORMINV(RAND(),INPUTS!$B$28,INPUTS!$B$29))))</f>
        <v>2204080.08166292</v>
      </c>
      <c r="K59" s="85" t="n">
        <f aca="true">IF(K$5=0,J59,MAX(0,(J59-K$4)*(1+NORMINV(RAND(),INPUTS!$B$28,INPUTS!$B$29))))</f>
        <v>2326941.65494074</v>
      </c>
      <c r="L59" s="85" t="n">
        <f aca="true">IF(L$5=0,K59,MAX(0,(K59-L$4)*(1+NORMINV(RAND(),INPUTS!$B$28,INPUTS!$B$29))))</f>
        <v>2244535.40960201</v>
      </c>
      <c r="M59" s="85" t="n">
        <f aca="true">IF(M$5=0,L59,MAX(0,(L59-M$4)*(1+NORMINV(RAND(),INPUTS!$B$28,INPUTS!$B$29))))</f>
        <v>2396317.27490372</v>
      </c>
      <c r="N59" s="85" t="n">
        <f aca="true">IF(N$5=0,M59,MAX(0,(M59-N$4)*(1+NORMINV(RAND(),INPUTS!$B$28,INPUTS!$B$29))))</f>
        <v>2579207.39660533</v>
      </c>
      <c r="O59" s="85" t="n">
        <f aca="true">IF(O$5=0,N59,MAX(0,(N59-O$4)*(1+NORMINV(RAND(),INPUTS!$B$28,INPUTS!$B$29))))</f>
        <v>2714766.75897982</v>
      </c>
      <c r="P59" s="85" t="n">
        <f aca="true">IF(P$5=0,O59,MAX(0,(O59-P$4)*(1+NORMINV(RAND(),INPUTS!$B$28,INPUTS!$B$29))))</f>
        <v>2948723.08284767</v>
      </c>
      <c r="Q59" s="85" t="n">
        <f aca="true">IF(Q$5=0,P59,MAX(0,(P59-Q$4)*(1+NORMINV(RAND(),INPUTS!$B$28,INPUTS!$B$29))))</f>
        <v>2870507.63186466</v>
      </c>
      <c r="R59" s="85" t="n">
        <f aca="true">IF(R$5=0,Q59,MAX(0,(Q59-R$4)*(1+NORMINV(RAND(),INPUTS!$B$28,INPUTS!$B$29))))</f>
        <v>3140917.46978856</v>
      </c>
      <c r="S59" s="85" t="n">
        <f aca="true">IF(S$5=0,R59,MAX(0,(R59-S$4)*(1+NORMINV(RAND(),INPUTS!$B$28,INPUTS!$B$29))))</f>
        <v>3659194.54801303</v>
      </c>
      <c r="T59" s="85" t="n">
        <f aca="true">IF(T$5=0,S59,MAX(0,(S59-T$4)*(1+NORMINV(RAND(),INPUTS!$B$28,INPUTS!$B$29))))</f>
        <v>2419192.71994569</v>
      </c>
      <c r="U59" s="85" t="n">
        <f aca="true">IF(U$5=0,T59,MAX(0,(T59-U$4)*(1+NORMINV(RAND(),INPUTS!$B$28,INPUTS!$B$29))))</f>
        <v>2772468.78171769</v>
      </c>
      <c r="V59" s="85" t="n">
        <f aca="true">IF(V$5=0,U59,MAX(0,(U59-V$4)*(1+NORMINV(RAND(),INPUTS!$B$28,INPUTS!$B$29))))</f>
        <v>2959737.24858651</v>
      </c>
      <c r="W59" s="85" t="n">
        <f aca="true">IF(W$5=0,V59,MAX(0,(V59-W$4)*(1+NORMINV(RAND(),INPUTS!$B$28,INPUTS!$B$29))))</f>
        <v>3132889.80776318</v>
      </c>
      <c r="X59" s="85" t="n">
        <f aca="true">IF(X$5=0,W59,MAX(0,(W59-X$4)*(1+NORMINV(RAND(),INPUTS!$B$28,INPUTS!$B$29))))</f>
        <v>3473292.71017306</v>
      </c>
      <c r="Y59" s="85" t="n">
        <f aca="true">IF(Y$5=0,X59,MAX(0,(X59-Y$4)*(1+NORMINV(RAND(),INPUTS!$B$28,INPUTS!$B$29))))</f>
        <v>4191694.89404376</v>
      </c>
      <c r="Z59" s="85" t="n">
        <f aca="true">IF(Z$5=0,Y59,MAX(0,(Y59-Z$4)*(1+NORMINV(RAND(),INPUTS!$B$28,INPUTS!$B$29))))</f>
        <v>4874564.09162171</v>
      </c>
      <c r="AA59" s="85" t="n">
        <f aca="true">IF(AA$5=0,Z59,MAX(0,(Z59-AA$4)*(1+NORMINV(RAND(),INPUTS!$B$28,INPUTS!$B$29))))</f>
        <v>5028720.5292525</v>
      </c>
      <c r="AB59" s="85" t="n">
        <f aca="true">IF(AB$5=0,AA59,MAX(0,(AA59-AB$4)*(1+NORMINV(RAND(),INPUTS!$B$28,INPUTS!$B$29))))</f>
        <v>5338094.57579184</v>
      </c>
      <c r="AC59" s="85" t="n">
        <f aca="true">IF(AC$5=0,AB59,MAX(0,(AB59-AC$4)*(1+NORMINV(RAND(),INPUTS!$B$28,INPUTS!$B$29))))</f>
        <v>5491471.59946376</v>
      </c>
      <c r="AD59" s="85" t="n">
        <f aca="true">IF(AD$5=0,AC59,MAX(0,(AC59-AD$4)*(1+NORMINV(RAND(),INPUTS!$B$28,INPUTS!$B$29))))</f>
        <v>5755860.0231811</v>
      </c>
      <c r="AE59" s="85" t="n">
        <f aca="true">IF(AE$5=0,AD59,MAX(0,(AD59-AE$4)*(1+NORMINV(RAND(),INPUTS!$B$28,INPUTS!$B$29))))</f>
        <v>5642251.57489013</v>
      </c>
      <c r="AF59" s="85" t="n">
        <f aca="true">IF(AF$5=0,AE59,MAX(0,(AE59-AF$4)*(1+NORMINV(RAND(),INPUTS!$B$28,INPUTS!$B$29))))</f>
        <v>5947300.64044045</v>
      </c>
      <c r="AG59" s="85" t="n">
        <f aca="true">IF(AG$5=0,AF59,MAX(0,(AF59-AG$4)*(1+NORMINV(RAND(),INPUTS!$B$28,INPUTS!$B$29))))</f>
        <v>6180733.73924238</v>
      </c>
      <c r="AH59" s="85" t="n">
        <f aca="true">IF(AH$5=0,AG59,MAX(0,(AG59-AH$4)*(1+NORMINV(RAND(),INPUTS!$B$28,INPUTS!$B$29))))</f>
        <v>6158816.15244164</v>
      </c>
      <c r="AI59" s="85" t="n">
        <f aca="true">IF(AI$5=0,AH59,MAX(0,(AH59-AI$4)*(1+NORMINV(RAND(),INPUTS!$B$28,INPUTS!$B$29))))</f>
        <v>6794733.066443</v>
      </c>
      <c r="AJ59" s="85" t="n">
        <f aca="true">IF(AJ$5=0,AI59,MAX(0,(AI59-AJ$4)*(1+NORMINV(RAND(),INPUTS!$B$28,INPUTS!$B$29))))</f>
        <v>7003102.72000258</v>
      </c>
      <c r="AK59" s="85" t="n">
        <f aca="true">IF(AK$5=0,AJ59,MAX(0,(AJ59-AK$4)*(1+NORMINV(RAND(),INPUTS!$B$28,INPUTS!$B$29))))</f>
        <v>6758060.87738593</v>
      </c>
      <c r="AL59" s="85" t="n">
        <f aca="true">IF(AL$5=0,AK59,MAX(0,(AK59-AL$4)*(1+NORMINV(RAND(),INPUTS!$B$28,INPUTS!$B$29))))</f>
        <v>6158973.46925583</v>
      </c>
      <c r="AM59" s="85" t="n">
        <f aca="true">IF(AM$5=0,AL59,MAX(0,(AL59-AM$4)*(1+NORMINV(RAND(),INPUTS!$B$28,INPUTS!$B$29))))</f>
        <v>6158973.46925583</v>
      </c>
      <c r="AN59" s="85" t="n">
        <f aca="true">IF(AN$5=0,AM59,MAX(0,(AM59-AN$4)*(1+NORMINV(RAND(),INPUTS!$B$28,INPUTS!$B$29))))</f>
        <v>6158973.46925583</v>
      </c>
      <c r="AO59" s="85" t="n">
        <f aca="true">IF(AO$5=0,AN59,MAX(0,(AN59-AO$4)*(1+NORMINV(RAND(),INPUTS!$B$28,INPUTS!$B$29))))</f>
        <v>6158973.46925583</v>
      </c>
      <c r="AP59" s="85" t="n">
        <f aca="true">IF(AP$5=0,AO59,MAX(0,(AO59-AP$4)*(1+NORMINV(RAND(),INPUTS!$B$28,INPUTS!$B$29))))</f>
        <v>6158973.46925583</v>
      </c>
    </row>
    <row r="60" customFormat="false" ht="15" hidden="false" customHeight="true" outlineLevel="0" collapsed="false">
      <c r="A60" s="83" t="n">
        <v>53</v>
      </c>
      <c r="B60" s="84" t="n">
        <f aca="false">LOOKUP(9.99E+307,C60:AP60)</f>
        <v>0</v>
      </c>
      <c r="C60" s="85" t="n">
        <f aca="true">IF(C$5=0,INPUTS!$B$19,MAX(0,(INPUTS!$B$19-C$4)*(1+NORMINV(RAND(),INPUTS!$B$28,INPUTS!$B$29))))</f>
        <v>1138349.7144922</v>
      </c>
      <c r="D60" s="85" t="n">
        <f aca="true">IF(D$5=0,C60,MAX(0,(C60-D$4)*(1+NORMINV(RAND(),INPUTS!$B$28,INPUTS!$B$29))))</f>
        <v>1105532.68273272</v>
      </c>
      <c r="E60" s="85" t="n">
        <f aca="true">IF(E$5=0,D60,MAX(0,(D60-E$4)*(1+NORMINV(RAND(),INPUTS!$B$28,INPUTS!$B$29))))</f>
        <v>1127400.9523619</v>
      </c>
      <c r="F60" s="85" t="n">
        <f aca="true">IF(F$5=0,E60,MAX(0,(E60-F$4)*(1+NORMINV(RAND(),INPUTS!$B$28,INPUTS!$B$29))))</f>
        <v>1132423.81030246</v>
      </c>
      <c r="G60" s="85" t="n">
        <f aca="true">IF(G$5=0,F60,MAX(0,(F60-G$4)*(1+NORMINV(RAND(),INPUTS!$B$28,INPUTS!$B$29))))</f>
        <v>1192625.22153204</v>
      </c>
      <c r="H60" s="85" t="n">
        <f aca="true">IF(H$5=0,G60,MAX(0,(G60-H$4)*(1+NORMINV(RAND(),INPUTS!$B$28,INPUTS!$B$29))))</f>
        <v>1279934.64405887</v>
      </c>
      <c r="I60" s="85" t="n">
        <f aca="true">IF(I$5=0,H60,MAX(0,(H60-I$4)*(1+NORMINV(RAND(),INPUTS!$B$28,INPUTS!$B$29))))</f>
        <v>914259.562591864</v>
      </c>
      <c r="J60" s="85" t="n">
        <f aca="true">IF(J$5=0,I60,MAX(0,(I60-J$4)*(1+NORMINV(RAND(),INPUTS!$B$28,INPUTS!$B$29))))</f>
        <v>836269.161669548</v>
      </c>
      <c r="K60" s="85" t="n">
        <f aca="true">IF(K$5=0,J60,MAX(0,(J60-K$4)*(1+NORMINV(RAND(),INPUTS!$B$28,INPUTS!$B$29))))</f>
        <v>840215.638534212</v>
      </c>
      <c r="L60" s="85" t="n">
        <f aca="true">IF(L$5=0,K60,MAX(0,(K60-L$4)*(1+NORMINV(RAND(),INPUTS!$B$28,INPUTS!$B$29))))</f>
        <v>687250.808905893</v>
      </c>
      <c r="M60" s="85" t="n">
        <f aca="true">IF(M$5=0,L60,MAX(0,(L60-M$4)*(1+NORMINV(RAND(),INPUTS!$B$28,INPUTS!$B$29))))</f>
        <v>612968.012093838</v>
      </c>
      <c r="N60" s="85" t="n">
        <f aca="true">IF(N$5=0,M60,MAX(0,(M60-N$4)*(1+NORMINV(RAND(),INPUTS!$B$28,INPUTS!$B$29))))</f>
        <v>535598.36167019</v>
      </c>
      <c r="O60" s="85" t="n">
        <f aca="true">IF(O$5=0,N60,MAX(0,(N60-O$4)*(1+NORMINV(RAND(),INPUTS!$B$28,INPUTS!$B$29))))</f>
        <v>541228.153156581</v>
      </c>
      <c r="P60" s="85" t="n">
        <f aca="true">IF(P$5=0,O60,MAX(0,(O60-P$4)*(1+NORMINV(RAND(),INPUTS!$B$28,INPUTS!$B$29))))</f>
        <v>501112.518684302</v>
      </c>
      <c r="Q60" s="85" t="n">
        <f aca="true">IF(Q$5=0,P60,MAX(0,(P60-Q$4)*(1+NORMINV(RAND(),INPUTS!$B$28,INPUTS!$B$29))))</f>
        <v>540236.221798504</v>
      </c>
      <c r="R60" s="85" t="n">
        <f aca="true">IF(R$5=0,Q60,MAX(0,(Q60-R$4)*(1+NORMINV(RAND(),INPUTS!$B$28,INPUTS!$B$29))))</f>
        <v>484102.704543787</v>
      </c>
      <c r="S60" s="85" t="n">
        <f aca="true">IF(S$5=0,R60,MAX(0,(R60-S$4)*(1+NORMINV(RAND(),INPUTS!$B$28,INPUTS!$B$29))))</f>
        <v>563053.733579944</v>
      </c>
      <c r="T60" s="85" t="n">
        <f aca="true">IF(T$5=0,S60,MAX(0,(S60-T$4)*(1+NORMINV(RAND(),INPUTS!$B$28,INPUTS!$B$29))))</f>
        <v>409172.039671187</v>
      </c>
      <c r="U60" s="85" t="n">
        <f aca="true">IF(U$5=0,T60,MAX(0,(T60-U$4)*(1+NORMINV(RAND(),INPUTS!$B$28,INPUTS!$B$29))))</f>
        <v>378007.560369389</v>
      </c>
      <c r="V60" s="85" t="n">
        <f aca="true">IF(V$5=0,U60,MAX(0,(U60-V$4)*(1+NORMINV(RAND(),INPUTS!$B$28,INPUTS!$B$29))))</f>
        <v>345581.628627052</v>
      </c>
      <c r="W60" s="85" t="n">
        <f aca="true">IF(W$5=0,V60,MAX(0,(V60-W$4)*(1+NORMINV(RAND(),INPUTS!$B$28,INPUTS!$B$29))))</f>
        <v>368349.877046086</v>
      </c>
      <c r="X60" s="85" t="n">
        <f aca="true">IF(X$5=0,W60,MAX(0,(W60-X$4)*(1+NORMINV(RAND(),INPUTS!$B$28,INPUTS!$B$29))))</f>
        <v>414047.480730405</v>
      </c>
      <c r="Y60" s="85" t="n">
        <f aca="true">IF(Y$5=0,X60,MAX(0,(X60-Y$4)*(1+NORMINV(RAND(),INPUTS!$B$28,INPUTS!$B$29))))</f>
        <v>425557.61021409</v>
      </c>
      <c r="Z60" s="85" t="n">
        <f aca="true">IF(Z$5=0,Y60,MAX(0,(Y60-Z$4)*(1+NORMINV(RAND(),INPUTS!$B$28,INPUTS!$B$29))))</f>
        <v>394370.614245752</v>
      </c>
      <c r="AA60" s="85" t="n">
        <f aca="true">IF(AA$5=0,Z60,MAX(0,(Z60-AA$4)*(1+NORMINV(RAND(),INPUTS!$B$28,INPUTS!$B$29))))</f>
        <v>327317.578551275</v>
      </c>
      <c r="AB60" s="85" t="n">
        <f aca="true">IF(AB$5=0,AA60,MAX(0,(AA60-AB$4)*(1+NORMINV(RAND(),INPUTS!$B$28,INPUTS!$B$29))))</f>
        <v>293821.680102862</v>
      </c>
      <c r="AC60" s="85" t="n">
        <f aca="true">IF(AC$5=0,AB60,MAX(0,(AB60-AC$4)*(1+NORMINV(RAND(),INPUTS!$B$28,INPUTS!$B$29))))</f>
        <v>222405.329626278</v>
      </c>
      <c r="AD60" s="85" t="n">
        <f aca="true">IF(AD$5=0,AC60,MAX(0,(AC60-AD$4)*(1+NORMINV(RAND(),INPUTS!$B$28,INPUTS!$B$29))))</f>
        <v>189377.207315503</v>
      </c>
      <c r="AE60" s="85" t="n">
        <f aca="true">IF(AE$5=0,AD60,MAX(0,(AD60-AE$4)*(1+NORMINV(RAND(),INPUTS!$B$28,INPUTS!$B$29))))</f>
        <v>135100.969808415</v>
      </c>
      <c r="AF60" s="85" t="n">
        <f aca="true">IF(AF$5=0,AE60,MAX(0,(AE60-AF$4)*(1+NORMINV(RAND(),INPUTS!$B$28,INPUTS!$B$29))))</f>
        <v>64715.046447661</v>
      </c>
      <c r="AG60" s="85" t="n">
        <f aca="true">IF(AG$5=0,AF60,MAX(0,(AF60-AG$4)*(1+NORMINV(RAND(),INPUTS!$B$28,INPUTS!$B$29))))</f>
        <v>0</v>
      </c>
      <c r="AH60" s="85" t="n">
        <f aca="true">IF(AH$5=0,AG60,MAX(0,(AG60-AH$4)*(1+NORMINV(RAND(),INPUTS!$B$28,INPUTS!$B$29))))</f>
        <v>0</v>
      </c>
      <c r="AI60" s="85" t="n">
        <f aca="true">IF(AI$5=0,AH60,MAX(0,(AH60-AI$4)*(1+NORMINV(RAND(),INPUTS!$B$28,INPUTS!$B$29))))</f>
        <v>0</v>
      </c>
      <c r="AJ60" s="85" t="n">
        <f aca="true">IF(AJ$5=0,AI60,MAX(0,(AI60-AJ$4)*(1+NORMINV(RAND(),INPUTS!$B$28,INPUTS!$B$29))))</f>
        <v>0</v>
      </c>
      <c r="AK60" s="85" t="n">
        <f aca="true">IF(AK$5=0,AJ60,MAX(0,(AJ60-AK$4)*(1+NORMINV(RAND(),INPUTS!$B$28,INPUTS!$B$29))))</f>
        <v>0</v>
      </c>
      <c r="AL60" s="85" t="n">
        <f aca="true">IF(AL$5=0,AK60,MAX(0,(AK60-AL$4)*(1+NORMINV(RAND(),INPUTS!$B$28,INPUTS!$B$29))))</f>
        <v>0</v>
      </c>
      <c r="AM60" s="85" t="n">
        <f aca="true">IF(AM$5=0,AL60,MAX(0,(AL60-AM$4)*(1+NORMINV(RAND(),INPUTS!$B$28,INPUTS!$B$29))))</f>
        <v>0</v>
      </c>
      <c r="AN60" s="85" t="n">
        <f aca="true">IF(AN$5=0,AM60,MAX(0,(AM60-AN$4)*(1+NORMINV(RAND(),INPUTS!$B$28,INPUTS!$B$29))))</f>
        <v>0</v>
      </c>
      <c r="AO60" s="85" t="n">
        <f aca="true">IF(AO$5=0,AN60,MAX(0,(AN60-AO$4)*(1+NORMINV(RAND(),INPUTS!$B$28,INPUTS!$B$29))))</f>
        <v>0</v>
      </c>
      <c r="AP60" s="85" t="n">
        <f aca="true">IF(AP$5=0,AO60,MAX(0,(AO60-AP$4)*(1+NORMINV(RAND(),INPUTS!$B$28,INPUTS!$B$29))))</f>
        <v>0</v>
      </c>
    </row>
    <row r="61" customFormat="false" ht="15" hidden="false" customHeight="true" outlineLevel="0" collapsed="false">
      <c r="A61" s="83" t="n">
        <v>54</v>
      </c>
      <c r="B61" s="84" t="n">
        <f aca="false">LOOKUP(9.99E+307,C61:AP61)</f>
        <v>10633373.4525933</v>
      </c>
      <c r="C61" s="85" t="n">
        <f aca="true">IF(C$5=0,INPUTS!$B$19,MAX(0,(INPUTS!$B$19-C$4)*(1+NORMINV(RAND(),INPUTS!$B$28,INPUTS!$B$29))))</f>
        <v>1243426.37671685</v>
      </c>
      <c r="D61" s="85" t="n">
        <f aca="true">IF(D$5=0,C61,MAX(0,(C61-D$4)*(1+NORMINV(RAND(),INPUTS!$B$28,INPUTS!$B$29))))</f>
        <v>1232634.21734767</v>
      </c>
      <c r="E61" s="85" t="n">
        <f aca="true">IF(E$5=0,D61,MAX(0,(D61-E$4)*(1+NORMINV(RAND(),INPUTS!$B$28,INPUTS!$B$29))))</f>
        <v>1448600.71003143</v>
      </c>
      <c r="F61" s="85" t="n">
        <f aca="true">IF(F$5=0,E61,MAX(0,(E61-F$4)*(1+NORMINV(RAND(),INPUTS!$B$28,INPUTS!$B$29))))</f>
        <v>1348928.35879473</v>
      </c>
      <c r="G61" s="85" t="n">
        <f aca="true">IF(G$5=0,F61,MAX(0,(F61-G$4)*(1+NORMINV(RAND(),INPUTS!$B$28,INPUTS!$B$29))))</f>
        <v>1538275.63050859</v>
      </c>
      <c r="H61" s="85" t="n">
        <f aca="true">IF(H$5=0,G61,MAX(0,(G61-H$4)*(1+NORMINV(RAND(),INPUTS!$B$28,INPUTS!$B$29))))</f>
        <v>1465423.00307419</v>
      </c>
      <c r="I61" s="85" t="n">
        <f aca="true">IF(I$5=0,H61,MAX(0,(H61-I$4)*(1+NORMINV(RAND(),INPUTS!$B$28,INPUTS!$B$29))))</f>
        <v>1603136.46527126</v>
      </c>
      <c r="J61" s="85" t="n">
        <f aca="true">IF(J$5=0,I61,MAX(0,(I61-J$4)*(1+NORMINV(RAND(),INPUTS!$B$28,INPUTS!$B$29))))</f>
        <v>1751994.8847265</v>
      </c>
      <c r="K61" s="85" t="n">
        <f aca="true">IF(K$5=0,J61,MAX(0,(J61-K$4)*(1+NORMINV(RAND(),INPUTS!$B$28,INPUTS!$B$29))))</f>
        <v>1885556.76047127</v>
      </c>
      <c r="L61" s="85" t="n">
        <f aca="true">IF(L$5=0,K61,MAX(0,(K61-L$4)*(1+NORMINV(RAND(),INPUTS!$B$28,INPUTS!$B$29))))</f>
        <v>2199631.19895437</v>
      </c>
      <c r="M61" s="85" t="n">
        <f aca="true">IF(M$5=0,L61,MAX(0,(L61-M$4)*(1+NORMINV(RAND(),INPUTS!$B$28,INPUTS!$B$29))))</f>
        <v>2438973.94000143</v>
      </c>
      <c r="N61" s="85" t="n">
        <f aca="true">IF(N$5=0,M61,MAX(0,(M61-N$4)*(1+NORMINV(RAND(),INPUTS!$B$28,INPUTS!$B$29))))</f>
        <v>3065886.55449261</v>
      </c>
      <c r="O61" s="85" t="n">
        <f aca="true">IF(O$5=0,N61,MAX(0,(N61-O$4)*(1+NORMINV(RAND(),INPUTS!$B$28,INPUTS!$B$29))))</f>
        <v>2758443.91003817</v>
      </c>
      <c r="P61" s="85" t="n">
        <f aca="true">IF(P$5=0,O61,MAX(0,(O61-P$4)*(1+NORMINV(RAND(),INPUTS!$B$28,INPUTS!$B$29))))</f>
        <v>3061696.97850246</v>
      </c>
      <c r="Q61" s="85" t="n">
        <f aca="true">IF(Q$5=0,P61,MAX(0,(P61-Q$4)*(1+NORMINV(RAND(),INPUTS!$B$28,INPUTS!$B$29))))</f>
        <v>3326151.92150174</v>
      </c>
      <c r="R61" s="85" t="n">
        <f aca="true">IF(R$5=0,Q61,MAX(0,(Q61-R$4)*(1+NORMINV(RAND(),INPUTS!$B$28,INPUTS!$B$29))))</f>
        <v>2898536.52442004</v>
      </c>
      <c r="S61" s="85" t="n">
        <f aca="true">IF(S$5=0,R61,MAX(0,(R61-S$4)*(1+NORMINV(RAND(),INPUTS!$B$28,INPUTS!$B$29))))</f>
        <v>2794140.96403259</v>
      </c>
      <c r="T61" s="85" t="n">
        <f aca="true">IF(T$5=0,S61,MAX(0,(S61-T$4)*(1+NORMINV(RAND(),INPUTS!$B$28,INPUTS!$B$29))))</f>
        <v>2584997.18496709</v>
      </c>
      <c r="U61" s="85" t="n">
        <f aca="true">IF(U$5=0,T61,MAX(0,(T61-U$4)*(1+NORMINV(RAND(),INPUTS!$B$28,INPUTS!$B$29))))</f>
        <v>2257456.31893386</v>
      </c>
      <c r="V61" s="85" t="n">
        <f aca="true">IF(V$5=0,U61,MAX(0,(U61-V$4)*(1+NORMINV(RAND(),INPUTS!$B$28,INPUTS!$B$29))))</f>
        <v>2316750.60355694</v>
      </c>
      <c r="W61" s="85" t="n">
        <f aca="true">IF(W$5=0,V61,MAX(0,(V61-W$4)*(1+NORMINV(RAND(),INPUTS!$B$28,INPUTS!$B$29))))</f>
        <v>3127055.9089619</v>
      </c>
      <c r="X61" s="85" t="n">
        <f aca="true">IF(X$5=0,W61,MAX(0,(W61-X$4)*(1+NORMINV(RAND(),INPUTS!$B$28,INPUTS!$B$29))))</f>
        <v>3852846.14998998</v>
      </c>
      <c r="Y61" s="85" t="n">
        <f aca="true">IF(Y$5=0,X61,MAX(0,(X61-Y$4)*(1+NORMINV(RAND(),INPUTS!$B$28,INPUTS!$B$29))))</f>
        <v>4725428.04595516</v>
      </c>
      <c r="Z61" s="85" t="n">
        <f aca="true">IF(Z$5=0,Y61,MAX(0,(Y61-Z$4)*(1+NORMINV(RAND(),INPUTS!$B$28,INPUTS!$B$29))))</f>
        <v>4941546.18845136</v>
      </c>
      <c r="AA61" s="85" t="n">
        <f aca="true">IF(AA$5=0,Z61,MAX(0,(Z61-AA$4)*(1+NORMINV(RAND(),INPUTS!$B$28,INPUTS!$B$29))))</f>
        <v>5602503.3814365</v>
      </c>
      <c r="AB61" s="85" t="n">
        <f aca="true">IF(AB$5=0,AA61,MAX(0,(AA61-AB$4)*(1+NORMINV(RAND(),INPUTS!$B$28,INPUTS!$B$29))))</f>
        <v>5746619.4746888</v>
      </c>
      <c r="AC61" s="85" t="n">
        <f aca="true">IF(AC$5=0,AB61,MAX(0,(AB61-AC$4)*(1+NORMINV(RAND(),INPUTS!$B$28,INPUTS!$B$29))))</f>
        <v>5804291.88671495</v>
      </c>
      <c r="AD61" s="85" t="n">
        <f aca="true">IF(AD$5=0,AC61,MAX(0,(AC61-AD$4)*(1+NORMINV(RAND(),INPUTS!$B$28,INPUTS!$B$29))))</f>
        <v>6382914.85869108</v>
      </c>
      <c r="AE61" s="85" t="n">
        <f aca="true">IF(AE$5=0,AD61,MAX(0,(AD61-AE$4)*(1+NORMINV(RAND(),INPUTS!$B$28,INPUTS!$B$29))))</f>
        <v>6169459.68732496</v>
      </c>
      <c r="AF61" s="85" t="n">
        <f aca="true">IF(AF$5=0,AE61,MAX(0,(AE61-AF$4)*(1+NORMINV(RAND(),INPUTS!$B$28,INPUTS!$B$29))))</f>
        <v>8006741.51702037</v>
      </c>
      <c r="AG61" s="85" t="n">
        <f aca="true">IF(AG$5=0,AF61,MAX(0,(AF61-AG$4)*(1+NORMINV(RAND(),INPUTS!$B$28,INPUTS!$B$29))))</f>
        <v>7833536.87208464</v>
      </c>
      <c r="AH61" s="85" t="n">
        <f aca="true">IF(AH$5=0,AG61,MAX(0,(AG61-AH$4)*(1+NORMINV(RAND(),INPUTS!$B$28,INPUTS!$B$29))))</f>
        <v>8898670.32825461</v>
      </c>
      <c r="AI61" s="85" t="n">
        <f aca="true">IF(AI$5=0,AH61,MAX(0,(AH61-AI$4)*(1+NORMINV(RAND(),INPUTS!$B$28,INPUTS!$B$29))))</f>
        <v>8719808.79235515</v>
      </c>
      <c r="AJ61" s="85" t="n">
        <f aca="true">IF(AJ$5=0,AI61,MAX(0,(AI61-AJ$4)*(1+NORMINV(RAND(),INPUTS!$B$28,INPUTS!$B$29))))</f>
        <v>9591027.67845814</v>
      </c>
      <c r="AK61" s="85" t="n">
        <f aca="true">IF(AK$5=0,AJ61,MAX(0,(AJ61-AK$4)*(1+NORMINV(RAND(),INPUTS!$B$28,INPUTS!$B$29))))</f>
        <v>11942778.8177427</v>
      </c>
      <c r="AL61" s="85" t="n">
        <f aca="true">IF(AL$5=0,AK61,MAX(0,(AK61-AL$4)*(1+NORMINV(RAND(),INPUTS!$B$28,INPUTS!$B$29))))</f>
        <v>10633373.4525933</v>
      </c>
      <c r="AM61" s="85" t="n">
        <f aca="true">IF(AM$5=0,AL61,MAX(0,(AL61-AM$4)*(1+NORMINV(RAND(),INPUTS!$B$28,INPUTS!$B$29))))</f>
        <v>10633373.4525933</v>
      </c>
      <c r="AN61" s="85" t="n">
        <f aca="true">IF(AN$5=0,AM61,MAX(0,(AM61-AN$4)*(1+NORMINV(RAND(),INPUTS!$B$28,INPUTS!$B$29))))</f>
        <v>10633373.4525933</v>
      </c>
      <c r="AO61" s="85" t="n">
        <f aca="true">IF(AO$5=0,AN61,MAX(0,(AN61-AO$4)*(1+NORMINV(RAND(),INPUTS!$B$28,INPUTS!$B$29))))</f>
        <v>10633373.4525933</v>
      </c>
      <c r="AP61" s="85" t="n">
        <f aca="true">IF(AP$5=0,AO61,MAX(0,(AO61-AP$4)*(1+NORMINV(RAND(),INPUTS!$B$28,INPUTS!$B$29))))</f>
        <v>10633373.4525933</v>
      </c>
    </row>
    <row r="62" customFormat="false" ht="15" hidden="false" customHeight="true" outlineLevel="0" collapsed="false">
      <c r="A62" s="83" t="n">
        <v>55</v>
      </c>
      <c r="B62" s="84" t="n">
        <f aca="false">LOOKUP(9.99E+307,C62:AP62)</f>
        <v>2866512.75905181</v>
      </c>
      <c r="C62" s="85" t="n">
        <f aca="true">IF(C$5=0,INPUTS!$B$19,MAX(0,(INPUTS!$B$19-C$4)*(1+NORMINV(RAND(),INPUTS!$B$28,INPUTS!$B$29))))</f>
        <v>1210150.84365845</v>
      </c>
      <c r="D62" s="85" t="n">
        <f aca="true">IF(D$5=0,C62,MAX(0,(C62-D$4)*(1+NORMINV(RAND(),INPUTS!$B$28,INPUTS!$B$29))))</f>
        <v>1277113.12583546</v>
      </c>
      <c r="E62" s="85" t="n">
        <f aca="true">IF(E$5=0,D62,MAX(0,(D62-E$4)*(1+NORMINV(RAND(),INPUTS!$B$28,INPUTS!$B$29))))</f>
        <v>1247980.91600039</v>
      </c>
      <c r="F62" s="85" t="n">
        <f aca="true">IF(F$5=0,E62,MAX(0,(E62-F$4)*(1+NORMINV(RAND(),INPUTS!$B$28,INPUTS!$B$29))))</f>
        <v>1472324.60594177</v>
      </c>
      <c r="G62" s="85" t="n">
        <f aca="true">IF(G$5=0,F62,MAX(0,(F62-G$4)*(1+NORMINV(RAND(),INPUTS!$B$28,INPUTS!$B$29))))</f>
        <v>1504096.05888467</v>
      </c>
      <c r="H62" s="85" t="n">
        <f aca="true">IF(H$5=0,G62,MAX(0,(G62-H$4)*(1+NORMINV(RAND(),INPUTS!$B$28,INPUTS!$B$29))))</f>
        <v>1632934.56180689</v>
      </c>
      <c r="I62" s="85" t="n">
        <f aca="true">IF(I$5=0,H62,MAX(0,(H62-I$4)*(1+NORMINV(RAND(),INPUTS!$B$28,INPUTS!$B$29))))</f>
        <v>1669741.33996753</v>
      </c>
      <c r="J62" s="85" t="n">
        <f aca="true">IF(J$5=0,I62,MAX(0,(I62-J$4)*(1+NORMINV(RAND(),INPUTS!$B$28,INPUTS!$B$29))))</f>
        <v>1725178.6820466</v>
      </c>
      <c r="K62" s="85" t="n">
        <f aca="true">IF(K$5=0,J62,MAX(0,(J62-K$4)*(1+NORMINV(RAND(),INPUTS!$B$28,INPUTS!$B$29))))</f>
        <v>1910304.56584489</v>
      </c>
      <c r="L62" s="85" t="n">
        <f aca="true">IF(L$5=0,K62,MAX(0,(K62-L$4)*(1+NORMINV(RAND(),INPUTS!$B$28,INPUTS!$B$29))))</f>
        <v>2524013.98914837</v>
      </c>
      <c r="M62" s="85" t="n">
        <f aca="true">IF(M$5=0,L62,MAX(0,(L62-M$4)*(1+NORMINV(RAND(),INPUTS!$B$28,INPUTS!$B$29))))</f>
        <v>2907389.29044085</v>
      </c>
      <c r="N62" s="85" t="n">
        <f aca="true">IF(N$5=0,M62,MAX(0,(M62-N$4)*(1+NORMINV(RAND(),INPUTS!$B$28,INPUTS!$B$29))))</f>
        <v>3025341.97159295</v>
      </c>
      <c r="O62" s="85" t="n">
        <f aca="true">IF(O$5=0,N62,MAX(0,(N62-O$4)*(1+NORMINV(RAND(),INPUTS!$B$28,INPUTS!$B$29))))</f>
        <v>2821017.65571103</v>
      </c>
      <c r="P62" s="85" t="n">
        <f aca="true">IF(P$5=0,O62,MAX(0,(O62-P$4)*(1+NORMINV(RAND(),INPUTS!$B$28,INPUTS!$B$29))))</f>
        <v>2705571.50906299</v>
      </c>
      <c r="Q62" s="85" t="n">
        <f aca="true">IF(Q$5=0,P62,MAX(0,(P62-Q$4)*(1+NORMINV(RAND(),INPUTS!$B$28,INPUTS!$B$29))))</f>
        <v>2203032.08274817</v>
      </c>
      <c r="R62" s="85" t="n">
        <f aca="true">IF(R$5=0,Q62,MAX(0,(Q62-R$4)*(1+NORMINV(RAND(),INPUTS!$B$28,INPUTS!$B$29))))</f>
        <v>1976764.92253313</v>
      </c>
      <c r="S62" s="85" t="n">
        <f aca="true">IF(S$5=0,R62,MAX(0,(R62-S$4)*(1+NORMINV(RAND(),INPUTS!$B$28,INPUTS!$B$29))))</f>
        <v>2188128.0665413</v>
      </c>
      <c r="T62" s="85" t="n">
        <f aca="true">IF(T$5=0,S62,MAX(0,(S62-T$4)*(1+NORMINV(RAND(),INPUTS!$B$28,INPUTS!$B$29))))</f>
        <v>2468796.40395942</v>
      </c>
      <c r="U62" s="85" t="n">
        <f aca="true">IF(U$5=0,T62,MAX(0,(T62-U$4)*(1+NORMINV(RAND(),INPUTS!$B$28,INPUTS!$B$29))))</f>
        <v>2127807.821037</v>
      </c>
      <c r="V62" s="85" t="n">
        <f aca="true">IF(V$5=0,U62,MAX(0,(U62-V$4)*(1+NORMINV(RAND(),INPUTS!$B$28,INPUTS!$B$29))))</f>
        <v>2509982.00877096</v>
      </c>
      <c r="W62" s="85" t="n">
        <f aca="true">IF(W$5=0,V62,MAX(0,(V62-W$4)*(1+NORMINV(RAND(),INPUTS!$B$28,INPUTS!$B$29))))</f>
        <v>2916396.88539438</v>
      </c>
      <c r="X62" s="85" t="n">
        <f aca="true">IF(X$5=0,W62,MAX(0,(W62-X$4)*(1+NORMINV(RAND(),INPUTS!$B$28,INPUTS!$B$29))))</f>
        <v>2915813.89516589</v>
      </c>
      <c r="Y62" s="85" t="n">
        <f aca="true">IF(Y$5=0,X62,MAX(0,(X62-Y$4)*(1+NORMINV(RAND(),INPUTS!$B$28,INPUTS!$B$29))))</f>
        <v>3030166.04295253</v>
      </c>
      <c r="Z62" s="85" t="n">
        <f aca="true">IF(Z$5=0,Y62,MAX(0,(Y62-Z$4)*(1+NORMINV(RAND(),INPUTS!$B$28,INPUTS!$B$29))))</f>
        <v>2969248.15556626</v>
      </c>
      <c r="AA62" s="85" t="n">
        <f aca="true">IF(AA$5=0,Z62,MAX(0,(Z62-AA$4)*(1+NORMINV(RAND(),INPUTS!$B$28,INPUTS!$B$29))))</f>
        <v>2729269.49339274</v>
      </c>
      <c r="AB62" s="85" t="n">
        <f aca="true">IF(AB$5=0,AA62,MAX(0,(AA62-AB$4)*(1+NORMINV(RAND(),INPUTS!$B$28,INPUTS!$B$29))))</f>
        <v>3045479.5903454</v>
      </c>
      <c r="AC62" s="85" t="n">
        <f aca="true">IF(AC$5=0,AB62,MAX(0,(AB62-AC$4)*(1+NORMINV(RAND(),INPUTS!$B$28,INPUTS!$B$29))))</f>
        <v>3235126.93716035</v>
      </c>
      <c r="AD62" s="85" t="n">
        <f aca="true">IF(AD$5=0,AC62,MAX(0,(AC62-AD$4)*(1+NORMINV(RAND(),INPUTS!$B$28,INPUTS!$B$29))))</f>
        <v>3223107.34643219</v>
      </c>
      <c r="AE62" s="85" t="n">
        <f aca="true">IF(AE$5=0,AD62,MAX(0,(AD62-AE$4)*(1+NORMINV(RAND(),INPUTS!$B$28,INPUTS!$B$29))))</f>
        <v>3574512.03157393</v>
      </c>
      <c r="AF62" s="85" t="n">
        <f aca="true">IF(AF$5=0,AE62,MAX(0,(AE62-AF$4)*(1+NORMINV(RAND(),INPUTS!$B$28,INPUTS!$B$29))))</f>
        <v>3316176.68569534</v>
      </c>
      <c r="AG62" s="85" t="n">
        <f aca="true">IF(AG$5=0,AF62,MAX(0,(AF62-AG$4)*(1+NORMINV(RAND(),INPUTS!$B$28,INPUTS!$B$29))))</f>
        <v>2797899.05680647</v>
      </c>
      <c r="AH62" s="85" t="n">
        <f aca="true">IF(AH$5=0,AG62,MAX(0,(AG62-AH$4)*(1+NORMINV(RAND(),INPUTS!$B$28,INPUTS!$B$29))))</f>
        <v>3253102.95730975</v>
      </c>
      <c r="AI62" s="85" t="n">
        <f aca="true">IF(AI$5=0,AH62,MAX(0,(AH62-AI$4)*(1+NORMINV(RAND(),INPUTS!$B$28,INPUTS!$B$29))))</f>
        <v>3353853.45347503</v>
      </c>
      <c r="AJ62" s="85" t="n">
        <f aca="true">IF(AJ$5=0,AI62,MAX(0,(AI62-AJ$4)*(1+NORMINV(RAND(),INPUTS!$B$28,INPUTS!$B$29))))</f>
        <v>2673714.34420992</v>
      </c>
      <c r="AK62" s="85" t="n">
        <f aca="true">IF(AK$5=0,AJ62,MAX(0,(AJ62-AK$4)*(1+NORMINV(RAND(),INPUTS!$B$28,INPUTS!$B$29))))</f>
        <v>2682190.71010957</v>
      </c>
      <c r="AL62" s="85" t="n">
        <f aca="true">IF(AL$5=0,AK62,MAX(0,(AK62-AL$4)*(1+NORMINV(RAND(),INPUTS!$B$28,INPUTS!$B$29))))</f>
        <v>2866512.75905181</v>
      </c>
      <c r="AM62" s="85" t="n">
        <f aca="true">IF(AM$5=0,AL62,MAX(0,(AL62-AM$4)*(1+NORMINV(RAND(),INPUTS!$B$28,INPUTS!$B$29))))</f>
        <v>2866512.75905181</v>
      </c>
      <c r="AN62" s="85" t="n">
        <f aca="true">IF(AN$5=0,AM62,MAX(0,(AM62-AN$4)*(1+NORMINV(RAND(),INPUTS!$B$28,INPUTS!$B$29))))</f>
        <v>2866512.75905181</v>
      </c>
      <c r="AO62" s="85" t="n">
        <f aca="true">IF(AO$5=0,AN62,MAX(0,(AN62-AO$4)*(1+NORMINV(RAND(),INPUTS!$B$28,INPUTS!$B$29))))</f>
        <v>2866512.75905181</v>
      </c>
      <c r="AP62" s="85" t="n">
        <f aca="true">IF(AP$5=0,AO62,MAX(0,(AO62-AP$4)*(1+NORMINV(RAND(),INPUTS!$B$28,INPUTS!$B$29))))</f>
        <v>2866512.75905181</v>
      </c>
    </row>
    <row r="63" customFormat="false" ht="15" hidden="false" customHeight="true" outlineLevel="0" collapsed="false">
      <c r="A63" s="83" t="n">
        <v>56</v>
      </c>
      <c r="B63" s="84" t="n">
        <f aca="false">LOOKUP(9.99E+307,C63:AP63)</f>
        <v>879942.285375568</v>
      </c>
      <c r="C63" s="85" t="n">
        <f aca="true">IF(C$5=0,INPUTS!$B$19,MAX(0,(INPUTS!$B$19-C$4)*(1+NORMINV(RAND(),INPUTS!$B$28,INPUTS!$B$29))))</f>
        <v>1045456.32310151</v>
      </c>
      <c r="D63" s="85" t="n">
        <f aca="true">IF(D$5=0,C63,MAX(0,(C63-D$4)*(1+NORMINV(RAND(),INPUTS!$B$28,INPUTS!$B$29))))</f>
        <v>1097346.45743125</v>
      </c>
      <c r="E63" s="85" t="n">
        <f aca="true">IF(E$5=0,D63,MAX(0,(D63-E$4)*(1+NORMINV(RAND(),INPUTS!$B$28,INPUTS!$B$29))))</f>
        <v>1210783.12025531</v>
      </c>
      <c r="F63" s="85" t="n">
        <f aca="true">IF(F$5=0,E63,MAX(0,(E63-F$4)*(1+NORMINV(RAND(),INPUTS!$B$28,INPUTS!$B$29))))</f>
        <v>1431207.51847695</v>
      </c>
      <c r="G63" s="85" t="n">
        <f aca="true">IF(G$5=0,F63,MAX(0,(F63-G$4)*(1+NORMINV(RAND(),INPUTS!$B$28,INPUTS!$B$29))))</f>
        <v>1161933.68230814</v>
      </c>
      <c r="H63" s="85" t="n">
        <f aca="true">IF(H$5=0,G63,MAX(0,(G63-H$4)*(1+NORMINV(RAND(),INPUTS!$B$28,INPUTS!$B$29))))</f>
        <v>1369428.08341849</v>
      </c>
      <c r="I63" s="85" t="n">
        <f aca="true">IF(I$5=0,H63,MAX(0,(H63-I$4)*(1+NORMINV(RAND(),INPUTS!$B$28,INPUTS!$B$29))))</f>
        <v>1109649.21661902</v>
      </c>
      <c r="J63" s="85" t="n">
        <f aca="true">IF(J$5=0,I63,MAX(0,(I63-J$4)*(1+NORMINV(RAND(),INPUTS!$B$28,INPUTS!$B$29))))</f>
        <v>1140864.45955266</v>
      </c>
      <c r="K63" s="85" t="n">
        <f aca="true">IF(K$5=0,J63,MAX(0,(J63-K$4)*(1+NORMINV(RAND(),INPUTS!$B$28,INPUTS!$B$29))))</f>
        <v>1264397.20521978</v>
      </c>
      <c r="L63" s="85" t="n">
        <f aca="true">IF(L$5=0,K63,MAX(0,(K63-L$4)*(1+NORMINV(RAND(),INPUTS!$B$28,INPUTS!$B$29))))</f>
        <v>1101737.33485456</v>
      </c>
      <c r="M63" s="85" t="n">
        <f aca="true">IF(M$5=0,L63,MAX(0,(L63-M$4)*(1+NORMINV(RAND(),INPUTS!$B$28,INPUTS!$B$29))))</f>
        <v>1043025.31949191</v>
      </c>
      <c r="N63" s="85" t="n">
        <f aca="true">IF(N$5=0,M63,MAX(0,(M63-N$4)*(1+NORMINV(RAND(),INPUTS!$B$28,INPUTS!$B$29))))</f>
        <v>1020369.14260415</v>
      </c>
      <c r="O63" s="85" t="n">
        <f aca="true">IF(O$5=0,N63,MAX(0,(N63-O$4)*(1+NORMINV(RAND(),INPUTS!$B$28,INPUTS!$B$29))))</f>
        <v>933543.255492128</v>
      </c>
      <c r="P63" s="85" t="n">
        <f aca="true">IF(P$5=0,O63,MAX(0,(O63-P$4)*(1+NORMINV(RAND(),INPUTS!$B$28,INPUTS!$B$29))))</f>
        <v>916933.294476194</v>
      </c>
      <c r="Q63" s="85" t="n">
        <f aca="true">IF(Q$5=0,P63,MAX(0,(P63-Q$4)*(1+NORMINV(RAND(),INPUTS!$B$28,INPUTS!$B$29))))</f>
        <v>865008.307614421</v>
      </c>
      <c r="R63" s="85" t="n">
        <f aca="true">IF(R$5=0,Q63,MAX(0,(Q63-R$4)*(1+NORMINV(RAND(),INPUTS!$B$28,INPUTS!$B$29))))</f>
        <v>783846.507146764</v>
      </c>
      <c r="S63" s="85" t="n">
        <f aca="true">IF(S$5=0,R63,MAX(0,(R63-S$4)*(1+NORMINV(RAND(),INPUTS!$B$28,INPUTS!$B$29))))</f>
        <v>908397.097080497</v>
      </c>
      <c r="T63" s="85" t="n">
        <f aca="true">IF(T$5=0,S63,MAX(0,(S63-T$4)*(1+NORMINV(RAND(),INPUTS!$B$28,INPUTS!$B$29))))</f>
        <v>836454.754085473</v>
      </c>
      <c r="U63" s="85" t="n">
        <f aca="true">IF(U$5=0,T63,MAX(0,(T63-U$4)*(1+NORMINV(RAND(),INPUTS!$B$28,INPUTS!$B$29))))</f>
        <v>819384.564501613</v>
      </c>
      <c r="V63" s="85" t="n">
        <f aca="true">IF(V$5=0,U63,MAX(0,(U63-V$4)*(1+NORMINV(RAND(),INPUTS!$B$28,INPUTS!$B$29))))</f>
        <v>817669.634953061</v>
      </c>
      <c r="W63" s="85" t="n">
        <f aca="true">IF(W$5=0,V63,MAX(0,(V63-W$4)*(1+NORMINV(RAND(),INPUTS!$B$28,INPUTS!$B$29))))</f>
        <v>712619.923050005</v>
      </c>
      <c r="X63" s="85" t="n">
        <f aca="true">IF(X$5=0,W63,MAX(0,(W63-X$4)*(1+NORMINV(RAND(),INPUTS!$B$28,INPUTS!$B$29))))</f>
        <v>850828.354656746</v>
      </c>
      <c r="Y63" s="85" t="n">
        <f aca="true">IF(Y$5=0,X63,MAX(0,(X63-Y$4)*(1+NORMINV(RAND(),INPUTS!$B$28,INPUTS!$B$29))))</f>
        <v>745822.698045039</v>
      </c>
      <c r="Z63" s="85" t="n">
        <f aca="true">IF(Z$5=0,Y63,MAX(0,(Y63-Z$4)*(1+NORMINV(RAND(),INPUTS!$B$28,INPUTS!$B$29))))</f>
        <v>865981.085362401</v>
      </c>
      <c r="AA63" s="85" t="n">
        <f aca="true">IF(AA$5=0,Z63,MAX(0,(Z63-AA$4)*(1+NORMINV(RAND(),INPUTS!$B$28,INPUTS!$B$29))))</f>
        <v>938568.723745503</v>
      </c>
      <c r="AB63" s="85" t="n">
        <f aca="true">IF(AB$5=0,AA63,MAX(0,(AA63-AB$4)*(1+NORMINV(RAND(),INPUTS!$B$28,INPUTS!$B$29))))</f>
        <v>959809.957730494</v>
      </c>
      <c r="AC63" s="85" t="n">
        <f aca="true">IF(AC$5=0,AB63,MAX(0,(AB63-AC$4)*(1+NORMINV(RAND(),INPUTS!$B$28,INPUTS!$B$29))))</f>
        <v>970633.923680775</v>
      </c>
      <c r="AD63" s="85" t="n">
        <f aca="true">IF(AD$5=0,AC63,MAX(0,(AC63-AD$4)*(1+NORMINV(RAND(),INPUTS!$B$28,INPUTS!$B$29))))</f>
        <v>922086.276018269</v>
      </c>
      <c r="AE63" s="85" t="n">
        <f aca="true">IF(AE$5=0,AD63,MAX(0,(AD63-AE$4)*(1+NORMINV(RAND(),INPUTS!$B$28,INPUTS!$B$29))))</f>
        <v>926752.414384804</v>
      </c>
      <c r="AF63" s="85" t="n">
        <f aca="true">IF(AF$5=0,AE63,MAX(0,(AE63-AF$4)*(1+NORMINV(RAND(),INPUTS!$B$28,INPUTS!$B$29))))</f>
        <v>913619.352513685</v>
      </c>
      <c r="AG63" s="85" t="n">
        <f aca="true">IF(AG$5=0,AF63,MAX(0,(AF63-AG$4)*(1+NORMINV(RAND(),INPUTS!$B$28,INPUTS!$B$29))))</f>
        <v>916968.828059295</v>
      </c>
      <c r="AH63" s="85" t="n">
        <f aca="true">IF(AH$5=0,AG63,MAX(0,(AG63-AH$4)*(1+NORMINV(RAND(),INPUTS!$B$28,INPUTS!$B$29))))</f>
        <v>751390.389389534</v>
      </c>
      <c r="AI63" s="85" t="n">
        <f aca="true">IF(AI$5=0,AH63,MAX(0,(AH63-AI$4)*(1+NORMINV(RAND(),INPUTS!$B$28,INPUTS!$B$29))))</f>
        <v>745253.369569711</v>
      </c>
      <c r="AJ63" s="85" t="n">
        <f aca="true">IF(AJ$5=0,AI63,MAX(0,(AI63-AJ$4)*(1+NORMINV(RAND(),INPUTS!$B$28,INPUTS!$B$29))))</f>
        <v>726749.381728563</v>
      </c>
      <c r="AK63" s="85" t="n">
        <f aca="true">IF(AK$5=0,AJ63,MAX(0,(AJ63-AK$4)*(1+NORMINV(RAND(),INPUTS!$B$28,INPUTS!$B$29))))</f>
        <v>762659.300989885</v>
      </c>
      <c r="AL63" s="85" t="n">
        <f aca="true">IF(AL$5=0,AK63,MAX(0,(AK63-AL$4)*(1+NORMINV(RAND(),INPUTS!$B$28,INPUTS!$B$29))))</f>
        <v>879942.285375568</v>
      </c>
      <c r="AM63" s="85" t="n">
        <f aca="true">IF(AM$5=0,AL63,MAX(0,(AL63-AM$4)*(1+NORMINV(RAND(),INPUTS!$B$28,INPUTS!$B$29))))</f>
        <v>879942.285375568</v>
      </c>
      <c r="AN63" s="85" t="n">
        <f aca="true">IF(AN$5=0,AM63,MAX(0,(AM63-AN$4)*(1+NORMINV(RAND(),INPUTS!$B$28,INPUTS!$B$29))))</f>
        <v>879942.285375568</v>
      </c>
      <c r="AO63" s="85" t="n">
        <f aca="true">IF(AO$5=0,AN63,MAX(0,(AN63-AO$4)*(1+NORMINV(RAND(),INPUTS!$B$28,INPUTS!$B$29))))</f>
        <v>879942.285375568</v>
      </c>
      <c r="AP63" s="85" t="n">
        <f aca="true">IF(AP$5=0,AO63,MAX(0,(AO63-AP$4)*(1+NORMINV(RAND(),INPUTS!$B$28,INPUTS!$B$29))))</f>
        <v>879942.285375568</v>
      </c>
    </row>
    <row r="64" customFormat="false" ht="15" hidden="false" customHeight="true" outlineLevel="0" collapsed="false">
      <c r="A64" s="83" t="n">
        <v>57</v>
      </c>
      <c r="B64" s="84" t="n">
        <f aca="false">LOOKUP(9.99E+307,C64:AP64)</f>
        <v>1073443.98009951</v>
      </c>
      <c r="C64" s="85" t="n">
        <f aca="true">IF(C$5=0,INPUTS!$B$19,MAX(0,(INPUTS!$B$19-C$4)*(1+NORMINV(RAND(),INPUTS!$B$28,INPUTS!$B$29))))</f>
        <v>1182270.31794189</v>
      </c>
      <c r="D64" s="85" t="n">
        <f aca="true">IF(D$5=0,C64,MAX(0,(C64-D$4)*(1+NORMINV(RAND(),INPUTS!$B$28,INPUTS!$B$29))))</f>
        <v>1262433.66314766</v>
      </c>
      <c r="E64" s="85" t="n">
        <f aca="true">IF(E$5=0,D64,MAX(0,(D64-E$4)*(1+NORMINV(RAND(),INPUTS!$B$28,INPUTS!$B$29))))</f>
        <v>1318768.81425309</v>
      </c>
      <c r="F64" s="85" t="n">
        <f aca="true">IF(F$5=0,E64,MAX(0,(E64-F$4)*(1+NORMINV(RAND(),INPUTS!$B$28,INPUTS!$B$29))))</f>
        <v>1187613.97611291</v>
      </c>
      <c r="G64" s="85" t="n">
        <f aca="true">IF(G$5=0,F64,MAX(0,(F64-G$4)*(1+NORMINV(RAND(),INPUTS!$B$28,INPUTS!$B$29))))</f>
        <v>1193113.32697649</v>
      </c>
      <c r="H64" s="85" t="n">
        <f aca="true">IF(H$5=0,G64,MAX(0,(G64-H$4)*(1+NORMINV(RAND(),INPUTS!$B$28,INPUTS!$B$29))))</f>
        <v>1132962.61680879</v>
      </c>
      <c r="I64" s="85" t="n">
        <f aca="true">IF(I$5=0,H64,MAX(0,(H64-I$4)*(1+NORMINV(RAND(),INPUTS!$B$28,INPUTS!$B$29))))</f>
        <v>961477.745684186</v>
      </c>
      <c r="J64" s="85" t="n">
        <f aca="true">IF(J$5=0,I64,MAX(0,(I64-J$4)*(1+NORMINV(RAND(),INPUTS!$B$28,INPUTS!$B$29))))</f>
        <v>1107092.38883143</v>
      </c>
      <c r="K64" s="85" t="n">
        <f aca="true">IF(K$5=0,J64,MAX(0,(J64-K$4)*(1+NORMINV(RAND(),INPUTS!$B$28,INPUTS!$B$29))))</f>
        <v>967201.28591375</v>
      </c>
      <c r="L64" s="85" t="n">
        <f aca="true">IF(L$5=0,K64,MAX(0,(K64-L$4)*(1+NORMINV(RAND(),INPUTS!$B$28,INPUTS!$B$29))))</f>
        <v>980449.107209831</v>
      </c>
      <c r="M64" s="85" t="n">
        <f aca="true">IF(M$5=0,L64,MAX(0,(L64-M$4)*(1+NORMINV(RAND(),INPUTS!$B$28,INPUTS!$B$29))))</f>
        <v>968708.699916189</v>
      </c>
      <c r="N64" s="85" t="n">
        <f aca="true">IF(N$5=0,M64,MAX(0,(M64-N$4)*(1+NORMINV(RAND(),INPUTS!$B$28,INPUTS!$B$29))))</f>
        <v>1014464.76439641</v>
      </c>
      <c r="O64" s="85" t="n">
        <f aca="true">IF(O$5=0,N64,MAX(0,(N64-O$4)*(1+NORMINV(RAND(),INPUTS!$B$28,INPUTS!$B$29))))</f>
        <v>954106.848717829</v>
      </c>
      <c r="P64" s="85" t="n">
        <f aca="true">IF(P$5=0,O64,MAX(0,(O64-P$4)*(1+NORMINV(RAND(),INPUTS!$B$28,INPUTS!$B$29))))</f>
        <v>829355.178191161</v>
      </c>
      <c r="Q64" s="85" t="n">
        <f aca="true">IF(Q$5=0,P64,MAX(0,(P64-Q$4)*(1+NORMINV(RAND(),INPUTS!$B$28,INPUTS!$B$29))))</f>
        <v>847409.020883178</v>
      </c>
      <c r="R64" s="85" t="n">
        <f aca="true">IF(R$5=0,Q64,MAX(0,(Q64-R$4)*(1+NORMINV(RAND(),INPUTS!$B$28,INPUTS!$B$29))))</f>
        <v>704218.753472458</v>
      </c>
      <c r="S64" s="85" t="n">
        <f aca="true">IF(S$5=0,R64,MAX(0,(R64-S$4)*(1+NORMINV(RAND(),INPUTS!$B$28,INPUTS!$B$29))))</f>
        <v>711429.422233506</v>
      </c>
      <c r="T64" s="85" t="n">
        <f aca="true">IF(T$5=0,S64,MAX(0,(S64-T$4)*(1+NORMINV(RAND(),INPUTS!$B$28,INPUTS!$B$29))))</f>
        <v>776065.743574902</v>
      </c>
      <c r="U64" s="85" t="n">
        <f aca="true">IF(U$5=0,T64,MAX(0,(T64-U$4)*(1+NORMINV(RAND(),INPUTS!$B$28,INPUTS!$B$29))))</f>
        <v>857303.531712162</v>
      </c>
      <c r="V64" s="85" t="n">
        <f aca="true">IF(V$5=0,U64,MAX(0,(U64-V$4)*(1+NORMINV(RAND(),INPUTS!$B$28,INPUTS!$B$29))))</f>
        <v>962014.032052679</v>
      </c>
      <c r="W64" s="85" t="n">
        <f aca="true">IF(W$5=0,V64,MAX(0,(V64-W$4)*(1+NORMINV(RAND(),INPUTS!$B$28,INPUTS!$B$29))))</f>
        <v>930450.21048606</v>
      </c>
      <c r="X64" s="85" t="n">
        <f aca="true">IF(X$5=0,W64,MAX(0,(W64-X$4)*(1+NORMINV(RAND(),INPUTS!$B$28,INPUTS!$B$29))))</f>
        <v>840410.949745508</v>
      </c>
      <c r="Y64" s="85" t="n">
        <f aca="true">IF(Y$5=0,X64,MAX(0,(X64-Y$4)*(1+NORMINV(RAND(),INPUTS!$B$28,INPUTS!$B$29))))</f>
        <v>853864.686379913</v>
      </c>
      <c r="Z64" s="85" t="n">
        <f aca="true">IF(Z$5=0,Y64,MAX(0,(Y64-Z$4)*(1+NORMINV(RAND(),INPUTS!$B$28,INPUTS!$B$29))))</f>
        <v>735593.385080778</v>
      </c>
      <c r="AA64" s="85" t="n">
        <f aca="true">IF(AA$5=0,Z64,MAX(0,(Z64-AA$4)*(1+NORMINV(RAND(),INPUTS!$B$28,INPUTS!$B$29))))</f>
        <v>693922.140046149</v>
      </c>
      <c r="AB64" s="85" t="n">
        <f aca="true">IF(AB$5=0,AA64,MAX(0,(AA64-AB$4)*(1+NORMINV(RAND(),INPUTS!$B$28,INPUTS!$B$29))))</f>
        <v>763923.840887082</v>
      </c>
      <c r="AC64" s="85" t="n">
        <f aca="true">IF(AC$5=0,AB64,MAX(0,(AB64-AC$4)*(1+NORMINV(RAND(),INPUTS!$B$28,INPUTS!$B$29))))</f>
        <v>723360.228012473</v>
      </c>
      <c r="AD64" s="85" t="n">
        <f aca="true">IF(AD$5=0,AC64,MAX(0,(AC64-AD$4)*(1+NORMINV(RAND(),INPUTS!$B$28,INPUTS!$B$29))))</f>
        <v>741971.041048534</v>
      </c>
      <c r="AE64" s="85" t="n">
        <f aca="true">IF(AE$5=0,AD64,MAX(0,(AD64-AE$4)*(1+NORMINV(RAND(),INPUTS!$B$28,INPUTS!$B$29))))</f>
        <v>650463.052612196</v>
      </c>
      <c r="AF64" s="85" t="n">
        <f aca="true">IF(AF$5=0,AE64,MAX(0,(AE64-AF$4)*(1+NORMINV(RAND(),INPUTS!$B$28,INPUTS!$B$29))))</f>
        <v>589914.379743649</v>
      </c>
      <c r="AG64" s="85" t="n">
        <f aca="true">IF(AG$5=0,AF64,MAX(0,(AF64-AG$4)*(1+NORMINV(RAND(),INPUTS!$B$28,INPUTS!$B$29))))</f>
        <v>675501.806875861</v>
      </c>
      <c r="AH64" s="85" t="n">
        <f aca="true">IF(AH$5=0,AG64,MAX(0,(AG64-AH$4)*(1+NORMINV(RAND(),INPUTS!$B$28,INPUTS!$B$29))))</f>
        <v>731120.736710201</v>
      </c>
      <c r="AI64" s="85" t="n">
        <f aca="true">IF(AI$5=0,AH64,MAX(0,(AH64-AI$4)*(1+NORMINV(RAND(),INPUTS!$B$28,INPUTS!$B$29))))</f>
        <v>847197.063384815</v>
      </c>
      <c r="AJ64" s="85" t="n">
        <f aca="true">IF(AJ$5=0,AI64,MAX(0,(AI64-AJ$4)*(1+NORMINV(RAND(),INPUTS!$B$28,INPUTS!$B$29))))</f>
        <v>864893.541540057</v>
      </c>
      <c r="AK64" s="85" t="n">
        <f aca="true">IF(AK$5=0,AJ64,MAX(0,(AJ64-AK$4)*(1+NORMINV(RAND(),INPUTS!$B$28,INPUTS!$B$29))))</f>
        <v>991579.944793976</v>
      </c>
      <c r="AL64" s="85" t="n">
        <f aca="true">IF(AL$5=0,AK64,MAX(0,(AK64-AL$4)*(1+NORMINV(RAND(),INPUTS!$B$28,INPUTS!$B$29))))</f>
        <v>1073443.98009951</v>
      </c>
      <c r="AM64" s="85" t="n">
        <f aca="true">IF(AM$5=0,AL64,MAX(0,(AL64-AM$4)*(1+NORMINV(RAND(),INPUTS!$B$28,INPUTS!$B$29))))</f>
        <v>1073443.98009951</v>
      </c>
      <c r="AN64" s="85" t="n">
        <f aca="true">IF(AN$5=0,AM64,MAX(0,(AM64-AN$4)*(1+NORMINV(RAND(),INPUTS!$B$28,INPUTS!$B$29))))</f>
        <v>1073443.98009951</v>
      </c>
      <c r="AO64" s="85" t="n">
        <f aca="true">IF(AO$5=0,AN64,MAX(0,(AN64-AO$4)*(1+NORMINV(RAND(),INPUTS!$B$28,INPUTS!$B$29))))</f>
        <v>1073443.98009951</v>
      </c>
      <c r="AP64" s="85" t="n">
        <f aca="true">IF(AP$5=0,AO64,MAX(0,(AO64-AP$4)*(1+NORMINV(RAND(),INPUTS!$B$28,INPUTS!$B$29))))</f>
        <v>1073443.98009951</v>
      </c>
    </row>
    <row r="65" customFormat="false" ht="15" hidden="false" customHeight="true" outlineLevel="0" collapsed="false">
      <c r="A65" s="83" t="n">
        <v>58</v>
      </c>
      <c r="B65" s="84" t="n">
        <f aca="false">LOOKUP(9.99E+307,C65:AP65)</f>
        <v>0</v>
      </c>
      <c r="C65" s="85" t="n">
        <f aca="true">IF(C$5=0,INPUTS!$B$19,MAX(0,(INPUTS!$B$19-C$4)*(1+NORMINV(RAND(),INPUTS!$B$28,INPUTS!$B$29))))</f>
        <v>1100770.10321785</v>
      </c>
      <c r="D65" s="85" t="n">
        <f aca="true">IF(D$5=0,C65,MAX(0,(C65-D$4)*(1+NORMINV(RAND(),INPUTS!$B$28,INPUTS!$B$29))))</f>
        <v>1099602.62639817</v>
      </c>
      <c r="E65" s="85" t="n">
        <f aca="true">IF(E$5=0,D65,MAX(0,(D65-E$4)*(1+NORMINV(RAND(),INPUTS!$B$28,INPUTS!$B$29))))</f>
        <v>1029656.36180648</v>
      </c>
      <c r="F65" s="85" t="n">
        <f aca="true">IF(F$5=0,E65,MAX(0,(E65-F$4)*(1+NORMINV(RAND(),INPUTS!$B$28,INPUTS!$B$29))))</f>
        <v>994626.592883172</v>
      </c>
      <c r="G65" s="85" t="n">
        <f aca="true">IF(G$5=0,F65,MAX(0,(F65-G$4)*(1+NORMINV(RAND(),INPUTS!$B$28,INPUTS!$B$29))))</f>
        <v>906738.311173107</v>
      </c>
      <c r="H65" s="85" t="n">
        <f aca="true">IF(H$5=0,G65,MAX(0,(G65-H$4)*(1+NORMINV(RAND(),INPUTS!$B$28,INPUTS!$B$29))))</f>
        <v>974044.700317455</v>
      </c>
      <c r="I65" s="85" t="n">
        <f aca="true">IF(I$5=0,H65,MAX(0,(H65-I$4)*(1+NORMINV(RAND(),INPUTS!$B$28,INPUTS!$B$29))))</f>
        <v>1026351.60956041</v>
      </c>
      <c r="J65" s="85" t="n">
        <f aca="true">IF(J$5=0,I65,MAX(0,(I65-J$4)*(1+NORMINV(RAND(),INPUTS!$B$28,INPUTS!$B$29))))</f>
        <v>843472.933909334</v>
      </c>
      <c r="K65" s="85" t="n">
        <f aca="true">IF(K$5=0,J65,MAX(0,(J65-K$4)*(1+NORMINV(RAND(),INPUTS!$B$28,INPUTS!$B$29))))</f>
        <v>736870.472321026</v>
      </c>
      <c r="L65" s="85" t="n">
        <f aca="true">IF(L$5=0,K65,MAX(0,(K65-L$4)*(1+NORMINV(RAND(),INPUTS!$B$28,INPUTS!$B$29))))</f>
        <v>686962.471823397</v>
      </c>
      <c r="M65" s="85" t="n">
        <f aca="true">IF(M$5=0,L65,MAX(0,(L65-M$4)*(1+NORMINV(RAND(),INPUTS!$B$28,INPUTS!$B$29))))</f>
        <v>741269.768709528</v>
      </c>
      <c r="N65" s="85" t="n">
        <f aca="true">IF(N$5=0,M65,MAX(0,(M65-N$4)*(1+NORMINV(RAND(),INPUTS!$B$28,INPUTS!$B$29))))</f>
        <v>661866.600821861</v>
      </c>
      <c r="O65" s="85" t="n">
        <f aca="true">IF(O$5=0,N65,MAX(0,(N65-O$4)*(1+NORMINV(RAND(),INPUTS!$B$28,INPUTS!$B$29))))</f>
        <v>695429.546224588</v>
      </c>
      <c r="P65" s="85" t="n">
        <f aca="true">IF(P$5=0,O65,MAX(0,(O65-P$4)*(1+NORMINV(RAND(),INPUTS!$B$28,INPUTS!$B$29))))</f>
        <v>651691.287457974</v>
      </c>
      <c r="Q65" s="85" t="n">
        <f aca="true">IF(Q$5=0,P65,MAX(0,(P65-Q$4)*(1+NORMINV(RAND(),INPUTS!$B$28,INPUTS!$B$29))))</f>
        <v>645699.0441506</v>
      </c>
      <c r="R65" s="85" t="n">
        <f aca="true">IF(R$5=0,Q65,MAX(0,(Q65-R$4)*(1+NORMINV(RAND(),INPUTS!$B$28,INPUTS!$B$29))))</f>
        <v>623159.530976147</v>
      </c>
      <c r="S65" s="85" t="n">
        <f aca="true">IF(S$5=0,R65,MAX(0,(R65-S$4)*(1+NORMINV(RAND(),INPUTS!$B$28,INPUTS!$B$29))))</f>
        <v>581551.811465261</v>
      </c>
      <c r="T65" s="85" t="n">
        <f aca="true">IF(T$5=0,S65,MAX(0,(S65-T$4)*(1+NORMINV(RAND(),INPUTS!$B$28,INPUTS!$B$29))))</f>
        <v>550386.722466961</v>
      </c>
      <c r="U65" s="85" t="n">
        <f aca="true">IF(U$5=0,T65,MAX(0,(T65-U$4)*(1+NORMINV(RAND(),INPUTS!$B$28,INPUTS!$B$29))))</f>
        <v>564015.715529149</v>
      </c>
      <c r="V65" s="85" t="n">
        <f aca="true">IF(V$5=0,U65,MAX(0,(U65-V$4)*(1+NORMINV(RAND(),INPUTS!$B$28,INPUTS!$B$29))))</f>
        <v>492946.200766356</v>
      </c>
      <c r="W65" s="85" t="n">
        <f aca="true">IF(W$5=0,V65,MAX(0,(V65-W$4)*(1+NORMINV(RAND(),INPUTS!$B$28,INPUTS!$B$29))))</f>
        <v>508815.108031048</v>
      </c>
      <c r="X65" s="85" t="n">
        <f aca="true">IF(X$5=0,W65,MAX(0,(W65-X$4)*(1+NORMINV(RAND(),INPUTS!$B$28,INPUTS!$B$29))))</f>
        <v>547003.799044424</v>
      </c>
      <c r="Y65" s="85" t="n">
        <f aca="true">IF(Y$5=0,X65,MAX(0,(X65-Y$4)*(1+NORMINV(RAND(),INPUTS!$B$28,INPUTS!$B$29))))</f>
        <v>537097.218246852</v>
      </c>
      <c r="Z65" s="85" t="n">
        <f aca="true">IF(Z$5=0,Y65,MAX(0,(Y65-Z$4)*(1+NORMINV(RAND(),INPUTS!$B$28,INPUTS!$B$29))))</f>
        <v>414358.092039696</v>
      </c>
      <c r="AA65" s="85" t="n">
        <f aca="true">IF(AA$5=0,Z65,MAX(0,(Z65-AA$4)*(1+NORMINV(RAND(),INPUTS!$B$28,INPUTS!$B$29))))</f>
        <v>372097.601832099</v>
      </c>
      <c r="AB65" s="85" t="n">
        <f aca="true">IF(AB$5=0,AA65,MAX(0,(AA65-AB$4)*(1+NORMINV(RAND(),INPUTS!$B$28,INPUTS!$B$29))))</f>
        <v>326569.48198161</v>
      </c>
      <c r="AC65" s="85" t="n">
        <f aca="true">IF(AC$5=0,AB65,MAX(0,(AB65-AC$4)*(1+NORMINV(RAND(),INPUTS!$B$28,INPUTS!$B$29))))</f>
        <v>250315.215177068</v>
      </c>
      <c r="AD65" s="85" t="n">
        <f aca="true">IF(AD$5=0,AC65,MAX(0,(AC65-AD$4)*(1+NORMINV(RAND(),INPUTS!$B$28,INPUTS!$B$29))))</f>
        <v>194624.402504815</v>
      </c>
      <c r="AE65" s="85" t="n">
        <f aca="true">IF(AE$5=0,AD65,MAX(0,(AD65-AE$4)*(1+NORMINV(RAND(),INPUTS!$B$28,INPUTS!$B$29))))</f>
        <v>118255.686271198</v>
      </c>
      <c r="AF65" s="85" t="n">
        <f aca="true">IF(AF$5=0,AE65,MAX(0,(AE65-AF$4)*(1+NORMINV(RAND(),INPUTS!$B$28,INPUTS!$B$29))))</f>
        <v>51006.6702372631</v>
      </c>
      <c r="AG65" s="85" t="n">
        <f aca="true">IF(AG$5=0,AF65,MAX(0,(AF65-AG$4)*(1+NORMINV(RAND(),INPUTS!$B$28,INPUTS!$B$29))))</f>
        <v>0</v>
      </c>
      <c r="AH65" s="85" t="n">
        <f aca="true">IF(AH$5=0,AG65,MAX(0,(AG65-AH$4)*(1+NORMINV(RAND(),INPUTS!$B$28,INPUTS!$B$29))))</f>
        <v>0</v>
      </c>
      <c r="AI65" s="85" t="n">
        <f aca="true">IF(AI$5=0,AH65,MAX(0,(AH65-AI$4)*(1+NORMINV(RAND(),INPUTS!$B$28,INPUTS!$B$29))))</f>
        <v>0</v>
      </c>
      <c r="AJ65" s="85" t="n">
        <f aca="true">IF(AJ$5=0,AI65,MAX(0,(AI65-AJ$4)*(1+NORMINV(RAND(),INPUTS!$B$28,INPUTS!$B$29))))</f>
        <v>0</v>
      </c>
      <c r="AK65" s="85" t="n">
        <f aca="true">IF(AK$5=0,AJ65,MAX(0,(AJ65-AK$4)*(1+NORMINV(RAND(),INPUTS!$B$28,INPUTS!$B$29))))</f>
        <v>0</v>
      </c>
      <c r="AL65" s="85" t="n">
        <f aca="true">IF(AL$5=0,AK65,MAX(0,(AK65-AL$4)*(1+NORMINV(RAND(),INPUTS!$B$28,INPUTS!$B$29))))</f>
        <v>0</v>
      </c>
      <c r="AM65" s="85" t="n">
        <f aca="true">IF(AM$5=0,AL65,MAX(0,(AL65-AM$4)*(1+NORMINV(RAND(),INPUTS!$B$28,INPUTS!$B$29))))</f>
        <v>0</v>
      </c>
      <c r="AN65" s="85" t="n">
        <f aca="true">IF(AN$5=0,AM65,MAX(0,(AM65-AN$4)*(1+NORMINV(RAND(),INPUTS!$B$28,INPUTS!$B$29))))</f>
        <v>0</v>
      </c>
      <c r="AO65" s="85" t="n">
        <f aca="true">IF(AO$5=0,AN65,MAX(0,(AN65-AO$4)*(1+NORMINV(RAND(),INPUTS!$B$28,INPUTS!$B$29))))</f>
        <v>0</v>
      </c>
      <c r="AP65" s="85" t="n">
        <f aca="true">IF(AP$5=0,AO65,MAX(0,(AO65-AP$4)*(1+NORMINV(RAND(),INPUTS!$B$28,INPUTS!$B$29))))</f>
        <v>0</v>
      </c>
    </row>
    <row r="66" customFormat="false" ht="15" hidden="false" customHeight="true" outlineLevel="0" collapsed="false">
      <c r="A66" s="83" t="n">
        <v>59</v>
      </c>
      <c r="B66" s="84" t="n">
        <f aca="false">LOOKUP(9.99E+307,C66:AP66)</f>
        <v>2287669.46242649</v>
      </c>
      <c r="C66" s="85" t="n">
        <f aca="true">IF(C$5=0,INPUTS!$B$19,MAX(0,(INPUTS!$B$19-C$4)*(1+NORMINV(RAND(),INPUTS!$B$28,INPUTS!$B$29))))</f>
        <v>1182733.39487951</v>
      </c>
      <c r="D66" s="85" t="n">
        <f aca="true">IF(D$5=0,C66,MAX(0,(C66-D$4)*(1+NORMINV(RAND(),INPUTS!$B$28,INPUTS!$B$29))))</f>
        <v>1153358.04795537</v>
      </c>
      <c r="E66" s="85" t="n">
        <f aca="true">IF(E$5=0,D66,MAX(0,(D66-E$4)*(1+NORMINV(RAND(),INPUTS!$B$28,INPUTS!$B$29))))</f>
        <v>1107422.07349117</v>
      </c>
      <c r="F66" s="85" t="n">
        <f aca="true">IF(F$5=0,E66,MAX(0,(E66-F$4)*(1+NORMINV(RAND(),INPUTS!$B$28,INPUTS!$B$29))))</f>
        <v>1284976.7031259</v>
      </c>
      <c r="G66" s="85" t="n">
        <f aca="true">IF(G$5=0,F66,MAX(0,(F66-G$4)*(1+NORMINV(RAND(),INPUTS!$B$28,INPUTS!$B$29))))</f>
        <v>1513948.8840182</v>
      </c>
      <c r="H66" s="85" t="n">
        <f aca="true">IF(H$5=0,G66,MAX(0,(G66-H$4)*(1+NORMINV(RAND(),INPUTS!$B$28,INPUTS!$B$29))))</f>
        <v>1229486.70087399</v>
      </c>
      <c r="I66" s="85" t="n">
        <f aca="true">IF(I$5=0,H66,MAX(0,(H66-I$4)*(1+NORMINV(RAND(),INPUTS!$B$28,INPUTS!$B$29))))</f>
        <v>1454589.76489071</v>
      </c>
      <c r="J66" s="85" t="n">
        <f aca="true">IF(J$5=0,I66,MAX(0,(I66-J$4)*(1+NORMINV(RAND(),INPUTS!$B$28,INPUTS!$B$29))))</f>
        <v>1352007.92433676</v>
      </c>
      <c r="K66" s="85" t="n">
        <f aca="true">IF(K$5=0,J66,MAX(0,(J66-K$4)*(1+NORMINV(RAND(),INPUTS!$B$28,INPUTS!$B$29))))</f>
        <v>1415598.8780907</v>
      </c>
      <c r="L66" s="85" t="n">
        <f aca="true">IF(L$5=0,K66,MAX(0,(K66-L$4)*(1+NORMINV(RAND(),INPUTS!$B$28,INPUTS!$B$29))))</f>
        <v>1533058.36650503</v>
      </c>
      <c r="M66" s="85" t="n">
        <f aca="true">IF(M$5=0,L66,MAX(0,(L66-M$4)*(1+NORMINV(RAND(),INPUTS!$B$28,INPUTS!$B$29))))</f>
        <v>1579832.32981301</v>
      </c>
      <c r="N66" s="85" t="n">
        <f aca="true">IF(N$5=0,M66,MAX(0,(M66-N$4)*(1+NORMINV(RAND(),INPUTS!$B$28,INPUTS!$B$29))))</f>
        <v>1636414.32046853</v>
      </c>
      <c r="O66" s="85" t="n">
        <f aca="true">IF(O$5=0,N66,MAX(0,(N66-O$4)*(1+NORMINV(RAND(),INPUTS!$B$28,INPUTS!$B$29))))</f>
        <v>1733446.48656175</v>
      </c>
      <c r="P66" s="85" t="n">
        <f aca="true">IF(P$5=0,O66,MAX(0,(O66-P$4)*(1+NORMINV(RAND(),INPUTS!$B$28,INPUTS!$B$29))))</f>
        <v>1784500.99852513</v>
      </c>
      <c r="Q66" s="85" t="n">
        <f aca="true">IF(Q$5=0,P66,MAX(0,(P66-Q$4)*(1+NORMINV(RAND(),INPUTS!$B$28,INPUTS!$B$29))))</f>
        <v>1655322.10962053</v>
      </c>
      <c r="R66" s="85" t="n">
        <f aca="true">IF(R$5=0,Q66,MAX(0,(Q66-R$4)*(1+NORMINV(RAND(),INPUTS!$B$28,INPUTS!$B$29))))</f>
        <v>1985644.20391013</v>
      </c>
      <c r="S66" s="85" t="n">
        <f aca="true">IF(S$5=0,R66,MAX(0,(R66-S$4)*(1+NORMINV(RAND(),INPUTS!$B$28,INPUTS!$B$29))))</f>
        <v>1515995.00577156</v>
      </c>
      <c r="T66" s="85" t="n">
        <f aca="true">IF(T$5=0,S66,MAX(0,(S66-T$4)*(1+NORMINV(RAND(),INPUTS!$B$28,INPUTS!$B$29))))</f>
        <v>1359557.36515933</v>
      </c>
      <c r="U66" s="85" t="n">
        <f aca="true">IF(U$5=0,T66,MAX(0,(T66-U$4)*(1+NORMINV(RAND(),INPUTS!$B$28,INPUTS!$B$29))))</f>
        <v>1184414.02757007</v>
      </c>
      <c r="V66" s="85" t="n">
        <f aca="true">IF(V$5=0,U66,MAX(0,(U66-V$4)*(1+NORMINV(RAND(),INPUTS!$B$28,INPUTS!$B$29))))</f>
        <v>1077533.9775025</v>
      </c>
      <c r="W66" s="85" t="n">
        <f aca="true">IF(W$5=0,V66,MAX(0,(V66-W$4)*(1+NORMINV(RAND(),INPUTS!$B$28,INPUTS!$B$29))))</f>
        <v>1143351.17975966</v>
      </c>
      <c r="X66" s="85" t="n">
        <f aca="true">IF(X$5=0,W66,MAX(0,(W66-X$4)*(1+NORMINV(RAND(),INPUTS!$B$28,INPUTS!$B$29))))</f>
        <v>1210562.9757732</v>
      </c>
      <c r="Y66" s="85" t="n">
        <f aca="true">IF(Y$5=0,X66,MAX(0,(X66-Y$4)*(1+NORMINV(RAND(),INPUTS!$B$28,INPUTS!$B$29))))</f>
        <v>1160225.90372211</v>
      </c>
      <c r="Z66" s="85" t="n">
        <f aca="true">IF(Z$5=0,Y66,MAX(0,(Y66-Z$4)*(1+NORMINV(RAND(),INPUTS!$B$28,INPUTS!$B$29))))</f>
        <v>1115232.63860212</v>
      </c>
      <c r="AA66" s="85" t="n">
        <f aca="true">IF(AA$5=0,Z66,MAX(0,(Z66-AA$4)*(1+NORMINV(RAND(),INPUTS!$B$28,INPUTS!$B$29))))</f>
        <v>1185680.38093261</v>
      </c>
      <c r="AB66" s="85" t="n">
        <f aca="true">IF(AB$5=0,AA66,MAX(0,(AA66-AB$4)*(1+NORMINV(RAND(),INPUTS!$B$28,INPUTS!$B$29))))</f>
        <v>1363351.53837317</v>
      </c>
      <c r="AC66" s="85" t="n">
        <f aca="true">IF(AC$5=0,AB66,MAX(0,(AB66-AC$4)*(1+NORMINV(RAND(),INPUTS!$B$28,INPUTS!$B$29))))</f>
        <v>1405317.92933303</v>
      </c>
      <c r="AD66" s="85" t="n">
        <f aca="true">IF(AD$5=0,AC66,MAX(0,(AC66-AD$4)*(1+NORMINV(RAND(),INPUTS!$B$28,INPUTS!$B$29))))</f>
        <v>1365544.60763186</v>
      </c>
      <c r="AE66" s="85" t="n">
        <f aca="true">IF(AE$5=0,AD66,MAX(0,(AD66-AE$4)*(1+NORMINV(RAND(),INPUTS!$B$28,INPUTS!$B$29))))</f>
        <v>1505397.67755465</v>
      </c>
      <c r="AF66" s="85" t="n">
        <f aca="true">IF(AF$5=0,AE66,MAX(0,(AE66-AF$4)*(1+NORMINV(RAND(),INPUTS!$B$28,INPUTS!$B$29))))</f>
        <v>1702646.48941194</v>
      </c>
      <c r="AG66" s="85" t="n">
        <f aca="true">IF(AG$5=0,AF66,MAX(0,(AF66-AG$4)*(1+NORMINV(RAND(),INPUTS!$B$28,INPUTS!$B$29))))</f>
        <v>2049298.62535118</v>
      </c>
      <c r="AH66" s="85" t="n">
        <f aca="true">IF(AH$5=0,AG66,MAX(0,(AG66-AH$4)*(1+NORMINV(RAND(),INPUTS!$B$28,INPUTS!$B$29))))</f>
        <v>2009911.06479702</v>
      </c>
      <c r="AI66" s="85" t="n">
        <f aca="true">IF(AI$5=0,AH66,MAX(0,(AH66-AI$4)*(1+NORMINV(RAND(),INPUTS!$B$28,INPUTS!$B$29))))</f>
        <v>1878699.57168941</v>
      </c>
      <c r="AJ66" s="85" t="n">
        <f aca="true">IF(AJ$5=0,AI66,MAX(0,(AI66-AJ$4)*(1+NORMINV(RAND(),INPUTS!$B$28,INPUTS!$B$29))))</f>
        <v>1974895.52845384</v>
      </c>
      <c r="AK66" s="85" t="n">
        <f aca="true">IF(AK$5=0,AJ66,MAX(0,(AJ66-AK$4)*(1+NORMINV(RAND(),INPUTS!$B$28,INPUTS!$B$29))))</f>
        <v>1944756.07410335</v>
      </c>
      <c r="AL66" s="85" t="n">
        <f aca="true">IF(AL$5=0,AK66,MAX(0,(AK66-AL$4)*(1+NORMINV(RAND(),INPUTS!$B$28,INPUTS!$B$29))))</f>
        <v>2287669.46242649</v>
      </c>
      <c r="AM66" s="85" t="n">
        <f aca="true">IF(AM$5=0,AL66,MAX(0,(AL66-AM$4)*(1+NORMINV(RAND(),INPUTS!$B$28,INPUTS!$B$29))))</f>
        <v>2287669.46242649</v>
      </c>
      <c r="AN66" s="85" t="n">
        <f aca="true">IF(AN$5=0,AM66,MAX(0,(AM66-AN$4)*(1+NORMINV(RAND(),INPUTS!$B$28,INPUTS!$B$29))))</f>
        <v>2287669.46242649</v>
      </c>
      <c r="AO66" s="85" t="n">
        <f aca="true">IF(AO$5=0,AN66,MAX(0,(AN66-AO$4)*(1+NORMINV(RAND(),INPUTS!$B$28,INPUTS!$B$29))))</f>
        <v>2287669.46242649</v>
      </c>
      <c r="AP66" s="85" t="n">
        <f aca="true">IF(AP$5=0,AO66,MAX(0,(AO66-AP$4)*(1+NORMINV(RAND(),INPUTS!$B$28,INPUTS!$B$29))))</f>
        <v>2287669.46242649</v>
      </c>
    </row>
    <row r="67" customFormat="false" ht="15" hidden="false" customHeight="true" outlineLevel="0" collapsed="false">
      <c r="A67" s="83" t="n">
        <v>60</v>
      </c>
      <c r="B67" s="84" t="n">
        <f aca="false">LOOKUP(9.99E+307,C67:AP67)</f>
        <v>1238537.89412716</v>
      </c>
      <c r="C67" s="85" t="n">
        <f aca="true">IF(C$5=0,INPUTS!$B$19,MAX(0,(INPUTS!$B$19-C$4)*(1+NORMINV(RAND(),INPUTS!$B$28,INPUTS!$B$29))))</f>
        <v>958124.858076143</v>
      </c>
      <c r="D67" s="85" t="n">
        <f aca="true">IF(D$5=0,C67,MAX(0,(C67-D$4)*(1+NORMINV(RAND(),INPUTS!$B$28,INPUTS!$B$29))))</f>
        <v>927354.205611159</v>
      </c>
      <c r="E67" s="85" t="n">
        <f aca="true">IF(E$5=0,D67,MAX(0,(D67-E$4)*(1+NORMINV(RAND(),INPUTS!$B$28,INPUTS!$B$29))))</f>
        <v>1117616.8378672</v>
      </c>
      <c r="F67" s="85" t="n">
        <f aca="true">IF(F$5=0,E67,MAX(0,(E67-F$4)*(1+NORMINV(RAND(),INPUTS!$B$28,INPUTS!$B$29))))</f>
        <v>1175896.12647045</v>
      </c>
      <c r="G67" s="85" t="n">
        <f aca="true">IF(G$5=0,F67,MAX(0,(F67-G$4)*(1+NORMINV(RAND(),INPUTS!$B$28,INPUTS!$B$29))))</f>
        <v>1222749.99494698</v>
      </c>
      <c r="H67" s="85" t="n">
        <f aca="true">IF(H$5=0,G67,MAX(0,(G67-H$4)*(1+NORMINV(RAND(),INPUTS!$B$28,INPUTS!$B$29))))</f>
        <v>1045040.63464808</v>
      </c>
      <c r="I67" s="85" t="n">
        <f aca="true">IF(I$5=0,H67,MAX(0,(H67-I$4)*(1+NORMINV(RAND(),INPUTS!$B$28,INPUTS!$B$29))))</f>
        <v>1204291.30584451</v>
      </c>
      <c r="J67" s="85" t="n">
        <f aca="true">IF(J$5=0,I67,MAX(0,(I67-J$4)*(1+NORMINV(RAND(),INPUTS!$B$28,INPUTS!$B$29))))</f>
        <v>1302972.68536201</v>
      </c>
      <c r="K67" s="85" t="n">
        <f aca="true">IF(K$5=0,J67,MAX(0,(J67-K$4)*(1+NORMINV(RAND(),INPUTS!$B$28,INPUTS!$B$29))))</f>
        <v>1328576.64485357</v>
      </c>
      <c r="L67" s="85" t="n">
        <f aca="true">IF(L$5=0,K67,MAX(0,(K67-L$4)*(1+NORMINV(RAND(),INPUTS!$B$28,INPUTS!$B$29))))</f>
        <v>1273895.59237036</v>
      </c>
      <c r="M67" s="85" t="n">
        <f aca="true">IF(M$5=0,L67,MAX(0,(L67-M$4)*(1+NORMINV(RAND(),INPUTS!$B$28,INPUTS!$B$29))))</f>
        <v>1316238.12086693</v>
      </c>
      <c r="N67" s="85" t="n">
        <f aca="true">IF(N$5=0,M67,MAX(0,(M67-N$4)*(1+NORMINV(RAND(),INPUTS!$B$28,INPUTS!$B$29))))</f>
        <v>1437750.52565104</v>
      </c>
      <c r="O67" s="85" t="n">
        <f aca="true">IF(O$5=0,N67,MAX(0,(N67-O$4)*(1+NORMINV(RAND(),INPUTS!$B$28,INPUTS!$B$29))))</f>
        <v>1556964.0969758</v>
      </c>
      <c r="P67" s="85" t="n">
        <f aca="true">IF(P$5=0,O67,MAX(0,(O67-P$4)*(1+NORMINV(RAND(),INPUTS!$B$28,INPUTS!$B$29))))</f>
        <v>1485682.02828377</v>
      </c>
      <c r="Q67" s="85" t="n">
        <f aca="true">IF(Q$5=0,P67,MAX(0,(P67-Q$4)*(1+NORMINV(RAND(),INPUTS!$B$28,INPUTS!$B$29))))</f>
        <v>1507302.15941486</v>
      </c>
      <c r="R67" s="85" t="n">
        <f aca="true">IF(R$5=0,Q67,MAX(0,(Q67-R$4)*(1+NORMINV(RAND(),INPUTS!$B$28,INPUTS!$B$29))))</f>
        <v>1485601.18975184</v>
      </c>
      <c r="S67" s="85" t="n">
        <f aca="true">IF(S$5=0,R67,MAX(0,(R67-S$4)*(1+NORMINV(RAND(),INPUTS!$B$28,INPUTS!$B$29))))</f>
        <v>1582626.24024254</v>
      </c>
      <c r="T67" s="85" t="n">
        <f aca="true">IF(T$5=0,S67,MAX(0,(S67-T$4)*(1+NORMINV(RAND(),INPUTS!$B$28,INPUTS!$B$29))))</f>
        <v>1290204.84210553</v>
      </c>
      <c r="U67" s="85" t="n">
        <f aca="true">IF(U$5=0,T67,MAX(0,(T67-U$4)*(1+NORMINV(RAND(),INPUTS!$B$28,INPUTS!$B$29))))</f>
        <v>1226847.34984046</v>
      </c>
      <c r="V67" s="85" t="n">
        <f aca="true">IF(V$5=0,U67,MAX(0,(U67-V$4)*(1+NORMINV(RAND(),INPUTS!$B$28,INPUTS!$B$29))))</f>
        <v>1204554.74682139</v>
      </c>
      <c r="W67" s="85" t="n">
        <f aca="true">IF(W$5=0,V67,MAX(0,(V67-W$4)*(1+NORMINV(RAND(),INPUTS!$B$28,INPUTS!$B$29))))</f>
        <v>1220727.07578744</v>
      </c>
      <c r="X67" s="85" t="n">
        <f aca="true">IF(X$5=0,W67,MAX(0,(W67-X$4)*(1+NORMINV(RAND(),INPUTS!$B$28,INPUTS!$B$29))))</f>
        <v>1425216.67427551</v>
      </c>
      <c r="Y67" s="85" t="n">
        <f aca="true">IF(Y$5=0,X67,MAX(0,(X67-Y$4)*(1+NORMINV(RAND(),INPUTS!$B$28,INPUTS!$B$29))))</f>
        <v>1720327.93608272</v>
      </c>
      <c r="Z67" s="85" t="n">
        <f aca="true">IF(Z$5=0,Y67,MAX(0,(Y67-Z$4)*(1+NORMINV(RAND(),INPUTS!$B$28,INPUTS!$B$29))))</f>
        <v>1967509.24659296</v>
      </c>
      <c r="AA67" s="85" t="n">
        <f aca="true">IF(AA$5=0,Z67,MAX(0,(Z67-AA$4)*(1+NORMINV(RAND(),INPUTS!$B$28,INPUTS!$B$29))))</f>
        <v>1897545.94169149</v>
      </c>
      <c r="AB67" s="85" t="n">
        <f aca="true">IF(AB$5=0,AA67,MAX(0,(AA67-AB$4)*(1+NORMINV(RAND(),INPUTS!$B$28,INPUTS!$B$29))))</f>
        <v>1755132.17066468</v>
      </c>
      <c r="AC67" s="85" t="n">
        <f aca="true">IF(AC$5=0,AB67,MAX(0,(AB67-AC$4)*(1+NORMINV(RAND(),INPUTS!$B$28,INPUTS!$B$29))))</f>
        <v>1832678.64641595</v>
      </c>
      <c r="AD67" s="85" t="n">
        <f aca="true">IF(AD$5=0,AC67,MAX(0,(AC67-AD$4)*(1+NORMINV(RAND(),INPUTS!$B$28,INPUTS!$B$29))))</f>
        <v>1791315.47083023</v>
      </c>
      <c r="AE67" s="85" t="n">
        <f aca="true">IF(AE$5=0,AD67,MAX(0,(AD67-AE$4)*(1+NORMINV(RAND(),INPUTS!$B$28,INPUTS!$B$29))))</f>
        <v>1796565.46463328</v>
      </c>
      <c r="AF67" s="85" t="n">
        <f aca="true">IF(AF$5=0,AE67,MAX(0,(AE67-AF$4)*(1+NORMINV(RAND(),INPUTS!$B$28,INPUTS!$B$29))))</f>
        <v>1667591.03140812</v>
      </c>
      <c r="AG67" s="85" t="n">
        <f aca="true">IF(AG$5=0,AF67,MAX(0,(AF67-AG$4)*(1+NORMINV(RAND(),INPUTS!$B$28,INPUTS!$B$29))))</f>
        <v>1800858.9450243</v>
      </c>
      <c r="AH67" s="85" t="n">
        <f aca="true">IF(AH$5=0,AG67,MAX(0,(AG67-AH$4)*(1+NORMINV(RAND(),INPUTS!$B$28,INPUTS!$B$29))))</f>
        <v>1491887.87992809</v>
      </c>
      <c r="AI67" s="85" t="n">
        <f aca="true">IF(AI$5=0,AH67,MAX(0,(AH67-AI$4)*(1+NORMINV(RAND(),INPUTS!$B$28,INPUTS!$B$29))))</f>
        <v>1191848.8400465</v>
      </c>
      <c r="AJ67" s="85" t="n">
        <f aca="true">IF(AJ$5=0,AI67,MAX(0,(AI67-AJ$4)*(1+NORMINV(RAND(),INPUTS!$B$28,INPUTS!$B$29))))</f>
        <v>1175645.40120911</v>
      </c>
      <c r="AK67" s="85" t="n">
        <f aca="true">IF(AK$5=0,AJ67,MAX(0,(AJ67-AK$4)*(1+NORMINV(RAND(),INPUTS!$B$28,INPUTS!$B$29))))</f>
        <v>1388909.67400619</v>
      </c>
      <c r="AL67" s="85" t="n">
        <f aca="true">IF(AL$5=0,AK67,MAX(0,(AK67-AL$4)*(1+NORMINV(RAND(),INPUTS!$B$28,INPUTS!$B$29))))</f>
        <v>1238537.89412716</v>
      </c>
      <c r="AM67" s="85" t="n">
        <f aca="true">IF(AM$5=0,AL67,MAX(0,(AL67-AM$4)*(1+NORMINV(RAND(),INPUTS!$B$28,INPUTS!$B$29))))</f>
        <v>1238537.89412716</v>
      </c>
      <c r="AN67" s="85" t="n">
        <f aca="true">IF(AN$5=0,AM67,MAX(0,(AM67-AN$4)*(1+NORMINV(RAND(),INPUTS!$B$28,INPUTS!$B$29))))</f>
        <v>1238537.89412716</v>
      </c>
      <c r="AO67" s="85" t="n">
        <f aca="true">IF(AO$5=0,AN67,MAX(0,(AN67-AO$4)*(1+NORMINV(RAND(),INPUTS!$B$28,INPUTS!$B$29))))</f>
        <v>1238537.89412716</v>
      </c>
      <c r="AP67" s="85" t="n">
        <f aca="true">IF(AP$5=0,AO67,MAX(0,(AO67-AP$4)*(1+NORMINV(RAND(),INPUTS!$B$28,INPUTS!$B$29))))</f>
        <v>1238537.89412716</v>
      </c>
    </row>
    <row r="68" customFormat="false" ht="15" hidden="false" customHeight="true" outlineLevel="0" collapsed="false">
      <c r="A68" s="83" t="n">
        <v>61</v>
      </c>
      <c r="B68" s="84" t="n">
        <f aca="false">LOOKUP(9.99E+307,C68:AP68)</f>
        <v>0</v>
      </c>
      <c r="C68" s="85" t="n">
        <f aca="true">IF(C$5=0,INPUTS!$B$19,MAX(0,(INPUTS!$B$19-C$4)*(1+NORMINV(RAND(),INPUTS!$B$28,INPUTS!$B$29))))</f>
        <v>1224498.80912717</v>
      </c>
      <c r="D68" s="85" t="n">
        <f aca="true">IF(D$5=0,C68,MAX(0,(C68-D$4)*(1+NORMINV(RAND(),INPUTS!$B$28,INPUTS!$B$29))))</f>
        <v>1339250.818778</v>
      </c>
      <c r="E68" s="85" t="n">
        <f aca="true">IF(E$5=0,D68,MAX(0,(D68-E$4)*(1+NORMINV(RAND(),INPUTS!$B$28,INPUTS!$B$29))))</f>
        <v>1342718.24228113</v>
      </c>
      <c r="F68" s="85" t="n">
        <f aca="true">IF(F$5=0,E68,MAX(0,(E68-F$4)*(1+NORMINV(RAND(),INPUTS!$B$28,INPUTS!$B$29))))</f>
        <v>1357052.543691</v>
      </c>
      <c r="G68" s="85" t="n">
        <f aca="true">IF(G$5=0,F68,MAX(0,(F68-G$4)*(1+NORMINV(RAND(),INPUTS!$B$28,INPUTS!$B$29))))</f>
        <v>1438795.62871865</v>
      </c>
      <c r="H68" s="85" t="n">
        <f aca="true">IF(H$5=0,G68,MAX(0,(G68-H$4)*(1+NORMINV(RAND(),INPUTS!$B$28,INPUTS!$B$29))))</f>
        <v>1274012.38982579</v>
      </c>
      <c r="I68" s="85" t="n">
        <f aca="true">IF(I$5=0,H68,MAX(0,(H68-I$4)*(1+NORMINV(RAND(),INPUTS!$B$28,INPUTS!$B$29))))</f>
        <v>1401226.74600235</v>
      </c>
      <c r="J68" s="85" t="n">
        <f aca="true">IF(J$5=0,I68,MAX(0,(I68-J$4)*(1+NORMINV(RAND(),INPUTS!$B$28,INPUTS!$B$29))))</f>
        <v>1501125.32826224</v>
      </c>
      <c r="K68" s="85" t="n">
        <f aca="true">IF(K$5=0,J68,MAX(0,(J68-K$4)*(1+NORMINV(RAND(),INPUTS!$B$28,INPUTS!$B$29))))</f>
        <v>1758426.19532734</v>
      </c>
      <c r="L68" s="85" t="n">
        <f aca="true">IF(L$5=0,K68,MAX(0,(K68-L$4)*(1+NORMINV(RAND(),INPUTS!$B$28,INPUTS!$B$29))))</f>
        <v>1663854.74259009</v>
      </c>
      <c r="M68" s="85" t="n">
        <f aca="true">IF(M$5=0,L68,MAX(0,(L68-M$4)*(1+NORMINV(RAND(),INPUTS!$B$28,INPUTS!$B$29))))</f>
        <v>1797875.4911683</v>
      </c>
      <c r="N68" s="85" t="n">
        <f aca="true">IF(N$5=0,M68,MAX(0,(M68-N$4)*(1+NORMINV(RAND(),INPUTS!$B$28,INPUTS!$B$29))))</f>
        <v>1854382.09355606</v>
      </c>
      <c r="O68" s="85" t="n">
        <f aca="true">IF(O$5=0,N68,MAX(0,(N68-O$4)*(1+NORMINV(RAND(),INPUTS!$B$28,INPUTS!$B$29))))</f>
        <v>2050346.29551148</v>
      </c>
      <c r="P68" s="85" t="n">
        <f aca="true">IF(P$5=0,O68,MAX(0,(O68-P$4)*(1+NORMINV(RAND(),INPUTS!$B$28,INPUTS!$B$29))))</f>
        <v>1689328.30957252</v>
      </c>
      <c r="Q68" s="85" t="n">
        <f aca="true">IF(Q$5=0,P68,MAX(0,(P68-Q$4)*(1+NORMINV(RAND(),INPUTS!$B$28,INPUTS!$B$29))))</f>
        <v>1485421.74871512</v>
      </c>
      <c r="R68" s="85" t="n">
        <f aca="true">IF(R$5=0,Q68,MAX(0,(Q68-R$4)*(1+NORMINV(RAND(),INPUTS!$B$28,INPUTS!$B$29))))</f>
        <v>1245341.0249299</v>
      </c>
      <c r="S68" s="85" t="n">
        <f aca="true">IF(S$5=0,R68,MAX(0,(R68-S$4)*(1+NORMINV(RAND(),INPUTS!$B$28,INPUTS!$B$29))))</f>
        <v>1188557.29307897</v>
      </c>
      <c r="T68" s="85" t="n">
        <f aca="true">IF(T$5=0,S68,MAX(0,(S68-T$4)*(1+NORMINV(RAND(),INPUTS!$B$28,INPUTS!$B$29))))</f>
        <v>985819.750514036</v>
      </c>
      <c r="U68" s="85" t="n">
        <f aca="true">IF(U$5=0,T68,MAX(0,(T68-U$4)*(1+NORMINV(RAND(),INPUTS!$B$28,INPUTS!$B$29))))</f>
        <v>1033537.57693265</v>
      </c>
      <c r="V68" s="85" t="n">
        <f aca="true">IF(V$5=0,U68,MAX(0,(U68-V$4)*(1+NORMINV(RAND(),INPUTS!$B$28,INPUTS!$B$29))))</f>
        <v>945548.56085623</v>
      </c>
      <c r="W68" s="85" t="n">
        <f aca="true">IF(W$5=0,V68,MAX(0,(V68-W$4)*(1+NORMINV(RAND(),INPUTS!$B$28,INPUTS!$B$29))))</f>
        <v>842406.02549052</v>
      </c>
      <c r="X68" s="85" t="n">
        <f aca="true">IF(X$5=0,W68,MAX(0,(W68-X$4)*(1+NORMINV(RAND(),INPUTS!$B$28,INPUTS!$B$29))))</f>
        <v>716786.717830707</v>
      </c>
      <c r="Y68" s="85" t="n">
        <f aca="true">IF(Y$5=0,X68,MAX(0,(X68-Y$4)*(1+NORMINV(RAND(),INPUTS!$B$28,INPUTS!$B$29))))</f>
        <v>712710.238983667</v>
      </c>
      <c r="Z68" s="85" t="n">
        <f aca="true">IF(Z$5=0,Y68,MAX(0,(Y68-Z$4)*(1+NORMINV(RAND(),INPUTS!$B$28,INPUTS!$B$29))))</f>
        <v>695945.458517928</v>
      </c>
      <c r="AA68" s="85" t="n">
        <f aca="true">IF(AA$5=0,Z68,MAX(0,(Z68-AA$4)*(1+NORMINV(RAND(),INPUTS!$B$28,INPUTS!$B$29))))</f>
        <v>684298.77796495</v>
      </c>
      <c r="AB68" s="85" t="n">
        <f aca="true">IF(AB$5=0,AA68,MAX(0,(AA68-AB$4)*(1+NORMINV(RAND(),INPUTS!$B$28,INPUTS!$B$29))))</f>
        <v>580174.897079863</v>
      </c>
      <c r="AC68" s="85" t="n">
        <f aca="true">IF(AC$5=0,AB68,MAX(0,(AB68-AC$4)*(1+NORMINV(RAND(),INPUTS!$B$28,INPUTS!$B$29))))</f>
        <v>627671.418477192</v>
      </c>
      <c r="AD68" s="85" t="n">
        <f aca="true">IF(AD$5=0,AC68,MAX(0,(AC68-AD$4)*(1+NORMINV(RAND(),INPUTS!$B$28,INPUTS!$B$29))))</f>
        <v>585216.962301604</v>
      </c>
      <c r="AE68" s="85" t="n">
        <f aca="true">IF(AE$5=0,AD68,MAX(0,(AD68-AE$4)*(1+NORMINV(RAND(),INPUTS!$B$28,INPUTS!$B$29))))</f>
        <v>513345.848281922</v>
      </c>
      <c r="AF68" s="85" t="n">
        <f aca="true">IF(AF$5=0,AE68,MAX(0,(AE68-AF$4)*(1+NORMINV(RAND(),INPUTS!$B$28,INPUTS!$B$29))))</f>
        <v>402018.251681178</v>
      </c>
      <c r="AG68" s="85" t="n">
        <f aca="true">IF(AG$5=0,AF68,MAX(0,(AF68-AG$4)*(1+NORMINV(RAND(),INPUTS!$B$28,INPUTS!$B$29))))</f>
        <v>265765.372933363</v>
      </c>
      <c r="AH68" s="85" t="n">
        <f aca="true">IF(AH$5=0,AG68,MAX(0,(AG68-AH$4)*(1+NORMINV(RAND(),INPUTS!$B$28,INPUTS!$B$29))))</f>
        <v>193021.008594566</v>
      </c>
      <c r="AI68" s="85" t="n">
        <f aca="true">IF(AI$5=0,AH68,MAX(0,(AH68-AI$4)*(1+NORMINV(RAND(),INPUTS!$B$28,INPUTS!$B$29))))</f>
        <v>131674.591499623</v>
      </c>
      <c r="AJ68" s="85" t="n">
        <f aca="true">IF(AJ$5=0,AI68,MAX(0,(AI68-AJ$4)*(1+NORMINV(RAND(),INPUTS!$B$28,INPUTS!$B$29))))</f>
        <v>67448.8406093054</v>
      </c>
      <c r="AK68" s="85" t="n">
        <f aca="true">IF(AK$5=0,AJ68,MAX(0,(AJ68-AK$4)*(1+NORMINV(RAND(),INPUTS!$B$28,INPUTS!$B$29))))</f>
        <v>0</v>
      </c>
      <c r="AL68" s="85" t="n">
        <f aca="true">IF(AL$5=0,AK68,MAX(0,(AK68-AL$4)*(1+NORMINV(RAND(),INPUTS!$B$28,INPUTS!$B$29))))</f>
        <v>0</v>
      </c>
      <c r="AM68" s="85" t="n">
        <f aca="true">IF(AM$5=0,AL68,MAX(0,(AL68-AM$4)*(1+NORMINV(RAND(),INPUTS!$B$28,INPUTS!$B$29))))</f>
        <v>0</v>
      </c>
      <c r="AN68" s="85" t="n">
        <f aca="true">IF(AN$5=0,AM68,MAX(0,(AM68-AN$4)*(1+NORMINV(RAND(),INPUTS!$B$28,INPUTS!$B$29))))</f>
        <v>0</v>
      </c>
      <c r="AO68" s="85" t="n">
        <f aca="true">IF(AO$5=0,AN68,MAX(0,(AN68-AO$4)*(1+NORMINV(RAND(),INPUTS!$B$28,INPUTS!$B$29))))</f>
        <v>0</v>
      </c>
      <c r="AP68" s="85" t="n">
        <f aca="true">IF(AP$5=0,AO68,MAX(0,(AO68-AP$4)*(1+NORMINV(RAND(),INPUTS!$B$28,INPUTS!$B$29))))</f>
        <v>0</v>
      </c>
    </row>
    <row r="69" customFormat="false" ht="15" hidden="false" customHeight="true" outlineLevel="0" collapsed="false">
      <c r="A69" s="83" t="n">
        <v>62</v>
      </c>
      <c r="B69" s="84" t="n">
        <f aca="false">LOOKUP(9.99E+307,C69:AP69)</f>
        <v>3871023.29517134</v>
      </c>
      <c r="C69" s="85" t="n">
        <f aca="true">IF(C$5=0,INPUTS!$B$19,MAX(0,(INPUTS!$B$19-C$4)*(1+NORMINV(RAND(),INPUTS!$B$28,INPUTS!$B$29))))</f>
        <v>1032250.93129933</v>
      </c>
      <c r="D69" s="85" t="n">
        <f aca="true">IF(D$5=0,C69,MAX(0,(C69-D$4)*(1+NORMINV(RAND(),INPUTS!$B$28,INPUTS!$B$29))))</f>
        <v>1374058.88094593</v>
      </c>
      <c r="E69" s="85" t="n">
        <f aca="true">IF(E$5=0,D69,MAX(0,(D69-E$4)*(1+NORMINV(RAND(),INPUTS!$B$28,INPUTS!$B$29))))</f>
        <v>1468484.1955134</v>
      </c>
      <c r="F69" s="85" t="n">
        <f aca="true">IF(F$5=0,E69,MAX(0,(E69-F$4)*(1+NORMINV(RAND(),INPUTS!$B$28,INPUTS!$B$29))))</f>
        <v>1403881.12432688</v>
      </c>
      <c r="G69" s="85" t="n">
        <f aca="true">IF(G$5=0,F69,MAX(0,(F69-G$4)*(1+NORMINV(RAND(),INPUTS!$B$28,INPUTS!$B$29))))</f>
        <v>1371183.83298874</v>
      </c>
      <c r="H69" s="85" t="n">
        <f aca="true">IF(H$5=0,G69,MAX(0,(G69-H$4)*(1+NORMINV(RAND(),INPUTS!$B$28,INPUTS!$B$29))))</f>
        <v>1449187.66081357</v>
      </c>
      <c r="I69" s="85" t="n">
        <f aca="true">IF(I$5=0,H69,MAX(0,(H69-I$4)*(1+NORMINV(RAND(),INPUTS!$B$28,INPUTS!$B$29))))</f>
        <v>1507895.09883309</v>
      </c>
      <c r="J69" s="85" t="n">
        <f aca="true">IF(J$5=0,I69,MAX(0,(I69-J$4)*(1+NORMINV(RAND(),INPUTS!$B$28,INPUTS!$B$29))))</f>
        <v>1442853.63725554</v>
      </c>
      <c r="K69" s="85" t="n">
        <f aca="true">IF(K$5=0,J69,MAX(0,(J69-K$4)*(1+NORMINV(RAND(),INPUTS!$B$28,INPUTS!$B$29))))</f>
        <v>1803391.42882387</v>
      </c>
      <c r="L69" s="85" t="n">
        <f aca="true">IF(L$5=0,K69,MAX(0,(K69-L$4)*(1+NORMINV(RAND(),INPUTS!$B$28,INPUTS!$B$29))))</f>
        <v>2255825.21557856</v>
      </c>
      <c r="M69" s="85" t="n">
        <f aca="true">IF(M$5=0,L69,MAX(0,(L69-M$4)*(1+NORMINV(RAND(),INPUTS!$B$28,INPUTS!$B$29))))</f>
        <v>2822420.94899468</v>
      </c>
      <c r="N69" s="85" t="n">
        <f aca="true">IF(N$5=0,M69,MAX(0,(M69-N$4)*(1+NORMINV(RAND(),INPUTS!$B$28,INPUTS!$B$29))))</f>
        <v>2968644.48490685</v>
      </c>
      <c r="O69" s="85" t="n">
        <f aca="true">IF(O$5=0,N69,MAX(0,(N69-O$4)*(1+NORMINV(RAND(),INPUTS!$B$28,INPUTS!$B$29))))</f>
        <v>2831296.34515457</v>
      </c>
      <c r="P69" s="85" t="n">
        <f aca="true">IF(P$5=0,O69,MAX(0,(O69-P$4)*(1+NORMINV(RAND(),INPUTS!$B$28,INPUTS!$B$29))))</f>
        <v>2957542.09160945</v>
      </c>
      <c r="Q69" s="85" t="n">
        <f aca="true">IF(Q$5=0,P69,MAX(0,(P69-Q$4)*(1+NORMINV(RAND(),INPUTS!$B$28,INPUTS!$B$29))))</f>
        <v>2870405.88961223</v>
      </c>
      <c r="R69" s="85" t="n">
        <f aca="true">IF(R$5=0,Q69,MAX(0,(Q69-R$4)*(1+NORMINV(RAND(),INPUTS!$B$28,INPUTS!$B$29))))</f>
        <v>3398766.73992723</v>
      </c>
      <c r="S69" s="85" t="n">
        <f aca="true">IF(S$5=0,R69,MAX(0,(R69-S$4)*(1+NORMINV(RAND(),INPUTS!$B$28,INPUTS!$B$29))))</f>
        <v>3658674.33578727</v>
      </c>
      <c r="T69" s="85" t="n">
        <f aca="true">IF(T$5=0,S69,MAX(0,(S69-T$4)*(1+NORMINV(RAND(),INPUTS!$B$28,INPUTS!$B$29))))</f>
        <v>3888412.7255871</v>
      </c>
      <c r="U69" s="85" t="n">
        <f aca="true">IF(U$5=0,T69,MAX(0,(T69-U$4)*(1+NORMINV(RAND(),INPUTS!$B$28,INPUTS!$B$29))))</f>
        <v>4501160.17153818</v>
      </c>
      <c r="V69" s="85" t="n">
        <f aca="true">IF(V$5=0,U69,MAX(0,(U69-V$4)*(1+NORMINV(RAND(),INPUTS!$B$28,INPUTS!$B$29))))</f>
        <v>3915777.62425505</v>
      </c>
      <c r="W69" s="85" t="n">
        <f aca="true">IF(W$5=0,V69,MAX(0,(V69-W$4)*(1+NORMINV(RAND(),INPUTS!$B$28,INPUTS!$B$29))))</f>
        <v>3763659.92284735</v>
      </c>
      <c r="X69" s="85" t="n">
        <f aca="true">IF(X$5=0,W69,MAX(0,(W69-X$4)*(1+NORMINV(RAND(),INPUTS!$B$28,INPUTS!$B$29))))</f>
        <v>3596501.56297067</v>
      </c>
      <c r="Y69" s="85" t="n">
        <f aca="true">IF(Y$5=0,X69,MAX(0,(X69-Y$4)*(1+NORMINV(RAND(),INPUTS!$B$28,INPUTS!$B$29))))</f>
        <v>3212791.69981446</v>
      </c>
      <c r="Z69" s="85" t="n">
        <f aca="true">IF(Z$5=0,Y69,MAX(0,(Y69-Z$4)*(1+NORMINV(RAND(),INPUTS!$B$28,INPUTS!$B$29))))</f>
        <v>2367815.46753712</v>
      </c>
      <c r="AA69" s="85" t="n">
        <f aca="true">IF(AA$5=0,Z69,MAX(0,(Z69-AA$4)*(1+NORMINV(RAND(),INPUTS!$B$28,INPUTS!$B$29))))</f>
        <v>3027921.49986083</v>
      </c>
      <c r="AB69" s="85" t="n">
        <f aca="true">IF(AB$5=0,AA69,MAX(0,(AA69-AB$4)*(1+NORMINV(RAND(),INPUTS!$B$28,INPUTS!$B$29))))</f>
        <v>2848740.53850678</v>
      </c>
      <c r="AC69" s="85" t="n">
        <f aca="true">IF(AC$5=0,AB69,MAX(0,(AB69-AC$4)*(1+NORMINV(RAND(),INPUTS!$B$28,INPUTS!$B$29))))</f>
        <v>2693586.03886629</v>
      </c>
      <c r="AD69" s="85" t="n">
        <f aca="true">IF(AD$5=0,AC69,MAX(0,(AC69-AD$4)*(1+NORMINV(RAND(),INPUTS!$B$28,INPUTS!$B$29))))</f>
        <v>2441710.75492182</v>
      </c>
      <c r="AE69" s="85" t="n">
        <f aca="true">IF(AE$5=0,AD69,MAX(0,(AD69-AE$4)*(1+NORMINV(RAND(),INPUTS!$B$28,INPUTS!$B$29))))</f>
        <v>2434437.59464389</v>
      </c>
      <c r="AF69" s="85" t="n">
        <f aca="true">IF(AF$5=0,AE69,MAX(0,(AE69-AF$4)*(1+NORMINV(RAND(),INPUTS!$B$28,INPUTS!$B$29))))</f>
        <v>2402642.10874055</v>
      </c>
      <c r="AG69" s="85" t="n">
        <f aca="true">IF(AG$5=0,AF69,MAX(0,(AF69-AG$4)*(1+NORMINV(RAND(),INPUTS!$B$28,INPUTS!$B$29))))</f>
        <v>3181324.98703762</v>
      </c>
      <c r="AH69" s="85" t="n">
        <f aca="true">IF(AH$5=0,AG69,MAX(0,(AG69-AH$4)*(1+NORMINV(RAND(),INPUTS!$B$28,INPUTS!$B$29))))</f>
        <v>3475485.65210251</v>
      </c>
      <c r="AI69" s="85" t="n">
        <f aca="true">IF(AI$5=0,AH69,MAX(0,(AH69-AI$4)*(1+NORMINV(RAND(),INPUTS!$B$28,INPUTS!$B$29))))</f>
        <v>3822658.23091917</v>
      </c>
      <c r="AJ69" s="85" t="n">
        <f aca="true">IF(AJ$5=0,AI69,MAX(0,(AI69-AJ$4)*(1+NORMINV(RAND(),INPUTS!$B$28,INPUTS!$B$29))))</f>
        <v>4164038.42812034</v>
      </c>
      <c r="AK69" s="85" t="n">
        <f aca="true">IF(AK$5=0,AJ69,MAX(0,(AJ69-AK$4)*(1+NORMINV(RAND(),INPUTS!$B$28,INPUTS!$B$29))))</f>
        <v>4812813.38984279</v>
      </c>
      <c r="AL69" s="85" t="n">
        <f aca="true">IF(AL$5=0,AK69,MAX(0,(AK69-AL$4)*(1+NORMINV(RAND(),INPUTS!$B$28,INPUTS!$B$29))))</f>
        <v>3871023.29517134</v>
      </c>
      <c r="AM69" s="85" t="n">
        <f aca="true">IF(AM$5=0,AL69,MAX(0,(AL69-AM$4)*(1+NORMINV(RAND(),INPUTS!$B$28,INPUTS!$B$29))))</f>
        <v>3871023.29517134</v>
      </c>
      <c r="AN69" s="85" t="n">
        <f aca="true">IF(AN$5=0,AM69,MAX(0,(AM69-AN$4)*(1+NORMINV(RAND(),INPUTS!$B$28,INPUTS!$B$29))))</f>
        <v>3871023.29517134</v>
      </c>
      <c r="AO69" s="85" t="n">
        <f aca="true">IF(AO$5=0,AN69,MAX(0,(AN69-AO$4)*(1+NORMINV(RAND(),INPUTS!$B$28,INPUTS!$B$29))))</f>
        <v>3871023.29517134</v>
      </c>
      <c r="AP69" s="85" t="n">
        <f aca="true">IF(AP$5=0,AO69,MAX(0,(AO69-AP$4)*(1+NORMINV(RAND(),INPUTS!$B$28,INPUTS!$B$29))))</f>
        <v>3871023.29517134</v>
      </c>
    </row>
    <row r="70" customFormat="false" ht="15" hidden="false" customHeight="true" outlineLevel="0" collapsed="false">
      <c r="A70" s="83" t="n">
        <v>63</v>
      </c>
      <c r="B70" s="84" t="n">
        <f aca="false">LOOKUP(9.99E+307,C70:AP70)</f>
        <v>4369929.35576097</v>
      </c>
      <c r="C70" s="85" t="n">
        <f aca="true">IF(C$5=0,INPUTS!$B$19,MAX(0,(INPUTS!$B$19-C$4)*(1+NORMINV(RAND(),INPUTS!$B$28,INPUTS!$B$29))))</f>
        <v>1374678.04372413</v>
      </c>
      <c r="D70" s="85" t="n">
        <f aca="true">IF(D$5=0,C70,MAX(0,(C70-D$4)*(1+NORMINV(RAND(),INPUTS!$B$28,INPUTS!$B$29))))</f>
        <v>1150528.37088981</v>
      </c>
      <c r="E70" s="85" t="n">
        <f aca="true">IF(E$5=0,D70,MAX(0,(D70-E$4)*(1+NORMINV(RAND(),INPUTS!$B$28,INPUTS!$B$29))))</f>
        <v>1162250.88928557</v>
      </c>
      <c r="F70" s="85" t="n">
        <f aca="true">IF(F$5=0,E70,MAX(0,(E70-F$4)*(1+NORMINV(RAND(),INPUTS!$B$28,INPUTS!$B$29))))</f>
        <v>1192729.30301032</v>
      </c>
      <c r="G70" s="85" t="n">
        <f aca="true">IF(G$5=0,F70,MAX(0,(F70-G$4)*(1+NORMINV(RAND(),INPUTS!$B$28,INPUTS!$B$29))))</f>
        <v>1204605.96488926</v>
      </c>
      <c r="H70" s="85" t="n">
        <f aca="true">IF(H$5=0,G70,MAX(0,(G70-H$4)*(1+NORMINV(RAND(),INPUTS!$B$28,INPUTS!$B$29))))</f>
        <v>1289647.68009123</v>
      </c>
      <c r="I70" s="85" t="n">
        <f aca="true">IF(I$5=0,H70,MAX(0,(H70-I$4)*(1+NORMINV(RAND(),INPUTS!$B$28,INPUTS!$B$29))))</f>
        <v>1507686.32311041</v>
      </c>
      <c r="J70" s="85" t="n">
        <f aca="true">IF(J$5=0,I70,MAX(0,(I70-J$4)*(1+NORMINV(RAND(),INPUTS!$B$28,INPUTS!$B$29))))</f>
        <v>1463634.32907558</v>
      </c>
      <c r="K70" s="85" t="n">
        <f aca="true">IF(K$5=0,J70,MAX(0,(J70-K$4)*(1+NORMINV(RAND(),INPUTS!$B$28,INPUTS!$B$29))))</f>
        <v>1476039.57719029</v>
      </c>
      <c r="L70" s="85" t="n">
        <f aca="true">IF(L$5=0,K70,MAX(0,(K70-L$4)*(1+NORMINV(RAND(),INPUTS!$B$28,INPUTS!$B$29))))</f>
        <v>1598899.3030297</v>
      </c>
      <c r="M70" s="85" t="n">
        <f aca="true">IF(M$5=0,L70,MAX(0,(L70-M$4)*(1+NORMINV(RAND(),INPUTS!$B$28,INPUTS!$B$29))))</f>
        <v>1568606.53851218</v>
      </c>
      <c r="N70" s="85" t="n">
        <f aca="true">IF(N$5=0,M70,MAX(0,(M70-N$4)*(1+NORMINV(RAND(),INPUTS!$B$28,INPUTS!$B$29))))</f>
        <v>1606258.76350534</v>
      </c>
      <c r="O70" s="85" t="n">
        <f aca="true">IF(O$5=0,N70,MAX(0,(N70-O$4)*(1+NORMINV(RAND(),INPUTS!$B$28,INPUTS!$B$29))))</f>
        <v>1572217.59609136</v>
      </c>
      <c r="P70" s="85" t="n">
        <f aca="true">IF(P$5=0,O70,MAX(0,(O70-P$4)*(1+NORMINV(RAND(),INPUTS!$B$28,INPUTS!$B$29))))</f>
        <v>1448729.37245946</v>
      </c>
      <c r="Q70" s="85" t="n">
        <f aca="true">IF(Q$5=0,P70,MAX(0,(P70-Q$4)*(1+NORMINV(RAND(),INPUTS!$B$28,INPUTS!$B$29))))</f>
        <v>1421901.96635232</v>
      </c>
      <c r="R70" s="85" t="n">
        <f aca="true">IF(R$5=0,Q70,MAX(0,(Q70-R$4)*(1+NORMINV(RAND(),INPUTS!$B$28,INPUTS!$B$29))))</f>
        <v>1535164.1629436</v>
      </c>
      <c r="S70" s="85" t="n">
        <f aca="true">IF(S$5=0,R70,MAX(0,(R70-S$4)*(1+NORMINV(RAND(),INPUTS!$B$28,INPUTS!$B$29))))</f>
        <v>1850342.24607782</v>
      </c>
      <c r="T70" s="85" t="n">
        <f aca="true">IF(T$5=0,S70,MAX(0,(S70-T$4)*(1+NORMINV(RAND(),INPUTS!$B$28,INPUTS!$B$29))))</f>
        <v>1595198.11162781</v>
      </c>
      <c r="U70" s="85" t="n">
        <f aca="true">IF(U$5=0,T70,MAX(0,(T70-U$4)*(1+NORMINV(RAND(),INPUTS!$B$28,INPUTS!$B$29))))</f>
        <v>1908854.44778863</v>
      </c>
      <c r="V70" s="85" t="n">
        <f aca="true">IF(V$5=0,U70,MAX(0,(U70-V$4)*(1+NORMINV(RAND(),INPUTS!$B$28,INPUTS!$B$29))))</f>
        <v>1999626.66244935</v>
      </c>
      <c r="W70" s="85" t="n">
        <f aca="true">IF(W$5=0,V70,MAX(0,(V70-W$4)*(1+NORMINV(RAND(),INPUTS!$B$28,INPUTS!$B$29))))</f>
        <v>1929978.15595321</v>
      </c>
      <c r="X70" s="85" t="n">
        <f aca="true">IF(X$5=0,W70,MAX(0,(W70-X$4)*(1+NORMINV(RAND(),INPUTS!$B$28,INPUTS!$B$29))))</f>
        <v>2135775.26556886</v>
      </c>
      <c r="Y70" s="85" t="n">
        <f aca="true">IF(Y$5=0,X70,MAX(0,(X70-Y$4)*(1+NORMINV(RAND(),INPUTS!$B$28,INPUTS!$B$29))))</f>
        <v>2313952.12019072</v>
      </c>
      <c r="Z70" s="85" t="n">
        <f aca="true">IF(Z$5=0,Y70,MAX(0,(Y70-Z$4)*(1+NORMINV(RAND(),INPUTS!$B$28,INPUTS!$B$29))))</f>
        <v>2588828.16780384</v>
      </c>
      <c r="AA70" s="85" t="n">
        <f aca="true">IF(AA$5=0,Z70,MAX(0,(Z70-AA$4)*(1+NORMINV(RAND(),INPUTS!$B$28,INPUTS!$B$29))))</f>
        <v>2625378.05602713</v>
      </c>
      <c r="AB70" s="85" t="n">
        <f aca="true">IF(AB$5=0,AA70,MAX(0,(AA70-AB$4)*(1+NORMINV(RAND(),INPUTS!$B$28,INPUTS!$B$29))))</f>
        <v>2785821.87561403</v>
      </c>
      <c r="AC70" s="85" t="n">
        <f aca="true">IF(AC$5=0,AB70,MAX(0,(AB70-AC$4)*(1+NORMINV(RAND(),INPUTS!$B$28,INPUTS!$B$29))))</f>
        <v>2556234.02294741</v>
      </c>
      <c r="AD70" s="85" t="n">
        <f aca="true">IF(AD$5=0,AC70,MAX(0,(AC70-AD$4)*(1+NORMINV(RAND(),INPUTS!$B$28,INPUTS!$B$29))))</f>
        <v>3063545.20072682</v>
      </c>
      <c r="AE70" s="85" t="n">
        <f aca="true">IF(AE$5=0,AD70,MAX(0,(AD70-AE$4)*(1+NORMINV(RAND(),INPUTS!$B$28,INPUTS!$B$29))))</f>
        <v>3151313.80637819</v>
      </c>
      <c r="AF70" s="85" t="n">
        <f aca="true">IF(AF$5=0,AE70,MAX(0,(AE70-AF$4)*(1+NORMINV(RAND(),INPUTS!$B$28,INPUTS!$B$29))))</f>
        <v>3150673.39698521</v>
      </c>
      <c r="AG70" s="85" t="n">
        <f aca="true">IF(AG$5=0,AF70,MAX(0,(AF70-AG$4)*(1+NORMINV(RAND(),INPUTS!$B$28,INPUTS!$B$29))))</f>
        <v>3322864.40672278</v>
      </c>
      <c r="AH70" s="85" t="n">
        <f aca="true">IF(AH$5=0,AG70,MAX(0,(AG70-AH$4)*(1+NORMINV(RAND(),INPUTS!$B$28,INPUTS!$B$29))))</f>
        <v>4019333.79549506</v>
      </c>
      <c r="AI70" s="85" t="n">
        <f aca="true">IF(AI$5=0,AH70,MAX(0,(AH70-AI$4)*(1+NORMINV(RAND(),INPUTS!$B$28,INPUTS!$B$29))))</f>
        <v>3419029.49463264</v>
      </c>
      <c r="AJ70" s="85" t="n">
        <f aca="true">IF(AJ$5=0,AI70,MAX(0,(AI70-AJ$4)*(1+NORMINV(RAND(),INPUTS!$B$28,INPUTS!$B$29))))</f>
        <v>3477730.41330339</v>
      </c>
      <c r="AK70" s="85" t="n">
        <f aca="true">IF(AK$5=0,AJ70,MAX(0,(AJ70-AK$4)*(1+NORMINV(RAND(),INPUTS!$B$28,INPUTS!$B$29))))</f>
        <v>3995141.97505923</v>
      </c>
      <c r="AL70" s="85" t="n">
        <f aca="true">IF(AL$5=0,AK70,MAX(0,(AK70-AL$4)*(1+NORMINV(RAND(),INPUTS!$B$28,INPUTS!$B$29))))</f>
        <v>4369929.35576097</v>
      </c>
      <c r="AM70" s="85" t="n">
        <f aca="true">IF(AM$5=0,AL70,MAX(0,(AL70-AM$4)*(1+NORMINV(RAND(),INPUTS!$B$28,INPUTS!$B$29))))</f>
        <v>4369929.35576097</v>
      </c>
      <c r="AN70" s="85" t="n">
        <f aca="true">IF(AN$5=0,AM70,MAX(0,(AM70-AN$4)*(1+NORMINV(RAND(),INPUTS!$B$28,INPUTS!$B$29))))</f>
        <v>4369929.35576097</v>
      </c>
      <c r="AO70" s="85" t="n">
        <f aca="true">IF(AO$5=0,AN70,MAX(0,(AN70-AO$4)*(1+NORMINV(RAND(),INPUTS!$B$28,INPUTS!$B$29))))</f>
        <v>4369929.35576097</v>
      </c>
      <c r="AP70" s="85" t="n">
        <f aca="true">IF(AP$5=0,AO70,MAX(0,(AO70-AP$4)*(1+NORMINV(RAND(),INPUTS!$B$28,INPUTS!$B$29))))</f>
        <v>4369929.35576097</v>
      </c>
    </row>
    <row r="71" customFormat="false" ht="15" hidden="false" customHeight="true" outlineLevel="0" collapsed="false">
      <c r="A71" s="83" t="n">
        <v>64</v>
      </c>
      <c r="B71" s="84" t="n">
        <f aca="false">LOOKUP(9.99E+307,C71:AP71)</f>
        <v>3890846.8531782</v>
      </c>
      <c r="C71" s="85" t="n">
        <f aca="true">IF(C$5=0,INPUTS!$B$19,MAX(0,(INPUTS!$B$19-C$4)*(1+NORMINV(RAND(),INPUTS!$B$28,INPUTS!$B$29))))</f>
        <v>1473804.38346595</v>
      </c>
      <c r="D71" s="85" t="n">
        <f aca="true">IF(D$5=0,C71,MAX(0,(C71-D$4)*(1+NORMINV(RAND(),INPUTS!$B$28,INPUTS!$B$29))))</f>
        <v>1533637.6308427</v>
      </c>
      <c r="E71" s="85" t="n">
        <f aca="true">IF(E$5=0,D71,MAX(0,(D71-E$4)*(1+NORMINV(RAND(),INPUTS!$B$28,INPUTS!$B$29))))</f>
        <v>1443508.47951858</v>
      </c>
      <c r="F71" s="85" t="n">
        <f aca="true">IF(F$5=0,E71,MAX(0,(E71-F$4)*(1+NORMINV(RAND(),INPUTS!$B$28,INPUTS!$B$29))))</f>
        <v>1250736.43961838</v>
      </c>
      <c r="G71" s="85" t="n">
        <f aca="true">IF(G$5=0,F71,MAX(0,(F71-G$4)*(1+NORMINV(RAND(),INPUTS!$B$28,INPUTS!$B$29))))</f>
        <v>1431005.41162168</v>
      </c>
      <c r="H71" s="85" t="n">
        <f aca="true">IF(H$5=0,G71,MAX(0,(G71-H$4)*(1+NORMINV(RAND(),INPUTS!$B$28,INPUTS!$B$29))))</f>
        <v>1354493.30323167</v>
      </c>
      <c r="I71" s="85" t="n">
        <f aca="true">IF(I$5=0,H71,MAX(0,(H71-I$4)*(1+NORMINV(RAND(),INPUTS!$B$28,INPUTS!$B$29))))</f>
        <v>1488393.94436896</v>
      </c>
      <c r="J71" s="85" t="n">
        <f aca="true">IF(J$5=0,I71,MAX(0,(I71-J$4)*(1+NORMINV(RAND(),INPUTS!$B$28,INPUTS!$B$29))))</f>
        <v>1533675.87533565</v>
      </c>
      <c r="K71" s="85" t="n">
        <f aca="true">IF(K$5=0,J71,MAX(0,(J71-K$4)*(1+NORMINV(RAND(),INPUTS!$B$28,INPUTS!$B$29))))</f>
        <v>1720666.59365785</v>
      </c>
      <c r="L71" s="85" t="n">
        <f aca="true">IF(L$5=0,K71,MAX(0,(K71-L$4)*(1+NORMINV(RAND(),INPUTS!$B$28,INPUTS!$B$29))))</f>
        <v>1522474.56608926</v>
      </c>
      <c r="M71" s="85" t="n">
        <f aca="true">IF(M$5=0,L71,MAX(0,(L71-M$4)*(1+NORMINV(RAND(),INPUTS!$B$28,INPUTS!$B$29))))</f>
        <v>1503730.80025529</v>
      </c>
      <c r="N71" s="85" t="n">
        <f aca="true">IF(N$5=0,M71,MAX(0,(M71-N$4)*(1+NORMINV(RAND(),INPUTS!$B$28,INPUTS!$B$29))))</f>
        <v>1202471.00025178</v>
      </c>
      <c r="O71" s="85" t="n">
        <f aca="true">IF(O$5=0,N71,MAX(0,(N71-O$4)*(1+NORMINV(RAND(),INPUTS!$B$28,INPUTS!$B$29))))</f>
        <v>1339686.67511595</v>
      </c>
      <c r="P71" s="85" t="n">
        <f aca="true">IF(P$5=0,O71,MAX(0,(O71-P$4)*(1+NORMINV(RAND(),INPUTS!$B$28,INPUTS!$B$29))))</f>
        <v>1339587.67911886</v>
      </c>
      <c r="Q71" s="85" t="n">
        <f aca="true">IF(Q$5=0,P71,MAX(0,(P71-Q$4)*(1+NORMINV(RAND(),INPUTS!$B$28,INPUTS!$B$29))))</f>
        <v>1231929.05632031</v>
      </c>
      <c r="R71" s="85" t="n">
        <f aca="true">IF(R$5=0,Q71,MAX(0,(Q71-R$4)*(1+NORMINV(RAND(),INPUTS!$B$28,INPUTS!$B$29))))</f>
        <v>1544327.4996336</v>
      </c>
      <c r="S71" s="85" t="n">
        <f aca="true">IF(S$5=0,R71,MAX(0,(R71-S$4)*(1+NORMINV(RAND(),INPUTS!$B$28,INPUTS!$B$29))))</f>
        <v>1793466.76376176</v>
      </c>
      <c r="T71" s="85" t="n">
        <f aca="true">IF(T$5=0,S71,MAX(0,(S71-T$4)*(1+NORMINV(RAND(),INPUTS!$B$28,INPUTS!$B$29))))</f>
        <v>1781614.47493552</v>
      </c>
      <c r="U71" s="85" t="n">
        <f aca="true">IF(U$5=0,T71,MAX(0,(T71-U$4)*(1+NORMINV(RAND(),INPUTS!$B$28,INPUTS!$B$29))))</f>
        <v>2040237.1633699</v>
      </c>
      <c r="V71" s="85" t="n">
        <f aca="true">IF(V$5=0,U71,MAX(0,(U71-V$4)*(1+NORMINV(RAND(),INPUTS!$B$28,INPUTS!$B$29))))</f>
        <v>2146098.37498509</v>
      </c>
      <c r="W71" s="85" t="n">
        <f aca="true">IF(W$5=0,V71,MAX(0,(V71-W$4)*(1+NORMINV(RAND(),INPUTS!$B$28,INPUTS!$B$29))))</f>
        <v>2314790.95801835</v>
      </c>
      <c r="X71" s="85" t="n">
        <f aca="true">IF(X$5=0,W71,MAX(0,(W71-X$4)*(1+NORMINV(RAND(),INPUTS!$B$28,INPUTS!$B$29))))</f>
        <v>2605389.05518369</v>
      </c>
      <c r="Y71" s="85" t="n">
        <f aca="true">IF(Y$5=0,X71,MAX(0,(X71-Y$4)*(1+NORMINV(RAND(),INPUTS!$B$28,INPUTS!$B$29))))</f>
        <v>2538113.79940052</v>
      </c>
      <c r="Z71" s="85" t="n">
        <f aca="true">IF(Z$5=0,Y71,MAX(0,(Y71-Z$4)*(1+NORMINV(RAND(),INPUTS!$B$28,INPUTS!$B$29))))</f>
        <v>2625039.35042205</v>
      </c>
      <c r="AA71" s="85" t="n">
        <f aca="true">IF(AA$5=0,Z71,MAX(0,(Z71-AA$4)*(1+NORMINV(RAND(),INPUTS!$B$28,INPUTS!$B$29))))</f>
        <v>3206686.04410465</v>
      </c>
      <c r="AB71" s="85" t="n">
        <f aca="true">IF(AB$5=0,AA71,MAX(0,(AA71-AB$4)*(1+NORMINV(RAND(),INPUTS!$B$28,INPUTS!$B$29))))</f>
        <v>2717243.41422139</v>
      </c>
      <c r="AC71" s="85" t="n">
        <f aca="true">IF(AC$5=0,AB71,MAX(0,(AB71-AC$4)*(1+NORMINV(RAND(),INPUTS!$B$28,INPUTS!$B$29))))</f>
        <v>3077641.61175978</v>
      </c>
      <c r="AD71" s="85" t="n">
        <f aca="true">IF(AD$5=0,AC71,MAX(0,(AC71-AD$4)*(1+NORMINV(RAND(),INPUTS!$B$28,INPUTS!$B$29))))</f>
        <v>3926743.58402108</v>
      </c>
      <c r="AE71" s="85" t="n">
        <f aca="true">IF(AE$5=0,AD71,MAX(0,(AD71-AE$4)*(1+NORMINV(RAND(),INPUTS!$B$28,INPUTS!$B$29))))</f>
        <v>4211406.7097895</v>
      </c>
      <c r="AF71" s="85" t="n">
        <f aca="true">IF(AF$5=0,AE71,MAX(0,(AE71-AF$4)*(1+NORMINV(RAND(),INPUTS!$B$28,INPUTS!$B$29))))</f>
        <v>4254206.81293233</v>
      </c>
      <c r="AG71" s="85" t="n">
        <f aca="true">IF(AG$5=0,AF71,MAX(0,(AF71-AG$4)*(1+NORMINV(RAND(),INPUTS!$B$28,INPUTS!$B$29))))</f>
        <v>3873198.19992969</v>
      </c>
      <c r="AH71" s="85" t="n">
        <f aca="true">IF(AH$5=0,AG71,MAX(0,(AG71-AH$4)*(1+NORMINV(RAND(),INPUTS!$B$28,INPUTS!$B$29))))</f>
        <v>3247886.54935638</v>
      </c>
      <c r="AI71" s="85" t="n">
        <f aca="true">IF(AI$5=0,AH71,MAX(0,(AH71-AI$4)*(1+NORMINV(RAND(),INPUTS!$B$28,INPUTS!$B$29))))</f>
        <v>3192836.87357692</v>
      </c>
      <c r="AJ71" s="85" t="n">
        <f aca="true">IF(AJ$5=0,AI71,MAX(0,(AI71-AJ$4)*(1+NORMINV(RAND(),INPUTS!$B$28,INPUTS!$B$29))))</f>
        <v>3745186.3154383</v>
      </c>
      <c r="AK71" s="85" t="n">
        <f aca="true">IF(AK$5=0,AJ71,MAX(0,(AJ71-AK$4)*(1+NORMINV(RAND(),INPUTS!$B$28,INPUTS!$B$29))))</f>
        <v>3967178.97007394</v>
      </c>
      <c r="AL71" s="85" t="n">
        <f aca="true">IF(AL$5=0,AK71,MAX(0,(AK71-AL$4)*(1+NORMINV(RAND(),INPUTS!$B$28,INPUTS!$B$29))))</f>
        <v>3890846.8531782</v>
      </c>
      <c r="AM71" s="85" t="n">
        <f aca="true">IF(AM$5=0,AL71,MAX(0,(AL71-AM$4)*(1+NORMINV(RAND(),INPUTS!$B$28,INPUTS!$B$29))))</f>
        <v>3890846.8531782</v>
      </c>
      <c r="AN71" s="85" t="n">
        <f aca="true">IF(AN$5=0,AM71,MAX(0,(AM71-AN$4)*(1+NORMINV(RAND(),INPUTS!$B$28,INPUTS!$B$29))))</f>
        <v>3890846.8531782</v>
      </c>
      <c r="AO71" s="85" t="n">
        <f aca="true">IF(AO$5=0,AN71,MAX(0,(AN71-AO$4)*(1+NORMINV(RAND(),INPUTS!$B$28,INPUTS!$B$29))))</f>
        <v>3890846.8531782</v>
      </c>
      <c r="AP71" s="85" t="n">
        <f aca="true">IF(AP$5=0,AO71,MAX(0,(AO71-AP$4)*(1+NORMINV(RAND(),INPUTS!$B$28,INPUTS!$B$29))))</f>
        <v>3890846.8531782</v>
      </c>
    </row>
    <row r="72" customFormat="false" ht="15" hidden="false" customHeight="true" outlineLevel="0" collapsed="false">
      <c r="A72" s="83" t="n">
        <v>65</v>
      </c>
      <c r="B72" s="84" t="n">
        <f aca="false">LOOKUP(9.99E+307,C72:AP72)</f>
        <v>0</v>
      </c>
      <c r="C72" s="85" t="n">
        <f aca="true">IF(C$5=0,INPUTS!$B$19,MAX(0,(INPUTS!$B$19-C$4)*(1+NORMINV(RAND(),INPUTS!$B$28,INPUTS!$B$29))))</f>
        <v>1124384.22556721</v>
      </c>
      <c r="D72" s="85" t="n">
        <f aca="true">IF(D$5=0,C72,MAX(0,(C72-D$4)*(1+NORMINV(RAND(),INPUTS!$B$28,INPUTS!$B$29))))</f>
        <v>1027148.66083032</v>
      </c>
      <c r="E72" s="85" t="n">
        <f aca="true">IF(E$5=0,D72,MAX(0,(D72-E$4)*(1+NORMINV(RAND(),INPUTS!$B$28,INPUTS!$B$29))))</f>
        <v>1001322.80629407</v>
      </c>
      <c r="F72" s="85" t="n">
        <f aca="true">IF(F$5=0,E72,MAX(0,(E72-F$4)*(1+NORMINV(RAND(),INPUTS!$B$28,INPUTS!$B$29))))</f>
        <v>944737.262918306</v>
      </c>
      <c r="G72" s="85" t="n">
        <f aca="true">IF(G$5=0,F72,MAX(0,(F72-G$4)*(1+NORMINV(RAND(),INPUTS!$B$28,INPUTS!$B$29))))</f>
        <v>826411.928318</v>
      </c>
      <c r="H72" s="85" t="n">
        <f aca="true">IF(H$5=0,G72,MAX(0,(G72-H$4)*(1+NORMINV(RAND(),INPUTS!$B$28,INPUTS!$B$29))))</f>
        <v>859695.718043334</v>
      </c>
      <c r="I72" s="85" t="n">
        <f aca="true">IF(I$5=0,H72,MAX(0,(H72-I$4)*(1+NORMINV(RAND(),INPUTS!$B$28,INPUTS!$B$29))))</f>
        <v>925377.035106445</v>
      </c>
      <c r="J72" s="85" t="n">
        <f aca="true">IF(J$5=0,I72,MAX(0,(I72-J$4)*(1+NORMINV(RAND(),INPUTS!$B$28,INPUTS!$B$29))))</f>
        <v>1122535.97340774</v>
      </c>
      <c r="K72" s="85" t="n">
        <f aca="true">IF(K$5=0,J72,MAX(0,(J72-K$4)*(1+NORMINV(RAND(),INPUTS!$B$28,INPUTS!$B$29))))</f>
        <v>904074.905343296</v>
      </c>
      <c r="L72" s="85" t="n">
        <f aca="true">IF(L$5=0,K72,MAX(0,(K72-L$4)*(1+NORMINV(RAND(),INPUTS!$B$28,INPUTS!$B$29))))</f>
        <v>761297.965876823</v>
      </c>
      <c r="M72" s="85" t="n">
        <f aca="true">IF(M$5=0,L72,MAX(0,(L72-M$4)*(1+NORMINV(RAND(),INPUTS!$B$28,INPUTS!$B$29))))</f>
        <v>763717.921052558</v>
      </c>
      <c r="N72" s="85" t="n">
        <f aca="true">IF(N$5=0,M72,MAX(0,(M72-N$4)*(1+NORMINV(RAND(),INPUTS!$B$28,INPUTS!$B$29))))</f>
        <v>690031.343669006</v>
      </c>
      <c r="O72" s="85" t="n">
        <f aca="true">IF(O$5=0,N72,MAX(0,(N72-O$4)*(1+NORMINV(RAND(),INPUTS!$B$28,INPUTS!$B$29))))</f>
        <v>700105.161741847</v>
      </c>
      <c r="P72" s="85" t="n">
        <f aca="true">IF(P$5=0,O72,MAX(0,(O72-P$4)*(1+NORMINV(RAND(),INPUTS!$B$28,INPUTS!$B$29))))</f>
        <v>665315.570273424</v>
      </c>
      <c r="Q72" s="85" t="n">
        <f aca="true">IF(Q$5=0,P72,MAX(0,(P72-Q$4)*(1+NORMINV(RAND(),INPUTS!$B$28,INPUTS!$B$29))))</f>
        <v>643200.165634872</v>
      </c>
      <c r="R72" s="85" t="n">
        <f aca="true">IF(R$5=0,Q72,MAX(0,(Q72-R$4)*(1+NORMINV(RAND(),INPUTS!$B$28,INPUTS!$B$29))))</f>
        <v>456192.364185243</v>
      </c>
      <c r="S72" s="85" t="n">
        <f aca="true">IF(S$5=0,R72,MAX(0,(R72-S$4)*(1+NORMINV(RAND(),INPUTS!$B$28,INPUTS!$B$29))))</f>
        <v>392188.972909393</v>
      </c>
      <c r="T72" s="85" t="n">
        <f aca="true">IF(T$5=0,S72,MAX(0,(S72-T$4)*(1+NORMINV(RAND(),INPUTS!$B$28,INPUTS!$B$29))))</f>
        <v>353809.429883301</v>
      </c>
      <c r="U72" s="85" t="n">
        <f aca="true">IF(U$5=0,T72,MAX(0,(T72-U$4)*(1+NORMINV(RAND(),INPUTS!$B$28,INPUTS!$B$29))))</f>
        <v>261487.498210823</v>
      </c>
      <c r="V72" s="85" t="n">
        <f aca="true">IF(V$5=0,U72,MAX(0,(U72-V$4)*(1+NORMINV(RAND(),INPUTS!$B$28,INPUTS!$B$29))))</f>
        <v>226900.469674495</v>
      </c>
      <c r="W72" s="85" t="n">
        <f aca="true">IF(W$5=0,V72,MAX(0,(V72-W$4)*(1+NORMINV(RAND(),INPUTS!$B$28,INPUTS!$B$29))))</f>
        <v>157911.96163842</v>
      </c>
      <c r="X72" s="85" t="n">
        <f aca="true">IF(X$5=0,W72,MAX(0,(W72-X$4)*(1+NORMINV(RAND(),INPUTS!$B$28,INPUTS!$B$29))))</f>
        <v>102678.246996495</v>
      </c>
      <c r="Y72" s="85" t="n">
        <f aca="true">IF(Y$5=0,X72,MAX(0,(X72-Y$4)*(1+NORMINV(RAND(),INPUTS!$B$28,INPUTS!$B$29))))</f>
        <v>53900.8097133607</v>
      </c>
      <c r="Z72" s="85" t="n">
        <f aca="true">IF(Z$5=0,Y72,MAX(0,(Y72-Z$4)*(1+NORMINV(RAND(),INPUTS!$B$28,INPUTS!$B$29))))</f>
        <v>0</v>
      </c>
      <c r="AA72" s="85" t="n">
        <f aca="true">IF(AA$5=0,Z72,MAX(0,(Z72-AA$4)*(1+NORMINV(RAND(),INPUTS!$B$28,INPUTS!$B$29))))</f>
        <v>0</v>
      </c>
      <c r="AB72" s="85" t="n">
        <f aca="true">IF(AB$5=0,AA72,MAX(0,(AA72-AB$4)*(1+NORMINV(RAND(),INPUTS!$B$28,INPUTS!$B$29))))</f>
        <v>0</v>
      </c>
      <c r="AC72" s="85" t="n">
        <f aca="true">IF(AC$5=0,AB72,MAX(0,(AB72-AC$4)*(1+NORMINV(RAND(),INPUTS!$B$28,INPUTS!$B$29))))</f>
        <v>0</v>
      </c>
      <c r="AD72" s="85" t="n">
        <f aca="true">IF(AD$5=0,AC72,MAX(0,(AC72-AD$4)*(1+NORMINV(RAND(),INPUTS!$B$28,INPUTS!$B$29))))</f>
        <v>0</v>
      </c>
      <c r="AE72" s="85" t="n">
        <f aca="true">IF(AE$5=0,AD72,MAX(0,(AD72-AE$4)*(1+NORMINV(RAND(),INPUTS!$B$28,INPUTS!$B$29))))</f>
        <v>0</v>
      </c>
      <c r="AF72" s="85" t="n">
        <f aca="true">IF(AF$5=0,AE72,MAX(0,(AE72-AF$4)*(1+NORMINV(RAND(),INPUTS!$B$28,INPUTS!$B$29))))</f>
        <v>0</v>
      </c>
      <c r="AG72" s="85" t="n">
        <f aca="true">IF(AG$5=0,AF72,MAX(0,(AF72-AG$4)*(1+NORMINV(RAND(),INPUTS!$B$28,INPUTS!$B$29))))</f>
        <v>0</v>
      </c>
      <c r="AH72" s="85" t="n">
        <f aca="true">IF(AH$5=0,AG72,MAX(0,(AG72-AH$4)*(1+NORMINV(RAND(),INPUTS!$B$28,INPUTS!$B$29))))</f>
        <v>0</v>
      </c>
      <c r="AI72" s="85" t="n">
        <f aca="true">IF(AI$5=0,AH72,MAX(0,(AH72-AI$4)*(1+NORMINV(RAND(),INPUTS!$B$28,INPUTS!$B$29))))</f>
        <v>0</v>
      </c>
      <c r="AJ72" s="85" t="n">
        <f aca="true">IF(AJ$5=0,AI72,MAX(0,(AI72-AJ$4)*(1+NORMINV(RAND(),INPUTS!$B$28,INPUTS!$B$29))))</f>
        <v>0</v>
      </c>
      <c r="AK72" s="85" t="n">
        <f aca="true">IF(AK$5=0,AJ72,MAX(0,(AJ72-AK$4)*(1+NORMINV(RAND(),INPUTS!$B$28,INPUTS!$B$29))))</f>
        <v>0</v>
      </c>
      <c r="AL72" s="85" t="n">
        <f aca="true">IF(AL$5=0,AK72,MAX(0,(AK72-AL$4)*(1+NORMINV(RAND(),INPUTS!$B$28,INPUTS!$B$29))))</f>
        <v>0</v>
      </c>
      <c r="AM72" s="85" t="n">
        <f aca="true">IF(AM$5=0,AL72,MAX(0,(AL72-AM$4)*(1+NORMINV(RAND(),INPUTS!$B$28,INPUTS!$B$29))))</f>
        <v>0</v>
      </c>
      <c r="AN72" s="85" t="n">
        <f aca="true">IF(AN$5=0,AM72,MAX(0,(AM72-AN$4)*(1+NORMINV(RAND(),INPUTS!$B$28,INPUTS!$B$29))))</f>
        <v>0</v>
      </c>
      <c r="AO72" s="85" t="n">
        <f aca="true">IF(AO$5=0,AN72,MAX(0,(AN72-AO$4)*(1+NORMINV(RAND(),INPUTS!$B$28,INPUTS!$B$29))))</f>
        <v>0</v>
      </c>
      <c r="AP72" s="85" t="n">
        <f aca="true">IF(AP$5=0,AO72,MAX(0,(AO72-AP$4)*(1+NORMINV(RAND(),INPUTS!$B$28,INPUTS!$B$29))))</f>
        <v>0</v>
      </c>
    </row>
    <row r="73" customFormat="false" ht="15" hidden="false" customHeight="true" outlineLevel="0" collapsed="false">
      <c r="A73" s="83" t="n">
        <v>66</v>
      </c>
      <c r="B73" s="84" t="n">
        <f aca="false">LOOKUP(9.99E+307,C73:AP73)</f>
        <v>8552419.87352589</v>
      </c>
      <c r="C73" s="85" t="n">
        <f aca="true">IF(C$5=0,INPUTS!$B$19,MAX(0,(INPUTS!$B$19-C$4)*(1+NORMINV(RAND(),INPUTS!$B$28,INPUTS!$B$29))))</f>
        <v>1261720.94263251</v>
      </c>
      <c r="D73" s="85" t="n">
        <f aca="true">IF(D$5=0,C73,MAX(0,(C73-D$4)*(1+NORMINV(RAND(),INPUTS!$B$28,INPUTS!$B$29))))</f>
        <v>1427715.05685678</v>
      </c>
      <c r="E73" s="85" t="n">
        <f aca="true">IF(E$5=0,D73,MAX(0,(D73-E$4)*(1+NORMINV(RAND(),INPUTS!$B$28,INPUTS!$B$29))))</f>
        <v>1203717.65748024</v>
      </c>
      <c r="F73" s="85" t="n">
        <f aca="true">IF(F$5=0,E73,MAX(0,(E73-F$4)*(1+NORMINV(RAND(),INPUTS!$B$28,INPUTS!$B$29))))</f>
        <v>1258721.40987821</v>
      </c>
      <c r="G73" s="85" t="n">
        <f aca="true">IF(G$5=0,F73,MAX(0,(F73-G$4)*(1+NORMINV(RAND(),INPUTS!$B$28,INPUTS!$B$29))))</f>
        <v>1392364.24276837</v>
      </c>
      <c r="H73" s="85" t="n">
        <f aca="true">IF(H$5=0,G73,MAX(0,(G73-H$4)*(1+NORMINV(RAND(),INPUTS!$B$28,INPUTS!$B$29))))</f>
        <v>1561962.07804186</v>
      </c>
      <c r="I73" s="85" t="n">
        <f aca="true">IF(I$5=0,H73,MAX(0,(H73-I$4)*(1+NORMINV(RAND(),INPUTS!$B$28,INPUTS!$B$29))))</f>
        <v>1671875.85730397</v>
      </c>
      <c r="J73" s="85" t="n">
        <f aca="true">IF(J$5=0,I73,MAX(0,(I73-J$4)*(1+NORMINV(RAND(),INPUTS!$B$28,INPUTS!$B$29))))</f>
        <v>1559911.5667136</v>
      </c>
      <c r="K73" s="85" t="n">
        <f aca="true">IF(K$5=0,J73,MAX(0,(J73-K$4)*(1+NORMINV(RAND(),INPUTS!$B$28,INPUTS!$B$29))))</f>
        <v>1560195.69788285</v>
      </c>
      <c r="L73" s="85" t="n">
        <f aca="true">IF(L$5=0,K73,MAX(0,(K73-L$4)*(1+NORMINV(RAND(),INPUTS!$B$28,INPUTS!$B$29))))</f>
        <v>1653151.90589607</v>
      </c>
      <c r="M73" s="85" t="n">
        <f aca="true">IF(M$5=0,L73,MAX(0,(L73-M$4)*(1+NORMINV(RAND(),INPUTS!$B$28,INPUTS!$B$29))))</f>
        <v>1816488.30685309</v>
      </c>
      <c r="N73" s="85" t="n">
        <f aca="true">IF(N$5=0,M73,MAX(0,(M73-N$4)*(1+NORMINV(RAND(),INPUTS!$B$28,INPUTS!$B$29))))</f>
        <v>1871349.3377942</v>
      </c>
      <c r="O73" s="85" t="n">
        <f aca="true">IF(O$5=0,N73,MAX(0,(N73-O$4)*(1+NORMINV(RAND(),INPUTS!$B$28,INPUTS!$B$29))))</f>
        <v>1948923.54732764</v>
      </c>
      <c r="P73" s="85" t="n">
        <f aca="true">IF(P$5=0,O73,MAX(0,(O73-P$4)*(1+NORMINV(RAND(),INPUTS!$B$28,INPUTS!$B$29))))</f>
        <v>1878547.32017316</v>
      </c>
      <c r="Q73" s="85" t="n">
        <f aca="true">IF(Q$5=0,P73,MAX(0,(P73-Q$4)*(1+NORMINV(RAND(),INPUTS!$B$28,INPUTS!$B$29))))</f>
        <v>1822822.25840457</v>
      </c>
      <c r="R73" s="85" t="n">
        <f aca="true">IF(R$5=0,Q73,MAX(0,(Q73-R$4)*(1+NORMINV(RAND(),INPUTS!$B$28,INPUTS!$B$29))))</f>
        <v>2176451.71945587</v>
      </c>
      <c r="S73" s="85" t="n">
        <f aca="true">IF(S$5=0,R73,MAX(0,(R73-S$4)*(1+NORMINV(RAND(),INPUTS!$B$28,INPUTS!$B$29))))</f>
        <v>2630164.49513505</v>
      </c>
      <c r="T73" s="85" t="n">
        <f aca="true">IF(T$5=0,S73,MAX(0,(S73-T$4)*(1+NORMINV(RAND(),INPUTS!$B$28,INPUTS!$B$29))))</f>
        <v>2622154.09929682</v>
      </c>
      <c r="U73" s="85" t="n">
        <f aca="true">IF(U$5=0,T73,MAX(0,(T73-U$4)*(1+NORMINV(RAND(),INPUTS!$B$28,INPUTS!$B$29))))</f>
        <v>2897672.1160963</v>
      </c>
      <c r="V73" s="85" t="n">
        <f aca="true">IF(V$5=0,U73,MAX(0,(U73-V$4)*(1+NORMINV(RAND(),INPUTS!$B$28,INPUTS!$B$29))))</f>
        <v>3131030.63994899</v>
      </c>
      <c r="W73" s="85" t="n">
        <f aca="true">IF(W$5=0,V73,MAX(0,(V73-W$4)*(1+NORMINV(RAND(),INPUTS!$B$28,INPUTS!$B$29))))</f>
        <v>3321614.24041026</v>
      </c>
      <c r="X73" s="85" t="n">
        <f aca="true">IF(X$5=0,W73,MAX(0,(W73-X$4)*(1+NORMINV(RAND(),INPUTS!$B$28,INPUTS!$B$29))))</f>
        <v>3562976.60229183</v>
      </c>
      <c r="Y73" s="85" t="n">
        <f aca="true">IF(Y$5=0,X73,MAX(0,(X73-Y$4)*(1+NORMINV(RAND(),INPUTS!$B$28,INPUTS!$B$29))))</f>
        <v>3777704.44295726</v>
      </c>
      <c r="Z73" s="85" t="n">
        <f aca="true">IF(Z$5=0,Y73,MAX(0,(Y73-Z$4)*(1+NORMINV(RAND(),INPUTS!$B$28,INPUTS!$B$29))))</f>
        <v>4512096.65439402</v>
      </c>
      <c r="AA73" s="85" t="n">
        <f aca="true">IF(AA$5=0,Z73,MAX(0,(Z73-AA$4)*(1+NORMINV(RAND(),INPUTS!$B$28,INPUTS!$B$29))))</f>
        <v>5245200.41054877</v>
      </c>
      <c r="AB73" s="85" t="n">
        <f aca="true">IF(AB$5=0,AA73,MAX(0,(AA73-AB$4)*(1+NORMINV(RAND(),INPUTS!$B$28,INPUTS!$B$29))))</f>
        <v>5175632.60474486</v>
      </c>
      <c r="AC73" s="85" t="n">
        <f aca="true">IF(AC$5=0,AB73,MAX(0,(AB73-AC$4)*(1+NORMINV(RAND(),INPUTS!$B$28,INPUTS!$B$29))))</f>
        <v>4261796.55344331</v>
      </c>
      <c r="AD73" s="85" t="n">
        <f aca="true">IF(AD$5=0,AC73,MAX(0,(AC73-AD$4)*(1+NORMINV(RAND(),INPUTS!$B$28,INPUTS!$B$29))))</f>
        <v>4358643.94756908</v>
      </c>
      <c r="AE73" s="85" t="n">
        <f aca="true">IF(AE$5=0,AD73,MAX(0,(AD73-AE$4)*(1+NORMINV(RAND(),INPUTS!$B$28,INPUTS!$B$29))))</f>
        <v>4372545.16920621</v>
      </c>
      <c r="AF73" s="85" t="n">
        <f aca="true">IF(AF$5=0,AE73,MAX(0,(AE73-AF$4)*(1+NORMINV(RAND(),INPUTS!$B$28,INPUTS!$B$29))))</f>
        <v>4457888.21971433</v>
      </c>
      <c r="AG73" s="85" t="n">
        <f aca="true">IF(AG$5=0,AF73,MAX(0,(AF73-AG$4)*(1+NORMINV(RAND(),INPUTS!$B$28,INPUTS!$B$29))))</f>
        <v>4155800.87612385</v>
      </c>
      <c r="AH73" s="85" t="n">
        <f aca="true">IF(AH$5=0,AG73,MAX(0,(AG73-AH$4)*(1+NORMINV(RAND(),INPUTS!$B$28,INPUTS!$B$29))))</f>
        <v>5119591.66540135</v>
      </c>
      <c r="AI73" s="85" t="n">
        <f aca="true">IF(AI$5=0,AH73,MAX(0,(AH73-AI$4)*(1+NORMINV(RAND(),INPUTS!$B$28,INPUTS!$B$29))))</f>
        <v>5068943.69454055</v>
      </c>
      <c r="AJ73" s="85" t="n">
        <f aca="true">IF(AJ$5=0,AI73,MAX(0,(AI73-AJ$4)*(1+NORMINV(RAND(),INPUTS!$B$28,INPUTS!$B$29))))</f>
        <v>5569366.14129961</v>
      </c>
      <c r="AK73" s="85" t="n">
        <f aca="true">IF(AK$5=0,AJ73,MAX(0,(AJ73-AK$4)*(1+NORMINV(RAND(),INPUTS!$B$28,INPUTS!$B$29))))</f>
        <v>7150638.81809036</v>
      </c>
      <c r="AL73" s="85" t="n">
        <f aca="true">IF(AL$5=0,AK73,MAX(0,(AK73-AL$4)*(1+NORMINV(RAND(),INPUTS!$B$28,INPUTS!$B$29))))</f>
        <v>8552419.87352589</v>
      </c>
      <c r="AM73" s="85" t="n">
        <f aca="true">IF(AM$5=0,AL73,MAX(0,(AL73-AM$4)*(1+NORMINV(RAND(),INPUTS!$B$28,INPUTS!$B$29))))</f>
        <v>8552419.87352589</v>
      </c>
      <c r="AN73" s="85" t="n">
        <f aca="true">IF(AN$5=0,AM73,MAX(0,(AM73-AN$4)*(1+NORMINV(RAND(),INPUTS!$B$28,INPUTS!$B$29))))</f>
        <v>8552419.87352589</v>
      </c>
      <c r="AO73" s="85" t="n">
        <f aca="true">IF(AO$5=0,AN73,MAX(0,(AN73-AO$4)*(1+NORMINV(RAND(),INPUTS!$B$28,INPUTS!$B$29))))</f>
        <v>8552419.87352589</v>
      </c>
      <c r="AP73" s="85" t="n">
        <f aca="true">IF(AP$5=0,AO73,MAX(0,(AO73-AP$4)*(1+NORMINV(RAND(),INPUTS!$B$28,INPUTS!$B$29))))</f>
        <v>8552419.87352589</v>
      </c>
    </row>
    <row r="74" customFormat="false" ht="15" hidden="false" customHeight="true" outlineLevel="0" collapsed="false">
      <c r="A74" s="83" t="n">
        <v>67</v>
      </c>
      <c r="B74" s="84" t="n">
        <f aca="false">LOOKUP(9.99E+307,C74:AP74)</f>
        <v>1594350.11481777</v>
      </c>
      <c r="C74" s="85" t="n">
        <f aca="true">IF(C$5=0,INPUTS!$B$19,MAX(0,(INPUTS!$B$19-C$4)*(1+NORMINV(RAND(),INPUTS!$B$28,INPUTS!$B$29))))</f>
        <v>1178381.95587216</v>
      </c>
      <c r="D74" s="85" t="n">
        <f aca="true">IF(D$5=0,C74,MAX(0,(C74-D$4)*(1+NORMINV(RAND(),INPUTS!$B$28,INPUTS!$B$29))))</f>
        <v>1067285.27456827</v>
      </c>
      <c r="E74" s="85" t="n">
        <f aca="true">IF(E$5=0,D74,MAX(0,(D74-E$4)*(1+NORMINV(RAND(),INPUTS!$B$28,INPUTS!$B$29))))</f>
        <v>1334538.06586735</v>
      </c>
      <c r="F74" s="85" t="n">
        <f aca="true">IF(F$5=0,E74,MAX(0,(E74-F$4)*(1+NORMINV(RAND(),INPUTS!$B$28,INPUTS!$B$29))))</f>
        <v>1189832.86117397</v>
      </c>
      <c r="G74" s="85" t="n">
        <f aca="true">IF(G$5=0,F74,MAX(0,(F74-G$4)*(1+NORMINV(RAND(),INPUTS!$B$28,INPUTS!$B$29))))</f>
        <v>895154.819737411</v>
      </c>
      <c r="H74" s="85" t="n">
        <f aca="true">IF(H$5=0,G74,MAX(0,(G74-H$4)*(1+NORMINV(RAND(),INPUTS!$B$28,INPUTS!$B$29))))</f>
        <v>914749.929864747</v>
      </c>
      <c r="I74" s="85" t="n">
        <f aca="true">IF(I$5=0,H74,MAX(0,(H74-I$4)*(1+NORMINV(RAND(),INPUTS!$B$28,INPUTS!$B$29))))</f>
        <v>958370.541507782</v>
      </c>
      <c r="J74" s="85" t="n">
        <f aca="true">IF(J$5=0,I74,MAX(0,(I74-J$4)*(1+NORMINV(RAND(),INPUTS!$B$28,INPUTS!$B$29))))</f>
        <v>966247.856591795</v>
      </c>
      <c r="K74" s="85" t="n">
        <f aca="true">IF(K$5=0,J74,MAX(0,(J74-K$4)*(1+NORMINV(RAND(),INPUTS!$B$28,INPUTS!$B$29))))</f>
        <v>934962.197953198</v>
      </c>
      <c r="L74" s="85" t="n">
        <f aca="true">IF(L$5=0,K74,MAX(0,(K74-L$4)*(1+NORMINV(RAND(),INPUTS!$B$28,INPUTS!$B$29))))</f>
        <v>1024514.69028048</v>
      </c>
      <c r="M74" s="85" t="n">
        <f aca="true">IF(M$5=0,L74,MAX(0,(L74-M$4)*(1+NORMINV(RAND(),INPUTS!$B$28,INPUTS!$B$29))))</f>
        <v>1130953.00951971</v>
      </c>
      <c r="N74" s="85" t="n">
        <f aca="true">IF(N$5=0,M74,MAX(0,(M74-N$4)*(1+NORMINV(RAND(),INPUTS!$B$28,INPUTS!$B$29))))</f>
        <v>1111076.67482267</v>
      </c>
      <c r="O74" s="85" t="n">
        <f aca="true">IF(O$5=0,N74,MAX(0,(N74-O$4)*(1+NORMINV(RAND(),INPUTS!$B$28,INPUTS!$B$29))))</f>
        <v>1154571.32292342</v>
      </c>
      <c r="P74" s="85" t="n">
        <f aca="true">IF(P$5=0,O74,MAX(0,(O74-P$4)*(1+NORMINV(RAND(),INPUTS!$B$28,INPUTS!$B$29))))</f>
        <v>1400481.89199931</v>
      </c>
      <c r="Q74" s="85" t="n">
        <f aca="true">IF(Q$5=0,P74,MAX(0,(P74-Q$4)*(1+NORMINV(RAND(),INPUTS!$B$28,INPUTS!$B$29))))</f>
        <v>1216153.71164926</v>
      </c>
      <c r="R74" s="85" t="n">
        <f aca="true">IF(R$5=0,Q74,MAX(0,(Q74-R$4)*(1+NORMINV(RAND(),INPUTS!$B$28,INPUTS!$B$29))))</f>
        <v>1096028.69206244</v>
      </c>
      <c r="S74" s="85" t="n">
        <f aca="true">IF(S$5=0,R74,MAX(0,(R74-S$4)*(1+NORMINV(RAND(),INPUTS!$B$28,INPUTS!$B$29))))</f>
        <v>1175883.48370569</v>
      </c>
      <c r="T74" s="85" t="n">
        <f aca="true">IF(T$5=0,S74,MAX(0,(S74-T$4)*(1+NORMINV(RAND(),INPUTS!$B$28,INPUTS!$B$29))))</f>
        <v>1070131.04509972</v>
      </c>
      <c r="U74" s="85" t="n">
        <f aca="true">IF(U$5=0,T74,MAX(0,(T74-U$4)*(1+NORMINV(RAND(),INPUTS!$B$28,INPUTS!$B$29))))</f>
        <v>1123388.90322503</v>
      </c>
      <c r="V74" s="85" t="n">
        <f aca="true">IF(V$5=0,U74,MAX(0,(U74-V$4)*(1+NORMINV(RAND(),INPUTS!$B$28,INPUTS!$B$29))))</f>
        <v>1174369.58727278</v>
      </c>
      <c r="W74" s="85" t="n">
        <f aca="true">IF(W$5=0,V74,MAX(0,(V74-W$4)*(1+NORMINV(RAND(),INPUTS!$B$28,INPUTS!$B$29))))</f>
        <v>1200869.23364251</v>
      </c>
      <c r="X74" s="85" t="n">
        <f aca="true">IF(X$5=0,W74,MAX(0,(W74-X$4)*(1+NORMINV(RAND(),INPUTS!$B$28,INPUTS!$B$29))))</f>
        <v>1296848.7856249</v>
      </c>
      <c r="Y74" s="85" t="n">
        <f aca="true">IF(Y$5=0,X74,MAX(0,(X74-Y$4)*(1+NORMINV(RAND(),INPUTS!$B$28,INPUTS!$B$29))))</f>
        <v>1357707.59671702</v>
      </c>
      <c r="Z74" s="85" t="n">
        <f aca="true">IF(Z$5=0,Y74,MAX(0,(Y74-Z$4)*(1+NORMINV(RAND(),INPUTS!$B$28,INPUTS!$B$29))))</f>
        <v>1356154.95670213</v>
      </c>
      <c r="AA74" s="85" t="n">
        <f aca="true">IF(AA$5=0,Z74,MAX(0,(Z74-AA$4)*(1+NORMINV(RAND(),INPUTS!$B$28,INPUTS!$B$29))))</f>
        <v>1536608.65172658</v>
      </c>
      <c r="AB74" s="85" t="n">
        <f aca="true">IF(AB$5=0,AA74,MAX(0,(AA74-AB$4)*(1+NORMINV(RAND(),INPUTS!$B$28,INPUTS!$B$29))))</f>
        <v>1722952.07142964</v>
      </c>
      <c r="AC74" s="85" t="n">
        <f aca="true">IF(AC$5=0,AB74,MAX(0,(AB74-AC$4)*(1+NORMINV(RAND(),INPUTS!$B$28,INPUTS!$B$29))))</f>
        <v>1686048.29482387</v>
      </c>
      <c r="AD74" s="85" t="n">
        <f aca="true">IF(AD$5=0,AC74,MAX(0,(AC74-AD$4)*(1+NORMINV(RAND(),INPUTS!$B$28,INPUTS!$B$29))))</f>
        <v>1451827.82485778</v>
      </c>
      <c r="AE74" s="85" t="n">
        <f aca="true">IF(AE$5=0,AD74,MAX(0,(AD74-AE$4)*(1+NORMINV(RAND(),INPUTS!$B$28,INPUTS!$B$29))))</f>
        <v>1451588.02365941</v>
      </c>
      <c r="AF74" s="85" t="n">
        <f aca="true">IF(AF$5=0,AE74,MAX(0,(AE74-AF$4)*(1+NORMINV(RAND(),INPUTS!$B$28,INPUTS!$B$29))))</f>
        <v>1439043.87146073</v>
      </c>
      <c r="AG74" s="85" t="n">
        <f aca="true">IF(AG$5=0,AF74,MAX(0,(AF74-AG$4)*(1+NORMINV(RAND(),INPUTS!$B$28,INPUTS!$B$29))))</f>
        <v>1432521.88765017</v>
      </c>
      <c r="AH74" s="85" t="n">
        <f aca="true">IF(AH$5=0,AG74,MAX(0,(AG74-AH$4)*(1+NORMINV(RAND(),INPUTS!$B$28,INPUTS!$B$29))))</f>
        <v>1360649.74829221</v>
      </c>
      <c r="AI74" s="85" t="n">
        <f aca="true">IF(AI$5=0,AH74,MAX(0,(AH74-AI$4)*(1+NORMINV(RAND(),INPUTS!$B$28,INPUTS!$B$29))))</f>
        <v>1444018.83946333</v>
      </c>
      <c r="AJ74" s="85" t="n">
        <f aca="true">IF(AJ$5=0,AI74,MAX(0,(AI74-AJ$4)*(1+NORMINV(RAND(),INPUTS!$B$28,INPUTS!$B$29))))</f>
        <v>1482384.04879238</v>
      </c>
      <c r="AK74" s="85" t="n">
        <f aca="true">IF(AK$5=0,AJ74,MAX(0,(AJ74-AK$4)*(1+NORMINV(RAND(),INPUTS!$B$28,INPUTS!$B$29))))</f>
        <v>1651702.02138711</v>
      </c>
      <c r="AL74" s="85" t="n">
        <f aca="true">IF(AL$5=0,AK74,MAX(0,(AK74-AL$4)*(1+NORMINV(RAND(),INPUTS!$B$28,INPUTS!$B$29))))</f>
        <v>1594350.11481777</v>
      </c>
      <c r="AM74" s="85" t="n">
        <f aca="true">IF(AM$5=0,AL74,MAX(0,(AL74-AM$4)*(1+NORMINV(RAND(),INPUTS!$B$28,INPUTS!$B$29))))</f>
        <v>1594350.11481777</v>
      </c>
      <c r="AN74" s="85" t="n">
        <f aca="true">IF(AN$5=0,AM74,MAX(0,(AM74-AN$4)*(1+NORMINV(RAND(),INPUTS!$B$28,INPUTS!$B$29))))</f>
        <v>1594350.11481777</v>
      </c>
      <c r="AO74" s="85" t="n">
        <f aca="true">IF(AO$5=0,AN74,MAX(0,(AN74-AO$4)*(1+NORMINV(RAND(),INPUTS!$B$28,INPUTS!$B$29))))</f>
        <v>1594350.11481777</v>
      </c>
      <c r="AP74" s="85" t="n">
        <f aca="true">IF(AP$5=0,AO74,MAX(0,(AO74-AP$4)*(1+NORMINV(RAND(),INPUTS!$B$28,INPUTS!$B$29))))</f>
        <v>1594350.11481777</v>
      </c>
    </row>
    <row r="75" customFormat="false" ht="15" hidden="false" customHeight="true" outlineLevel="0" collapsed="false">
      <c r="A75" s="83" t="n">
        <v>68</v>
      </c>
      <c r="B75" s="84" t="n">
        <f aca="false">LOOKUP(9.99E+307,C75:AP75)</f>
        <v>0</v>
      </c>
      <c r="C75" s="85" t="n">
        <f aca="true">IF(C$5=0,INPUTS!$B$19,MAX(0,(INPUTS!$B$19-C$4)*(1+NORMINV(RAND(),INPUTS!$B$28,INPUTS!$B$29))))</f>
        <v>1414175.14802948</v>
      </c>
      <c r="D75" s="85" t="n">
        <f aca="true">IF(D$5=0,C75,MAX(0,(C75-D$4)*(1+NORMINV(RAND(),INPUTS!$B$28,INPUTS!$B$29))))</f>
        <v>1566350.09791589</v>
      </c>
      <c r="E75" s="85" t="n">
        <f aca="true">IF(E$5=0,D75,MAX(0,(D75-E$4)*(1+NORMINV(RAND(),INPUTS!$B$28,INPUTS!$B$29))))</f>
        <v>1364691.28465499</v>
      </c>
      <c r="F75" s="85" t="n">
        <f aca="true">IF(F$5=0,E75,MAX(0,(E75-F$4)*(1+NORMINV(RAND(),INPUTS!$B$28,INPUTS!$B$29))))</f>
        <v>1357212.72421932</v>
      </c>
      <c r="G75" s="85" t="n">
        <f aca="true">IF(G$5=0,F75,MAX(0,(F75-G$4)*(1+NORMINV(RAND(),INPUTS!$B$28,INPUTS!$B$29))))</f>
        <v>1309810.84800119</v>
      </c>
      <c r="H75" s="85" t="n">
        <f aca="true">IF(H$5=0,G75,MAX(0,(G75-H$4)*(1+NORMINV(RAND(),INPUTS!$B$28,INPUTS!$B$29))))</f>
        <v>1140435.41954222</v>
      </c>
      <c r="I75" s="85" t="n">
        <f aca="true">IF(I$5=0,H75,MAX(0,(H75-I$4)*(1+NORMINV(RAND(),INPUTS!$B$28,INPUTS!$B$29))))</f>
        <v>1036225.53653804</v>
      </c>
      <c r="J75" s="85" t="n">
        <f aca="true">IF(J$5=0,I75,MAX(0,(I75-J$4)*(1+NORMINV(RAND(),INPUTS!$B$28,INPUTS!$B$29))))</f>
        <v>1028971.62451089</v>
      </c>
      <c r="K75" s="85" t="n">
        <f aca="true">IF(K$5=0,J75,MAX(0,(J75-K$4)*(1+NORMINV(RAND(),INPUTS!$B$28,INPUTS!$B$29))))</f>
        <v>1114398.30047511</v>
      </c>
      <c r="L75" s="85" t="n">
        <f aca="true">IF(L$5=0,K75,MAX(0,(K75-L$4)*(1+NORMINV(RAND(),INPUTS!$B$28,INPUTS!$B$29))))</f>
        <v>1029685.1681938</v>
      </c>
      <c r="M75" s="85" t="n">
        <f aca="true">IF(M$5=0,L75,MAX(0,(L75-M$4)*(1+NORMINV(RAND(),INPUTS!$B$28,INPUTS!$B$29))))</f>
        <v>823399.188377241</v>
      </c>
      <c r="N75" s="85" t="n">
        <f aca="true">IF(N$5=0,M75,MAX(0,(M75-N$4)*(1+NORMINV(RAND(),INPUTS!$B$28,INPUTS!$B$29))))</f>
        <v>776595.939729175</v>
      </c>
      <c r="O75" s="85" t="n">
        <f aca="true">IF(O$5=0,N75,MAX(0,(N75-O$4)*(1+NORMINV(RAND(),INPUTS!$B$28,INPUTS!$B$29))))</f>
        <v>738005.928237906</v>
      </c>
      <c r="P75" s="85" t="n">
        <f aca="true">IF(P$5=0,O75,MAX(0,(O75-P$4)*(1+NORMINV(RAND(),INPUTS!$B$28,INPUTS!$B$29))))</f>
        <v>660517.88691697</v>
      </c>
      <c r="Q75" s="85" t="n">
        <f aca="true">IF(Q$5=0,P75,MAX(0,(P75-Q$4)*(1+NORMINV(RAND(),INPUTS!$B$28,INPUTS!$B$29))))</f>
        <v>538472.780302041</v>
      </c>
      <c r="R75" s="85" t="n">
        <f aca="true">IF(R$5=0,Q75,MAX(0,(Q75-R$4)*(1+NORMINV(RAND(),INPUTS!$B$28,INPUTS!$B$29))))</f>
        <v>508117.406826419</v>
      </c>
      <c r="S75" s="85" t="n">
        <f aca="true">IF(S$5=0,R75,MAX(0,(R75-S$4)*(1+NORMINV(RAND(),INPUTS!$B$28,INPUTS!$B$29))))</f>
        <v>511195.100078882</v>
      </c>
      <c r="T75" s="85" t="n">
        <f aca="true">IF(T$5=0,S75,MAX(0,(S75-T$4)*(1+NORMINV(RAND(),INPUTS!$B$28,INPUTS!$B$29))))</f>
        <v>503284.031617589</v>
      </c>
      <c r="U75" s="85" t="n">
        <f aca="true">IF(U$5=0,T75,MAX(0,(T75-U$4)*(1+NORMINV(RAND(),INPUTS!$B$28,INPUTS!$B$29))))</f>
        <v>528318.454932513</v>
      </c>
      <c r="V75" s="85" t="n">
        <f aca="true">IF(V$5=0,U75,MAX(0,(U75-V$4)*(1+NORMINV(RAND(),INPUTS!$B$28,INPUTS!$B$29))))</f>
        <v>438104.354051829</v>
      </c>
      <c r="W75" s="85" t="n">
        <f aca="true">IF(W$5=0,V75,MAX(0,(V75-W$4)*(1+NORMINV(RAND(),INPUTS!$B$28,INPUTS!$B$29))))</f>
        <v>431006.760624293</v>
      </c>
      <c r="X75" s="85" t="n">
        <f aca="true">IF(X$5=0,W75,MAX(0,(W75-X$4)*(1+NORMINV(RAND(),INPUTS!$B$28,INPUTS!$B$29))))</f>
        <v>346081.21609151</v>
      </c>
      <c r="Y75" s="85" t="n">
        <f aca="true">IF(Y$5=0,X75,MAX(0,(X75-Y$4)*(1+NORMINV(RAND(),INPUTS!$B$28,INPUTS!$B$29))))</f>
        <v>300517.970349157</v>
      </c>
      <c r="Z75" s="85" t="n">
        <f aca="true">IF(Z$5=0,Y75,MAX(0,(Y75-Z$4)*(1+NORMINV(RAND(),INPUTS!$B$28,INPUTS!$B$29))))</f>
        <v>230554.684059544</v>
      </c>
      <c r="AA75" s="85" t="n">
        <f aca="true">IF(AA$5=0,Z75,MAX(0,(Z75-AA$4)*(1+NORMINV(RAND(),INPUTS!$B$28,INPUTS!$B$29))))</f>
        <v>183620.54033521</v>
      </c>
      <c r="AB75" s="85" t="n">
        <f aca="true">IF(AB$5=0,AA75,MAX(0,(AA75-AB$4)*(1+NORMINV(RAND(),INPUTS!$B$28,INPUTS!$B$29))))</f>
        <v>139630.95671875</v>
      </c>
      <c r="AC75" s="85" t="n">
        <f aca="true">IF(AC$5=0,AB75,MAX(0,(AB75-AC$4)*(1+NORMINV(RAND(),INPUTS!$B$28,INPUTS!$B$29))))</f>
        <v>89060.8260527205</v>
      </c>
      <c r="AD75" s="85" t="n">
        <f aca="true">IF(AD$5=0,AC75,MAX(0,(AC75-AD$4)*(1+NORMINV(RAND(),INPUTS!$B$28,INPUTS!$B$29))))</f>
        <v>27626.3110756541</v>
      </c>
      <c r="AE75" s="85" t="n">
        <f aca="true">IF(AE$5=0,AD75,MAX(0,(AD75-AE$4)*(1+NORMINV(RAND(),INPUTS!$B$28,INPUTS!$B$29))))</f>
        <v>0</v>
      </c>
      <c r="AF75" s="85" t="n">
        <f aca="true">IF(AF$5=0,AE75,MAX(0,(AE75-AF$4)*(1+NORMINV(RAND(),INPUTS!$B$28,INPUTS!$B$29))))</f>
        <v>0</v>
      </c>
      <c r="AG75" s="85" t="n">
        <f aca="true">IF(AG$5=0,AF75,MAX(0,(AF75-AG$4)*(1+NORMINV(RAND(),INPUTS!$B$28,INPUTS!$B$29))))</f>
        <v>0</v>
      </c>
      <c r="AH75" s="85" t="n">
        <f aca="true">IF(AH$5=0,AG75,MAX(0,(AG75-AH$4)*(1+NORMINV(RAND(),INPUTS!$B$28,INPUTS!$B$29))))</f>
        <v>0</v>
      </c>
      <c r="AI75" s="85" t="n">
        <f aca="true">IF(AI$5=0,AH75,MAX(0,(AH75-AI$4)*(1+NORMINV(RAND(),INPUTS!$B$28,INPUTS!$B$29))))</f>
        <v>0</v>
      </c>
      <c r="AJ75" s="85" t="n">
        <f aca="true">IF(AJ$5=0,AI75,MAX(0,(AI75-AJ$4)*(1+NORMINV(RAND(),INPUTS!$B$28,INPUTS!$B$29))))</f>
        <v>0</v>
      </c>
      <c r="AK75" s="85" t="n">
        <f aca="true">IF(AK$5=0,AJ75,MAX(0,(AJ75-AK$4)*(1+NORMINV(RAND(),INPUTS!$B$28,INPUTS!$B$29))))</f>
        <v>0</v>
      </c>
      <c r="AL75" s="85" t="n">
        <f aca="true">IF(AL$5=0,AK75,MAX(0,(AK75-AL$4)*(1+NORMINV(RAND(),INPUTS!$B$28,INPUTS!$B$29))))</f>
        <v>0</v>
      </c>
      <c r="AM75" s="85" t="n">
        <f aca="true">IF(AM$5=0,AL75,MAX(0,(AL75-AM$4)*(1+NORMINV(RAND(),INPUTS!$B$28,INPUTS!$B$29))))</f>
        <v>0</v>
      </c>
      <c r="AN75" s="85" t="n">
        <f aca="true">IF(AN$5=0,AM75,MAX(0,(AM75-AN$4)*(1+NORMINV(RAND(),INPUTS!$B$28,INPUTS!$B$29))))</f>
        <v>0</v>
      </c>
      <c r="AO75" s="85" t="n">
        <f aca="true">IF(AO$5=0,AN75,MAX(0,(AN75-AO$4)*(1+NORMINV(RAND(),INPUTS!$B$28,INPUTS!$B$29))))</f>
        <v>0</v>
      </c>
      <c r="AP75" s="85" t="n">
        <f aca="true">IF(AP$5=0,AO75,MAX(0,(AO75-AP$4)*(1+NORMINV(RAND(),INPUTS!$B$28,INPUTS!$B$29))))</f>
        <v>0</v>
      </c>
    </row>
    <row r="76" customFormat="false" ht="15" hidden="false" customHeight="true" outlineLevel="0" collapsed="false">
      <c r="A76" s="83" t="n">
        <v>69</v>
      </c>
      <c r="B76" s="84" t="n">
        <f aca="false">LOOKUP(9.99E+307,C76:AP76)</f>
        <v>2146539.07270166</v>
      </c>
      <c r="C76" s="85" t="n">
        <f aca="true">IF(C$5=0,INPUTS!$B$19,MAX(0,(INPUTS!$B$19-C$4)*(1+NORMINV(RAND(),INPUTS!$B$28,INPUTS!$B$29))))</f>
        <v>1241671.74180206</v>
      </c>
      <c r="D76" s="85" t="n">
        <f aca="true">IF(D$5=0,C76,MAX(0,(C76-D$4)*(1+NORMINV(RAND(),INPUTS!$B$28,INPUTS!$B$29))))</f>
        <v>1302275.68322796</v>
      </c>
      <c r="E76" s="85" t="n">
        <f aca="true">IF(E$5=0,D76,MAX(0,(D76-E$4)*(1+NORMINV(RAND(),INPUTS!$B$28,INPUTS!$B$29))))</f>
        <v>1250046.90801955</v>
      </c>
      <c r="F76" s="85" t="n">
        <f aca="true">IF(F$5=0,E76,MAX(0,(E76-F$4)*(1+NORMINV(RAND(),INPUTS!$B$28,INPUTS!$B$29))))</f>
        <v>1418243.22596734</v>
      </c>
      <c r="G76" s="85" t="n">
        <f aca="true">IF(G$5=0,F76,MAX(0,(F76-G$4)*(1+NORMINV(RAND(),INPUTS!$B$28,INPUTS!$B$29))))</f>
        <v>1711877.10291817</v>
      </c>
      <c r="H76" s="85" t="n">
        <f aca="true">IF(H$5=0,G76,MAX(0,(G76-H$4)*(1+NORMINV(RAND(),INPUTS!$B$28,INPUTS!$B$29))))</f>
        <v>1542760.55229</v>
      </c>
      <c r="I76" s="85" t="n">
        <f aca="true">IF(I$5=0,H76,MAX(0,(H76-I$4)*(1+NORMINV(RAND(),INPUTS!$B$28,INPUTS!$B$29))))</f>
        <v>1580851.31343158</v>
      </c>
      <c r="J76" s="85" t="n">
        <f aca="true">IF(J$5=0,I76,MAX(0,(I76-J$4)*(1+NORMINV(RAND(),INPUTS!$B$28,INPUTS!$B$29))))</f>
        <v>1211855.35831138</v>
      </c>
      <c r="K76" s="85" t="n">
        <f aca="true">IF(K$5=0,J76,MAX(0,(J76-K$4)*(1+NORMINV(RAND(),INPUTS!$B$28,INPUTS!$B$29))))</f>
        <v>1226740.33083257</v>
      </c>
      <c r="L76" s="85" t="n">
        <f aca="true">IF(L$5=0,K76,MAX(0,(K76-L$4)*(1+NORMINV(RAND(),INPUTS!$B$28,INPUTS!$B$29))))</f>
        <v>1045212.38811159</v>
      </c>
      <c r="M76" s="85" t="n">
        <f aca="true">IF(M$5=0,L76,MAX(0,(L76-M$4)*(1+NORMINV(RAND(),INPUTS!$B$28,INPUTS!$B$29))))</f>
        <v>1153231.47611935</v>
      </c>
      <c r="N76" s="85" t="n">
        <f aca="true">IF(N$5=0,M76,MAX(0,(M76-N$4)*(1+NORMINV(RAND(),INPUTS!$B$28,INPUTS!$B$29))))</f>
        <v>1225671.13799099</v>
      </c>
      <c r="O76" s="85" t="n">
        <f aca="true">IF(O$5=0,N76,MAX(0,(N76-O$4)*(1+NORMINV(RAND(),INPUTS!$B$28,INPUTS!$B$29))))</f>
        <v>1242165.90632683</v>
      </c>
      <c r="P76" s="85" t="n">
        <f aca="true">IF(P$5=0,O76,MAX(0,(O76-P$4)*(1+NORMINV(RAND(),INPUTS!$B$28,INPUTS!$B$29))))</f>
        <v>1170369.11699476</v>
      </c>
      <c r="Q76" s="85" t="n">
        <f aca="true">IF(Q$5=0,P76,MAX(0,(P76-Q$4)*(1+NORMINV(RAND(),INPUTS!$B$28,INPUTS!$B$29))))</f>
        <v>1327110.25407307</v>
      </c>
      <c r="R76" s="85" t="n">
        <f aca="true">IF(R$5=0,Q76,MAX(0,(Q76-R$4)*(1+NORMINV(RAND(),INPUTS!$B$28,INPUTS!$B$29))))</f>
        <v>1429489.5497804</v>
      </c>
      <c r="S76" s="85" t="n">
        <f aca="true">IF(S$5=0,R76,MAX(0,(R76-S$4)*(1+NORMINV(RAND(),INPUTS!$B$28,INPUTS!$B$29))))</f>
        <v>1682868.39589201</v>
      </c>
      <c r="T76" s="85" t="n">
        <f aca="true">IF(T$5=0,S76,MAX(0,(S76-T$4)*(1+NORMINV(RAND(),INPUTS!$B$28,INPUTS!$B$29))))</f>
        <v>1640079.0320316</v>
      </c>
      <c r="U76" s="85" t="n">
        <f aca="true">IF(U$5=0,T76,MAX(0,(T76-U$4)*(1+NORMINV(RAND(),INPUTS!$B$28,INPUTS!$B$29))))</f>
        <v>1628053.61650078</v>
      </c>
      <c r="V76" s="85" t="n">
        <f aca="true">IF(V$5=0,U76,MAX(0,(U76-V$4)*(1+NORMINV(RAND(),INPUTS!$B$28,INPUTS!$B$29))))</f>
        <v>1566911.25493991</v>
      </c>
      <c r="W76" s="85" t="n">
        <f aca="true">IF(W$5=0,V76,MAX(0,(V76-W$4)*(1+NORMINV(RAND(),INPUTS!$B$28,INPUTS!$B$29))))</f>
        <v>1805962.01900201</v>
      </c>
      <c r="X76" s="85" t="n">
        <f aca="true">IF(X$5=0,W76,MAX(0,(W76-X$4)*(1+NORMINV(RAND(),INPUTS!$B$28,INPUTS!$B$29))))</f>
        <v>1615466.08854043</v>
      </c>
      <c r="Y76" s="85" t="n">
        <f aca="true">IF(Y$5=0,X76,MAX(0,(X76-Y$4)*(1+NORMINV(RAND(),INPUTS!$B$28,INPUTS!$B$29))))</f>
        <v>2037715.66661413</v>
      </c>
      <c r="Z76" s="85" t="n">
        <f aca="true">IF(Z$5=0,Y76,MAX(0,(Y76-Z$4)*(1+NORMINV(RAND(),INPUTS!$B$28,INPUTS!$B$29))))</f>
        <v>2172161.72269163</v>
      </c>
      <c r="AA76" s="85" t="n">
        <f aca="true">IF(AA$5=0,Z76,MAX(0,(Z76-AA$4)*(1+NORMINV(RAND(),INPUTS!$B$28,INPUTS!$B$29))))</f>
        <v>2003487.70603377</v>
      </c>
      <c r="AB76" s="85" t="n">
        <f aca="true">IF(AB$5=0,AA76,MAX(0,(AA76-AB$4)*(1+NORMINV(RAND(),INPUTS!$B$28,INPUTS!$B$29))))</f>
        <v>2067919.43348638</v>
      </c>
      <c r="AC76" s="85" t="n">
        <f aca="true">IF(AC$5=0,AB76,MAX(0,(AB76-AC$4)*(1+NORMINV(RAND(),INPUTS!$B$28,INPUTS!$B$29))))</f>
        <v>2003469.85988134</v>
      </c>
      <c r="AD76" s="85" t="n">
        <f aca="true">IF(AD$5=0,AC76,MAX(0,(AC76-AD$4)*(1+NORMINV(RAND(),INPUTS!$B$28,INPUTS!$B$29))))</f>
        <v>1968819.67327656</v>
      </c>
      <c r="AE76" s="85" t="n">
        <f aca="true">IF(AE$5=0,AD76,MAX(0,(AD76-AE$4)*(1+NORMINV(RAND(),INPUTS!$B$28,INPUTS!$B$29))))</f>
        <v>1673521.70473843</v>
      </c>
      <c r="AF76" s="85" t="n">
        <f aca="true">IF(AF$5=0,AE76,MAX(0,(AE76-AF$4)*(1+NORMINV(RAND(),INPUTS!$B$28,INPUTS!$B$29))))</f>
        <v>1838055.94956374</v>
      </c>
      <c r="AG76" s="85" t="n">
        <f aca="true">IF(AG$5=0,AF76,MAX(0,(AF76-AG$4)*(1+NORMINV(RAND(),INPUTS!$B$28,INPUTS!$B$29))))</f>
        <v>2015355.27858434</v>
      </c>
      <c r="AH76" s="85" t="n">
        <f aca="true">IF(AH$5=0,AG76,MAX(0,(AG76-AH$4)*(1+NORMINV(RAND(),INPUTS!$B$28,INPUTS!$B$29))))</f>
        <v>2082364.70707367</v>
      </c>
      <c r="AI76" s="85" t="n">
        <f aca="true">IF(AI$5=0,AH76,MAX(0,(AH76-AI$4)*(1+NORMINV(RAND(),INPUTS!$B$28,INPUTS!$B$29))))</f>
        <v>2251165.81716759</v>
      </c>
      <c r="AJ76" s="85" t="n">
        <f aca="true">IF(AJ$5=0,AI76,MAX(0,(AI76-AJ$4)*(1+NORMINV(RAND(),INPUTS!$B$28,INPUTS!$B$29))))</f>
        <v>2681180.82474895</v>
      </c>
      <c r="AK76" s="85" t="n">
        <f aca="true">IF(AK$5=0,AJ76,MAX(0,(AJ76-AK$4)*(1+NORMINV(RAND(),INPUTS!$B$28,INPUTS!$B$29))))</f>
        <v>2471819.82203471</v>
      </c>
      <c r="AL76" s="85" t="n">
        <f aca="true">IF(AL$5=0,AK76,MAX(0,(AK76-AL$4)*(1+NORMINV(RAND(),INPUTS!$B$28,INPUTS!$B$29))))</f>
        <v>2146539.07270166</v>
      </c>
      <c r="AM76" s="85" t="n">
        <f aca="true">IF(AM$5=0,AL76,MAX(0,(AL76-AM$4)*(1+NORMINV(RAND(),INPUTS!$B$28,INPUTS!$B$29))))</f>
        <v>2146539.07270166</v>
      </c>
      <c r="AN76" s="85" t="n">
        <f aca="true">IF(AN$5=0,AM76,MAX(0,(AM76-AN$4)*(1+NORMINV(RAND(),INPUTS!$B$28,INPUTS!$B$29))))</f>
        <v>2146539.07270166</v>
      </c>
      <c r="AO76" s="85" t="n">
        <f aca="true">IF(AO$5=0,AN76,MAX(0,(AN76-AO$4)*(1+NORMINV(RAND(),INPUTS!$B$28,INPUTS!$B$29))))</f>
        <v>2146539.07270166</v>
      </c>
      <c r="AP76" s="85" t="n">
        <f aca="true">IF(AP$5=0,AO76,MAX(0,(AO76-AP$4)*(1+NORMINV(RAND(),INPUTS!$B$28,INPUTS!$B$29))))</f>
        <v>2146539.07270166</v>
      </c>
    </row>
    <row r="77" customFormat="false" ht="15" hidden="false" customHeight="true" outlineLevel="0" collapsed="false">
      <c r="A77" s="83" t="n">
        <v>70</v>
      </c>
      <c r="B77" s="84" t="n">
        <f aca="false">LOOKUP(9.99E+307,C77:AP77)</f>
        <v>899999.916481942</v>
      </c>
      <c r="C77" s="85" t="n">
        <f aca="true">IF(C$5=0,INPUTS!$B$19,MAX(0,(INPUTS!$B$19-C$4)*(1+NORMINV(RAND(),INPUTS!$B$28,INPUTS!$B$29))))</f>
        <v>1231526.41873885</v>
      </c>
      <c r="D77" s="85" t="n">
        <f aca="true">IF(D$5=0,C77,MAX(0,(C77-D$4)*(1+NORMINV(RAND(),INPUTS!$B$28,INPUTS!$B$29))))</f>
        <v>1418743.13681826</v>
      </c>
      <c r="E77" s="85" t="n">
        <f aca="true">IF(E$5=0,D77,MAX(0,(D77-E$4)*(1+NORMINV(RAND(),INPUTS!$B$28,INPUTS!$B$29))))</f>
        <v>1003190.2661098</v>
      </c>
      <c r="F77" s="85" t="n">
        <f aca="true">IF(F$5=0,E77,MAX(0,(E77-F$4)*(1+NORMINV(RAND(),INPUTS!$B$28,INPUTS!$B$29))))</f>
        <v>1043888.52689121</v>
      </c>
      <c r="G77" s="85" t="n">
        <f aca="true">IF(G$5=0,F77,MAX(0,(F77-G$4)*(1+NORMINV(RAND(),INPUTS!$B$28,INPUTS!$B$29))))</f>
        <v>910927.034526653</v>
      </c>
      <c r="H77" s="85" t="n">
        <f aca="true">IF(H$5=0,G77,MAX(0,(G77-H$4)*(1+NORMINV(RAND(),INPUTS!$B$28,INPUTS!$B$29))))</f>
        <v>906208.867427131</v>
      </c>
      <c r="I77" s="85" t="n">
        <f aca="true">IF(I$5=0,H77,MAX(0,(H77-I$4)*(1+NORMINV(RAND(),INPUTS!$B$28,INPUTS!$B$29))))</f>
        <v>1000510.81405826</v>
      </c>
      <c r="J77" s="85" t="n">
        <f aca="true">IF(J$5=0,I77,MAX(0,(I77-J$4)*(1+NORMINV(RAND(),INPUTS!$B$28,INPUTS!$B$29))))</f>
        <v>1135693.00282951</v>
      </c>
      <c r="K77" s="85" t="n">
        <f aca="true">IF(K$5=0,J77,MAX(0,(J77-K$4)*(1+NORMINV(RAND(),INPUTS!$B$28,INPUTS!$B$29))))</f>
        <v>1232096.19301457</v>
      </c>
      <c r="L77" s="85" t="n">
        <f aca="true">IF(L$5=0,K77,MAX(0,(K77-L$4)*(1+NORMINV(RAND(),INPUTS!$B$28,INPUTS!$B$29))))</f>
        <v>1197800.4817401</v>
      </c>
      <c r="M77" s="85" t="n">
        <f aca="true">IF(M$5=0,L77,MAX(0,(L77-M$4)*(1+NORMINV(RAND(),INPUTS!$B$28,INPUTS!$B$29))))</f>
        <v>1235034.93098783</v>
      </c>
      <c r="N77" s="85" t="n">
        <f aca="true">IF(N$5=0,M77,MAX(0,(M77-N$4)*(1+NORMINV(RAND(),INPUTS!$B$28,INPUTS!$B$29))))</f>
        <v>1238484.82888694</v>
      </c>
      <c r="O77" s="85" t="n">
        <f aca="true">IF(O$5=0,N77,MAX(0,(N77-O$4)*(1+NORMINV(RAND(),INPUTS!$B$28,INPUTS!$B$29))))</f>
        <v>1246769.73722747</v>
      </c>
      <c r="P77" s="85" t="n">
        <f aca="true">IF(P$5=0,O77,MAX(0,(O77-P$4)*(1+NORMINV(RAND(),INPUTS!$B$28,INPUTS!$B$29))))</f>
        <v>1161876.1444122</v>
      </c>
      <c r="Q77" s="85" t="n">
        <f aca="true">IF(Q$5=0,P77,MAX(0,(P77-Q$4)*(1+NORMINV(RAND(),INPUTS!$B$28,INPUTS!$B$29))))</f>
        <v>1246976.33259141</v>
      </c>
      <c r="R77" s="85" t="n">
        <f aca="true">IF(R$5=0,Q77,MAX(0,(Q77-R$4)*(1+NORMINV(RAND(),INPUTS!$B$28,INPUTS!$B$29))))</f>
        <v>1111907.21914173</v>
      </c>
      <c r="S77" s="85" t="n">
        <f aca="true">IF(S$5=0,R77,MAX(0,(R77-S$4)*(1+NORMINV(RAND(),INPUTS!$B$28,INPUTS!$B$29))))</f>
        <v>1082061.20872641</v>
      </c>
      <c r="T77" s="85" t="n">
        <f aca="true">IF(T$5=0,S77,MAX(0,(S77-T$4)*(1+NORMINV(RAND(),INPUTS!$B$28,INPUTS!$B$29))))</f>
        <v>1059958.90645408</v>
      </c>
      <c r="U77" s="85" t="n">
        <f aca="true">IF(U$5=0,T77,MAX(0,(T77-U$4)*(1+NORMINV(RAND(),INPUTS!$B$28,INPUTS!$B$29))))</f>
        <v>943546.538604013</v>
      </c>
      <c r="V77" s="85" t="n">
        <f aca="true">IF(V$5=0,U77,MAX(0,(U77-V$4)*(1+NORMINV(RAND(),INPUTS!$B$28,INPUTS!$B$29))))</f>
        <v>812723.808233216</v>
      </c>
      <c r="W77" s="85" t="n">
        <f aca="true">IF(W$5=0,V77,MAX(0,(V77-W$4)*(1+NORMINV(RAND(),INPUTS!$B$28,INPUTS!$B$29))))</f>
        <v>940524.578361426</v>
      </c>
      <c r="X77" s="85" t="n">
        <f aca="true">IF(X$5=0,W77,MAX(0,(W77-X$4)*(1+NORMINV(RAND(),INPUTS!$B$28,INPUTS!$B$29))))</f>
        <v>1007818.89773276</v>
      </c>
      <c r="Y77" s="85" t="n">
        <f aca="true">IF(Y$5=0,X77,MAX(0,(X77-Y$4)*(1+NORMINV(RAND(),INPUTS!$B$28,INPUTS!$B$29))))</f>
        <v>887660.947466022</v>
      </c>
      <c r="Z77" s="85" t="n">
        <f aca="true">IF(Z$5=0,Y77,MAX(0,(Y77-Z$4)*(1+NORMINV(RAND(),INPUTS!$B$28,INPUTS!$B$29))))</f>
        <v>1022076.0838945</v>
      </c>
      <c r="AA77" s="85" t="n">
        <f aca="true">IF(AA$5=0,Z77,MAX(0,(Z77-AA$4)*(1+NORMINV(RAND(),INPUTS!$B$28,INPUTS!$B$29))))</f>
        <v>948422.187052476</v>
      </c>
      <c r="AB77" s="85" t="n">
        <f aca="true">IF(AB$5=0,AA77,MAX(0,(AA77-AB$4)*(1+NORMINV(RAND(),INPUTS!$B$28,INPUTS!$B$29))))</f>
        <v>883421.407071077</v>
      </c>
      <c r="AC77" s="85" t="n">
        <f aca="true">IF(AC$5=0,AB77,MAX(0,(AB77-AC$4)*(1+NORMINV(RAND(),INPUTS!$B$28,INPUTS!$B$29))))</f>
        <v>916222.125489915</v>
      </c>
      <c r="AD77" s="85" t="n">
        <f aca="true">IF(AD$5=0,AC77,MAX(0,(AC77-AD$4)*(1+NORMINV(RAND(),INPUTS!$B$28,INPUTS!$B$29))))</f>
        <v>987158.110109139</v>
      </c>
      <c r="AE77" s="85" t="n">
        <f aca="true">IF(AE$5=0,AD77,MAX(0,(AD77-AE$4)*(1+NORMINV(RAND(),INPUTS!$B$28,INPUTS!$B$29))))</f>
        <v>1072606.60391488</v>
      </c>
      <c r="AF77" s="85" t="n">
        <f aca="true">IF(AF$5=0,AE77,MAX(0,(AE77-AF$4)*(1+NORMINV(RAND(),INPUTS!$B$28,INPUTS!$B$29))))</f>
        <v>1125422.84551112</v>
      </c>
      <c r="AG77" s="85" t="n">
        <f aca="true">IF(AG$5=0,AF77,MAX(0,(AF77-AG$4)*(1+NORMINV(RAND(),INPUTS!$B$28,INPUTS!$B$29))))</f>
        <v>1130260.42407041</v>
      </c>
      <c r="AH77" s="85" t="n">
        <f aca="true">IF(AH$5=0,AG77,MAX(0,(AG77-AH$4)*(1+NORMINV(RAND(),INPUTS!$B$28,INPUTS!$B$29))))</f>
        <v>1003740.72182298</v>
      </c>
      <c r="AI77" s="85" t="n">
        <f aca="true">IF(AI$5=0,AH77,MAX(0,(AH77-AI$4)*(1+NORMINV(RAND(),INPUTS!$B$28,INPUTS!$B$29))))</f>
        <v>1061223.28254591</v>
      </c>
      <c r="AJ77" s="85" t="n">
        <f aca="true">IF(AJ$5=0,AI77,MAX(0,(AI77-AJ$4)*(1+NORMINV(RAND(),INPUTS!$B$28,INPUTS!$B$29))))</f>
        <v>1177674.35014204</v>
      </c>
      <c r="AK77" s="85" t="n">
        <f aca="true">IF(AK$5=0,AJ77,MAX(0,(AJ77-AK$4)*(1+NORMINV(RAND(),INPUTS!$B$28,INPUTS!$B$29))))</f>
        <v>951629.935739774</v>
      </c>
      <c r="AL77" s="85" t="n">
        <f aca="true">IF(AL$5=0,AK77,MAX(0,(AK77-AL$4)*(1+NORMINV(RAND(),INPUTS!$B$28,INPUTS!$B$29))))</f>
        <v>899999.916481942</v>
      </c>
      <c r="AM77" s="85" t="n">
        <f aca="true">IF(AM$5=0,AL77,MAX(0,(AL77-AM$4)*(1+NORMINV(RAND(),INPUTS!$B$28,INPUTS!$B$29))))</f>
        <v>899999.916481942</v>
      </c>
      <c r="AN77" s="85" t="n">
        <f aca="true">IF(AN$5=0,AM77,MAX(0,(AM77-AN$4)*(1+NORMINV(RAND(),INPUTS!$B$28,INPUTS!$B$29))))</f>
        <v>899999.916481942</v>
      </c>
      <c r="AO77" s="85" t="n">
        <f aca="true">IF(AO$5=0,AN77,MAX(0,(AN77-AO$4)*(1+NORMINV(RAND(),INPUTS!$B$28,INPUTS!$B$29))))</f>
        <v>899999.916481942</v>
      </c>
      <c r="AP77" s="85" t="n">
        <f aca="true">IF(AP$5=0,AO77,MAX(0,(AO77-AP$4)*(1+NORMINV(RAND(),INPUTS!$B$28,INPUTS!$B$29))))</f>
        <v>899999.916481942</v>
      </c>
    </row>
    <row r="78" customFormat="false" ht="15" hidden="false" customHeight="true" outlineLevel="0" collapsed="false">
      <c r="A78" s="83" t="n">
        <v>71</v>
      </c>
      <c r="B78" s="84" t="n">
        <f aca="false">LOOKUP(9.99E+307,C78:AP78)</f>
        <v>0</v>
      </c>
      <c r="C78" s="85" t="n">
        <f aca="true">IF(C$5=0,INPUTS!$B$19,MAX(0,(INPUTS!$B$19-C$4)*(1+NORMINV(RAND(),INPUTS!$B$28,INPUTS!$B$29))))</f>
        <v>859874.922407283</v>
      </c>
      <c r="D78" s="85" t="n">
        <f aca="true">IF(D$5=0,C78,MAX(0,(C78-D$4)*(1+NORMINV(RAND(),INPUTS!$B$28,INPUTS!$B$29))))</f>
        <v>685978.769840064</v>
      </c>
      <c r="E78" s="85" t="n">
        <f aca="true">IF(E$5=0,D78,MAX(0,(D78-E$4)*(1+NORMINV(RAND(),INPUTS!$B$28,INPUTS!$B$29))))</f>
        <v>833207.297586478</v>
      </c>
      <c r="F78" s="85" t="n">
        <f aca="true">IF(F$5=0,E78,MAX(0,(E78-F$4)*(1+NORMINV(RAND(),INPUTS!$B$28,INPUTS!$B$29))))</f>
        <v>738070.907887201</v>
      </c>
      <c r="G78" s="85" t="n">
        <f aca="true">IF(G$5=0,F78,MAX(0,(F78-G$4)*(1+NORMINV(RAND(),INPUTS!$B$28,INPUTS!$B$29))))</f>
        <v>707875.621886689</v>
      </c>
      <c r="H78" s="85" t="n">
        <f aca="true">IF(H$5=0,G78,MAX(0,(G78-H$4)*(1+NORMINV(RAND(),INPUTS!$B$28,INPUTS!$B$29))))</f>
        <v>681636.813558417</v>
      </c>
      <c r="I78" s="85" t="n">
        <f aca="true">IF(I$5=0,H78,MAX(0,(H78-I$4)*(1+NORMINV(RAND(),INPUTS!$B$28,INPUTS!$B$29))))</f>
        <v>647067.504145608</v>
      </c>
      <c r="J78" s="85" t="n">
        <f aca="true">IF(J$5=0,I78,MAX(0,(I78-J$4)*(1+NORMINV(RAND(),INPUTS!$B$28,INPUTS!$B$29))))</f>
        <v>614949.666351344</v>
      </c>
      <c r="K78" s="85" t="n">
        <f aca="true">IF(K$5=0,J78,MAX(0,(J78-K$4)*(1+NORMINV(RAND(),INPUTS!$B$28,INPUTS!$B$29))))</f>
        <v>638582.651022717</v>
      </c>
      <c r="L78" s="85" t="n">
        <f aca="true">IF(L$5=0,K78,MAX(0,(K78-L$4)*(1+NORMINV(RAND(),INPUTS!$B$28,INPUTS!$B$29))))</f>
        <v>687917.09764291</v>
      </c>
      <c r="M78" s="85" t="n">
        <f aca="true">IF(M$5=0,L78,MAX(0,(L78-M$4)*(1+NORMINV(RAND(),INPUTS!$B$28,INPUTS!$B$29))))</f>
        <v>528028.428668276</v>
      </c>
      <c r="N78" s="85" t="n">
        <f aca="true">IF(N$5=0,M78,MAX(0,(M78-N$4)*(1+NORMINV(RAND(),INPUTS!$B$28,INPUTS!$B$29))))</f>
        <v>472513.427332966</v>
      </c>
      <c r="O78" s="85" t="n">
        <f aca="true">IF(O$5=0,N78,MAX(0,(N78-O$4)*(1+NORMINV(RAND(),INPUTS!$B$28,INPUTS!$B$29))))</f>
        <v>436964.244772211</v>
      </c>
      <c r="P78" s="85" t="n">
        <f aca="true">IF(P$5=0,O78,MAX(0,(O78-P$4)*(1+NORMINV(RAND(),INPUTS!$B$28,INPUTS!$B$29))))</f>
        <v>430242.063701499</v>
      </c>
      <c r="Q78" s="85" t="n">
        <f aca="true">IF(Q$5=0,P78,MAX(0,(P78-Q$4)*(1+NORMINV(RAND(),INPUTS!$B$28,INPUTS!$B$29))))</f>
        <v>396938.231827869</v>
      </c>
      <c r="R78" s="85" t="n">
        <f aca="true">IF(R$5=0,Q78,MAX(0,(Q78-R$4)*(1+NORMINV(RAND(),INPUTS!$B$28,INPUTS!$B$29))))</f>
        <v>363870.980942054</v>
      </c>
      <c r="S78" s="85" t="n">
        <f aca="true">IF(S$5=0,R78,MAX(0,(R78-S$4)*(1+NORMINV(RAND(),INPUTS!$B$28,INPUTS!$B$29))))</f>
        <v>363341.511655493</v>
      </c>
      <c r="T78" s="85" t="n">
        <f aca="true">IF(T$5=0,S78,MAX(0,(S78-T$4)*(1+NORMINV(RAND(),INPUTS!$B$28,INPUTS!$B$29))))</f>
        <v>350342.677633064</v>
      </c>
      <c r="U78" s="85" t="n">
        <f aca="true">IF(U$5=0,T78,MAX(0,(T78-U$4)*(1+NORMINV(RAND(),INPUTS!$B$28,INPUTS!$B$29))))</f>
        <v>394703.147134695</v>
      </c>
      <c r="V78" s="85" t="n">
        <f aca="true">IF(V$5=0,U78,MAX(0,(U78-V$4)*(1+NORMINV(RAND(),INPUTS!$B$28,INPUTS!$B$29))))</f>
        <v>359368.381122371</v>
      </c>
      <c r="W78" s="85" t="n">
        <f aca="true">IF(W$5=0,V78,MAX(0,(V78-W$4)*(1+NORMINV(RAND(),INPUTS!$B$28,INPUTS!$B$29))))</f>
        <v>363490.507345881</v>
      </c>
      <c r="X78" s="85" t="n">
        <f aca="true">IF(X$5=0,W78,MAX(0,(W78-X$4)*(1+NORMINV(RAND(),INPUTS!$B$28,INPUTS!$B$29))))</f>
        <v>339915.697620594</v>
      </c>
      <c r="Y78" s="85" t="n">
        <f aca="true">IF(Y$5=0,X78,MAX(0,(X78-Y$4)*(1+NORMINV(RAND(),INPUTS!$B$28,INPUTS!$B$29))))</f>
        <v>302023.49715898</v>
      </c>
      <c r="Z78" s="85" t="n">
        <f aca="true">IF(Z$5=0,Y78,MAX(0,(Y78-Z$4)*(1+NORMINV(RAND(),INPUTS!$B$28,INPUTS!$B$29))))</f>
        <v>303290.645522168</v>
      </c>
      <c r="AA78" s="85" t="n">
        <f aca="true">IF(AA$5=0,Z78,MAX(0,(Z78-AA$4)*(1+NORMINV(RAND(),INPUTS!$B$28,INPUTS!$B$29))))</f>
        <v>274441.064564279</v>
      </c>
      <c r="AB78" s="85" t="n">
        <f aca="true">IF(AB$5=0,AA78,MAX(0,(AA78-AB$4)*(1+NORMINV(RAND(),INPUTS!$B$28,INPUTS!$B$29))))</f>
        <v>222443.98639765</v>
      </c>
      <c r="AC78" s="85" t="n">
        <f aca="true">IF(AC$5=0,AB78,MAX(0,(AB78-AC$4)*(1+NORMINV(RAND(),INPUTS!$B$28,INPUTS!$B$29))))</f>
        <v>143437.922968142</v>
      </c>
      <c r="AD78" s="85" t="n">
        <f aca="true">IF(AD$5=0,AC78,MAX(0,(AC78-AD$4)*(1+NORMINV(RAND(),INPUTS!$B$28,INPUTS!$B$29))))</f>
        <v>85284.2521647239</v>
      </c>
      <c r="AE78" s="85" t="n">
        <f aca="true">IF(AE$5=0,AD78,MAX(0,(AD78-AE$4)*(1+NORMINV(RAND(),INPUTS!$B$28,INPUTS!$B$29))))</f>
        <v>18742.1805588279</v>
      </c>
      <c r="AF78" s="85" t="n">
        <f aca="true">IF(AF$5=0,AE78,MAX(0,(AE78-AF$4)*(1+NORMINV(RAND(),INPUTS!$B$28,INPUTS!$B$29))))</f>
        <v>0</v>
      </c>
      <c r="AG78" s="85" t="n">
        <f aca="true">IF(AG$5=0,AF78,MAX(0,(AF78-AG$4)*(1+NORMINV(RAND(),INPUTS!$B$28,INPUTS!$B$29))))</f>
        <v>0</v>
      </c>
      <c r="AH78" s="85" t="n">
        <f aca="true">IF(AH$5=0,AG78,MAX(0,(AG78-AH$4)*(1+NORMINV(RAND(),INPUTS!$B$28,INPUTS!$B$29))))</f>
        <v>0</v>
      </c>
      <c r="AI78" s="85" t="n">
        <f aca="true">IF(AI$5=0,AH78,MAX(0,(AH78-AI$4)*(1+NORMINV(RAND(),INPUTS!$B$28,INPUTS!$B$29))))</f>
        <v>0</v>
      </c>
      <c r="AJ78" s="85" t="n">
        <f aca="true">IF(AJ$5=0,AI78,MAX(0,(AI78-AJ$4)*(1+NORMINV(RAND(),INPUTS!$B$28,INPUTS!$B$29))))</f>
        <v>0</v>
      </c>
      <c r="AK78" s="85" t="n">
        <f aca="true">IF(AK$5=0,AJ78,MAX(0,(AJ78-AK$4)*(1+NORMINV(RAND(),INPUTS!$B$28,INPUTS!$B$29))))</f>
        <v>0</v>
      </c>
      <c r="AL78" s="85" t="n">
        <f aca="true">IF(AL$5=0,AK78,MAX(0,(AK78-AL$4)*(1+NORMINV(RAND(),INPUTS!$B$28,INPUTS!$B$29))))</f>
        <v>0</v>
      </c>
      <c r="AM78" s="85" t="n">
        <f aca="true">IF(AM$5=0,AL78,MAX(0,(AL78-AM$4)*(1+NORMINV(RAND(),INPUTS!$B$28,INPUTS!$B$29))))</f>
        <v>0</v>
      </c>
      <c r="AN78" s="85" t="n">
        <f aca="true">IF(AN$5=0,AM78,MAX(0,(AM78-AN$4)*(1+NORMINV(RAND(),INPUTS!$B$28,INPUTS!$B$29))))</f>
        <v>0</v>
      </c>
      <c r="AO78" s="85" t="n">
        <f aca="true">IF(AO$5=0,AN78,MAX(0,(AN78-AO$4)*(1+NORMINV(RAND(),INPUTS!$B$28,INPUTS!$B$29))))</f>
        <v>0</v>
      </c>
      <c r="AP78" s="85" t="n">
        <f aca="true">IF(AP$5=0,AO78,MAX(0,(AO78-AP$4)*(1+NORMINV(RAND(),INPUTS!$B$28,INPUTS!$B$29))))</f>
        <v>0</v>
      </c>
    </row>
    <row r="79" customFormat="false" ht="15" hidden="false" customHeight="true" outlineLevel="0" collapsed="false">
      <c r="A79" s="83" t="n">
        <v>72</v>
      </c>
      <c r="B79" s="84" t="n">
        <f aca="false">LOOKUP(9.99E+307,C79:AP79)</f>
        <v>0</v>
      </c>
      <c r="C79" s="85" t="n">
        <f aca="true">IF(C$5=0,INPUTS!$B$19,MAX(0,(INPUTS!$B$19-C$4)*(1+NORMINV(RAND(),INPUTS!$B$28,INPUTS!$B$29))))</f>
        <v>1376858.79027886</v>
      </c>
      <c r="D79" s="85" t="n">
        <f aca="true">IF(D$5=0,C79,MAX(0,(C79-D$4)*(1+NORMINV(RAND(),INPUTS!$B$28,INPUTS!$B$29))))</f>
        <v>1436994.82257316</v>
      </c>
      <c r="E79" s="85" t="n">
        <f aca="true">IF(E$5=0,D79,MAX(0,(D79-E$4)*(1+NORMINV(RAND(),INPUTS!$B$28,INPUTS!$B$29))))</f>
        <v>1316448.95715188</v>
      </c>
      <c r="F79" s="85" t="n">
        <f aca="true">IF(F$5=0,E79,MAX(0,(E79-F$4)*(1+NORMINV(RAND(),INPUTS!$B$28,INPUTS!$B$29))))</f>
        <v>1244085.96789559</v>
      </c>
      <c r="G79" s="85" t="n">
        <f aca="true">IF(G$5=0,F79,MAX(0,(F79-G$4)*(1+NORMINV(RAND(),INPUTS!$B$28,INPUTS!$B$29))))</f>
        <v>1270683.52572301</v>
      </c>
      <c r="H79" s="85" t="n">
        <f aca="true">IF(H$5=0,G79,MAX(0,(G79-H$4)*(1+NORMINV(RAND(),INPUTS!$B$28,INPUTS!$B$29))))</f>
        <v>1180556.91673869</v>
      </c>
      <c r="I79" s="85" t="n">
        <f aca="true">IF(I$5=0,H79,MAX(0,(H79-I$4)*(1+NORMINV(RAND(),INPUTS!$B$28,INPUTS!$B$29))))</f>
        <v>1177484.69305721</v>
      </c>
      <c r="J79" s="85" t="n">
        <f aca="true">IF(J$5=0,I79,MAX(0,(I79-J$4)*(1+NORMINV(RAND(),INPUTS!$B$28,INPUTS!$B$29))))</f>
        <v>1261210.7826814</v>
      </c>
      <c r="K79" s="85" t="n">
        <f aca="true">IF(K$5=0,J79,MAX(0,(J79-K$4)*(1+NORMINV(RAND(),INPUTS!$B$28,INPUTS!$B$29))))</f>
        <v>1350018.85206228</v>
      </c>
      <c r="L79" s="85" t="n">
        <f aca="true">IF(L$5=0,K79,MAX(0,(K79-L$4)*(1+NORMINV(RAND(),INPUTS!$B$28,INPUTS!$B$29))))</f>
        <v>1236862.65055748</v>
      </c>
      <c r="M79" s="85" t="n">
        <f aca="true">IF(M$5=0,L79,MAX(0,(L79-M$4)*(1+NORMINV(RAND(),INPUTS!$B$28,INPUTS!$B$29))))</f>
        <v>1181166.28883912</v>
      </c>
      <c r="N79" s="85" t="n">
        <f aca="true">IF(N$5=0,M79,MAX(0,(M79-N$4)*(1+NORMINV(RAND(),INPUTS!$B$28,INPUTS!$B$29))))</f>
        <v>1094319.69089566</v>
      </c>
      <c r="O79" s="85" t="n">
        <f aca="true">IF(O$5=0,N79,MAX(0,(N79-O$4)*(1+NORMINV(RAND(),INPUTS!$B$28,INPUTS!$B$29))))</f>
        <v>1026954.8146995</v>
      </c>
      <c r="P79" s="85" t="n">
        <f aca="true">IF(P$5=0,O79,MAX(0,(O79-P$4)*(1+NORMINV(RAND(),INPUTS!$B$28,INPUTS!$B$29))))</f>
        <v>1066557.76330267</v>
      </c>
      <c r="Q79" s="85" t="n">
        <f aca="true">IF(Q$5=0,P79,MAX(0,(P79-Q$4)*(1+NORMINV(RAND(),INPUTS!$B$28,INPUTS!$B$29))))</f>
        <v>894716.807766706</v>
      </c>
      <c r="R79" s="85" t="n">
        <f aca="true">IF(R$5=0,Q79,MAX(0,(Q79-R$4)*(1+NORMINV(RAND(),INPUTS!$B$28,INPUTS!$B$29))))</f>
        <v>751005.955803996</v>
      </c>
      <c r="S79" s="85" t="n">
        <f aca="true">IF(S$5=0,R79,MAX(0,(R79-S$4)*(1+NORMINV(RAND(),INPUTS!$B$28,INPUTS!$B$29))))</f>
        <v>721424.422326545</v>
      </c>
      <c r="T79" s="85" t="n">
        <f aca="true">IF(T$5=0,S79,MAX(0,(S79-T$4)*(1+NORMINV(RAND(),INPUTS!$B$28,INPUTS!$B$29))))</f>
        <v>742282.197315534</v>
      </c>
      <c r="U79" s="85" t="n">
        <f aca="true">IF(U$5=0,T79,MAX(0,(T79-U$4)*(1+NORMINV(RAND(),INPUTS!$B$28,INPUTS!$B$29))))</f>
        <v>886377.401009687</v>
      </c>
      <c r="V79" s="85" t="n">
        <f aca="true">IF(V$5=0,U79,MAX(0,(U79-V$4)*(1+NORMINV(RAND(),INPUTS!$B$28,INPUTS!$B$29))))</f>
        <v>749780.154969586</v>
      </c>
      <c r="W79" s="85" t="n">
        <f aca="true">IF(W$5=0,V79,MAX(0,(V79-W$4)*(1+NORMINV(RAND(),INPUTS!$B$28,INPUTS!$B$29))))</f>
        <v>758506.354847359</v>
      </c>
      <c r="X79" s="85" t="n">
        <f aca="true">IF(X$5=0,W79,MAX(0,(W79-X$4)*(1+NORMINV(RAND(),INPUTS!$B$28,INPUTS!$B$29))))</f>
        <v>742560.975241958</v>
      </c>
      <c r="Y79" s="85" t="n">
        <f aca="true">IF(Y$5=0,X79,MAX(0,(X79-Y$4)*(1+NORMINV(RAND(),INPUTS!$B$28,INPUTS!$B$29))))</f>
        <v>595640.645599857</v>
      </c>
      <c r="Z79" s="85" t="n">
        <f aca="true">IF(Z$5=0,Y79,MAX(0,(Y79-Z$4)*(1+NORMINV(RAND(),INPUTS!$B$28,INPUTS!$B$29))))</f>
        <v>556691.545082974</v>
      </c>
      <c r="AA79" s="85" t="n">
        <f aca="true">IF(AA$5=0,Z79,MAX(0,(Z79-AA$4)*(1+NORMINV(RAND(),INPUTS!$B$28,INPUTS!$B$29))))</f>
        <v>527706.889585541</v>
      </c>
      <c r="AB79" s="85" t="n">
        <f aca="true">IF(AB$5=0,AA79,MAX(0,(AA79-AB$4)*(1+NORMINV(RAND(),INPUTS!$B$28,INPUTS!$B$29))))</f>
        <v>475950.997417712</v>
      </c>
      <c r="AC79" s="85" t="n">
        <f aca="true">IF(AC$5=0,AB79,MAX(0,(AB79-AC$4)*(1+NORMINV(RAND(),INPUTS!$B$28,INPUTS!$B$29))))</f>
        <v>435442.409377252</v>
      </c>
      <c r="AD79" s="85" t="n">
        <f aca="true">IF(AD$5=0,AC79,MAX(0,(AC79-AD$4)*(1+NORMINV(RAND(),INPUTS!$B$28,INPUTS!$B$29))))</f>
        <v>371005.291783548</v>
      </c>
      <c r="AE79" s="85" t="n">
        <f aca="true">IF(AE$5=0,AD79,MAX(0,(AD79-AE$4)*(1+NORMINV(RAND(),INPUTS!$B$28,INPUTS!$B$29))))</f>
        <v>326747.275044591</v>
      </c>
      <c r="AF79" s="85" t="n">
        <f aca="true">IF(AF$5=0,AE79,MAX(0,(AE79-AF$4)*(1+NORMINV(RAND(),INPUTS!$B$28,INPUTS!$B$29))))</f>
        <v>253425.953996655</v>
      </c>
      <c r="AG79" s="85" t="n">
        <f aca="true">IF(AG$5=0,AF79,MAX(0,(AF79-AG$4)*(1+NORMINV(RAND(),INPUTS!$B$28,INPUTS!$B$29))))</f>
        <v>186635.504534288</v>
      </c>
      <c r="AH79" s="85" t="n">
        <f aca="true">IF(AH$5=0,AG79,MAX(0,(AG79-AH$4)*(1+NORMINV(RAND(),INPUTS!$B$28,INPUTS!$B$29))))</f>
        <v>120996.580197963</v>
      </c>
      <c r="AI79" s="85" t="n">
        <f aca="true">IF(AI$5=0,AH79,MAX(0,(AH79-AI$4)*(1+NORMINV(RAND(),INPUTS!$B$28,INPUTS!$B$29))))</f>
        <v>45244.3166396549</v>
      </c>
      <c r="AJ79" s="85" t="n">
        <f aca="true">IF(AJ$5=0,AI79,MAX(0,(AI79-AJ$4)*(1+NORMINV(RAND(),INPUTS!$B$28,INPUTS!$B$29))))</f>
        <v>0</v>
      </c>
      <c r="AK79" s="85" t="n">
        <f aca="true">IF(AK$5=0,AJ79,MAX(0,(AJ79-AK$4)*(1+NORMINV(RAND(),INPUTS!$B$28,INPUTS!$B$29))))</f>
        <v>0</v>
      </c>
      <c r="AL79" s="85" t="n">
        <f aca="true">IF(AL$5=0,AK79,MAX(0,(AK79-AL$4)*(1+NORMINV(RAND(),INPUTS!$B$28,INPUTS!$B$29))))</f>
        <v>0</v>
      </c>
      <c r="AM79" s="85" t="n">
        <f aca="true">IF(AM$5=0,AL79,MAX(0,(AL79-AM$4)*(1+NORMINV(RAND(),INPUTS!$B$28,INPUTS!$B$29))))</f>
        <v>0</v>
      </c>
      <c r="AN79" s="85" t="n">
        <f aca="true">IF(AN$5=0,AM79,MAX(0,(AM79-AN$4)*(1+NORMINV(RAND(),INPUTS!$B$28,INPUTS!$B$29))))</f>
        <v>0</v>
      </c>
      <c r="AO79" s="85" t="n">
        <f aca="true">IF(AO$5=0,AN79,MAX(0,(AN79-AO$4)*(1+NORMINV(RAND(),INPUTS!$B$28,INPUTS!$B$29))))</f>
        <v>0</v>
      </c>
      <c r="AP79" s="85" t="n">
        <f aca="true">IF(AP$5=0,AO79,MAX(0,(AO79-AP$4)*(1+NORMINV(RAND(),INPUTS!$B$28,INPUTS!$B$29))))</f>
        <v>0</v>
      </c>
    </row>
    <row r="80" customFormat="false" ht="15" hidden="false" customHeight="true" outlineLevel="0" collapsed="false">
      <c r="A80" s="83" t="n">
        <v>73</v>
      </c>
      <c r="B80" s="84" t="n">
        <f aca="false">LOOKUP(9.99E+307,C80:AP80)</f>
        <v>7734512.13012426</v>
      </c>
      <c r="C80" s="85" t="n">
        <f aca="true">IF(C$5=0,INPUTS!$B$19,MAX(0,(INPUTS!$B$19-C$4)*(1+NORMINV(RAND(),INPUTS!$B$28,INPUTS!$B$29))))</f>
        <v>1145943.95729413</v>
      </c>
      <c r="D80" s="85" t="n">
        <f aca="true">IF(D$5=0,C80,MAX(0,(C80-D$4)*(1+NORMINV(RAND(),INPUTS!$B$28,INPUTS!$B$29))))</f>
        <v>1319569.74948763</v>
      </c>
      <c r="E80" s="85" t="n">
        <f aca="true">IF(E$5=0,D80,MAX(0,(D80-E$4)*(1+NORMINV(RAND(),INPUTS!$B$28,INPUTS!$B$29))))</f>
        <v>1216852.01889197</v>
      </c>
      <c r="F80" s="85" t="n">
        <f aca="true">IF(F$5=0,E80,MAX(0,(E80-F$4)*(1+NORMINV(RAND(),INPUTS!$B$28,INPUTS!$B$29))))</f>
        <v>1253980.90294201</v>
      </c>
      <c r="G80" s="85" t="n">
        <f aca="true">IF(G$5=0,F80,MAX(0,(F80-G$4)*(1+NORMINV(RAND(),INPUTS!$B$28,INPUTS!$B$29))))</f>
        <v>1455534.93386224</v>
      </c>
      <c r="H80" s="85" t="n">
        <f aca="true">IF(H$5=0,G80,MAX(0,(G80-H$4)*(1+NORMINV(RAND(),INPUTS!$B$28,INPUTS!$B$29))))</f>
        <v>1403632.11040968</v>
      </c>
      <c r="I80" s="85" t="n">
        <f aca="true">IF(I$5=0,H80,MAX(0,(H80-I$4)*(1+NORMINV(RAND(),INPUTS!$B$28,INPUTS!$B$29))))</f>
        <v>1518287.38048741</v>
      </c>
      <c r="J80" s="85" t="n">
        <f aca="true">IF(J$5=0,I80,MAX(0,(I80-J$4)*(1+NORMINV(RAND(),INPUTS!$B$28,INPUTS!$B$29))))</f>
        <v>1481551.60706265</v>
      </c>
      <c r="K80" s="85" t="n">
        <f aca="true">IF(K$5=0,J80,MAX(0,(J80-K$4)*(1+NORMINV(RAND(),INPUTS!$B$28,INPUTS!$B$29))))</f>
        <v>1602602.38839078</v>
      </c>
      <c r="L80" s="85" t="n">
        <f aca="true">IF(L$5=0,K80,MAX(0,(K80-L$4)*(1+NORMINV(RAND(),INPUTS!$B$28,INPUTS!$B$29))))</f>
        <v>1752654.55167184</v>
      </c>
      <c r="M80" s="85" t="n">
        <f aca="true">IF(M$5=0,L80,MAX(0,(L80-M$4)*(1+NORMINV(RAND(),INPUTS!$B$28,INPUTS!$B$29))))</f>
        <v>2070110.96407042</v>
      </c>
      <c r="N80" s="85" t="n">
        <f aca="true">IF(N$5=0,M80,MAX(0,(M80-N$4)*(1+NORMINV(RAND(),INPUTS!$B$28,INPUTS!$B$29))))</f>
        <v>2144871.56229373</v>
      </c>
      <c r="O80" s="85" t="n">
        <f aca="true">IF(O$5=0,N80,MAX(0,(N80-O$4)*(1+NORMINV(RAND(),INPUTS!$B$28,INPUTS!$B$29))))</f>
        <v>2565619.2404748</v>
      </c>
      <c r="P80" s="85" t="n">
        <f aca="true">IF(P$5=0,O80,MAX(0,(O80-P$4)*(1+NORMINV(RAND(),INPUTS!$B$28,INPUTS!$B$29))))</f>
        <v>2533571.38207575</v>
      </c>
      <c r="Q80" s="85" t="n">
        <f aca="true">IF(Q$5=0,P80,MAX(0,(P80-Q$4)*(1+NORMINV(RAND(),INPUTS!$B$28,INPUTS!$B$29))))</f>
        <v>2298444.38408249</v>
      </c>
      <c r="R80" s="85" t="n">
        <f aca="true">IF(R$5=0,Q80,MAX(0,(Q80-R$4)*(1+NORMINV(RAND(),INPUTS!$B$28,INPUTS!$B$29))))</f>
        <v>2450884.92208525</v>
      </c>
      <c r="S80" s="85" t="n">
        <f aca="true">IF(S$5=0,R80,MAX(0,(R80-S$4)*(1+NORMINV(RAND(),INPUTS!$B$28,INPUTS!$B$29))))</f>
        <v>2528751.31517296</v>
      </c>
      <c r="T80" s="85" t="n">
        <f aca="true">IF(T$5=0,S80,MAX(0,(S80-T$4)*(1+NORMINV(RAND(),INPUTS!$B$28,INPUTS!$B$29))))</f>
        <v>2653494.40647099</v>
      </c>
      <c r="U80" s="85" t="n">
        <f aca="true">IF(U$5=0,T80,MAX(0,(T80-U$4)*(1+NORMINV(RAND(),INPUTS!$B$28,INPUTS!$B$29))))</f>
        <v>2766559.949989</v>
      </c>
      <c r="V80" s="85" t="n">
        <f aca="true">IF(V$5=0,U80,MAX(0,(U80-V$4)*(1+NORMINV(RAND(),INPUTS!$B$28,INPUTS!$B$29))))</f>
        <v>3412706.57164979</v>
      </c>
      <c r="W80" s="85" t="n">
        <f aca="true">IF(W$5=0,V80,MAX(0,(V80-W$4)*(1+NORMINV(RAND(),INPUTS!$B$28,INPUTS!$B$29))))</f>
        <v>4091526.02157927</v>
      </c>
      <c r="X80" s="85" t="n">
        <f aca="true">IF(X$5=0,W80,MAX(0,(W80-X$4)*(1+NORMINV(RAND(),INPUTS!$B$28,INPUTS!$B$29))))</f>
        <v>4382133.52765759</v>
      </c>
      <c r="Y80" s="85" t="n">
        <f aca="true">IF(Y$5=0,X80,MAX(0,(X80-Y$4)*(1+NORMINV(RAND(),INPUTS!$B$28,INPUTS!$B$29))))</f>
        <v>5020042.37970004</v>
      </c>
      <c r="Z80" s="85" t="n">
        <f aca="true">IF(Z$5=0,Y80,MAX(0,(Y80-Z$4)*(1+NORMINV(RAND(),INPUTS!$B$28,INPUTS!$B$29))))</f>
        <v>4771852.09150278</v>
      </c>
      <c r="AA80" s="85" t="n">
        <f aca="true">IF(AA$5=0,Z80,MAX(0,(Z80-AA$4)*(1+NORMINV(RAND(),INPUTS!$B$28,INPUTS!$B$29))))</f>
        <v>5119472.04216802</v>
      </c>
      <c r="AB80" s="85" t="n">
        <f aca="true">IF(AB$5=0,AA80,MAX(0,(AA80-AB$4)*(1+NORMINV(RAND(),INPUTS!$B$28,INPUTS!$B$29))))</f>
        <v>5393088.18934986</v>
      </c>
      <c r="AC80" s="85" t="n">
        <f aca="true">IF(AC$5=0,AB80,MAX(0,(AB80-AC$4)*(1+NORMINV(RAND(),INPUTS!$B$28,INPUTS!$B$29))))</f>
        <v>5480562.54604821</v>
      </c>
      <c r="AD80" s="85" t="n">
        <f aca="true">IF(AD$5=0,AC80,MAX(0,(AC80-AD$4)*(1+NORMINV(RAND(),INPUTS!$B$28,INPUTS!$B$29))))</f>
        <v>5064925.33948757</v>
      </c>
      <c r="AE80" s="85" t="n">
        <f aca="true">IF(AE$5=0,AD80,MAX(0,(AD80-AE$4)*(1+NORMINV(RAND(),INPUTS!$B$28,INPUTS!$B$29))))</f>
        <v>6032799.28620099</v>
      </c>
      <c r="AF80" s="85" t="n">
        <f aca="true">IF(AF$5=0,AE80,MAX(0,(AE80-AF$4)*(1+NORMINV(RAND(),INPUTS!$B$28,INPUTS!$B$29))))</f>
        <v>6375202.52922788</v>
      </c>
      <c r="AG80" s="85" t="n">
        <f aca="true">IF(AG$5=0,AF80,MAX(0,(AF80-AG$4)*(1+NORMINV(RAND(),INPUTS!$B$28,INPUTS!$B$29))))</f>
        <v>7006703.53880742</v>
      </c>
      <c r="AH80" s="85" t="n">
        <f aca="true">IF(AH$5=0,AG80,MAX(0,(AG80-AH$4)*(1+NORMINV(RAND(),INPUTS!$B$28,INPUTS!$B$29))))</f>
        <v>8001855.18982331</v>
      </c>
      <c r="AI80" s="85" t="n">
        <f aca="true">IF(AI$5=0,AH80,MAX(0,(AH80-AI$4)*(1+NORMINV(RAND(),INPUTS!$B$28,INPUTS!$B$29))))</f>
        <v>8112119.16254534</v>
      </c>
      <c r="AJ80" s="85" t="n">
        <f aca="true">IF(AJ$5=0,AI80,MAX(0,(AI80-AJ$4)*(1+NORMINV(RAND(),INPUTS!$B$28,INPUTS!$B$29))))</f>
        <v>8068122.60240385</v>
      </c>
      <c r="AK80" s="85" t="n">
        <f aca="true">IF(AK$5=0,AJ80,MAX(0,(AJ80-AK$4)*(1+NORMINV(RAND(),INPUTS!$B$28,INPUTS!$B$29))))</f>
        <v>8583741.07255419</v>
      </c>
      <c r="AL80" s="85" t="n">
        <f aca="true">IF(AL$5=0,AK80,MAX(0,(AK80-AL$4)*(1+NORMINV(RAND(),INPUTS!$B$28,INPUTS!$B$29))))</f>
        <v>7734512.13012426</v>
      </c>
      <c r="AM80" s="85" t="n">
        <f aca="true">IF(AM$5=0,AL80,MAX(0,(AL80-AM$4)*(1+NORMINV(RAND(),INPUTS!$B$28,INPUTS!$B$29))))</f>
        <v>7734512.13012426</v>
      </c>
      <c r="AN80" s="85" t="n">
        <f aca="true">IF(AN$5=0,AM80,MAX(0,(AM80-AN$4)*(1+NORMINV(RAND(),INPUTS!$B$28,INPUTS!$B$29))))</f>
        <v>7734512.13012426</v>
      </c>
      <c r="AO80" s="85" t="n">
        <f aca="true">IF(AO$5=0,AN80,MAX(0,(AN80-AO$4)*(1+NORMINV(RAND(),INPUTS!$B$28,INPUTS!$B$29))))</f>
        <v>7734512.13012426</v>
      </c>
      <c r="AP80" s="85" t="n">
        <f aca="true">IF(AP$5=0,AO80,MAX(0,(AO80-AP$4)*(1+NORMINV(RAND(),INPUTS!$B$28,INPUTS!$B$29))))</f>
        <v>7734512.13012426</v>
      </c>
    </row>
    <row r="81" customFormat="false" ht="15" hidden="false" customHeight="true" outlineLevel="0" collapsed="false">
      <c r="A81" s="83" t="n">
        <v>74</v>
      </c>
      <c r="B81" s="84" t="n">
        <f aca="false">LOOKUP(9.99E+307,C81:AP81)</f>
        <v>5904181.43754453</v>
      </c>
      <c r="C81" s="85" t="n">
        <f aca="true">IF(C$5=0,INPUTS!$B$19,MAX(0,(INPUTS!$B$19-C$4)*(1+NORMINV(RAND(),INPUTS!$B$28,INPUTS!$B$29))))</f>
        <v>1209630.81731506</v>
      </c>
      <c r="D81" s="85" t="n">
        <f aca="true">IF(D$5=0,C81,MAX(0,(C81-D$4)*(1+NORMINV(RAND(),INPUTS!$B$28,INPUTS!$B$29))))</f>
        <v>1281962.0840276</v>
      </c>
      <c r="E81" s="85" t="n">
        <f aca="true">IF(E$5=0,D81,MAX(0,(D81-E$4)*(1+NORMINV(RAND(),INPUTS!$B$28,INPUTS!$B$29))))</f>
        <v>1315413.91811175</v>
      </c>
      <c r="F81" s="85" t="n">
        <f aca="true">IF(F$5=0,E81,MAX(0,(E81-F$4)*(1+NORMINV(RAND(),INPUTS!$B$28,INPUTS!$B$29))))</f>
        <v>1269420.35454462</v>
      </c>
      <c r="G81" s="85" t="n">
        <f aca="true">IF(G$5=0,F81,MAX(0,(F81-G$4)*(1+NORMINV(RAND(),INPUTS!$B$28,INPUTS!$B$29))))</f>
        <v>1213546.44758255</v>
      </c>
      <c r="H81" s="85" t="n">
        <f aca="true">IF(H$5=0,G81,MAX(0,(G81-H$4)*(1+NORMINV(RAND(),INPUTS!$B$28,INPUTS!$B$29))))</f>
        <v>1169777.12914791</v>
      </c>
      <c r="I81" s="85" t="n">
        <f aca="true">IF(I$5=0,H81,MAX(0,(H81-I$4)*(1+NORMINV(RAND(),INPUTS!$B$28,INPUTS!$B$29))))</f>
        <v>1280870.55900341</v>
      </c>
      <c r="J81" s="85" t="n">
        <f aca="true">IF(J$5=0,I81,MAX(0,(I81-J$4)*(1+NORMINV(RAND(),INPUTS!$B$28,INPUTS!$B$29))))</f>
        <v>1650570.77125777</v>
      </c>
      <c r="K81" s="85" t="n">
        <f aca="true">IF(K$5=0,J81,MAX(0,(J81-K$4)*(1+NORMINV(RAND(),INPUTS!$B$28,INPUTS!$B$29))))</f>
        <v>1892080.33319278</v>
      </c>
      <c r="L81" s="85" t="n">
        <f aca="true">IF(L$5=0,K81,MAX(0,(K81-L$4)*(1+NORMINV(RAND(),INPUTS!$B$28,INPUTS!$B$29))))</f>
        <v>2355151.71930868</v>
      </c>
      <c r="M81" s="85" t="n">
        <f aca="true">IF(M$5=0,L81,MAX(0,(L81-M$4)*(1+NORMINV(RAND(),INPUTS!$B$28,INPUTS!$B$29))))</f>
        <v>2797834.43912226</v>
      </c>
      <c r="N81" s="85" t="n">
        <f aca="true">IF(N$5=0,M81,MAX(0,(M81-N$4)*(1+NORMINV(RAND(),INPUTS!$B$28,INPUTS!$B$29))))</f>
        <v>2634182.42036774</v>
      </c>
      <c r="O81" s="85" t="n">
        <f aca="true">IF(O$5=0,N81,MAX(0,(N81-O$4)*(1+NORMINV(RAND(),INPUTS!$B$28,INPUTS!$B$29))))</f>
        <v>2341979.2545819</v>
      </c>
      <c r="P81" s="85" t="n">
        <f aca="true">IF(P$5=0,O81,MAX(0,(O81-P$4)*(1+NORMINV(RAND(),INPUTS!$B$28,INPUTS!$B$29))))</f>
        <v>2058373.44034892</v>
      </c>
      <c r="Q81" s="85" t="n">
        <f aca="true">IF(Q$5=0,P81,MAX(0,(P81-Q$4)*(1+NORMINV(RAND(),INPUTS!$B$28,INPUTS!$B$29))))</f>
        <v>1922044.60152176</v>
      </c>
      <c r="R81" s="85" t="n">
        <f aca="true">IF(R$5=0,Q81,MAX(0,(Q81-R$4)*(1+NORMINV(RAND(),INPUTS!$B$28,INPUTS!$B$29))))</f>
        <v>2064169.99287599</v>
      </c>
      <c r="S81" s="85" t="n">
        <f aca="true">IF(S$5=0,R81,MAX(0,(R81-S$4)*(1+NORMINV(RAND(),INPUTS!$B$28,INPUTS!$B$29))))</f>
        <v>2647795.25625401</v>
      </c>
      <c r="T81" s="85" t="n">
        <f aca="true">IF(T$5=0,S81,MAX(0,(S81-T$4)*(1+NORMINV(RAND(),INPUTS!$B$28,INPUTS!$B$29))))</f>
        <v>3136353.03714732</v>
      </c>
      <c r="U81" s="85" t="n">
        <f aca="true">IF(U$5=0,T81,MAX(0,(T81-U$4)*(1+NORMINV(RAND(),INPUTS!$B$28,INPUTS!$B$29))))</f>
        <v>3198564.02643253</v>
      </c>
      <c r="V81" s="85" t="n">
        <f aca="true">IF(V$5=0,U81,MAX(0,(U81-V$4)*(1+NORMINV(RAND(),INPUTS!$B$28,INPUTS!$B$29))))</f>
        <v>2960707.12030101</v>
      </c>
      <c r="W81" s="85" t="n">
        <f aca="true">IF(W$5=0,V81,MAX(0,(V81-W$4)*(1+NORMINV(RAND(),INPUTS!$B$28,INPUTS!$B$29))))</f>
        <v>3128080.54348768</v>
      </c>
      <c r="X81" s="85" t="n">
        <f aca="true">IF(X$5=0,W81,MAX(0,(W81-X$4)*(1+NORMINV(RAND(),INPUTS!$B$28,INPUTS!$B$29))))</f>
        <v>2472564.11882955</v>
      </c>
      <c r="Y81" s="85" t="n">
        <f aca="true">IF(Y$5=0,X81,MAX(0,(X81-Y$4)*(1+NORMINV(RAND(),INPUTS!$B$28,INPUTS!$B$29))))</f>
        <v>2284795.32304793</v>
      </c>
      <c r="Z81" s="85" t="n">
        <f aca="true">IF(Z$5=0,Y81,MAX(0,(Y81-Z$4)*(1+NORMINV(RAND(),INPUTS!$B$28,INPUTS!$B$29))))</f>
        <v>2311675.18310379</v>
      </c>
      <c r="AA81" s="85" t="n">
        <f aca="true">IF(AA$5=0,Z81,MAX(0,(Z81-AA$4)*(1+NORMINV(RAND(),INPUTS!$B$28,INPUTS!$B$29))))</f>
        <v>2459324.18208128</v>
      </c>
      <c r="AB81" s="85" t="n">
        <f aca="true">IF(AB$5=0,AA81,MAX(0,(AA81-AB$4)*(1+NORMINV(RAND(),INPUTS!$B$28,INPUTS!$B$29))))</f>
        <v>2759103.57042578</v>
      </c>
      <c r="AC81" s="85" t="n">
        <f aca="true">IF(AC$5=0,AB81,MAX(0,(AB81-AC$4)*(1+NORMINV(RAND(),INPUTS!$B$28,INPUTS!$B$29))))</f>
        <v>3135322.83547579</v>
      </c>
      <c r="AD81" s="85" t="n">
        <f aca="true">IF(AD$5=0,AC81,MAX(0,(AC81-AD$4)*(1+NORMINV(RAND(),INPUTS!$B$28,INPUTS!$B$29))))</f>
        <v>3509795.99399087</v>
      </c>
      <c r="AE81" s="85" t="n">
        <f aca="true">IF(AE$5=0,AD81,MAX(0,(AD81-AE$4)*(1+NORMINV(RAND(),INPUTS!$B$28,INPUTS!$B$29))))</f>
        <v>4318642.01420562</v>
      </c>
      <c r="AF81" s="85" t="n">
        <f aca="true">IF(AF$5=0,AE81,MAX(0,(AE81-AF$4)*(1+NORMINV(RAND(),INPUTS!$B$28,INPUTS!$B$29))))</f>
        <v>4387202.20529163</v>
      </c>
      <c r="AG81" s="85" t="n">
        <f aca="true">IF(AG$5=0,AF81,MAX(0,(AF81-AG$4)*(1+NORMINV(RAND(),INPUTS!$B$28,INPUTS!$B$29))))</f>
        <v>4919145.99061115</v>
      </c>
      <c r="AH81" s="85" t="n">
        <f aca="true">IF(AH$5=0,AG81,MAX(0,(AG81-AH$4)*(1+NORMINV(RAND(),INPUTS!$B$28,INPUTS!$B$29))))</f>
        <v>4939753.06129881</v>
      </c>
      <c r="AI81" s="85" t="n">
        <f aca="true">IF(AI$5=0,AH81,MAX(0,(AH81-AI$4)*(1+NORMINV(RAND(),INPUTS!$B$28,INPUTS!$B$29))))</f>
        <v>5430592.99362805</v>
      </c>
      <c r="AJ81" s="85" t="n">
        <f aca="true">IF(AJ$5=0,AI81,MAX(0,(AI81-AJ$4)*(1+NORMINV(RAND(),INPUTS!$B$28,INPUTS!$B$29))))</f>
        <v>5393687.33383934</v>
      </c>
      <c r="AK81" s="85" t="n">
        <f aca="true">IF(AK$5=0,AJ81,MAX(0,(AJ81-AK$4)*(1+NORMINV(RAND(),INPUTS!$B$28,INPUTS!$B$29))))</f>
        <v>5388895.80964929</v>
      </c>
      <c r="AL81" s="85" t="n">
        <f aca="true">IF(AL$5=0,AK81,MAX(0,(AK81-AL$4)*(1+NORMINV(RAND(),INPUTS!$B$28,INPUTS!$B$29))))</f>
        <v>5904181.43754453</v>
      </c>
      <c r="AM81" s="85" t="n">
        <f aca="true">IF(AM$5=0,AL81,MAX(0,(AL81-AM$4)*(1+NORMINV(RAND(),INPUTS!$B$28,INPUTS!$B$29))))</f>
        <v>5904181.43754453</v>
      </c>
      <c r="AN81" s="85" t="n">
        <f aca="true">IF(AN$5=0,AM81,MAX(0,(AM81-AN$4)*(1+NORMINV(RAND(),INPUTS!$B$28,INPUTS!$B$29))))</f>
        <v>5904181.43754453</v>
      </c>
      <c r="AO81" s="85" t="n">
        <f aca="true">IF(AO$5=0,AN81,MAX(0,(AN81-AO$4)*(1+NORMINV(RAND(),INPUTS!$B$28,INPUTS!$B$29))))</f>
        <v>5904181.43754453</v>
      </c>
      <c r="AP81" s="85" t="n">
        <f aca="true">IF(AP$5=0,AO81,MAX(0,(AO81-AP$4)*(1+NORMINV(RAND(),INPUTS!$B$28,INPUTS!$B$29))))</f>
        <v>5904181.43754453</v>
      </c>
    </row>
    <row r="82" customFormat="false" ht="15" hidden="false" customHeight="true" outlineLevel="0" collapsed="false">
      <c r="A82" s="83" t="n">
        <v>75</v>
      </c>
      <c r="B82" s="84" t="n">
        <f aca="false">LOOKUP(9.99E+307,C82:AP82)</f>
        <v>4875833.55627481</v>
      </c>
      <c r="C82" s="85" t="n">
        <f aca="true">IF(C$5=0,INPUTS!$B$19,MAX(0,(INPUTS!$B$19-C$4)*(1+NORMINV(RAND(),INPUTS!$B$28,INPUTS!$B$29))))</f>
        <v>1078584.19443094</v>
      </c>
      <c r="D82" s="85" t="n">
        <f aca="true">IF(D$5=0,C82,MAX(0,(C82-D$4)*(1+NORMINV(RAND(),INPUTS!$B$28,INPUTS!$B$29))))</f>
        <v>1056452.08895353</v>
      </c>
      <c r="E82" s="85" t="n">
        <f aca="true">IF(E$5=0,D82,MAX(0,(D82-E$4)*(1+NORMINV(RAND(),INPUTS!$B$28,INPUTS!$B$29))))</f>
        <v>1352451.30284033</v>
      </c>
      <c r="F82" s="85" t="n">
        <f aca="true">IF(F$5=0,E82,MAX(0,(E82-F$4)*(1+NORMINV(RAND(),INPUTS!$B$28,INPUTS!$B$29))))</f>
        <v>1653713.09465306</v>
      </c>
      <c r="G82" s="85" t="n">
        <f aca="true">IF(G$5=0,F82,MAX(0,(F82-G$4)*(1+NORMINV(RAND(),INPUTS!$B$28,INPUTS!$B$29))))</f>
        <v>1805646.48529983</v>
      </c>
      <c r="H82" s="85" t="n">
        <f aca="true">IF(H$5=0,G82,MAX(0,(G82-H$4)*(1+NORMINV(RAND(),INPUTS!$B$28,INPUTS!$B$29))))</f>
        <v>1385574.06847823</v>
      </c>
      <c r="I82" s="85" t="n">
        <f aca="true">IF(I$5=0,H82,MAX(0,(H82-I$4)*(1+NORMINV(RAND(),INPUTS!$B$28,INPUTS!$B$29))))</f>
        <v>1464675.1903712</v>
      </c>
      <c r="J82" s="85" t="n">
        <f aca="true">IF(J$5=0,I82,MAX(0,(I82-J$4)*(1+NORMINV(RAND(),INPUTS!$B$28,INPUTS!$B$29))))</f>
        <v>1309341.276281</v>
      </c>
      <c r="K82" s="85" t="n">
        <f aca="true">IF(K$5=0,J82,MAX(0,(J82-K$4)*(1+NORMINV(RAND(),INPUTS!$B$28,INPUTS!$B$29))))</f>
        <v>1261553.7779807</v>
      </c>
      <c r="L82" s="85" t="n">
        <f aca="true">IF(L$5=0,K82,MAX(0,(K82-L$4)*(1+NORMINV(RAND(),INPUTS!$B$28,INPUTS!$B$29))))</f>
        <v>1364983.74537655</v>
      </c>
      <c r="M82" s="85" t="n">
        <f aca="true">IF(M$5=0,L82,MAX(0,(L82-M$4)*(1+NORMINV(RAND(),INPUTS!$B$28,INPUTS!$B$29))))</f>
        <v>1321159.32036955</v>
      </c>
      <c r="N82" s="85" t="n">
        <f aca="true">IF(N$5=0,M82,MAX(0,(M82-N$4)*(1+NORMINV(RAND(),INPUTS!$B$28,INPUTS!$B$29))))</f>
        <v>1299620.43751277</v>
      </c>
      <c r="O82" s="85" t="n">
        <f aca="true">IF(O$5=0,N82,MAX(0,(N82-O$4)*(1+NORMINV(RAND(),INPUTS!$B$28,INPUTS!$B$29))))</f>
        <v>1200767.85067862</v>
      </c>
      <c r="P82" s="85" t="n">
        <f aca="true">IF(P$5=0,O82,MAX(0,(O82-P$4)*(1+NORMINV(RAND(),INPUTS!$B$28,INPUTS!$B$29))))</f>
        <v>1192682.92743326</v>
      </c>
      <c r="Q82" s="85" t="n">
        <f aca="true">IF(Q$5=0,P82,MAX(0,(P82-Q$4)*(1+NORMINV(RAND(),INPUTS!$B$28,INPUTS!$B$29))))</f>
        <v>1248228.91284207</v>
      </c>
      <c r="R82" s="85" t="n">
        <f aca="true">IF(R$5=0,Q82,MAX(0,(Q82-R$4)*(1+NORMINV(RAND(),INPUTS!$B$28,INPUTS!$B$29))))</f>
        <v>1233041.65247953</v>
      </c>
      <c r="S82" s="85" t="n">
        <f aca="true">IF(S$5=0,R82,MAX(0,(R82-S$4)*(1+NORMINV(RAND(),INPUTS!$B$28,INPUTS!$B$29))))</f>
        <v>1454456.96833343</v>
      </c>
      <c r="T82" s="85" t="n">
        <f aca="true">IF(T$5=0,S82,MAX(0,(S82-T$4)*(1+NORMINV(RAND(),INPUTS!$B$28,INPUTS!$B$29))))</f>
        <v>1807079.38728658</v>
      </c>
      <c r="U82" s="85" t="n">
        <f aca="true">IF(U$5=0,T82,MAX(0,(T82-U$4)*(1+NORMINV(RAND(),INPUTS!$B$28,INPUTS!$B$29))))</f>
        <v>1785512.68618687</v>
      </c>
      <c r="V82" s="85" t="n">
        <f aca="true">IF(V$5=0,U82,MAX(0,(U82-V$4)*(1+NORMINV(RAND(),INPUTS!$B$28,INPUTS!$B$29))))</f>
        <v>1607752.87837864</v>
      </c>
      <c r="W82" s="85" t="n">
        <f aca="true">IF(W$5=0,V82,MAX(0,(V82-W$4)*(1+NORMINV(RAND(),INPUTS!$B$28,INPUTS!$B$29))))</f>
        <v>1682521.73653346</v>
      </c>
      <c r="X82" s="85" t="n">
        <f aca="true">IF(X$5=0,W82,MAX(0,(W82-X$4)*(1+NORMINV(RAND(),INPUTS!$B$28,INPUTS!$B$29))))</f>
        <v>1790750.07007462</v>
      </c>
      <c r="Y82" s="85" t="n">
        <f aca="true">IF(Y$5=0,X82,MAX(0,(X82-Y$4)*(1+NORMINV(RAND(),INPUTS!$B$28,INPUTS!$B$29))))</f>
        <v>2406282.54710995</v>
      </c>
      <c r="Z82" s="85" t="n">
        <f aca="true">IF(Z$5=0,Y82,MAX(0,(Y82-Z$4)*(1+NORMINV(RAND(),INPUTS!$B$28,INPUTS!$B$29))))</f>
        <v>2840890.98546604</v>
      </c>
      <c r="AA82" s="85" t="n">
        <f aca="true">IF(AA$5=0,Z82,MAX(0,(Z82-AA$4)*(1+NORMINV(RAND(),INPUTS!$B$28,INPUTS!$B$29))))</f>
        <v>2855663.25936336</v>
      </c>
      <c r="AB82" s="85" t="n">
        <f aca="true">IF(AB$5=0,AA82,MAX(0,(AA82-AB$4)*(1+NORMINV(RAND(),INPUTS!$B$28,INPUTS!$B$29))))</f>
        <v>3847647.0581397</v>
      </c>
      <c r="AC82" s="85" t="n">
        <f aca="true">IF(AC$5=0,AB82,MAX(0,(AB82-AC$4)*(1+NORMINV(RAND(),INPUTS!$B$28,INPUTS!$B$29))))</f>
        <v>3915486.38812418</v>
      </c>
      <c r="AD82" s="85" t="n">
        <f aca="true">IF(AD$5=0,AC82,MAX(0,(AC82-AD$4)*(1+NORMINV(RAND(),INPUTS!$B$28,INPUTS!$B$29))))</f>
        <v>4648737.67131017</v>
      </c>
      <c r="AE82" s="85" t="n">
        <f aca="true">IF(AE$5=0,AD82,MAX(0,(AD82-AE$4)*(1+NORMINV(RAND(),INPUTS!$B$28,INPUTS!$B$29))))</f>
        <v>3861686.13385519</v>
      </c>
      <c r="AF82" s="85" t="n">
        <f aca="true">IF(AF$5=0,AE82,MAX(0,(AE82-AF$4)*(1+NORMINV(RAND(),INPUTS!$B$28,INPUTS!$B$29))))</f>
        <v>3425981.13694945</v>
      </c>
      <c r="AG82" s="85" t="n">
        <f aca="true">IF(AG$5=0,AF82,MAX(0,(AF82-AG$4)*(1+NORMINV(RAND(),INPUTS!$B$28,INPUTS!$B$29))))</f>
        <v>3238240.46392985</v>
      </c>
      <c r="AH82" s="85" t="n">
        <f aca="true">IF(AH$5=0,AG82,MAX(0,(AG82-AH$4)*(1+NORMINV(RAND(),INPUTS!$B$28,INPUTS!$B$29))))</f>
        <v>3236010.43612606</v>
      </c>
      <c r="AI82" s="85" t="n">
        <f aca="true">IF(AI$5=0,AH82,MAX(0,(AH82-AI$4)*(1+NORMINV(RAND(),INPUTS!$B$28,INPUTS!$B$29))))</f>
        <v>3863622.61754039</v>
      </c>
      <c r="AJ82" s="85" t="n">
        <f aca="true">IF(AJ$5=0,AI82,MAX(0,(AI82-AJ$4)*(1+NORMINV(RAND(),INPUTS!$B$28,INPUTS!$B$29))))</f>
        <v>3667489.07265097</v>
      </c>
      <c r="AK82" s="85" t="n">
        <f aca="true">IF(AK$5=0,AJ82,MAX(0,(AJ82-AK$4)*(1+NORMINV(RAND(),INPUTS!$B$28,INPUTS!$B$29))))</f>
        <v>3912787.76770232</v>
      </c>
      <c r="AL82" s="85" t="n">
        <f aca="true">IF(AL$5=0,AK82,MAX(0,(AK82-AL$4)*(1+NORMINV(RAND(),INPUTS!$B$28,INPUTS!$B$29))))</f>
        <v>4875833.55627481</v>
      </c>
      <c r="AM82" s="85" t="n">
        <f aca="true">IF(AM$5=0,AL82,MAX(0,(AL82-AM$4)*(1+NORMINV(RAND(),INPUTS!$B$28,INPUTS!$B$29))))</f>
        <v>4875833.55627481</v>
      </c>
      <c r="AN82" s="85" t="n">
        <f aca="true">IF(AN$5=0,AM82,MAX(0,(AM82-AN$4)*(1+NORMINV(RAND(),INPUTS!$B$28,INPUTS!$B$29))))</f>
        <v>4875833.55627481</v>
      </c>
      <c r="AO82" s="85" t="n">
        <f aca="true">IF(AO$5=0,AN82,MAX(0,(AN82-AO$4)*(1+NORMINV(RAND(),INPUTS!$B$28,INPUTS!$B$29))))</f>
        <v>4875833.55627481</v>
      </c>
      <c r="AP82" s="85" t="n">
        <f aca="true">IF(AP$5=0,AO82,MAX(0,(AO82-AP$4)*(1+NORMINV(RAND(),INPUTS!$B$28,INPUTS!$B$29))))</f>
        <v>4875833.55627481</v>
      </c>
    </row>
    <row r="83" customFormat="false" ht="15" hidden="false" customHeight="true" outlineLevel="0" collapsed="false">
      <c r="A83" s="83" t="n">
        <v>76</v>
      </c>
      <c r="B83" s="84" t="n">
        <f aca="false">LOOKUP(9.99E+307,C83:AP83)</f>
        <v>342068.330390062</v>
      </c>
      <c r="C83" s="85" t="n">
        <f aca="true">IF(C$5=0,INPUTS!$B$19,MAX(0,(INPUTS!$B$19-C$4)*(1+NORMINV(RAND(),INPUTS!$B$28,INPUTS!$B$29))))</f>
        <v>1188465.49770205</v>
      </c>
      <c r="D83" s="85" t="n">
        <f aca="true">IF(D$5=0,C83,MAX(0,(C83-D$4)*(1+NORMINV(RAND(),INPUTS!$B$28,INPUTS!$B$29))))</f>
        <v>1246284.73836633</v>
      </c>
      <c r="E83" s="85" t="n">
        <f aca="true">IF(E$5=0,D83,MAX(0,(D83-E$4)*(1+NORMINV(RAND(),INPUTS!$B$28,INPUTS!$B$29))))</f>
        <v>1355741.4937875</v>
      </c>
      <c r="F83" s="85" t="n">
        <f aca="true">IF(F$5=0,E83,MAX(0,(E83-F$4)*(1+NORMINV(RAND(),INPUTS!$B$28,INPUTS!$B$29))))</f>
        <v>1180392.57232958</v>
      </c>
      <c r="G83" s="85" t="n">
        <f aca="true">IF(G$5=0,F83,MAX(0,(F83-G$4)*(1+NORMINV(RAND(),INPUTS!$B$28,INPUTS!$B$29))))</f>
        <v>1131129.25272071</v>
      </c>
      <c r="H83" s="85" t="n">
        <f aca="true">IF(H$5=0,G83,MAX(0,(G83-H$4)*(1+NORMINV(RAND(),INPUTS!$B$28,INPUTS!$B$29))))</f>
        <v>1228966.60895293</v>
      </c>
      <c r="I83" s="85" t="n">
        <f aca="true">IF(I$5=0,H83,MAX(0,(H83-I$4)*(1+NORMINV(RAND(),INPUTS!$B$28,INPUTS!$B$29))))</f>
        <v>1344916.0012422</v>
      </c>
      <c r="J83" s="85" t="n">
        <f aca="true">IF(J$5=0,I83,MAX(0,(I83-J$4)*(1+NORMINV(RAND(),INPUTS!$B$28,INPUTS!$B$29))))</f>
        <v>1418280.16627142</v>
      </c>
      <c r="K83" s="85" t="n">
        <f aca="true">IF(K$5=0,J83,MAX(0,(J83-K$4)*(1+NORMINV(RAND(),INPUTS!$B$28,INPUTS!$B$29))))</f>
        <v>1257054.54444396</v>
      </c>
      <c r="L83" s="85" t="n">
        <f aca="true">IF(L$5=0,K83,MAX(0,(K83-L$4)*(1+NORMINV(RAND(),INPUTS!$B$28,INPUTS!$B$29))))</f>
        <v>1416644.98548423</v>
      </c>
      <c r="M83" s="85" t="n">
        <f aca="true">IF(M$5=0,L83,MAX(0,(L83-M$4)*(1+NORMINV(RAND(),INPUTS!$B$28,INPUTS!$B$29))))</f>
        <v>1416953.44900325</v>
      </c>
      <c r="N83" s="85" t="n">
        <f aca="true">IF(N$5=0,M83,MAX(0,(M83-N$4)*(1+NORMINV(RAND(),INPUTS!$B$28,INPUTS!$B$29))))</f>
        <v>1088392.90032619</v>
      </c>
      <c r="O83" s="85" t="n">
        <f aca="true">IF(O$5=0,N83,MAX(0,(N83-O$4)*(1+NORMINV(RAND(),INPUTS!$B$28,INPUTS!$B$29))))</f>
        <v>890754.35196226</v>
      </c>
      <c r="P83" s="85" t="n">
        <f aca="true">IF(P$5=0,O83,MAX(0,(O83-P$4)*(1+NORMINV(RAND(),INPUTS!$B$28,INPUTS!$B$29))))</f>
        <v>912589.100554121</v>
      </c>
      <c r="Q83" s="85" t="n">
        <f aca="true">IF(Q$5=0,P83,MAX(0,(P83-Q$4)*(1+NORMINV(RAND(),INPUTS!$B$28,INPUTS!$B$29))))</f>
        <v>1030922.9238819</v>
      </c>
      <c r="R83" s="85" t="n">
        <f aca="true">IF(R$5=0,Q83,MAX(0,(Q83-R$4)*(1+NORMINV(RAND(),INPUTS!$B$28,INPUTS!$B$29))))</f>
        <v>1255416.06829257</v>
      </c>
      <c r="S83" s="85" t="n">
        <f aca="true">IF(S$5=0,R83,MAX(0,(R83-S$4)*(1+NORMINV(RAND(),INPUTS!$B$28,INPUTS!$B$29))))</f>
        <v>1023965.95226272</v>
      </c>
      <c r="T83" s="85" t="n">
        <f aca="true">IF(T$5=0,S83,MAX(0,(S83-T$4)*(1+NORMINV(RAND(),INPUTS!$B$28,INPUTS!$B$29))))</f>
        <v>1004666.27037224</v>
      </c>
      <c r="U83" s="85" t="n">
        <f aca="true">IF(U$5=0,T83,MAX(0,(T83-U$4)*(1+NORMINV(RAND(),INPUTS!$B$28,INPUTS!$B$29))))</f>
        <v>997243.609185846</v>
      </c>
      <c r="V83" s="85" t="n">
        <f aca="true">IF(V$5=0,U83,MAX(0,(U83-V$4)*(1+NORMINV(RAND(),INPUTS!$B$28,INPUTS!$B$29))))</f>
        <v>969522.904862387</v>
      </c>
      <c r="W83" s="85" t="n">
        <f aca="true">IF(W$5=0,V83,MAX(0,(V83-W$4)*(1+NORMINV(RAND(),INPUTS!$B$28,INPUTS!$B$29))))</f>
        <v>837716.301808377</v>
      </c>
      <c r="X83" s="85" t="n">
        <f aca="true">IF(X$5=0,W83,MAX(0,(W83-X$4)*(1+NORMINV(RAND(),INPUTS!$B$28,INPUTS!$B$29))))</f>
        <v>882824.649225318</v>
      </c>
      <c r="Y83" s="85" t="n">
        <f aca="true">IF(Y$5=0,X83,MAX(0,(X83-Y$4)*(1+NORMINV(RAND(),INPUTS!$B$28,INPUTS!$B$29))))</f>
        <v>1026554.05677147</v>
      </c>
      <c r="Z83" s="85" t="n">
        <f aca="true">IF(Z$5=0,Y83,MAX(0,(Y83-Z$4)*(1+NORMINV(RAND(),INPUTS!$B$28,INPUTS!$B$29))))</f>
        <v>1101304.29069631</v>
      </c>
      <c r="AA83" s="85" t="n">
        <f aca="true">IF(AA$5=0,Z83,MAX(0,(Z83-AA$4)*(1+NORMINV(RAND(),INPUTS!$B$28,INPUTS!$B$29))))</f>
        <v>1033307.27569473</v>
      </c>
      <c r="AB83" s="85" t="n">
        <f aca="true">IF(AB$5=0,AA83,MAX(0,(AA83-AB$4)*(1+NORMINV(RAND(),INPUTS!$B$28,INPUTS!$B$29))))</f>
        <v>896309.129848587</v>
      </c>
      <c r="AC83" s="85" t="n">
        <f aca="true">IF(AC$5=0,AB83,MAX(0,(AB83-AC$4)*(1+NORMINV(RAND(),INPUTS!$B$28,INPUTS!$B$29))))</f>
        <v>962453.260435694</v>
      </c>
      <c r="AD83" s="85" t="n">
        <f aca="true">IF(AD$5=0,AC83,MAX(0,(AC83-AD$4)*(1+NORMINV(RAND(),INPUTS!$B$28,INPUTS!$B$29))))</f>
        <v>826427.097636254</v>
      </c>
      <c r="AE83" s="85" t="n">
        <f aca="true">IF(AE$5=0,AD83,MAX(0,(AD83-AE$4)*(1+NORMINV(RAND(),INPUTS!$B$28,INPUTS!$B$29))))</f>
        <v>794643.689327074</v>
      </c>
      <c r="AF83" s="85" t="n">
        <f aca="true">IF(AF$5=0,AE83,MAX(0,(AE83-AF$4)*(1+NORMINV(RAND(),INPUTS!$B$28,INPUTS!$B$29))))</f>
        <v>633203.236038686</v>
      </c>
      <c r="AG83" s="85" t="n">
        <f aca="true">IF(AG$5=0,AF83,MAX(0,(AF83-AG$4)*(1+NORMINV(RAND(),INPUTS!$B$28,INPUTS!$B$29))))</f>
        <v>585645.732672372</v>
      </c>
      <c r="AH83" s="85" t="n">
        <f aca="true">IF(AH$5=0,AG83,MAX(0,(AG83-AH$4)*(1+NORMINV(RAND(),INPUTS!$B$28,INPUTS!$B$29))))</f>
        <v>534510.915561998</v>
      </c>
      <c r="AI83" s="85" t="n">
        <f aca="true">IF(AI$5=0,AH83,MAX(0,(AH83-AI$4)*(1+NORMINV(RAND(),INPUTS!$B$28,INPUTS!$B$29))))</f>
        <v>514356.440818861</v>
      </c>
      <c r="AJ83" s="85" t="n">
        <f aca="true">IF(AJ$5=0,AI83,MAX(0,(AI83-AJ$4)*(1+NORMINV(RAND(),INPUTS!$B$28,INPUTS!$B$29))))</f>
        <v>458636.539995509</v>
      </c>
      <c r="AK83" s="85" t="n">
        <f aca="true">IF(AK$5=0,AJ83,MAX(0,(AJ83-AK$4)*(1+NORMINV(RAND(),INPUTS!$B$28,INPUTS!$B$29))))</f>
        <v>353104.628236421</v>
      </c>
      <c r="AL83" s="85" t="n">
        <f aca="true">IF(AL$5=0,AK83,MAX(0,(AK83-AL$4)*(1+NORMINV(RAND(),INPUTS!$B$28,INPUTS!$B$29))))</f>
        <v>342068.330390062</v>
      </c>
      <c r="AM83" s="85" t="n">
        <f aca="true">IF(AM$5=0,AL83,MAX(0,(AL83-AM$4)*(1+NORMINV(RAND(),INPUTS!$B$28,INPUTS!$B$29))))</f>
        <v>342068.330390062</v>
      </c>
      <c r="AN83" s="85" t="n">
        <f aca="true">IF(AN$5=0,AM83,MAX(0,(AM83-AN$4)*(1+NORMINV(RAND(),INPUTS!$B$28,INPUTS!$B$29))))</f>
        <v>342068.330390062</v>
      </c>
      <c r="AO83" s="85" t="n">
        <f aca="true">IF(AO$5=0,AN83,MAX(0,(AN83-AO$4)*(1+NORMINV(RAND(),INPUTS!$B$28,INPUTS!$B$29))))</f>
        <v>342068.330390062</v>
      </c>
      <c r="AP83" s="85" t="n">
        <f aca="true">IF(AP$5=0,AO83,MAX(0,(AO83-AP$4)*(1+NORMINV(RAND(),INPUTS!$B$28,INPUTS!$B$29))))</f>
        <v>342068.330390062</v>
      </c>
    </row>
    <row r="84" customFormat="false" ht="15" hidden="false" customHeight="true" outlineLevel="0" collapsed="false">
      <c r="A84" s="83" t="n">
        <v>77</v>
      </c>
      <c r="B84" s="84" t="n">
        <f aca="false">LOOKUP(9.99E+307,C84:AP84)</f>
        <v>10478425.4216788</v>
      </c>
      <c r="C84" s="85" t="n">
        <f aca="true">IF(C$5=0,INPUTS!$B$19,MAX(0,(INPUTS!$B$19-C$4)*(1+NORMINV(RAND(),INPUTS!$B$28,INPUTS!$B$29))))</f>
        <v>1198348.31889317</v>
      </c>
      <c r="D84" s="85" t="n">
        <f aca="true">IF(D$5=0,C84,MAX(0,(C84-D$4)*(1+NORMINV(RAND(),INPUTS!$B$28,INPUTS!$B$29))))</f>
        <v>1333353.29293348</v>
      </c>
      <c r="E84" s="85" t="n">
        <f aca="true">IF(E$5=0,D84,MAX(0,(D84-E$4)*(1+NORMINV(RAND(),INPUTS!$B$28,INPUTS!$B$29))))</f>
        <v>1356314.42927253</v>
      </c>
      <c r="F84" s="85" t="n">
        <f aca="true">IF(F$5=0,E84,MAX(0,(E84-F$4)*(1+NORMINV(RAND(),INPUTS!$B$28,INPUTS!$B$29))))</f>
        <v>1288715.81452455</v>
      </c>
      <c r="G84" s="85" t="n">
        <f aca="true">IF(G$5=0,F84,MAX(0,(F84-G$4)*(1+NORMINV(RAND(),INPUTS!$B$28,INPUTS!$B$29))))</f>
        <v>1402592.3888215</v>
      </c>
      <c r="H84" s="85" t="n">
        <f aca="true">IF(H$5=0,G84,MAX(0,(G84-H$4)*(1+NORMINV(RAND(),INPUTS!$B$28,INPUTS!$B$29))))</f>
        <v>1446855.13786043</v>
      </c>
      <c r="I84" s="85" t="n">
        <f aca="true">IF(I$5=0,H84,MAX(0,(H84-I$4)*(1+NORMINV(RAND(),INPUTS!$B$28,INPUTS!$B$29))))</f>
        <v>1428898.30703697</v>
      </c>
      <c r="J84" s="85" t="n">
        <f aca="true">IF(J$5=0,I84,MAX(0,(I84-J$4)*(1+NORMINV(RAND(),INPUTS!$B$28,INPUTS!$B$29))))</f>
        <v>1457512.17321008</v>
      </c>
      <c r="K84" s="85" t="n">
        <f aca="true">IF(K$5=0,J84,MAX(0,(J84-K$4)*(1+NORMINV(RAND(),INPUTS!$B$28,INPUTS!$B$29))))</f>
        <v>1590788.97581667</v>
      </c>
      <c r="L84" s="85" t="n">
        <f aca="true">IF(L$5=0,K84,MAX(0,(K84-L$4)*(1+NORMINV(RAND(),INPUTS!$B$28,INPUTS!$B$29))))</f>
        <v>1650169.88927498</v>
      </c>
      <c r="M84" s="85" t="n">
        <f aca="true">IF(M$5=0,L84,MAX(0,(L84-M$4)*(1+NORMINV(RAND(),INPUTS!$B$28,INPUTS!$B$29))))</f>
        <v>1853417.57625409</v>
      </c>
      <c r="N84" s="85" t="n">
        <f aca="true">IF(N$5=0,M84,MAX(0,(M84-N$4)*(1+NORMINV(RAND(),INPUTS!$B$28,INPUTS!$B$29))))</f>
        <v>2080172.11044524</v>
      </c>
      <c r="O84" s="85" t="n">
        <f aca="true">IF(O$5=0,N84,MAX(0,(N84-O$4)*(1+NORMINV(RAND(),INPUTS!$B$28,INPUTS!$B$29))))</f>
        <v>2310728.3214375</v>
      </c>
      <c r="P84" s="85" t="n">
        <f aca="true">IF(P$5=0,O84,MAX(0,(O84-P$4)*(1+NORMINV(RAND(),INPUTS!$B$28,INPUTS!$B$29))))</f>
        <v>2487053.19865836</v>
      </c>
      <c r="Q84" s="85" t="n">
        <f aca="true">IF(Q$5=0,P84,MAX(0,(P84-Q$4)*(1+NORMINV(RAND(),INPUTS!$B$28,INPUTS!$B$29))))</f>
        <v>2848872.8104267</v>
      </c>
      <c r="R84" s="85" t="n">
        <f aca="true">IF(R$5=0,Q84,MAX(0,(Q84-R$4)*(1+NORMINV(RAND(),INPUTS!$B$28,INPUTS!$B$29))))</f>
        <v>3690548.51734905</v>
      </c>
      <c r="S84" s="85" t="n">
        <f aca="true">IF(S$5=0,R84,MAX(0,(R84-S$4)*(1+NORMINV(RAND(),INPUTS!$B$28,INPUTS!$B$29))))</f>
        <v>4072499.34976368</v>
      </c>
      <c r="T84" s="85" t="n">
        <f aca="true">IF(T$5=0,S84,MAX(0,(S84-T$4)*(1+NORMINV(RAND(),INPUTS!$B$28,INPUTS!$B$29))))</f>
        <v>4223781.38407107</v>
      </c>
      <c r="U84" s="85" t="n">
        <f aca="true">IF(U$5=0,T84,MAX(0,(T84-U$4)*(1+NORMINV(RAND(),INPUTS!$B$28,INPUTS!$B$29))))</f>
        <v>3757380.69651574</v>
      </c>
      <c r="V84" s="85" t="n">
        <f aca="true">IF(V$5=0,U84,MAX(0,(U84-V$4)*(1+NORMINV(RAND(),INPUTS!$B$28,INPUTS!$B$29))))</f>
        <v>4098084.82183891</v>
      </c>
      <c r="W84" s="85" t="n">
        <f aca="true">IF(W$5=0,V84,MAX(0,(V84-W$4)*(1+NORMINV(RAND(),INPUTS!$B$28,INPUTS!$B$29))))</f>
        <v>4119228.76622853</v>
      </c>
      <c r="X84" s="85" t="n">
        <f aca="true">IF(X$5=0,W84,MAX(0,(W84-X$4)*(1+NORMINV(RAND(),INPUTS!$B$28,INPUTS!$B$29))))</f>
        <v>3840239.05050986</v>
      </c>
      <c r="Y84" s="85" t="n">
        <f aca="true">IF(Y$5=0,X84,MAX(0,(X84-Y$4)*(1+NORMINV(RAND(),INPUTS!$B$28,INPUTS!$B$29))))</f>
        <v>4162301.68899394</v>
      </c>
      <c r="Z84" s="85" t="n">
        <f aca="true">IF(Z$5=0,Y84,MAX(0,(Y84-Z$4)*(1+NORMINV(RAND(),INPUTS!$B$28,INPUTS!$B$29))))</f>
        <v>4878090.56862748</v>
      </c>
      <c r="AA84" s="85" t="n">
        <f aca="true">IF(AA$5=0,Z84,MAX(0,(Z84-AA$4)*(1+NORMINV(RAND(),INPUTS!$B$28,INPUTS!$B$29))))</f>
        <v>5511261.12229456</v>
      </c>
      <c r="AB84" s="85" t="n">
        <f aca="true">IF(AB$5=0,AA84,MAX(0,(AA84-AB$4)*(1+NORMINV(RAND(),INPUTS!$B$28,INPUTS!$B$29))))</f>
        <v>5598454.45466413</v>
      </c>
      <c r="AC84" s="85" t="n">
        <f aca="true">IF(AC$5=0,AB84,MAX(0,(AB84-AC$4)*(1+NORMINV(RAND(),INPUTS!$B$28,INPUTS!$B$29))))</f>
        <v>6837112.57308305</v>
      </c>
      <c r="AD84" s="85" t="n">
        <f aca="true">IF(AD$5=0,AC84,MAX(0,(AC84-AD$4)*(1+NORMINV(RAND(),INPUTS!$B$28,INPUTS!$B$29))))</f>
        <v>7107382.479854</v>
      </c>
      <c r="AE84" s="85" t="n">
        <f aca="true">IF(AE$5=0,AD84,MAX(0,(AD84-AE$4)*(1+NORMINV(RAND(),INPUTS!$B$28,INPUTS!$B$29))))</f>
        <v>6661203.22173352</v>
      </c>
      <c r="AF84" s="85" t="n">
        <f aca="true">IF(AF$5=0,AE84,MAX(0,(AE84-AF$4)*(1+NORMINV(RAND(),INPUTS!$B$28,INPUTS!$B$29))))</f>
        <v>6531323.45967703</v>
      </c>
      <c r="AG84" s="85" t="n">
        <f aca="true">IF(AG$5=0,AF84,MAX(0,(AF84-AG$4)*(1+NORMINV(RAND(),INPUTS!$B$28,INPUTS!$B$29))))</f>
        <v>8304610.02132074</v>
      </c>
      <c r="AH84" s="85" t="n">
        <f aca="true">IF(AH$5=0,AG84,MAX(0,(AG84-AH$4)*(1+NORMINV(RAND(),INPUTS!$B$28,INPUTS!$B$29))))</f>
        <v>7371370.02880193</v>
      </c>
      <c r="AI84" s="85" t="n">
        <f aca="true">IF(AI$5=0,AH84,MAX(0,(AH84-AI$4)*(1+NORMINV(RAND(),INPUTS!$B$28,INPUTS!$B$29))))</f>
        <v>7798268.36020295</v>
      </c>
      <c r="AJ84" s="85" t="n">
        <f aca="true">IF(AJ$5=0,AI84,MAX(0,(AI84-AJ$4)*(1+NORMINV(RAND(),INPUTS!$B$28,INPUTS!$B$29))))</f>
        <v>8975860.04475275</v>
      </c>
      <c r="AK84" s="85" t="n">
        <f aca="true">IF(AK$5=0,AJ84,MAX(0,(AJ84-AK$4)*(1+NORMINV(RAND(),INPUTS!$B$28,INPUTS!$B$29))))</f>
        <v>8408642.19678113</v>
      </c>
      <c r="AL84" s="85" t="n">
        <f aca="true">IF(AL$5=0,AK84,MAX(0,(AK84-AL$4)*(1+NORMINV(RAND(),INPUTS!$B$28,INPUTS!$B$29))))</f>
        <v>10478425.4216788</v>
      </c>
      <c r="AM84" s="85" t="n">
        <f aca="true">IF(AM$5=0,AL84,MAX(0,(AL84-AM$4)*(1+NORMINV(RAND(),INPUTS!$B$28,INPUTS!$B$29))))</f>
        <v>10478425.4216788</v>
      </c>
      <c r="AN84" s="85" t="n">
        <f aca="true">IF(AN$5=0,AM84,MAX(0,(AM84-AN$4)*(1+NORMINV(RAND(),INPUTS!$B$28,INPUTS!$B$29))))</f>
        <v>10478425.4216788</v>
      </c>
      <c r="AO84" s="85" t="n">
        <f aca="true">IF(AO$5=0,AN84,MAX(0,(AN84-AO$4)*(1+NORMINV(RAND(),INPUTS!$B$28,INPUTS!$B$29))))</f>
        <v>10478425.4216788</v>
      </c>
      <c r="AP84" s="85" t="n">
        <f aca="true">IF(AP$5=0,AO84,MAX(0,(AO84-AP$4)*(1+NORMINV(RAND(),INPUTS!$B$28,INPUTS!$B$29))))</f>
        <v>10478425.4216788</v>
      </c>
    </row>
    <row r="85" customFormat="false" ht="15" hidden="false" customHeight="true" outlineLevel="0" collapsed="false">
      <c r="A85" s="83" t="n">
        <v>78</v>
      </c>
      <c r="B85" s="84" t="n">
        <f aca="false">LOOKUP(9.99E+307,C85:AP85)</f>
        <v>2982277.47860958</v>
      </c>
      <c r="C85" s="85" t="n">
        <f aca="true">IF(C$5=0,INPUTS!$B$19,MAX(0,(INPUTS!$B$19-C$4)*(1+NORMINV(RAND(),INPUTS!$B$28,INPUTS!$B$29))))</f>
        <v>1262901.23624705</v>
      </c>
      <c r="D85" s="85" t="n">
        <f aca="true">IF(D$5=0,C85,MAX(0,(C85-D$4)*(1+NORMINV(RAND(),INPUTS!$B$28,INPUTS!$B$29))))</f>
        <v>1446031.65953192</v>
      </c>
      <c r="E85" s="85" t="n">
        <f aca="true">IF(E$5=0,D85,MAX(0,(D85-E$4)*(1+NORMINV(RAND(),INPUTS!$B$28,INPUTS!$B$29))))</f>
        <v>1547390.84759612</v>
      </c>
      <c r="F85" s="85" t="n">
        <f aca="true">IF(F$5=0,E85,MAX(0,(E85-F$4)*(1+NORMINV(RAND(),INPUTS!$B$28,INPUTS!$B$29))))</f>
        <v>1410678.86867227</v>
      </c>
      <c r="G85" s="85" t="n">
        <f aca="true">IF(G$5=0,F85,MAX(0,(F85-G$4)*(1+NORMINV(RAND(),INPUTS!$B$28,INPUTS!$B$29))))</f>
        <v>1254175.7943043</v>
      </c>
      <c r="H85" s="85" t="n">
        <f aca="true">IF(H$5=0,G85,MAX(0,(G85-H$4)*(1+NORMINV(RAND(),INPUTS!$B$28,INPUTS!$B$29))))</f>
        <v>1360157.31635671</v>
      </c>
      <c r="I85" s="85" t="n">
        <f aca="true">IF(I$5=0,H85,MAX(0,(H85-I$4)*(1+NORMINV(RAND(),INPUTS!$B$28,INPUTS!$B$29))))</f>
        <v>1472913.10159363</v>
      </c>
      <c r="J85" s="85" t="n">
        <f aca="true">IF(J$5=0,I85,MAX(0,(I85-J$4)*(1+NORMINV(RAND(),INPUTS!$B$28,INPUTS!$B$29))))</f>
        <v>1774478.96848458</v>
      </c>
      <c r="K85" s="85" t="n">
        <f aca="true">IF(K$5=0,J85,MAX(0,(J85-K$4)*(1+NORMINV(RAND(),INPUTS!$B$28,INPUTS!$B$29))))</f>
        <v>1904797.19279545</v>
      </c>
      <c r="L85" s="85" t="n">
        <f aca="true">IF(L$5=0,K85,MAX(0,(K85-L$4)*(1+NORMINV(RAND(),INPUTS!$B$28,INPUTS!$B$29))))</f>
        <v>2144798.67652959</v>
      </c>
      <c r="M85" s="85" t="n">
        <f aca="true">IF(M$5=0,L85,MAX(0,(L85-M$4)*(1+NORMINV(RAND(),INPUTS!$B$28,INPUTS!$B$29))))</f>
        <v>1934825.02111043</v>
      </c>
      <c r="N85" s="85" t="n">
        <f aca="true">IF(N$5=0,M85,MAX(0,(M85-N$4)*(1+NORMINV(RAND(),INPUTS!$B$28,INPUTS!$B$29))))</f>
        <v>1761432.38503997</v>
      </c>
      <c r="O85" s="85" t="n">
        <f aca="true">IF(O$5=0,N85,MAX(0,(N85-O$4)*(1+NORMINV(RAND(),INPUTS!$B$28,INPUTS!$B$29))))</f>
        <v>2000481.85140703</v>
      </c>
      <c r="P85" s="85" t="n">
        <f aca="true">IF(P$5=0,O85,MAX(0,(O85-P$4)*(1+NORMINV(RAND(),INPUTS!$B$28,INPUTS!$B$29))))</f>
        <v>2001836.65886242</v>
      </c>
      <c r="Q85" s="85" t="n">
        <f aca="true">IF(Q$5=0,P85,MAX(0,(P85-Q$4)*(1+NORMINV(RAND(),INPUTS!$B$28,INPUTS!$B$29))))</f>
        <v>1920275.80555698</v>
      </c>
      <c r="R85" s="85" t="n">
        <f aca="true">IF(R$5=0,Q85,MAX(0,(Q85-R$4)*(1+NORMINV(RAND(),INPUTS!$B$28,INPUTS!$B$29))))</f>
        <v>1680337.85663104</v>
      </c>
      <c r="S85" s="85" t="n">
        <f aca="true">IF(S$5=0,R85,MAX(0,(R85-S$4)*(1+NORMINV(RAND(),INPUTS!$B$28,INPUTS!$B$29))))</f>
        <v>2033026.53385887</v>
      </c>
      <c r="T85" s="85" t="n">
        <f aca="true">IF(T$5=0,S85,MAX(0,(S85-T$4)*(1+NORMINV(RAND(),INPUTS!$B$28,INPUTS!$B$29))))</f>
        <v>1940537.08679786</v>
      </c>
      <c r="U85" s="85" t="n">
        <f aca="true">IF(U$5=0,T85,MAX(0,(T85-U$4)*(1+NORMINV(RAND(),INPUTS!$B$28,INPUTS!$B$29))))</f>
        <v>1749151.35539202</v>
      </c>
      <c r="V85" s="85" t="n">
        <f aca="true">IF(V$5=0,U85,MAX(0,(U85-V$4)*(1+NORMINV(RAND(),INPUTS!$B$28,INPUTS!$B$29))))</f>
        <v>1658459.63600966</v>
      </c>
      <c r="W85" s="85" t="n">
        <f aca="true">IF(W$5=0,V85,MAX(0,(V85-W$4)*(1+NORMINV(RAND(),INPUTS!$B$28,INPUTS!$B$29))))</f>
        <v>2034024.17627613</v>
      </c>
      <c r="X85" s="85" t="n">
        <f aca="true">IF(X$5=0,W85,MAX(0,(W85-X$4)*(1+NORMINV(RAND(),INPUTS!$B$28,INPUTS!$B$29))))</f>
        <v>2022051.53773233</v>
      </c>
      <c r="Y85" s="85" t="n">
        <f aca="true">IF(Y$5=0,X85,MAX(0,(X85-Y$4)*(1+NORMINV(RAND(),INPUTS!$B$28,INPUTS!$B$29))))</f>
        <v>2389958.4797312</v>
      </c>
      <c r="Z85" s="85" t="n">
        <f aca="true">IF(Z$5=0,Y85,MAX(0,(Y85-Z$4)*(1+NORMINV(RAND(),INPUTS!$B$28,INPUTS!$B$29))))</f>
        <v>2346221.56011387</v>
      </c>
      <c r="AA85" s="85" t="n">
        <f aca="true">IF(AA$5=0,Z85,MAX(0,(Z85-AA$4)*(1+NORMINV(RAND(),INPUTS!$B$28,INPUTS!$B$29))))</f>
        <v>2422793.01388756</v>
      </c>
      <c r="AB85" s="85" t="n">
        <f aca="true">IF(AB$5=0,AA85,MAX(0,(AA85-AB$4)*(1+NORMINV(RAND(),INPUTS!$B$28,INPUTS!$B$29))))</f>
        <v>2158865.53055945</v>
      </c>
      <c r="AC85" s="85" t="n">
        <f aca="true">IF(AC$5=0,AB85,MAX(0,(AB85-AC$4)*(1+NORMINV(RAND(),INPUTS!$B$28,INPUTS!$B$29))))</f>
        <v>1974827.48892556</v>
      </c>
      <c r="AD85" s="85" t="n">
        <f aca="true">IF(AD$5=0,AC85,MAX(0,(AC85-AD$4)*(1+NORMINV(RAND(),INPUTS!$B$28,INPUTS!$B$29))))</f>
        <v>1625088.03242155</v>
      </c>
      <c r="AE85" s="85" t="n">
        <f aca="true">IF(AE$5=0,AD85,MAX(0,(AD85-AE$4)*(1+NORMINV(RAND(),INPUTS!$B$28,INPUTS!$B$29))))</f>
        <v>1751266.26796441</v>
      </c>
      <c r="AF85" s="85" t="n">
        <f aca="true">IF(AF$5=0,AE85,MAX(0,(AE85-AF$4)*(1+NORMINV(RAND(),INPUTS!$B$28,INPUTS!$B$29))))</f>
        <v>1746472.08017166</v>
      </c>
      <c r="AG85" s="85" t="n">
        <f aca="true">IF(AG$5=0,AF85,MAX(0,(AF85-AG$4)*(1+NORMINV(RAND(),INPUTS!$B$28,INPUTS!$B$29))))</f>
        <v>1823255.25809207</v>
      </c>
      <c r="AH85" s="85" t="n">
        <f aca="true">IF(AH$5=0,AG85,MAX(0,(AG85-AH$4)*(1+NORMINV(RAND(),INPUTS!$B$28,INPUTS!$B$29))))</f>
        <v>2299424.13110177</v>
      </c>
      <c r="AI85" s="85" t="n">
        <f aca="true">IF(AI$5=0,AH85,MAX(0,(AH85-AI$4)*(1+NORMINV(RAND(),INPUTS!$B$28,INPUTS!$B$29))))</f>
        <v>2246880.310344</v>
      </c>
      <c r="AJ85" s="85" t="n">
        <f aca="true">IF(AJ$5=0,AI85,MAX(0,(AI85-AJ$4)*(1+NORMINV(RAND(),INPUTS!$B$28,INPUTS!$B$29))))</f>
        <v>2288177.79963147</v>
      </c>
      <c r="AK85" s="85" t="n">
        <f aca="true">IF(AK$5=0,AJ85,MAX(0,(AJ85-AK$4)*(1+NORMINV(RAND(),INPUTS!$B$28,INPUTS!$B$29))))</f>
        <v>2566440.88056218</v>
      </c>
      <c r="AL85" s="85" t="n">
        <f aca="true">IF(AL$5=0,AK85,MAX(0,(AK85-AL$4)*(1+NORMINV(RAND(),INPUTS!$B$28,INPUTS!$B$29))))</f>
        <v>2982277.47860958</v>
      </c>
      <c r="AM85" s="85" t="n">
        <f aca="true">IF(AM$5=0,AL85,MAX(0,(AL85-AM$4)*(1+NORMINV(RAND(),INPUTS!$B$28,INPUTS!$B$29))))</f>
        <v>2982277.47860958</v>
      </c>
      <c r="AN85" s="85" t="n">
        <f aca="true">IF(AN$5=0,AM85,MAX(0,(AM85-AN$4)*(1+NORMINV(RAND(),INPUTS!$B$28,INPUTS!$B$29))))</f>
        <v>2982277.47860958</v>
      </c>
      <c r="AO85" s="85" t="n">
        <f aca="true">IF(AO$5=0,AN85,MAX(0,(AN85-AO$4)*(1+NORMINV(RAND(),INPUTS!$B$28,INPUTS!$B$29))))</f>
        <v>2982277.47860958</v>
      </c>
      <c r="AP85" s="85" t="n">
        <f aca="true">IF(AP$5=0,AO85,MAX(0,(AO85-AP$4)*(1+NORMINV(RAND(),INPUTS!$B$28,INPUTS!$B$29))))</f>
        <v>2982277.47860958</v>
      </c>
    </row>
    <row r="86" customFormat="false" ht="15" hidden="false" customHeight="true" outlineLevel="0" collapsed="false">
      <c r="A86" s="83" t="n">
        <v>79</v>
      </c>
      <c r="B86" s="84" t="n">
        <f aca="false">LOOKUP(9.99E+307,C86:AP86)</f>
        <v>645999.306638635</v>
      </c>
      <c r="C86" s="85" t="n">
        <f aca="true">IF(C$5=0,INPUTS!$B$19,MAX(0,(INPUTS!$B$19-C$4)*(1+NORMINV(RAND(),INPUTS!$B$28,INPUTS!$B$29))))</f>
        <v>1446216.70746216</v>
      </c>
      <c r="D86" s="85" t="n">
        <f aca="true">IF(D$5=0,C86,MAX(0,(C86-D$4)*(1+NORMINV(RAND(),INPUTS!$B$28,INPUTS!$B$29))))</f>
        <v>1487540.44984356</v>
      </c>
      <c r="E86" s="85" t="n">
        <f aca="true">IF(E$5=0,D86,MAX(0,(D86-E$4)*(1+NORMINV(RAND(),INPUTS!$B$28,INPUTS!$B$29))))</f>
        <v>1831322.07186709</v>
      </c>
      <c r="F86" s="85" t="n">
        <f aca="true">IF(F$5=0,E86,MAX(0,(E86-F$4)*(1+NORMINV(RAND(),INPUTS!$B$28,INPUTS!$B$29))))</f>
        <v>1704109.39602557</v>
      </c>
      <c r="G86" s="85" t="n">
        <f aca="true">IF(G$5=0,F86,MAX(0,(F86-G$4)*(1+NORMINV(RAND(),INPUTS!$B$28,INPUTS!$B$29))))</f>
        <v>1486018.87660529</v>
      </c>
      <c r="H86" s="85" t="n">
        <f aca="true">IF(H$5=0,G86,MAX(0,(G86-H$4)*(1+NORMINV(RAND(),INPUTS!$B$28,INPUTS!$B$29))))</f>
        <v>1251090.42999628</v>
      </c>
      <c r="I86" s="85" t="n">
        <f aca="true">IF(I$5=0,H86,MAX(0,(H86-I$4)*(1+NORMINV(RAND(),INPUTS!$B$28,INPUTS!$B$29))))</f>
        <v>1281518.0901954</v>
      </c>
      <c r="J86" s="85" t="n">
        <f aca="true">IF(J$5=0,I86,MAX(0,(I86-J$4)*(1+NORMINV(RAND(),INPUTS!$B$28,INPUTS!$B$29))))</f>
        <v>1207823.43287688</v>
      </c>
      <c r="K86" s="85" t="n">
        <f aca="true">IF(K$5=0,J86,MAX(0,(J86-K$4)*(1+NORMINV(RAND(),INPUTS!$B$28,INPUTS!$B$29))))</f>
        <v>1112992.18880825</v>
      </c>
      <c r="L86" s="85" t="n">
        <f aca="true">IF(L$5=0,K86,MAX(0,(K86-L$4)*(1+NORMINV(RAND(),INPUTS!$B$28,INPUTS!$B$29))))</f>
        <v>1075092.6271621</v>
      </c>
      <c r="M86" s="85" t="n">
        <f aca="true">IF(M$5=0,L86,MAX(0,(L86-M$4)*(1+NORMINV(RAND(),INPUTS!$B$28,INPUTS!$B$29))))</f>
        <v>1053493.25402786</v>
      </c>
      <c r="N86" s="85" t="n">
        <f aca="true">IF(N$5=0,M86,MAX(0,(M86-N$4)*(1+NORMINV(RAND(),INPUTS!$B$28,INPUTS!$B$29))))</f>
        <v>820448.616228403</v>
      </c>
      <c r="O86" s="85" t="n">
        <f aca="true">IF(O$5=0,N86,MAX(0,(N86-O$4)*(1+NORMINV(RAND(),INPUTS!$B$28,INPUTS!$B$29))))</f>
        <v>924466.823055982</v>
      </c>
      <c r="P86" s="85" t="n">
        <f aca="true">IF(P$5=0,O86,MAX(0,(O86-P$4)*(1+NORMINV(RAND(),INPUTS!$B$28,INPUTS!$B$29))))</f>
        <v>1159615.21366777</v>
      </c>
      <c r="Q86" s="85" t="n">
        <f aca="true">IF(Q$5=0,P86,MAX(0,(P86-Q$4)*(1+NORMINV(RAND(),INPUTS!$B$28,INPUTS!$B$29))))</f>
        <v>1343503.00521256</v>
      </c>
      <c r="R86" s="85" t="n">
        <f aca="true">IF(R$5=0,Q86,MAX(0,(Q86-R$4)*(1+NORMINV(RAND(),INPUTS!$B$28,INPUTS!$B$29))))</f>
        <v>1544066.46401463</v>
      </c>
      <c r="S86" s="85" t="n">
        <f aca="true">IF(S$5=0,R86,MAX(0,(R86-S$4)*(1+NORMINV(RAND(),INPUTS!$B$28,INPUTS!$B$29))))</f>
        <v>1256763.49035522</v>
      </c>
      <c r="T86" s="85" t="n">
        <f aca="true">IF(T$5=0,S86,MAX(0,(S86-T$4)*(1+NORMINV(RAND(),INPUTS!$B$28,INPUTS!$B$29))))</f>
        <v>1203076.74859054</v>
      </c>
      <c r="U86" s="85" t="n">
        <f aca="true">IF(U$5=0,T86,MAX(0,(T86-U$4)*(1+NORMINV(RAND(),INPUTS!$B$28,INPUTS!$B$29))))</f>
        <v>1231355.80239278</v>
      </c>
      <c r="V86" s="85" t="n">
        <f aca="true">IF(V$5=0,U86,MAX(0,(U86-V$4)*(1+NORMINV(RAND(),INPUTS!$B$28,INPUTS!$B$29))))</f>
        <v>946297.336791906</v>
      </c>
      <c r="W86" s="85" t="n">
        <f aca="true">IF(W$5=0,V86,MAX(0,(V86-W$4)*(1+NORMINV(RAND(),INPUTS!$B$28,INPUTS!$B$29))))</f>
        <v>788745.331129776</v>
      </c>
      <c r="X86" s="85" t="n">
        <f aca="true">IF(X$5=0,W86,MAX(0,(W86-X$4)*(1+NORMINV(RAND(),INPUTS!$B$28,INPUTS!$B$29))))</f>
        <v>766945.959203018</v>
      </c>
      <c r="Y86" s="85" t="n">
        <f aca="true">IF(Y$5=0,X86,MAX(0,(X86-Y$4)*(1+NORMINV(RAND(),INPUTS!$B$28,INPUTS!$B$29))))</f>
        <v>906289.781417068</v>
      </c>
      <c r="Z86" s="85" t="n">
        <f aca="true">IF(Z$5=0,Y86,MAX(0,(Y86-Z$4)*(1+NORMINV(RAND(),INPUTS!$B$28,INPUTS!$B$29))))</f>
        <v>1008484.81716133</v>
      </c>
      <c r="AA86" s="85" t="n">
        <f aca="true">IF(AA$5=0,Z86,MAX(0,(Z86-AA$4)*(1+NORMINV(RAND(),INPUTS!$B$28,INPUTS!$B$29))))</f>
        <v>1023101.89354202</v>
      </c>
      <c r="AB86" s="85" t="n">
        <f aca="true">IF(AB$5=0,AA86,MAX(0,(AA86-AB$4)*(1+NORMINV(RAND(),INPUTS!$B$28,INPUTS!$B$29))))</f>
        <v>1179275.67994397</v>
      </c>
      <c r="AC86" s="85" t="n">
        <f aca="true">IF(AC$5=0,AB86,MAX(0,(AB86-AC$4)*(1+NORMINV(RAND(),INPUTS!$B$28,INPUTS!$B$29))))</f>
        <v>1146293.32222197</v>
      </c>
      <c r="AD86" s="85" t="n">
        <f aca="true">IF(AD$5=0,AC86,MAX(0,(AC86-AD$4)*(1+NORMINV(RAND(),INPUTS!$B$28,INPUTS!$B$29))))</f>
        <v>1372651.00438971</v>
      </c>
      <c r="AE86" s="85" t="n">
        <f aca="true">IF(AE$5=0,AD86,MAX(0,(AD86-AE$4)*(1+NORMINV(RAND(),INPUTS!$B$28,INPUTS!$B$29))))</f>
        <v>1308602.65597708</v>
      </c>
      <c r="AF86" s="85" t="n">
        <f aca="true">IF(AF$5=0,AE86,MAX(0,(AE86-AF$4)*(1+NORMINV(RAND(),INPUTS!$B$28,INPUTS!$B$29))))</f>
        <v>888363.091943217</v>
      </c>
      <c r="AG86" s="85" t="n">
        <f aca="true">IF(AG$5=0,AF86,MAX(0,(AF86-AG$4)*(1+NORMINV(RAND(),INPUTS!$B$28,INPUTS!$B$29))))</f>
        <v>958762.833204414</v>
      </c>
      <c r="AH86" s="85" t="n">
        <f aca="true">IF(AH$5=0,AG86,MAX(0,(AG86-AH$4)*(1+NORMINV(RAND(),INPUTS!$B$28,INPUTS!$B$29))))</f>
        <v>860098.97513788</v>
      </c>
      <c r="AI86" s="85" t="n">
        <f aca="true">IF(AI$5=0,AH86,MAX(0,(AH86-AI$4)*(1+NORMINV(RAND(),INPUTS!$B$28,INPUTS!$B$29))))</f>
        <v>767370.583807797</v>
      </c>
      <c r="AJ86" s="85" t="n">
        <f aca="true">IF(AJ$5=0,AI86,MAX(0,(AI86-AJ$4)*(1+NORMINV(RAND(),INPUTS!$B$28,INPUTS!$B$29))))</f>
        <v>730376.856235075</v>
      </c>
      <c r="AK86" s="85" t="n">
        <f aca="true">IF(AK$5=0,AJ86,MAX(0,(AJ86-AK$4)*(1+NORMINV(RAND(),INPUTS!$B$28,INPUTS!$B$29))))</f>
        <v>675102.819573296</v>
      </c>
      <c r="AL86" s="85" t="n">
        <f aca="true">IF(AL$5=0,AK86,MAX(0,(AK86-AL$4)*(1+NORMINV(RAND(),INPUTS!$B$28,INPUTS!$B$29))))</f>
        <v>645999.306638635</v>
      </c>
      <c r="AM86" s="85" t="n">
        <f aca="true">IF(AM$5=0,AL86,MAX(0,(AL86-AM$4)*(1+NORMINV(RAND(),INPUTS!$B$28,INPUTS!$B$29))))</f>
        <v>645999.306638635</v>
      </c>
      <c r="AN86" s="85" t="n">
        <f aca="true">IF(AN$5=0,AM86,MAX(0,(AM86-AN$4)*(1+NORMINV(RAND(),INPUTS!$B$28,INPUTS!$B$29))))</f>
        <v>645999.306638635</v>
      </c>
      <c r="AO86" s="85" t="n">
        <f aca="true">IF(AO$5=0,AN86,MAX(0,(AN86-AO$4)*(1+NORMINV(RAND(),INPUTS!$B$28,INPUTS!$B$29))))</f>
        <v>645999.306638635</v>
      </c>
      <c r="AP86" s="85" t="n">
        <f aca="true">IF(AP$5=0,AO86,MAX(0,(AO86-AP$4)*(1+NORMINV(RAND(),INPUTS!$B$28,INPUTS!$B$29))))</f>
        <v>645999.306638635</v>
      </c>
    </row>
    <row r="87" customFormat="false" ht="15" hidden="false" customHeight="true" outlineLevel="0" collapsed="false">
      <c r="A87" s="83" t="n">
        <v>80</v>
      </c>
      <c r="B87" s="84" t="n">
        <f aca="false">LOOKUP(9.99E+307,C87:AP87)</f>
        <v>6736794.279702</v>
      </c>
      <c r="C87" s="85" t="n">
        <f aca="true">IF(C$5=0,INPUTS!$B$19,MAX(0,(INPUTS!$B$19-C$4)*(1+NORMINV(RAND(),INPUTS!$B$28,INPUTS!$B$29))))</f>
        <v>1294891.62200778</v>
      </c>
      <c r="D87" s="85" t="n">
        <f aca="true">IF(D$5=0,C87,MAX(0,(C87-D$4)*(1+NORMINV(RAND(),INPUTS!$B$28,INPUTS!$B$29))))</f>
        <v>1266141.03136222</v>
      </c>
      <c r="E87" s="85" t="n">
        <f aca="true">IF(E$5=0,D87,MAX(0,(D87-E$4)*(1+NORMINV(RAND(),INPUTS!$B$28,INPUTS!$B$29))))</f>
        <v>1242679.80086722</v>
      </c>
      <c r="F87" s="85" t="n">
        <f aca="true">IF(F$5=0,E87,MAX(0,(E87-F$4)*(1+NORMINV(RAND(),INPUTS!$B$28,INPUTS!$B$29))))</f>
        <v>1347259.2290948</v>
      </c>
      <c r="G87" s="85" t="n">
        <f aca="true">IF(G$5=0,F87,MAX(0,(F87-G$4)*(1+NORMINV(RAND(),INPUTS!$B$28,INPUTS!$B$29))))</f>
        <v>1647483.06447133</v>
      </c>
      <c r="H87" s="85" t="n">
        <f aca="true">IF(H$5=0,G87,MAX(0,(G87-H$4)*(1+NORMINV(RAND(),INPUTS!$B$28,INPUTS!$B$29))))</f>
        <v>1699887.64648493</v>
      </c>
      <c r="I87" s="85" t="n">
        <f aca="true">IF(I$5=0,H87,MAX(0,(H87-I$4)*(1+NORMINV(RAND(),INPUTS!$B$28,INPUTS!$B$29))))</f>
        <v>1720374.48709921</v>
      </c>
      <c r="J87" s="85" t="n">
        <f aca="true">IF(J$5=0,I87,MAX(0,(I87-J$4)*(1+NORMINV(RAND(),INPUTS!$B$28,INPUTS!$B$29))))</f>
        <v>1934054.61907536</v>
      </c>
      <c r="K87" s="85" t="n">
        <f aca="true">IF(K$5=0,J87,MAX(0,(J87-K$4)*(1+NORMINV(RAND(),INPUTS!$B$28,INPUTS!$B$29))))</f>
        <v>2430741.39186155</v>
      </c>
      <c r="L87" s="85" t="n">
        <f aca="true">IF(L$5=0,K87,MAX(0,(K87-L$4)*(1+NORMINV(RAND(),INPUTS!$B$28,INPUTS!$B$29))))</f>
        <v>2359108.40858861</v>
      </c>
      <c r="M87" s="85" t="n">
        <f aca="true">IF(M$5=0,L87,MAX(0,(L87-M$4)*(1+NORMINV(RAND(),INPUTS!$B$28,INPUTS!$B$29))))</f>
        <v>2664038.56957375</v>
      </c>
      <c r="N87" s="85" t="n">
        <f aca="true">IF(N$5=0,M87,MAX(0,(M87-N$4)*(1+NORMINV(RAND(),INPUTS!$B$28,INPUTS!$B$29))))</f>
        <v>2860604.15442068</v>
      </c>
      <c r="O87" s="85" t="n">
        <f aca="true">IF(O$5=0,N87,MAX(0,(N87-O$4)*(1+NORMINV(RAND(),INPUTS!$B$28,INPUTS!$B$29))))</f>
        <v>3199226.97160865</v>
      </c>
      <c r="P87" s="85" t="n">
        <f aca="true">IF(P$5=0,O87,MAX(0,(O87-P$4)*(1+NORMINV(RAND(),INPUTS!$B$28,INPUTS!$B$29))))</f>
        <v>3648580.61545653</v>
      </c>
      <c r="Q87" s="85" t="n">
        <f aca="true">IF(Q$5=0,P87,MAX(0,(P87-Q$4)*(1+NORMINV(RAND(),INPUTS!$B$28,INPUTS!$B$29))))</f>
        <v>3725886.15581344</v>
      </c>
      <c r="R87" s="85" t="n">
        <f aca="true">IF(R$5=0,Q87,MAX(0,(Q87-R$4)*(1+NORMINV(RAND(),INPUTS!$B$28,INPUTS!$B$29))))</f>
        <v>3159568.45932467</v>
      </c>
      <c r="S87" s="85" t="n">
        <f aca="true">IF(S$5=0,R87,MAX(0,(R87-S$4)*(1+NORMINV(RAND(),INPUTS!$B$28,INPUTS!$B$29))))</f>
        <v>3236879.9517568</v>
      </c>
      <c r="T87" s="85" t="n">
        <f aca="true">IF(T$5=0,S87,MAX(0,(S87-T$4)*(1+NORMINV(RAND(),INPUTS!$B$28,INPUTS!$B$29))))</f>
        <v>3426933.4075855</v>
      </c>
      <c r="U87" s="85" t="n">
        <f aca="true">IF(U$5=0,T87,MAX(0,(T87-U$4)*(1+NORMINV(RAND(),INPUTS!$B$28,INPUTS!$B$29))))</f>
        <v>3002253.34728881</v>
      </c>
      <c r="V87" s="85" t="n">
        <f aca="true">IF(V$5=0,U87,MAX(0,(U87-V$4)*(1+NORMINV(RAND(),INPUTS!$B$28,INPUTS!$B$29))))</f>
        <v>3504210.82145809</v>
      </c>
      <c r="W87" s="85" t="n">
        <f aca="true">IF(W$5=0,V87,MAX(0,(V87-W$4)*(1+NORMINV(RAND(),INPUTS!$B$28,INPUTS!$B$29))))</f>
        <v>3860105.84276549</v>
      </c>
      <c r="X87" s="85" t="n">
        <f aca="true">IF(X$5=0,W87,MAX(0,(W87-X$4)*(1+NORMINV(RAND(),INPUTS!$B$28,INPUTS!$B$29))))</f>
        <v>3764301.61604162</v>
      </c>
      <c r="Y87" s="85" t="n">
        <f aca="true">IF(Y$5=0,X87,MAX(0,(X87-Y$4)*(1+NORMINV(RAND(),INPUTS!$B$28,INPUTS!$B$29))))</f>
        <v>3796636.55006972</v>
      </c>
      <c r="Z87" s="85" t="n">
        <f aca="true">IF(Z$5=0,Y87,MAX(0,(Y87-Z$4)*(1+NORMINV(RAND(),INPUTS!$B$28,INPUTS!$B$29))))</f>
        <v>3591962.66498106</v>
      </c>
      <c r="AA87" s="85" t="n">
        <f aca="true">IF(AA$5=0,Z87,MAX(0,(Z87-AA$4)*(1+NORMINV(RAND(),INPUTS!$B$28,INPUTS!$B$29))))</f>
        <v>4096905.58489016</v>
      </c>
      <c r="AB87" s="85" t="n">
        <f aca="true">IF(AB$5=0,AA87,MAX(0,(AA87-AB$4)*(1+NORMINV(RAND(),INPUTS!$B$28,INPUTS!$B$29))))</f>
        <v>4375176.51519197</v>
      </c>
      <c r="AC87" s="85" t="n">
        <f aca="true">IF(AC$5=0,AB87,MAX(0,(AB87-AC$4)*(1+NORMINV(RAND(),INPUTS!$B$28,INPUTS!$B$29))))</f>
        <v>3767265.43465596</v>
      </c>
      <c r="AD87" s="85" t="n">
        <f aca="true">IF(AD$5=0,AC87,MAX(0,(AC87-AD$4)*(1+NORMINV(RAND(),INPUTS!$B$28,INPUTS!$B$29))))</f>
        <v>4605913.51272572</v>
      </c>
      <c r="AE87" s="85" t="n">
        <f aca="true">IF(AE$5=0,AD87,MAX(0,(AD87-AE$4)*(1+NORMINV(RAND(),INPUTS!$B$28,INPUTS!$B$29))))</f>
        <v>5040084.93913888</v>
      </c>
      <c r="AF87" s="85" t="n">
        <f aca="true">IF(AF$5=0,AE87,MAX(0,(AE87-AF$4)*(1+NORMINV(RAND(),INPUTS!$B$28,INPUTS!$B$29))))</f>
        <v>4755355.37808027</v>
      </c>
      <c r="AG87" s="85" t="n">
        <f aca="true">IF(AG$5=0,AF87,MAX(0,(AF87-AG$4)*(1+NORMINV(RAND(),INPUTS!$B$28,INPUTS!$B$29))))</f>
        <v>4866290.28056044</v>
      </c>
      <c r="AH87" s="85" t="n">
        <f aca="true">IF(AH$5=0,AG87,MAX(0,(AG87-AH$4)*(1+NORMINV(RAND(),INPUTS!$B$28,INPUTS!$B$29))))</f>
        <v>5475699.83680253</v>
      </c>
      <c r="AI87" s="85" t="n">
        <f aca="true">IF(AI$5=0,AH87,MAX(0,(AH87-AI$4)*(1+NORMINV(RAND(),INPUTS!$B$28,INPUTS!$B$29))))</f>
        <v>6662714.68815586</v>
      </c>
      <c r="AJ87" s="85" t="n">
        <f aca="true">IF(AJ$5=0,AI87,MAX(0,(AI87-AJ$4)*(1+NORMINV(RAND(),INPUTS!$B$28,INPUTS!$B$29))))</f>
        <v>7985622.18495358</v>
      </c>
      <c r="AK87" s="85" t="n">
        <f aca="true">IF(AK$5=0,AJ87,MAX(0,(AJ87-AK$4)*(1+NORMINV(RAND(),INPUTS!$B$28,INPUTS!$B$29))))</f>
        <v>6598577.93086904</v>
      </c>
      <c r="AL87" s="85" t="n">
        <f aca="true">IF(AL$5=0,AK87,MAX(0,(AK87-AL$4)*(1+NORMINV(RAND(),INPUTS!$B$28,INPUTS!$B$29))))</f>
        <v>6736794.279702</v>
      </c>
      <c r="AM87" s="85" t="n">
        <f aca="true">IF(AM$5=0,AL87,MAX(0,(AL87-AM$4)*(1+NORMINV(RAND(),INPUTS!$B$28,INPUTS!$B$29))))</f>
        <v>6736794.279702</v>
      </c>
      <c r="AN87" s="85" t="n">
        <f aca="true">IF(AN$5=0,AM87,MAX(0,(AM87-AN$4)*(1+NORMINV(RAND(),INPUTS!$B$28,INPUTS!$B$29))))</f>
        <v>6736794.279702</v>
      </c>
      <c r="AO87" s="85" t="n">
        <f aca="true">IF(AO$5=0,AN87,MAX(0,(AN87-AO$4)*(1+NORMINV(RAND(),INPUTS!$B$28,INPUTS!$B$29))))</f>
        <v>6736794.279702</v>
      </c>
      <c r="AP87" s="85" t="n">
        <f aca="true">IF(AP$5=0,AO87,MAX(0,(AO87-AP$4)*(1+NORMINV(RAND(),INPUTS!$B$28,INPUTS!$B$29))))</f>
        <v>6736794.279702</v>
      </c>
    </row>
    <row r="88" customFormat="false" ht="15" hidden="false" customHeight="true" outlineLevel="0" collapsed="false">
      <c r="A88" s="83" t="n">
        <v>81</v>
      </c>
      <c r="B88" s="84" t="n">
        <f aca="false">LOOKUP(9.99E+307,C88:AP88)</f>
        <v>357180.647281171</v>
      </c>
      <c r="C88" s="85" t="n">
        <f aca="true">IF(C$5=0,INPUTS!$B$19,MAX(0,(INPUTS!$B$19-C$4)*(1+NORMINV(RAND(),INPUTS!$B$28,INPUTS!$B$29))))</f>
        <v>1271142.94155937</v>
      </c>
      <c r="D88" s="85" t="n">
        <f aca="true">IF(D$5=0,C88,MAX(0,(C88-D$4)*(1+NORMINV(RAND(),INPUTS!$B$28,INPUTS!$B$29))))</f>
        <v>1123983.18138014</v>
      </c>
      <c r="E88" s="85" t="n">
        <f aca="true">IF(E$5=0,D88,MAX(0,(D88-E$4)*(1+NORMINV(RAND(),INPUTS!$B$28,INPUTS!$B$29))))</f>
        <v>1125110.88091113</v>
      </c>
      <c r="F88" s="85" t="n">
        <f aca="true">IF(F$5=0,E88,MAX(0,(E88-F$4)*(1+NORMINV(RAND(),INPUTS!$B$28,INPUTS!$B$29))))</f>
        <v>1338987.33503045</v>
      </c>
      <c r="G88" s="85" t="n">
        <f aca="true">IF(G$5=0,F88,MAX(0,(F88-G$4)*(1+NORMINV(RAND(),INPUTS!$B$28,INPUTS!$B$29))))</f>
        <v>1405152.46685546</v>
      </c>
      <c r="H88" s="85" t="n">
        <f aca="true">IF(H$5=0,G88,MAX(0,(G88-H$4)*(1+NORMINV(RAND(),INPUTS!$B$28,INPUTS!$B$29))))</f>
        <v>1522066.02412624</v>
      </c>
      <c r="I88" s="85" t="n">
        <f aca="true">IF(I$5=0,H88,MAX(0,(H88-I$4)*(1+NORMINV(RAND(),INPUTS!$B$28,INPUTS!$B$29))))</f>
        <v>1207581.33848536</v>
      </c>
      <c r="J88" s="85" t="n">
        <f aca="true">IF(J$5=0,I88,MAX(0,(I88-J$4)*(1+NORMINV(RAND(),INPUTS!$B$28,INPUTS!$B$29))))</f>
        <v>1242648.51749388</v>
      </c>
      <c r="K88" s="85" t="n">
        <f aca="true">IF(K$5=0,J88,MAX(0,(J88-K$4)*(1+NORMINV(RAND(),INPUTS!$B$28,INPUTS!$B$29))))</f>
        <v>1157524.18106925</v>
      </c>
      <c r="L88" s="85" t="n">
        <f aca="true">IF(L$5=0,K88,MAX(0,(K88-L$4)*(1+NORMINV(RAND(),INPUTS!$B$28,INPUTS!$B$29))))</f>
        <v>927172.310791359</v>
      </c>
      <c r="M88" s="85" t="n">
        <f aca="true">IF(M$5=0,L88,MAX(0,(L88-M$4)*(1+NORMINV(RAND(),INPUTS!$B$28,INPUTS!$B$29))))</f>
        <v>1108504.14417918</v>
      </c>
      <c r="N88" s="85" t="n">
        <f aca="true">IF(N$5=0,M88,MAX(0,(M88-N$4)*(1+NORMINV(RAND(),INPUTS!$B$28,INPUTS!$B$29))))</f>
        <v>1097683.6834185</v>
      </c>
      <c r="O88" s="85" t="n">
        <f aca="true">IF(O$5=0,N88,MAX(0,(N88-O$4)*(1+NORMINV(RAND(),INPUTS!$B$28,INPUTS!$B$29))))</f>
        <v>894466.203154083</v>
      </c>
      <c r="P88" s="85" t="n">
        <f aca="true">IF(P$5=0,O88,MAX(0,(O88-P$4)*(1+NORMINV(RAND(),INPUTS!$B$28,INPUTS!$B$29))))</f>
        <v>851377.153091287</v>
      </c>
      <c r="Q88" s="85" t="n">
        <f aca="true">IF(Q$5=0,P88,MAX(0,(P88-Q$4)*(1+NORMINV(RAND(),INPUTS!$B$28,INPUTS!$B$29))))</f>
        <v>1015722.44253652</v>
      </c>
      <c r="R88" s="85" t="n">
        <f aca="true">IF(R$5=0,Q88,MAX(0,(Q88-R$4)*(1+NORMINV(RAND(),INPUTS!$B$28,INPUTS!$B$29))))</f>
        <v>978504.283854544</v>
      </c>
      <c r="S88" s="85" t="n">
        <f aca="true">IF(S$5=0,R88,MAX(0,(R88-S$4)*(1+NORMINV(RAND(),INPUTS!$B$28,INPUTS!$B$29))))</f>
        <v>1010359.85201418</v>
      </c>
      <c r="T88" s="85" t="n">
        <f aca="true">IF(T$5=0,S88,MAX(0,(S88-T$4)*(1+NORMINV(RAND(),INPUTS!$B$28,INPUTS!$B$29))))</f>
        <v>928649.010997326</v>
      </c>
      <c r="U88" s="85" t="n">
        <f aca="true">IF(U$5=0,T88,MAX(0,(T88-U$4)*(1+NORMINV(RAND(),INPUTS!$B$28,INPUTS!$B$29))))</f>
        <v>973102.11138055</v>
      </c>
      <c r="V88" s="85" t="n">
        <f aca="true">IF(V$5=0,U88,MAX(0,(U88-V$4)*(1+NORMINV(RAND(),INPUTS!$B$28,INPUTS!$B$29))))</f>
        <v>887101.824915307</v>
      </c>
      <c r="W88" s="85" t="n">
        <f aca="true">IF(W$5=0,V88,MAX(0,(V88-W$4)*(1+NORMINV(RAND(),INPUTS!$B$28,INPUTS!$B$29))))</f>
        <v>913956.040485547</v>
      </c>
      <c r="X88" s="85" t="n">
        <f aca="true">IF(X$5=0,W88,MAX(0,(W88-X$4)*(1+NORMINV(RAND(),INPUTS!$B$28,INPUTS!$B$29))))</f>
        <v>936461.219496697</v>
      </c>
      <c r="Y88" s="85" t="n">
        <f aca="true">IF(Y$5=0,X88,MAX(0,(X88-Y$4)*(1+NORMINV(RAND(),INPUTS!$B$28,INPUTS!$B$29))))</f>
        <v>719286.585351707</v>
      </c>
      <c r="Z88" s="85" t="n">
        <f aca="true">IF(Z$5=0,Y88,MAX(0,(Y88-Z$4)*(1+NORMINV(RAND(),INPUTS!$B$28,INPUTS!$B$29))))</f>
        <v>786346.76723245</v>
      </c>
      <c r="AA88" s="85" t="n">
        <f aca="true">IF(AA$5=0,Z88,MAX(0,(Z88-AA$4)*(1+NORMINV(RAND(),INPUTS!$B$28,INPUTS!$B$29))))</f>
        <v>783978.232638573</v>
      </c>
      <c r="AB88" s="85" t="n">
        <f aca="true">IF(AB$5=0,AA88,MAX(0,(AA88-AB$4)*(1+NORMINV(RAND(),INPUTS!$B$28,INPUTS!$B$29))))</f>
        <v>702888.601687881</v>
      </c>
      <c r="AC88" s="85" t="n">
        <f aca="true">IF(AC$5=0,AB88,MAX(0,(AB88-AC$4)*(1+NORMINV(RAND(),INPUTS!$B$28,INPUTS!$B$29))))</f>
        <v>863900.438333352</v>
      </c>
      <c r="AD88" s="85" t="n">
        <f aca="true">IF(AD$5=0,AC88,MAX(0,(AC88-AD$4)*(1+NORMINV(RAND(),INPUTS!$B$28,INPUTS!$B$29))))</f>
        <v>832056.152380636</v>
      </c>
      <c r="AE88" s="85" t="n">
        <f aca="true">IF(AE$5=0,AD88,MAX(0,(AD88-AE$4)*(1+NORMINV(RAND(),INPUTS!$B$28,INPUTS!$B$29))))</f>
        <v>782400.07871283</v>
      </c>
      <c r="AF88" s="85" t="n">
        <f aca="true">IF(AF$5=0,AE88,MAX(0,(AE88-AF$4)*(1+NORMINV(RAND(),INPUTS!$B$28,INPUTS!$B$29))))</f>
        <v>842317.902686497</v>
      </c>
      <c r="AG88" s="85" t="n">
        <f aca="true">IF(AG$5=0,AF88,MAX(0,(AF88-AG$4)*(1+NORMINV(RAND(),INPUTS!$B$28,INPUTS!$B$29))))</f>
        <v>809044.372048475</v>
      </c>
      <c r="AH88" s="85" t="n">
        <f aca="true">IF(AH$5=0,AG88,MAX(0,(AG88-AH$4)*(1+NORMINV(RAND(),INPUTS!$B$28,INPUTS!$B$29))))</f>
        <v>692556.789127545</v>
      </c>
      <c r="AI88" s="85" t="n">
        <f aca="true">IF(AI$5=0,AH88,MAX(0,(AH88-AI$4)*(1+NORMINV(RAND(),INPUTS!$B$28,INPUTS!$B$29))))</f>
        <v>589635.004688171</v>
      </c>
      <c r="AJ88" s="85" t="n">
        <f aca="true">IF(AJ$5=0,AI88,MAX(0,(AI88-AJ$4)*(1+NORMINV(RAND(),INPUTS!$B$28,INPUTS!$B$29))))</f>
        <v>538468.949086324</v>
      </c>
      <c r="AK88" s="85" t="n">
        <f aca="true">IF(AK$5=0,AJ88,MAX(0,(AJ88-AK$4)*(1+NORMINV(RAND(),INPUTS!$B$28,INPUTS!$B$29))))</f>
        <v>530769.000581715</v>
      </c>
      <c r="AL88" s="85" t="n">
        <f aca="true">IF(AL$5=0,AK88,MAX(0,(AK88-AL$4)*(1+NORMINV(RAND(),INPUTS!$B$28,INPUTS!$B$29))))</f>
        <v>357180.647281171</v>
      </c>
      <c r="AM88" s="85" t="n">
        <f aca="true">IF(AM$5=0,AL88,MAX(0,(AL88-AM$4)*(1+NORMINV(RAND(),INPUTS!$B$28,INPUTS!$B$29))))</f>
        <v>357180.647281171</v>
      </c>
      <c r="AN88" s="85" t="n">
        <f aca="true">IF(AN$5=0,AM88,MAX(0,(AM88-AN$4)*(1+NORMINV(RAND(),INPUTS!$B$28,INPUTS!$B$29))))</f>
        <v>357180.647281171</v>
      </c>
      <c r="AO88" s="85" t="n">
        <f aca="true">IF(AO$5=0,AN88,MAX(0,(AN88-AO$4)*(1+NORMINV(RAND(),INPUTS!$B$28,INPUTS!$B$29))))</f>
        <v>357180.647281171</v>
      </c>
      <c r="AP88" s="85" t="n">
        <f aca="true">IF(AP$5=0,AO88,MAX(0,(AO88-AP$4)*(1+NORMINV(RAND(),INPUTS!$B$28,INPUTS!$B$29))))</f>
        <v>357180.647281171</v>
      </c>
    </row>
    <row r="89" customFormat="false" ht="15" hidden="false" customHeight="true" outlineLevel="0" collapsed="false">
      <c r="A89" s="83" t="n">
        <v>82</v>
      </c>
      <c r="B89" s="84" t="n">
        <f aca="false">LOOKUP(9.99E+307,C89:AP89)</f>
        <v>16236723.3085413</v>
      </c>
      <c r="C89" s="85" t="n">
        <f aca="true">IF(C$5=0,INPUTS!$B$19,MAX(0,(INPUTS!$B$19-C$4)*(1+NORMINV(RAND(),INPUTS!$B$28,INPUTS!$B$29))))</f>
        <v>1308745.85645418</v>
      </c>
      <c r="D89" s="85" t="n">
        <f aca="true">IF(D$5=0,C89,MAX(0,(C89-D$4)*(1+NORMINV(RAND(),INPUTS!$B$28,INPUTS!$B$29))))</f>
        <v>1420072.8244621</v>
      </c>
      <c r="E89" s="85" t="n">
        <f aca="true">IF(E$5=0,D89,MAX(0,(D89-E$4)*(1+NORMINV(RAND(),INPUTS!$B$28,INPUTS!$B$29))))</f>
        <v>1459919.77600006</v>
      </c>
      <c r="F89" s="85" t="n">
        <f aca="true">IF(F$5=0,E89,MAX(0,(E89-F$4)*(1+NORMINV(RAND(),INPUTS!$B$28,INPUTS!$B$29))))</f>
        <v>1614776.3725954</v>
      </c>
      <c r="G89" s="85" t="n">
        <f aca="true">IF(G$5=0,F89,MAX(0,(F89-G$4)*(1+NORMINV(RAND(),INPUTS!$B$28,INPUTS!$B$29))))</f>
        <v>2059459.29890121</v>
      </c>
      <c r="H89" s="85" t="n">
        <f aca="true">IF(H$5=0,G89,MAX(0,(G89-H$4)*(1+NORMINV(RAND(),INPUTS!$B$28,INPUTS!$B$29))))</f>
        <v>1695813.89609805</v>
      </c>
      <c r="I89" s="85" t="n">
        <f aca="true">IF(I$5=0,H89,MAX(0,(H89-I$4)*(1+NORMINV(RAND(),INPUTS!$B$28,INPUTS!$B$29))))</f>
        <v>1572468.93735088</v>
      </c>
      <c r="J89" s="85" t="n">
        <f aca="true">IF(J$5=0,I89,MAX(0,(I89-J$4)*(1+NORMINV(RAND(),INPUTS!$B$28,INPUTS!$B$29))))</f>
        <v>1782750.96422681</v>
      </c>
      <c r="K89" s="85" t="n">
        <f aca="true">IF(K$5=0,J89,MAX(0,(J89-K$4)*(1+NORMINV(RAND(),INPUTS!$B$28,INPUTS!$B$29))))</f>
        <v>1873458.65355405</v>
      </c>
      <c r="L89" s="85" t="n">
        <f aca="true">IF(L$5=0,K89,MAX(0,(K89-L$4)*(1+NORMINV(RAND(),INPUTS!$B$28,INPUTS!$B$29))))</f>
        <v>1700204.13110089</v>
      </c>
      <c r="M89" s="85" t="n">
        <f aca="true">IF(M$5=0,L89,MAX(0,(L89-M$4)*(1+NORMINV(RAND(),INPUTS!$B$28,INPUTS!$B$29))))</f>
        <v>1860652.64178789</v>
      </c>
      <c r="N89" s="85" t="n">
        <f aca="true">IF(N$5=0,M89,MAX(0,(M89-N$4)*(1+NORMINV(RAND(),INPUTS!$B$28,INPUTS!$B$29))))</f>
        <v>1988089.75368217</v>
      </c>
      <c r="O89" s="85" t="n">
        <f aca="true">IF(O$5=0,N89,MAX(0,(N89-O$4)*(1+NORMINV(RAND(),INPUTS!$B$28,INPUTS!$B$29))))</f>
        <v>1908780.00052917</v>
      </c>
      <c r="P89" s="85" t="n">
        <f aca="true">IF(P$5=0,O89,MAX(0,(O89-P$4)*(1+NORMINV(RAND(),INPUTS!$B$28,INPUTS!$B$29))))</f>
        <v>1994180.15758825</v>
      </c>
      <c r="Q89" s="85" t="n">
        <f aca="true">IF(Q$5=0,P89,MAX(0,(P89-Q$4)*(1+NORMINV(RAND(),INPUTS!$B$28,INPUTS!$B$29))))</f>
        <v>2500813.40269888</v>
      </c>
      <c r="R89" s="85" t="n">
        <f aca="true">IF(R$5=0,Q89,MAX(0,(Q89-R$4)*(1+NORMINV(RAND(),INPUTS!$B$28,INPUTS!$B$29))))</f>
        <v>2932107.3471339</v>
      </c>
      <c r="S89" s="85" t="n">
        <f aca="true">IF(S$5=0,R89,MAX(0,(R89-S$4)*(1+NORMINV(RAND(),INPUTS!$B$28,INPUTS!$B$29))))</f>
        <v>3535626.76848468</v>
      </c>
      <c r="T89" s="85" t="n">
        <f aca="true">IF(T$5=0,S89,MAX(0,(S89-T$4)*(1+NORMINV(RAND(),INPUTS!$B$28,INPUTS!$B$29))))</f>
        <v>3956415.95835072</v>
      </c>
      <c r="U89" s="85" t="n">
        <f aca="true">IF(U$5=0,T89,MAX(0,(T89-U$4)*(1+NORMINV(RAND(),INPUTS!$B$28,INPUTS!$B$29))))</f>
        <v>4258632.44219071</v>
      </c>
      <c r="V89" s="85" t="n">
        <f aca="true">IF(V$5=0,U89,MAX(0,(U89-V$4)*(1+NORMINV(RAND(),INPUTS!$B$28,INPUTS!$B$29))))</f>
        <v>5089834.20929155</v>
      </c>
      <c r="W89" s="85" t="n">
        <f aca="true">IF(W$5=0,V89,MAX(0,(V89-W$4)*(1+NORMINV(RAND(),INPUTS!$B$28,INPUTS!$B$29))))</f>
        <v>4170669.95221945</v>
      </c>
      <c r="X89" s="85" t="n">
        <f aca="true">IF(X$5=0,W89,MAX(0,(W89-X$4)*(1+NORMINV(RAND(),INPUTS!$B$28,INPUTS!$B$29))))</f>
        <v>5198654.50334712</v>
      </c>
      <c r="Y89" s="85" t="n">
        <f aca="true">IF(Y$5=0,X89,MAX(0,(X89-Y$4)*(1+NORMINV(RAND(),INPUTS!$B$28,INPUTS!$B$29))))</f>
        <v>5264009.25396115</v>
      </c>
      <c r="Z89" s="85" t="n">
        <f aca="true">IF(Z$5=0,Y89,MAX(0,(Y89-Z$4)*(1+NORMINV(RAND(),INPUTS!$B$28,INPUTS!$B$29))))</f>
        <v>5310513.01918857</v>
      </c>
      <c r="AA89" s="85" t="n">
        <f aca="true">IF(AA$5=0,Z89,MAX(0,(Z89-AA$4)*(1+NORMINV(RAND(),INPUTS!$B$28,INPUTS!$B$29))))</f>
        <v>6535030.31236927</v>
      </c>
      <c r="AB89" s="85" t="n">
        <f aca="true">IF(AB$5=0,AA89,MAX(0,(AA89-AB$4)*(1+NORMINV(RAND(),INPUTS!$B$28,INPUTS!$B$29))))</f>
        <v>7352949.15319247</v>
      </c>
      <c r="AC89" s="85" t="n">
        <f aca="true">IF(AC$5=0,AB89,MAX(0,(AB89-AC$4)*(1+NORMINV(RAND(),INPUTS!$B$28,INPUTS!$B$29))))</f>
        <v>6736291.52733457</v>
      </c>
      <c r="AD89" s="85" t="n">
        <f aca="true">IF(AD$5=0,AC89,MAX(0,(AC89-AD$4)*(1+NORMINV(RAND(),INPUTS!$B$28,INPUTS!$B$29))))</f>
        <v>7491779.12086638</v>
      </c>
      <c r="AE89" s="85" t="n">
        <f aca="true">IF(AE$5=0,AD89,MAX(0,(AD89-AE$4)*(1+NORMINV(RAND(),INPUTS!$B$28,INPUTS!$B$29))))</f>
        <v>8804839.4413937</v>
      </c>
      <c r="AF89" s="85" t="n">
        <f aca="true">IF(AF$5=0,AE89,MAX(0,(AE89-AF$4)*(1+NORMINV(RAND(),INPUTS!$B$28,INPUTS!$B$29))))</f>
        <v>7456615.70032484</v>
      </c>
      <c r="AG89" s="85" t="n">
        <f aca="true">IF(AG$5=0,AF89,MAX(0,(AF89-AG$4)*(1+NORMINV(RAND(),INPUTS!$B$28,INPUTS!$B$29))))</f>
        <v>7608734.48165739</v>
      </c>
      <c r="AH89" s="85" t="n">
        <f aca="true">IF(AH$5=0,AG89,MAX(0,(AG89-AH$4)*(1+NORMINV(RAND(),INPUTS!$B$28,INPUTS!$B$29))))</f>
        <v>9467478.27604458</v>
      </c>
      <c r="AI89" s="85" t="n">
        <f aca="true">IF(AI$5=0,AH89,MAX(0,(AH89-AI$4)*(1+NORMINV(RAND(),INPUTS!$B$28,INPUTS!$B$29))))</f>
        <v>10423679.6116805</v>
      </c>
      <c r="AJ89" s="85" t="n">
        <f aca="true">IF(AJ$5=0,AI89,MAX(0,(AI89-AJ$4)*(1+NORMINV(RAND(),INPUTS!$B$28,INPUTS!$B$29))))</f>
        <v>11903354.7350245</v>
      </c>
      <c r="AK89" s="85" t="n">
        <f aca="true">IF(AK$5=0,AJ89,MAX(0,(AJ89-AK$4)*(1+NORMINV(RAND(),INPUTS!$B$28,INPUTS!$B$29))))</f>
        <v>14046076.4916667</v>
      </c>
      <c r="AL89" s="85" t="n">
        <f aca="true">IF(AL$5=0,AK89,MAX(0,(AK89-AL$4)*(1+NORMINV(RAND(),INPUTS!$B$28,INPUTS!$B$29))))</f>
        <v>16236723.3085413</v>
      </c>
      <c r="AM89" s="85" t="n">
        <f aca="true">IF(AM$5=0,AL89,MAX(0,(AL89-AM$4)*(1+NORMINV(RAND(),INPUTS!$B$28,INPUTS!$B$29))))</f>
        <v>16236723.3085413</v>
      </c>
      <c r="AN89" s="85" t="n">
        <f aca="true">IF(AN$5=0,AM89,MAX(0,(AM89-AN$4)*(1+NORMINV(RAND(),INPUTS!$B$28,INPUTS!$B$29))))</f>
        <v>16236723.3085413</v>
      </c>
      <c r="AO89" s="85" t="n">
        <f aca="true">IF(AO$5=0,AN89,MAX(0,(AN89-AO$4)*(1+NORMINV(RAND(),INPUTS!$B$28,INPUTS!$B$29))))</f>
        <v>16236723.3085413</v>
      </c>
      <c r="AP89" s="85" t="n">
        <f aca="true">IF(AP$5=0,AO89,MAX(0,(AO89-AP$4)*(1+NORMINV(RAND(),INPUTS!$B$28,INPUTS!$B$29))))</f>
        <v>16236723.3085413</v>
      </c>
    </row>
    <row r="90" customFormat="false" ht="15" hidden="false" customHeight="true" outlineLevel="0" collapsed="false">
      <c r="A90" s="83" t="n">
        <v>83</v>
      </c>
      <c r="B90" s="84" t="n">
        <f aca="false">LOOKUP(9.99E+307,C90:AP90)</f>
        <v>0</v>
      </c>
      <c r="C90" s="85" t="n">
        <f aca="true">IF(C$5=0,INPUTS!$B$19,MAX(0,(INPUTS!$B$19-C$4)*(1+NORMINV(RAND(),INPUTS!$B$28,INPUTS!$B$29))))</f>
        <v>1207586.85655102</v>
      </c>
      <c r="D90" s="85" t="n">
        <f aca="true">IF(D$5=0,C90,MAX(0,(C90-D$4)*(1+NORMINV(RAND(),INPUTS!$B$28,INPUTS!$B$29))))</f>
        <v>998143.047411623</v>
      </c>
      <c r="E90" s="85" t="n">
        <f aca="true">IF(E$5=0,D90,MAX(0,(D90-E$4)*(1+NORMINV(RAND(),INPUTS!$B$28,INPUTS!$B$29))))</f>
        <v>1014572.15702671</v>
      </c>
      <c r="F90" s="85" t="n">
        <f aca="true">IF(F$5=0,E90,MAX(0,(E90-F$4)*(1+NORMINV(RAND(),INPUTS!$B$28,INPUTS!$B$29))))</f>
        <v>982794.315770337</v>
      </c>
      <c r="G90" s="85" t="n">
        <f aca="true">IF(G$5=0,F90,MAX(0,(F90-G$4)*(1+NORMINV(RAND(),INPUTS!$B$28,INPUTS!$B$29))))</f>
        <v>821045.958467427</v>
      </c>
      <c r="H90" s="85" t="n">
        <f aca="true">IF(H$5=0,G90,MAX(0,(G90-H$4)*(1+NORMINV(RAND(),INPUTS!$B$28,INPUTS!$B$29))))</f>
        <v>756735.980714984</v>
      </c>
      <c r="I90" s="85" t="n">
        <f aca="true">IF(I$5=0,H90,MAX(0,(H90-I$4)*(1+NORMINV(RAND(),INPUTS!$B$28,INPUTS!$B$29))))</f>
        <v>574095.516853395</v>
      </c>
      <c r="J90" s="85" t="n">
        <f aca="true">IF(J$5=0,I90,MAX(0,(I90-J$4)*(1+NORMINV(RAND(),INPUTS!$B$28,INPUTS!$B$29))))</f>
        <v>536170.889518687</v>
      </c>
      <c r="K90" s="85" t="n">
        <f aca="true">IF(K$5=0,J90,MAX(0,(J90-K$4)*(1+NORMINV(RAND(),INPUTS!$B$28,INPUTS!$B$29))))</f>
        <v>454748.618518428</v>
      </c>
      <c r="L90" s="85" t="n">
        <f aca="true">IF(L$5=0,K90,MAX(0,(K90-L$4)*(1+NORMINV(RAND(),INPUTS!$B$28,INPUTS!$B$29))))</f>
        <v>503388.964507686</v>
      </c>
      <c r="M90" s="85" t="n">
        <f aca="true">IF(M$5=0,L90,MAX(0,(L90-M$4)*(1+NORMINV(RAND(),INPUTS!$B$28,INPUTS!$B$29))))</f>
        <v>462021.842189409</v>
      </c>
      <c r="N90" s="85" t="n">
        <f aca="true">IF(N$5=0,M90,MAX(0,(M90-N$4)*(1+NORMINV(RAND(),INPUTS!$B$28,INPUTS!$B$29))))</f>
        <v>381414.07068885</v>
      </c>
      <c r="O90" s="85" t="n">
        <f aca="true">IF(O$5=0,N90,MAX(0,(N90-O$4)*(1+NORMINV(RAND(),INPUTS!$B$28,INPUTS!$B$29))))</f>
        <v>410254.681283859</v>
      </c>
      <c r="P90" s="85" t="n">
        <f aca="true">IF(P$5=0,O90,MAX(0,(O90-P$4)*(1+NORMINV(RAND(),INPUTS!$B$28,INPUTS!$B$29))))</f>
        <v>436802.609409947</v>
      </c>
      <c r="Q90" s="85" t="n">
        <f aca="true">IF(Q$5=0,P90,MAX(0,(P90-Q$4)*(1+NORMINV(RAND(),INPUTS!$B$28,INPUTS!$B$29))))</f>
        <v>365286.350298806</v>
      </c>
      <c r="R90" s="85" t="n">
        <f aca="true">IF(R$5=0,Q90,MAX(0,(Q90-R$4)*(1+NORMINV(RAND(),INPUTS!$B$28,INPUTS!$B$29))))</f>
        <v>359446.806658034</v>
      </c>
      <c r="S90" s="85" t="n">
        <f aca="true">IF(S$5=0,R90,MAX(0,(R90-S$4)*(1+NORMINV(RAND(),INPUTS!$B$28,INPUTS!$B$29))))</f>
        <v>333211.687620675</v>
      </c>
      <c r="T90" s="85" t="n">
        <f aca="true">IF(T$5=0,S90,MAX(0,(S90-T$4)*(1+NORMINV(RAND(),INPUTS!$B$28,INPUTS!$B$29))))</f>
        <v>316410.806485594</v>
      </c>
      <c r="U90" s="85" t="n">
        <f aca="true">IF(U$5=0,T90,MAX(0,(T90-U$4)*(1+NORMINV(RAND(),INPUTS!$B$28,INPUTS!$B$29))))</f>
        <v>250558.793650009</v>
      </c>
      <c r="V90" s="85" t="n">
        <f aca="true">IF(V$5=0,U90,MAX(0,(U90-V$4)*(1+NORMINV(RAND(),INPUTS!$B$28,INPUTS!$B$29))))</f>
        <v>196180.76062513</v>
      </c>
      <c r="W90" s="85" t="n">
        <f aca="true">IF(W$5=0,V90,MAX(0,(V90-W$4)*(1+NORMINV(RAND(),INPUTS!$B$28,INPUTS!$B$29))))</f>
        <v>158884.089083498</v>
      </c>
      <c r="X90" s="85" t="n">
        <f aca="true">IF(X$5=0,W90,MAX(0,(W90-X$4)*(1+NORMINV(RAND(),INPUTS!$B$28,INPUTS!$B$29))))</f>
        <v>78219.3730249437</v>
      </c>
      <c r="Y90" s="85" t="n">
        <f aca="true">IF(Y$5=0,X90,MAX(0,(X90-Y$4)*(1+NORMINV(RAND(),INPUTS!$B$28,INPUTS!$B$29))))</f>
        <v>22257.1198203443</v>
      </c>
      <c r="Z90" s="85" t="n">
        <f aca="true">IF(Z$5=0,Y90,MAX(0,(Y90-Z$4)*(1+NORMINV(RAND(),INPUTS!$B$28,INPUTS!$B$29))))</f>
        <v>0</v>
      </c>
      <c r="AA90" s="85" t="n">
        <f aca="true">IF(AA$5=0,Z90,MAX(0,(Z90-AA$4)*(1+NORMINV(RAND(),INPUTS!$B$28,INPUTS!$B$29))))</f>
        <v>0</v>
      </c>
      <c r="AB90" s="85" t="n">
        <f aca="true">IF(AB$5=0,AA90,MAX(0,(AA90-AB$4)*(1+NORMINV(RAND(),INPUTS!$B$28,INPUTS!$B$29))))</f>
        <v>0</v>
      </c>
      <c r="AC90" s="85" t="n">
        <f aca="true">IF(AC$5=0,AB90,MAX(0,(AB90-AC$4)*(1+NORMINV(RAND(),INPUTS!$B$28,INPUTS!$B$29))))</f>
        <v>0</v>
      </c>
      <c r="AD90" s="85" t="n">
        <f aca="true">IF(AD$5=0,AC90,MAX(0,(AC90-AD$4)*(1+NORMINV(RAND(),INPUTS!$B$28,INPUTS!$B$29))))</f>
        <v>0</v>
      </c>
      <c r="AE90" s="85" t="n">
        <f aca="true">IF(AE$5=0,AD90,MAX(0,(AD90-AE$4)*(1+NORMINV(RAND(),INPUTS!$B$28,INPUTS!$B$29))))</f>
        <v>0</v>
      </c>
      <c r="AF90" s="85" t="n">
        <f aca="true">IF(AF$5=0,AE90,MAX(0,(AE90-AF$4)*(1+NORMINV(RAND(),INPUTS!$B$28,INPUTS!$B$29))))</f>
        <v>0</v>
      </c>
      <c r="AG90" s="85" t="n">
        <f aca="true">IF(AG$5=0,AF90,MAX(0,(AF90-AG$4)*(1+NORMINV(RAND(),INPUTS!$B$28,INPUTS!$B$29))))</f>
        <v>0</v>
      </c>
      <c r="AH90" s="85" t="n">
        <f aca="true">IF(AH$5=0,AG90,MAX(0,(AG90-AH$4)*(1+NORMINV(RAND(),INPUTS!$B$28,INPUTS!$B$29))))</f>
        <v>0</v>
      </c>
      <c r="AI90" s="85" t="n">
        <f aca="true">IF(AI$5=0,AH90,MAX(0,(AH90-AI$4)*(1+NORMINV(RAND(),INPUTS!$B$28,INPUTS!$B$29))))</f>
        <v>0</v>
      </c>
      <c r="AJ90" s="85" t="n">
        <f aca="true">IF(AJ$5=0,AI90,MAX(0,(AI90-AJ$4)*(1+NORMINV(RAND(),INPUTS!$B$28,INPUTS!$B$29))))</f>
        <v>0</v>
      </c>
      <c r="AK90" s="85" t="n">
        <f aca="true">IF(AK$5=0,AJ90,MAX(0,(AJ90-AK$4)*(1+NORMINV(RAND(),INPUTS!$B$28,INPUTS!$B$29))))</f>
        <v>0</v>
      </c>
      <c r="AL90" s="85" t="n">
        <f aca="true">IF(AL$5=0,AK90,MAX(0,(AK90-AL$4)*(1+NORMINV(RAND(),INPUTS!$B$28,INPUTS!$B$29))))</f>
        <v>0</v>
      </c>
      <c r="AM90" s="85" t="n">
        <f aca="true">IF(AM$5=0,AL90,MAX(0,(AL90-AM$4)*(1+NORMINV(RAND(),INPUTS!$B$28,INPUTS!$B$29))))</f>
        <v>0</v>
      </c>
      <c r="AN90" s="85" t="n">
        <f aca="true">IF(AN$5=0,AM90,MAX(0,(AM90-AN$4)*(1+NORMINV(RAND(),INPUTS!$B$28,INPUTS!$B$29))))</f>
        <v>0</v>
      </c>
      <c r="AO90" s="85" t="n">
        <f aca="true">IF(AO$5=0,AN90,MAX(0,(AN90-AO$4)*(1+NORMINV(RAND(),INPUTS!$B$28,INPUTS!$B$29))))</f>
        <v>0</v>
      </c>
      <c r="AP90" s="85" t="n">
        <f aca="true">IF(AP$5=0,AO90,MAX(0,(AO90-AP$4)*(1+NORMINV(RAND(),INPUTS!$B$28,INPUTS!$B$29))))</f>
        <v>0</v>
      </c>
    </row>
    <row r="91" customFormat="false" ht="15" hidden="false" customHeight="true" outlineLevel="0" collapsed="false">
      <c r="A91" s="83" t="n">
        <v>84</v>
      </c>
      <c r="B91" s="84" t="n">
        <f aca="false">LOOKUP(9.99E+307,C91:AP91)</f>
        <v>0</v>
      </c>
      <c r="C91" s="85" t="n">
        <f aca="true">IF(C$5=0,INPUTS!$B$19,MAX(0,(INPUTS!$B$19-C$4)*(1+NORMINV(RAND(),INPUTS!$B$28,INPUTS!$B$29))))</f>
        <v>1278448.61121738</v>
      </c>
      <c r="D91" s="85" t="n">
        <f aca="true">IF(D$5=0,C91,MAX(0,(C91-D$4)*(1+NORMINV(RAND(),INPUTS!$B$28,INPUTS!$B$29))))</f>
        <v>1435499.91614613</v>
      </c>
      <c r="E91" s="85" t="n">
        <f aca="true">IF(E$5=0,D91,MAX(0,(D91-E$4)*(1+NORMINV(RAND(),INPUTS!$B$28,INPUTS!$B$29))))</f>
        <v>1579479.9026</v>
      </c>
      <c r="F91" s="85" t="n">
        <f aca="true">IF(F$5=0,E91,MAX(0,(E91-F$4)*(1+NORMINV(RAND(),INPUTS!$B$28,INPUTS!$B$29))))</f>
        <v>1681389.33070744</v>
      </c>
      <c r="G91" s="85" t="n">
        <f aca="true">IF(G$5=0,F91,MAX(0,(F91-G$4)*(1+NORMINV(RAND(),INPUTS!$B$28,INPUTS!$B$29))))</f>
        <v>1595211.1571129</v>
      </c>
      <c r="H91" s="85" t="n">
        <f aca="true">IF(H$5=0,G91,MAX(0,(G91-H$4)*(1+NORMINV(RAND(),INPUTS!$B$28,INPUTS!$B$29))))</f>
        <v>1539001.26150039</v>
      </c>
      <c r="I91" s="85" t="n">
        <f aca="true">IF(I$5=0,H91,MAX(0,(H91-I$4)*(1+NORMINV(RAND(),INPUTS!$B$28,INPUTS!$B$29))))</f>
        <v>1243783.1238803</v>
      </c>
      <c r="J91" s="85" t="n">
        <f aca="true">IF(J$5=0,I91,MAX(0,(I91-J$4)*(1+NORMINV(RAND(),INPUTS!$B$28,INPUTS!$B$29))))</f>
        <v>1103027.83216343</v>
      </c>
      <c r="K91" s="85" t="n">
        <f aca="true">IF(K$5=0,J91,MAX(0,(J91-K$4)*(1+NORMINV(RAND(),INPUTS!$B$28,INPUTS!$B$29))))</f>
        <v>974395.960810284</v>
      </c>
      <c r="L91" s="85" t="n">
        <f aca="true">IF(L$5=0,K91,MAX(0,(K91-L$4)*(1+NORMINV(RAND(),INPUTS!$B$28,INPUTS!$B$29))))</f>
        <v>870116.683710338</v>
      </c>
      <c r="M91" s="85" t="n">
        <f aca="true">IF(M$5=0,L91,MAX(0,(L91-M$4)*(1+NORMINV(RAND(),INPUTS!$B$28,INPUTS!$B$29))))</f>
        <v>867448.901864102</v>
      </c>
      <c r="N91" s="85" t="n">
        <f aca="true">IF(N$5=0,M91,MAX(0,(M91-N$4)*(1+NORMINV(RAND(),INPUTS!$B$28,INPUTS!$B$29))))</f>
        <v>903616.34393886</v>
      </c>
      <c r="O91" s="85" t="n">
        <f aca="true">IF(O$5=0,N91,MAX(0,(N91-O$4)*(1+NORMINV(RAND(),INPUTS!$B$28,INPUTS!$B$29))))</f>
        <v>793623.548182587</v>
      </c>
      <c r="P91" s="85" t="n">
        <f aca="true">IF(P$5=0,O91,MAX(0,(O91-P$4)*(1+NORMINV(RAND(),INPUTS!$B$28,INPUTS!$B$29))))</f>
        <v>574594.20665973</v>
      </c>
      <c r="Q91" s="85" t="n">
        <f aca="true">IF(Q$5=0,P91,MAX(0,(P91-Q$4)*(1+NORMINV(RAND(),INPUTS!$B$28,INPUTS!$B$29))))</f>
        <v>548390.628530566</v>
      </c>
      <c r="R91" s="85" t="n">
        <f aca="true">IF(R$5=0,Q91,MAX(0,(Q91-R$4)*(1+NORMINV(RAND(),INPUTS!$B$28,INPUTS!$B$29))))</f>
        <v>661863.465347219</v>
      </c>
      <c r="S91" s="85" t="n">
        <f aca="true">IF(S$5=0,R91,MAX(0,(R91-S$4)*(1+NORMINV(RAND(),INPUTS!$B$28,INPUTS!$B$29))))</f>
        <v>569618.08281271</v>
      </c>
      <c r="T91" s="85" t="n">
        <f aca="true">IF(T$5=0,S91,MAX(0,(S91-T$4)*(1+NORMINV(RAND(),INPUTS!$B$28,INPUTS!$B$29))))</f>
        <v>463275.254788034</v>
      </c>
      <c r="U91" s="85" t="n">
        <f aca="true">IF(U$5=0,T91,MAX(0,(T91-U$4)*(1+NORMINV(RAND(),INPUTS!$B$28,INPUTS!$B$29))))</f>
        <v>407832.788340736</v>
      </c>
      <c r="V91" s="85" t="n">
        <f aca="true">IF(V$5=0,U91,MAX(0,(U91-V$4)*(1+NORMINV(RAND(),INPUTS!$B$28,INPUTS!$B$29))))</f>
        <v>380064.664862575</v>
      </c>
      <c r="W91" s="85" t="n">
        <f aca="true">IF(W$5=0,V91,MAX(0,(V91-W$4)*(1+NORMINV(RAND(),INPUTS!$B$28,INPUTS!$B$29))))</f>
        <v>365410.76004415</v>
      </c>
      <c r="X91" s="85" t="n">
        <f aca="true">IF(X$5=0,W91,MAX(0,(W91-X$4)*(1+NORMINV(RAND(),INPUTS!$B$28,INPUTS!$B$29))))</f>
        <v>327906.846269742</v>
      </c>
      <c r="Y91" s="85" t="n">
        <f aca="true">IF(Y$5=0,X91,MAX(0,(X91-Y$4)*(1+NORMINV(RAND(),INPUTS!$B$28,INPUTS!$B$29))))</f>
        <v>317325.756233026</v>
      </c>
      <c r="Z91" s="85" t="n">
        <f aca="true">IF(Z$5=0,Y91,MAX(0,(Y91-Z$4)*(1+NORMINV(RAND(),INPUTS!$B$28,INPUTS!$B$29))))</f>
        <v>292388.385094107</v>
      </c>
      <c r="AA91" s="85" t="n">
        <f aca="true">IF(AA$5=0,Z91,MAX(0,(Z91-AA$4)*(1+NORMINV(RAND(),INPUTS!$B$28,INPUTS!$B$29))))</f>
        <v>219311.602728644</v>
      </c>
      <c r="AB91" s="85" t="n">
        <f aca="true">IF(AB$5=0,AA91,MAX(0,(AA91-AB$4)*(1+NORMINV(RAND(),INPUTS!$B$28,INPUTS!$B$29))))</f>
        <v>136337.790642356</v>
      </c>
      <c r="AC91" s="85" t="n">
        <f aca="true">IF(AC$5=0,AB91,MAX(0,(AB91-AC$4)*(1+NORMINV(RAND(),INPUTS!$B$28,INPUTS!$B$29))))</f>
        <v>91087.0088070477</v>
      </c>
      <c r="AD91" s="85" t="n">
        <f aca="true">IF(AD$5=0,AC91,MAX(0,(AC91-AD$4)*(1+NORMINV(RAND(),INPUTS!$B$28,INPUTS!$B$29))))</f>
        <v>26943.9617002803</v>
      </c>
      <c r="AE91" s="85" t="n">
        <f aca="true">IF(AE$5=0,AD91,MAX(0,(AD91-AE$4)*(1+NORMINV(RAND(),INPUTS!$B$28,INPUTS!$B$29))))</f>
        <v>0</v>
      </c>
      <c r="AF91" s="85" t="n">
        <f aca="true">IF(AF$5=0,AE91,MAX(0,(AE91-AF$4)*(1+NORMINV(RAND(),INPUTS!$B$28,INPUTS!$B$29))))</f>
        <v>0</v>
      </c>
      <c r="AG91" s="85" t="n">
        <f aca="true">IF(AG$5=0,AF91,MAX(0,(AF91-AG$4)*(1+NORMINV(RAND(),INPUTS!$B$28,INPUTS!$B$29))))</f>
        <v>0</v>
      </c>
      <c r="AH91" s="85" t="n">
        <f aca="true">IF(AH$5=0,AG91,MAX(0,(AG91-AH$4)*(1+NORMINV(RAND(),INPUTS!$B$28,INPUTS!$B$29))))</f>
        <v>0</v>
      </c>
      <c r="AI91" s="85" t="n">
        <f aca="true">IF(AI$5=0,AH91,MAX(0,(AH91-AI$4)*(1+NORMINV(RAND(),INPUTS!$B$28,INPUTS!$B$29))))</f>
        <v>0</v>
      </c>
      <c r="AJ91" s="85" t="n">
        <f aca="true">IF(AJ$5=0,AI91,MAX(0,(AI91-AJ$4)*(1+NORMINV(RAND(),INPUTS!$B$28,INPUTS!$B$29))))</f>
        <v>0</v>
      </c>
      <c r="AK91" s="85" t="n">
        <f aca="true">IF(AK$5=0,AJ91,MAX(0,(AJ91-AK$4)*(1+NORMINV(RAND(),INPUTS!$B$28,INPUTS!$B$29))))</f>
        <v>0</v>
      </c>
      <c r="AL91" s="85" t="n">
        <f aca="true">IF(AL$5=0,AK91,MAX(0,(AK91-AL$4)*(1+NORMINV(RAND(),INPUTS!$B$28,INPUTS!$B$29))))</f>
        <v>0</v>
      </c>
      <c r="AM91" s="85" t="n">
        <f aca="true">IF(AM$5=0,AL91,MAX(0,(AL91-AM$4)*(1+NORMINV(RAND(),INPUTS!$B$28,INPUTS!$B$29))))</f>
        <v>0</v>
      </c>
      <c r="AN91" s="85" t="n">
        <f aca="true">IF(AN$5=0,AM91,MAX(0,(AM91-AN$4)*(1+NORMINV(RAND(),INPUTS!$B$28,INPUTS!$B$29))))</f>
        <v>0</v>
      </c>
      <c r="AO91" s="85" t="n">
        <f aca="true">IF(AO$5=0,AN91,MAX(0,(AN91-AO$4)*(1+NORMINV(RAND(),INPUTS!$B$28,INPUTS!$B$29))))</f>
        <v>0</v>
      </c>
      <c r="AP91" s="85" t="n">
        <f aca="true">IF(AP$5=0,AO91,MAX(0,(AO91-AP$4)*(1+NORMINV(RAND(),INPUTS!$B$28,INPUTS!$B$29))))</f>
        <v>0</v>
      </c>
    </row>
    <row r="92" customFormat="false" ht="15" hidden="false" customHeight="true" outlineLevel="0" collapsed="false">
      <c r="A92" s="83" t="n">
        <v>85</v>
      </c>
      <c r="B92" s="84" t="n">
        <f aca="false">LOOKUP(9.99E+307,C92:AP92)</f>
        <v>0</v>
      </c>
      <c r="C92" s="85" t="n">
        <f aca="true">IF(C$5=0,INPUTS!$B$19,MAX(0,(INPUTS!$B$19-C$4)*(1+NORMINV(RAND(),INPUTS!$B$28,INPUTS!$B$29))))</f>
        <v>1185009.78186027</v>
      </c>
      <c r="D92" s="85" t="n">
        <f aca="true">IF(D$5=0,C92,MAX(0,(C92-D$4)*(1+NORMINV(RAND(),INPUTS!$B$28,INPUTS!$B$29))))</f>
        <v>1101785.17369647</v>
      </c>
      <c r="E92" s="85" t="n">
        <f aca="true">IF(E$5=0,D92,MAX(0,(D92-E$4)*(1+NORMINV(RAND(),INPUTS!$B$28,INPUTS!$B$29))))</f>
        <v>936322.806623358</v>
      </c>
      <c r="F92" s="85" t="n">
        <f aca="true">IF(F$5=0,E92,MAX(0,(E92-F$4)*(1+NORMINV(RAND(),INPUTS!$B$28,INPUTS!$B$29))))</f>
        <v>918249.848315277</v>
      </c>
      <c r="G92" s="85" t="n">
        <f aca="true">IF(G$5=0,F92,MAX(0,(F92-G$4)*(1+NORMINV(RAND(),INPUTS!$B$28,INPUTS!$B$29))))</f>
        <v>961320.548297543</v>
      </c>
      <c r="H92" s="85" t="n">
        <f aca="true">IF(H$5=0,G92,MAX(0,(G92-H$4)*(1+NORMINV(RAND(),INPUTS!$B$28,INPUTS!$B$29))))</f>
        <v>934177.874405675</v>
      </c>
      <c r="I92" s="85" t="n">
        <f aca="true">IF(I$5=0,H92,MAX(0,(H92-I$4)*(1+NORMINV(RAND(),INPUTS!$B$28,INPUTS!$B$29))))</f>
        <v>1070685.01674635</v>
      </c>
      <c r="J92" s="85" t="n">
        <f aca="true">IF(J$5=0,I92,MAX(0,(I92-J$4)*(1+NORMINV(RAND(),INPUTS!$B$28,INPUTS!$B$29))))</f>
        <v>893164.61040987</v>
      </c>
      <c r="K92" s="85" t="n">
        <f aca="true">IF(K$5=0,J92,MAX(0,(J92-K$4)*(1+NORMINV(RAND(),INPUTS!$B$28,INPUTS!$B$29))))</f>
        <v>817296.135601237</v>
      </c>
      <c r="L92" s="85" t="n">
        <f aca="true">IF(L$5=0,K92,MAX(0,(K92-L$4)*(1+NORMINV(RAND(),INPUTS!$B$28,INPUTS!$B$29))))</f>
        <v>620563.241426928</v>
      </c>
      <c r="M92" s="85" t="n">
        <f aca="true">IF(M$5=0,L92,MAX(0,(L92-M$4)*(1+NORMINV(RAND(),INPUTS!$B$28,INPUTS!$B$29))))</f>
        <v>672743.913465237</v>
      </c>
      <c r="N92" s="85" t="n">
        <f aca="true">IF(N$5=0,M92,MAX(0,(M92-N$4)*(1+NORMINV(RAND(),INPUTS!$B$28,INPUTS!$B$29))))</f>
        <v>626045.924516129</v>
      </c>
      <c r="O92" s="85" t="n">
        <f aca="true">IF(O$5=0,N92,MAX(0,(N92-O$4)*(1+NORMINV(RAND(),INPUTS!$B$28,INPUTS!$B$29))))</f>
        <v>589947.572331946</v>
      </c>
      <c r="P92" s="85" t="n">
        <f aca="true">IF(P$5=0,O92,MAX(0,(O92-P$4)*(1+NORMINV(RAND(),INPUTS!$B$28,INPUTS!$B$29))))</f>
        <v>643352.793201298</v>
      </c>
      <c r="Q92" s="85" t="n">
        <f aca="true">IF(Q$5=0,P92,MAX(0,(P92-Q$4)*(1+NORMINV(RAND(),INPUTS!$B$28,INPUTS!$B$29))))</f>
        <v>666454.915869264</v>
      </c>
      <c r="R92" s="85" t="n">
        <f aca="true">IF(R$5=0,Q92,MAX(0,(Q92-R$4)*(1+NORMINV(RAND(),INPUTS!$B$28,INPUTS!$B$29))))</f>
        <v>616199.559130913</v>
      </c>
      <c r="S92" s="85" t="n">
        <f aca="true">IF(S$5=0,R92,MAX(0,(R92-S$4)*(1+NORMINV(RAND(),INPUTS!$B$28,INPUTS!$B$29))))</f>
        <v>574874.161727269</v>
      </c>
      <c r="T92" s="85" t="n">
        <f aca="true">IF(T$5=0,S92,MAX(0,(S92-T$4)*(1+NORMINV(RAND(),INPUTS!$B$28,INPUTS!$B$29))))</f>
        <v>566686.994216549</v>
      </c>
      <c r="U92" s="85" t="n">
        <f aca="true">IF(U$5=0,T92,MAX(0,(T92-U$4)*(1+NORMINV(RAND(),INPUTS!$B$28,INPUTS!$B$29))))</f>
        <v>554093.392033612</v>
      </c>
      <c r="V92" s="85" t="n">
        <f aca="true">IF(V$5=0,U92,MAX(0,(U92-V$4)*(1+NORMINV(RAND(),INPUTS!$B$28,INPUTS!$B$29))))</f>
        <v>552055.94479298</v>
      </c>
      <c r="W92" s="85" t="n">
        <f aca="true">IF(W$5=0,V92,MAX(0,(V92-W$4)*(1+NORMINV(RAND(),INPUTS!$B$28,INPUTS!$B$29))))</f>
        <v>472269.095909099</v>
      </c>
      <c r="X92" s="85" t="n">
        <f aca="true">IF(X$5=0,W92,MAX(0,(W92-X$4)*(1+NORMINV(RAND(),INPUTS!$B$28,INPUTS!$B$29))))</f>
        <v>533277.672880972</v>
      </c>
      <c r="Y92" s="85" t="n">
        <f aca="true">IF(Y$5=0,X92,MAX(0,(X92-Y$4)*(1+NORMINV(RAND(),INPUTS!$B$28,INPUTS!$B$29))))</f>
        <v>555369.271803078</v>
      </c>
      <c r="Z92" s="85" t="n">
        <f aca="true">IF(Z$5=0,Y92,MAX(0,(Y92-Z$4)*(1+NORMINV(RAND(),INPUTS!$B$28,INPUTS!$B$29))))</f>
        <v>603647.559422766</v>
      </c>
      <c r="AA92" s="85" t="n">
        <f aca="true">IF(AA$5=0,Z92,MAX(0,(Z92-AA$4)*(1+NORMINV(RAND(),INPUTS!$B$28,INPUTS!$B$29))))</f>
        <v>591770.967989839</v>
      </c>
      <c r="AB92" s="85" t="n">
        <f aca="true">IF(AB$5=0,AA92,MAX(0,(AA92-AB$4)*(1+NORMINV(RAND(),INPUTS!$B$28,INPUTS!$B$29))))</f>
        <v>516615.64780339</v>
      </c>
      <c r="AC92" s="85" t="n">
        <f aca="true">IF(AC$5=0,AB92,MAX(0,(AB92-AC$4)*(1+NORMINV(RAND(),INPUTS!$B$28,INPUTS!$B$29))))</f>
        <v>485086.947052338</v>
      </c>
      <c r="AD92" s="85" t="n">
        <f aca="true">IF(AD$5=0,AC92,MAX(0,(AC92-AD$4)*(1+NORMINV(RAND(),INPUTS!$B$28,INPUTS!$B$29))))</f>
        <v>471620.608827456</v>
      </c>
      <c r="AE92" s="85" t="n">
        <f aca="true">IF(AE$5=0,AD92,MAX(0,(AD92-AE$4)*(1+NORMINV(RAND(),INPUTS!$B$28,INPUTS!$B$29))))</f>
        <v>344988.524549645</v>
      </c>
      <c r="AF92" s="85" t="n">
        <f aca="true">IF(AF$5=0,AE92,MAX(0,(AE92-AF$4)*(1+NORMINV(RAND(),INPUTS!$B$28,INPUTS!$B$29))))</f>
        <v>264239.004935082</v>
      </c>
      <c r="AG92" s="85" t="n">
        <f aca="true">IF(AG$5=0,AF92,MAX(0,(AF92-AG$4)*(1+NORMINV(RAND(),INPUTS!$B$28,INPUTS!$B$29))))</f>
        <v>199017.610658337</v>
      </c>
      <c r="AH92" s="85" t="n">
        <f aca="true">IF(AH$5=0,AG92,MAX(0,(AG92-AH$4)*(1+NORMINV(RAND(),INPUTS!$B$28,INPUTS!$B$29))))</f>
        <v>127706.030067007</v>
      </c>
      <c r="AI92" s="85" t="n">
        <f aca="true">IF(AI$5=0,AH92,MAX(0,(AH92-AI$4)*(1+NORMINV(RAND(),INPUTS!$B$28,INPUTS!$B$29))))</f>
        <v>58549.8828905548</v>
      </c>
      <c r="AJ92" s="85" t="n">
        <f aca="true">IF(AJ$5=0,AI92,MAX(0,(AI92-AJ$4)*(1+NORMINV(RAND(),INPUTS!$B$28,INPUTS!$B$29))))</f>
        <v>0</v>
      </c>
      <c r="AK92" s="85" t="n">
        <f aca="true">IF(AK$5=0,AJ92,MAX(0,(AJ92-AK$4)*(1+NORMINV(RAND(),INPUTS!$B$28,INPUTS!$B$29))))</f>
        <v>0</v>
      </c>
      <c r="AL92" s="85" t="n">
        <f aca="true">IF(AL$5=0,AK92,MAX(0,(AK92-AL$4)*(1+NORMINV(RAND(),INPUTS!$B$28,INPUTS!$B$29))))</f>
        <v>0</v>
      </c>
      <c r="AM92" s="85" t="n">
        <f aca="true">IF(AM$5=0,AL92,MAX(0,(AL92-AM$4)*(1+NORMINV(RAND(),INPUTS!$B$28,INPUTS!$B$29))))</f>
        <v>0</v>
      </c>
      <c r="AN92" s="85" t="n">
        <f aca="true">IF(AN$5=0,AM92,MAX(0,(AM92-AN$4)*(1+NORMINV(RAND(),INPUTS!$B$28,INPUTS!$B$29))))</f>
        <v>0</v>
      </c>
      <c r="AO92" s="85" t="n">
        <f aca="true">IF(AO$5=0,AN92,MAX(0,(AN92-AO$4)*(1+NORMINV(RAND(),INPUTS!$B$28,INPUTS!$B$29))))</f>
        <v>0</v>
      </c>
      <c r="AP92" s="85" t="n">
        <f aca="true">IF(AP$5=0,AO92,MAX(0,(AO92-AP$4)*(1+NORMINV(RAND(),INPUTS!$B$28,INPUTS!$B$29))))</f>
        <v>0</v>
      </c>
    </row>
    <row r="93" customFormat="false" ht="15" hidden="false" customHeight="true" outlineLevel="0" collapsed="false">
      <c r="A93" s="83" t="n">
        <v>86</v>
      </c>
      <c r="B93" s="84" t="n">
        <f aca="false">LOOKUP(9.99E+307,C93:AP93)</f>
        <v>1850532.22525528</v>
      </c>
      <c r="C93" s="85" t="n">
        <f aca="true">IF(C$5=0,INPUTS!$B$19,MAX(0,(INPUTS!$B$19-C$4)*(1+NORMINV(RAND(),INPUTS!$B$28,INPUTS!$B$29))))</f>
        <v>1200042.54630038</v>
      </c>
      <c r="D93" s="85" t="n">
        <f aca="true">IF(D$5=0,C93,MAX(0,(C93-D$4)*(1+NORMINV(RAND(),INPUTS!$B$28,INPUTS!$B$29))))</f>
        <v>1350141.93971419</v>
      </c>
      <c r="E93" s="85" t="n">
        <f aca="true">IF(E$5=0,D93,MAX(0,(D93-E$4)*(1+NORMINV(RAND(),INPUTS!$B$28,INPUTS!$B$29))))</f>
        <v>1642357.83801784</v>
      </c>
      <c r="F93" s="85" t="n">
        <f aca="true">IF(F$5=0,E93,MAX(0,(E93-F$4)*(1+NORMINV(RAND(),INPUTS!$B$28,INPUTS!$B$29))))</f>
        <v>1340951.66852351</v>
      </c>
      <c r="G93" s="85" t="n">
        <f aca="true">IF(G$5=0,F93,MAX(0,(F93-G$4)*(1+NORMINV(RAND(),INPUTS!$B$28,INPUTS!$B$29))))</f>
        <v>1250579.65721393</v>
      </c>
      <c r="H93" s="85" t="n">
        <f aca="true">IF(H$5=0,G93,MAX(0,(G93-H$4)*(1+NORMINV(RAND(),INPUTS!$B$28,INPUTS!$B$29))))</f>
        <v>1138102.62363484</v>
      </c>
      <c r="I93" s="85" t="n">
        <f aca="true">IF(I$5=0,H93,MAX(0,(H93-I$4)*(1+NORMINV(RAND(),INPUTS!$B$28,INPUTS!$B$29))))</f>
        <v>1116987.94496611</v>
      </c>
      <c r="J93" s="85" t="n">
        <f aca="true">IF(J$5=0,I93,MAX(0,(I93-J$4)*(1+NORMINV(RAND(),INPUTS!$B$28,INPUTS!$B$29))))</f>
        <v>1113491.79735825</v>
      </c>
      <c r="K93" s="85" t="n">
        <f aca="true">IF(K$5=0,J93,MAX(0,(J93-K$4)*(1+NORMINV(RAND(),INPUTS!$B$28,INPUTS!$B$29))))</f>
        <v>1240318.57916946</v>
      </c>
      <c r="L93" s="85" t="n">
        <f aca="true">IF(L$5=0,K93,MAX(0,(K93-L$4)*(1+NORMINV(RAND(),INPUTS!$B$28,INPUTS!$B$29))))</f>
        <v>1291031.51551421</v>
      </c>
      <c r="M93" s="85" t="n">
        <f aca="true">IF(M$5=0,L93,MAX(0,(L93-M$4)*(1+NORMINV(RAND(),INPUTS!$B$28,INPUTS!$B$29))))</f>
        <v>1441349.78019448</v>
      </c>
      <c r="N93" s="85" t="n">
        <f aca="true">IF(N$5=0,M93,MAX(0,(M93-N$4)*(1+NORMINV(RAND(),INPUTS!$B$28,INPUTS!$B$29))))</f>
        <v>1503269.26820688</v>
      </c>
      <c r="O93" s="85" t="n">
        <f aca="true">IF(O$5=0,N93,MAX(0,(N93-O$4)*(1+NORMINV(RAND(),INPUTS!$B$28,INPUTS!$B$29))))</f>
        <v>1629251.52306461</v>
      </c>
      <c r="P93" s="85" t="n">
        <f aca="true">IF(P$5=0,O93,MAX(0,(O93-P$4)*(1+NORMINV(RAND(),INPUTS!$B$28,INPUTS!$B$29))))</f>
        <v>1815502.82201783</v>
      </c>
      <c r="Q93" s="85" t="n">
        <f aca="true">IF(Q$5=0,P93,MAX(0,(P93-Q$4)*(1+NORMINV(RAND(),INPUTS!$B$28,INPUTS!$B$29))))</f>
        <v>1571213.53395586</v>
      </c>
      <c r="R93" s="85" t="n">
        <f aca="true">IF(R$5=0,Q93,MAX(0,(Q93-R$4)*(1+NORMINV(RAND(),INPUTS!$B$28,INPUTS!$B$29))))</f>
        <v>1722632.91312502</v>
      </c>
      <c r="S93" s="85" t="n">
        <f aca="true">IF(S$5=0,R93,MAX(0,(R93-S$4)*(1+NORMINV(RAND(),INPUTS!$B$28,INPUTS!$B$29))))</f>
        <v>1665799.0186754</v>
      </c>
      <c r="T93" s="85" t="n">
        <f aca="true">IF(T$5=0,S93,MAX(0,(S93-T$4)*(1+NORMINV(RAND(),INPUTS!$B$28,INPUTS!$B$29))))</f>
        <v>1952899.30751255</v>
      </c>
      <c r="U93" s="85" t="n">
        <f aca="true">IF(U$5=0,T93,MAX(0,(T93-U$4)*(1+NORMINV(RAND(),INPUTS!$B$28,INPUTS!$B$29))))</f>
        <v>2191328.56739299</v>
      </c>
      <c r="V93" s="85" t="n">
        <f aca="true">IF(V$5=0,U93,MAX(0,(U93-V$4)*(1+NORMINV(RAND(),INPUTS!$B$28,INPUTS!$B$29))))</f>
        <v>2060592.43046619</v>
      </c>
      <c r="W93" s="85" t="n">
        <f aca="true">IF(W$5=0,V93,MAX(0,(V93-W$4)*(1+NORMINV(RAND(),INPUTS!$B$28,INPUTS!$B$29))))</f>
        <v>1999253.711044</v>
      </c>
      <c r="X93" s="85" t="n">
        <f aca="true">IF(X$5=0,W93,MAX(0,(W93-X$4)*(1+NORMINV(RAND(),INPUTS!$B$28,INPUTS!$B$29))))</f>
        <v>1880697.19471301</v>
      </c>
      <c r="Y93" s="85" t="n">
        <f aca="true">IF(Y$5=0,X93,MAX(0,(X93-Y$4)*(1+NORMINV(RAND(),INPUTS!$B$28,INPUTS!$B$29))))</f>
        <v>1761689.04214763</v>
      </c>
      <c r="Z93" s="85" t="n">
        <f aca="true">IF(Z$5=0,Y93,MAX(0,(Y93-Z$4)*(1+NORMINV(RAND(),INPUTS!$B$28,INPUTS!$B$29))))</f>
        <v>1975531.14656074</v>
      </c>
      <c r="AA93" s="85" t="n">
        <f aca="true">IF(AA$5=0,Z93,MAX(0,(Z93-AA$4)*(1+NORMINV(RAND(),INPUTS!$B$28,INPUTS!$B$29))))</f>
        <v>2250646.03434266</v>
      </c>
      <c r="AB93" s="85" t="n">
        <f aca="true">IF(AB$5=0,AA93,MAX(0,(AA93-AB$4)*(1+NORMINV(RAND(),INPUTS!$B$28,INPUTS!$B$29))))</f>
        <v>2312147.25310678</v>
      </c>
      <c r="AC93" s="85" t="n">
        <f aca="true">IF(AC$5=0,AB93,MAX(0,(AB93-AC$4)*(1+NORMINV(RAND(),INPUTS!$B$28,INPUTS!$B$29))))</f>
        <v>2216045.03791438</v>
      </c>
      <c r="AD93" s="85" t="n">
        <f aca="true">IF(AD$5=0,AC93,MAX(0,(AC93-AD$4)*(1+NORMINV(RAND(),INPUTS!$B$28,INPUTS!$B$29))))</f>
        <v>2496279.55351489</v>
      </c>
      <c r="AE93" s="85" t="n">
        <f aca="true">IF(AE$5=0,AD93,MAX(0,(AD93-AE$4)*(1+NORMINV(RAND(),INPUTS!$B$28,INPUTS!$B$29))))</f>
        <v>2276558.59734413</v>
      </c>
      <c r="AF93" s="85" t="n">
        <f aca="true">IF(AF$5=0,AE93,MAX(0,(AE93-AF$4)*(1+NORMINV(RAND(),INPUTS!$B$28,INPUTS!$B$29))))</f>
        <v>2232537.71193916</v>
      </c>
      <c r="AG93" s="85" t="n">
        <f aca="true">IF(AG$5=0,AF93,MAX(0,(AF93-AG$4)*(1+NORMINV(RAND(),INPUTS!$B$28,INPUTS!$B$29))))</f>
        <v>2073152.18281142</v>
      </c>
      <c r="AH93" s="85" t="n">
        <f aca="true">IF(AH$5=0,AG93,MAX(0,(AG93-AH$4)*(1+NORMINV(RAND(),INPUTS!$B$28,INPUTS!$B$29))))</f>
        <v>1912311.79238074</v>
      </c>
      <c r="AI93" s="85" t="n">
        <f aca="true">IF(AI$5=0,AH93,MAX(0,(AH93-AI$4)*(1+NORMINV(RAND(),INPUTS!$B$28,INPUTS!$B$29))))</f>
        <v>1847359.6562622</v>
      </c>
      <c r="AJ93" s="85" t="n">
        <f aca="true">IF(AJ$5=0,AI93,MAX(0,(AI93-AJ$4)*(1+NORMINV(RAND(),INPUTS!$B$28,INPUTS!$B$29))))</f>
        <v>1742837.02836992</v>
      </c>
      <c r="AK93" s="85" t="n">
        <f aca="true">IF(AK$5=0,AJ93,MAX(0,(AJ93-AK$4)*(1+NORMINV(RAND(),INPUTS!$B$28,INPUTS!$B$29))))</f>
        <v>1847362.49400753</v>
      </c>
      <c r="AL93" s="85" t="n">
        <f aca="true">IF(AL$5=0,AK93,MAX(0,(AK93-AL$4)*(1+NORMINV(RAND(),INPUTS!$B$28,INPUTS!$B$29))))</f>
        <v>1850532.22525528</v>
      </c>
      <c r="AM93" s="85" t="n">
        <f aca="true">IF(AM$5=0,AL93,MAX(0,(AL93-AM$4)*(1+NORMINV(RAND(),INPUTS!$B$28,INPUTS!$B$29))))</f>
        <v>1850532.22525528</v>
      </c>
      <c r="AN93" s="85" t="n">
        <f aca="true">IF(AN$5=0,AM93,MAX(0,(AM93-AN$4)*(1+NORMINV(RAND(),INPUTS!$B$28,INPUTS!$B$29))))</f>
        <v>1850532.22525528</v>
      </c>
      <c r="AO93" s="85" t="n">
        <f aca="true">IF(AO$5=0,AN93,MAX(0,(AN93-AO$4)*(1+NORMINV(RAND(),INPUTS!$B$28,INPUTS!$B$29))))</f>
        <v>1850532.22525528</v>
      </c>
      <c r="AP93" s="85" t="n">
        <f aca="true">IF(AP$5=0,AO93,MAX(0,(AO93-AP$4)*(1+NORMINV(RAND(),INPUTS!$B$28,INPUTS!$B$29))))</f>
        <v>1850532.22525528</v>
      </c>
    </row>
    <row r="94" customFormat="false" ht="15" hidden="false" customHeight="true" outlineLevel="0" collapsed="false">
      <c r="A94" s="83" t="n">
        <v>87</v>
      </c>
      <c r="B94" s="84" t="n">
        <f aca="false">LOOKUP(9.99E+307,C94:AP94)</f>
        <v>592302.329826328</v>
      </c>
      <c r="C94" s="85" t="n">
        <f aca="true">IF(C$5=0,INPUTS!$B$19,MAX(0,(INPUTS!$B$19-C$4)*(1+NORMINV(RAND(),INPUTS!$B$28,INPUTS!$B$29))))</f>
        <v>1214849.85571565</v>
      </c>
      <c r="D94" s="85" t="n">
        <f aca="true">IF(D$5=0,C94,MAX(0,(C94-D$4)*(1+NORMINV(RAND(),INPUTS!$B$28,INPUTS!$B$29))))</f>
        <v>1383001.33745132</v>
      </c>
      <c r="E94" s="85" t="n">
        <f aca="true">IF(E$5=0,D94,MAX(0,(D94-E$4)*(1+NORMINV(RAND(),INPUTS!$B$28,INPUTS!$B$29))))</f>
        <v>1209726.76878131</v>
      </c>
      <c r="F94" s="85" t="n">
        <f aca="true">IF(F$5=0,E94,MAX(0,(E94-F$4)*(1+NORMINV(RAND(),INPUTS!$B$28,INPUTS!$B$29))))</f>
        <v>1021631.03443487</v>
      </c>
      <c r="G94" s="85" t="n">
        <f aca="true">IF(G$5=0,F94,MAX(0,(F94-G$4)*(1+NORMINV(RAND(),INPUTS!$B$28,INPUTS!$B$29))))</f>
        <v>950697.130281753</v>
      </c>
      <c r="H94" s="85" t="n">
        <f aca="true">IF(H$5=0,G94,MAX(0,(G94-H$4)*(1+NORMINV(RAND(),INPUTS!$B$28,INPUTS!$B$29))))</f>
        <v>969531.008204212</v>
      </c>
      <c r="I94" s="85" t="n">
        <f aca="true">IF(I$5=0,H94,MAX(0,(H94-I$4)*(1+NORMINV(RAND(),INPUTS!$B$28,INPUTS!$B$29))))</f>
        <v>869982.597757105</v>
      </c>
      <c r="J94" s="85" t="n">
        <f aca="true">IF(J$5=0,I94,MAX(0,(I94-J$4)*(1+NORMINV(RAND(),INPUTS!$B$28,INPUTS!$B$29))))</f>
        <v>841267.051647373</v>
      </c>
      <c r="K94" s="85" t="n">
        <f aca="true">IF(K$5=0,J94,MAX(0,(J94-K$4)*(1+NORMINV(RAND(),INPUTS!$B$28,INPUTS!$B$29))))</f>
        <v>923479.376325047</v>
      </c>
      <c r="L94" s="85" t="n">
        <f aca="true">IF(L$5=0,K94,MAX(0,(K94-L$4)*(1+NORMINV(RAND(),INPUTS!$B$28,INPUTS!$B$29))))</f>
        <v>941555.538150139</v>
      </c>
      <c r="M94" s="85" t="n">
        <f aca="true">IF(M$5=0,L94,MAX(0,(L94-M$4)*(1+NORMINV(RAND(),INPUTS!$B$28,INPUTS!$B$29))))</f>
        <v>853296.692577159</v>
      </c>
      <c r="N94" s="85" t="n">
        <f aca="true">IF(N$5=0,M94,MAX(0,(M94-N$4)*(1+NORMINV(RAND(),INPUTS!$B$28,INPUTS!$B$29))))</f>
        <v>814055.608713554</v>
      </c>
      <c r="O94" s="85" t="n">
        <f aca="true">IF(O$5=0,N94,MAX(0,(N94-O$4)*(1+NORMINV(RAND(),INPUTS!$B$28,INPUTS!$B$29))))</f>
        <v>762860.390089837</v>
      </c>
      <c r="P94" s="85" t="n">
        <f aca="true">IF(P$5=0,O94,MAX(0,(O94-P$4)*(1+NORMINV(RAND(),INPUTS!$B$28,INPUTS!$B$29))))</f>
        <v>732332.046422711</v>
      </c>
      <c r="Q94" s="85" t="n">
        <f aca="true">IF(Q$5=0,P94,MAX(0,(P94-Q$4)*(1+NORMINV(RAND(),INPUTS!$B$28,INPUTS!$B$29))))</f>
        <v>763278.91939541</v>
      </c>
      <c r="R94" s="85" t="n">
        <f aca="true">IF(R$5=0,Q94,MAX(0,(Q94-R$4)*(1+NORMINV(RAND(),INPUTS!$B$28,INPUTS!$B$29))))</f>
        <v>797344.881537046</v>
      </c>
      <c r="S94" s="85" t="n">
        <f aca="true">IF(S$5=0,R94,MAX(0,(R94-S$4)*(1+NORMINV(RAND(),INPUTS!$B$28,INPUTS!$B$29))))</f>
        <v>799548.421678752</v>
      </c>
      <c r="T94" s="85" t="n">
        <f aca="true">IF(T$5=0,S94,MAX(0,(S94-T$4)*(1+NORMINV(RAND(),INPUTS!$B$28,INPUTS!$B$29))))</f>
        <v>761630.422331749</v>
      </c>
      <c r="U94" s="85" t="n">
        <f aca="true">IF(U$5=0,T94,MAX(0,(T94-U$4)*(1+NORMINV(RAND(),INPUTS!$B$28,INPUTS!$B$29))))</f>
        <v>800954.012606481</v>
      </c>
      <c r="V94" s="85" t="n">
        <f aca="true">IF(V$5=0,U94,MAX(0,(U94-V$4)*(1+NORMINV(RAND(),INPUTS!$B$28,INPUTS!$B$29))))</f>
        <v>865779.41351068</v>
      </c>
      <c r="W94" s="85" t="n">
        <f aca="true">IF(W$5=0,V94,MAX(0,(V94-W$4)*(1+NORMINV(RAND(),INPUTS!$B$28,INPUTS!$B$29))))</f>
        <v>975641.447691396</v>
      </c>
      <c r="X94" s="85" t="n">
        <f aca="true">IF(X$5=0,W94,MAX(0,(W94-X$4)*(1+NORMINV(RAND(),INPUTS!$B$28,INPUTS!$B$29))))</f>
        <v>893233.900389849</v>
      </c>
      <c r="Y94" s="85" t="n">
        <f aca="true">IF(Y$5=0,X94,MAX(0,(X94-Y$4)*(1+NORMINV(RAND(),INPUTS!$B$28,INPUTS!$B$29))))</f>
        <v>661592.026046336</v>
      </c>
      <c r="Z94" s="85" t="n">
        <f aca="true">IF(Z$5=0,Y94,MAX(0,(Y94-Z$4)*(1+NORMINV(RAND(),INPUTS!$B$28,INPUTS!$B$29))))</f>
        <v>766009.813959183</v>
      </c>
      <c r="AA94" s="85" t="n">
        <f aca="true">IF(AA$5=0,Z94,MAX(0,(Z94-AA$4)*(1+NORMINV(RAND(),INPUTS!$B$28,INPUTS!$B$29))))</f>
        <v>672198.240161156</v>
      </c>
      <c r="AB94" s="85" t="n">
        <f aca="true">IF(AB$5=0,AA94,MAX(0,(AA94-AB$4)*(1+NORMINV(RAND(),INPUTS!$B$28,INPUTS!$B$29))))</f>
        <v>682587.637394227</v>
      </c>
      <c r="AC94" s="85" t="n">
        <f aca="true">IF(AC$5=0,AB94,MAX(0,(AB94-AC$4)*(1+NORMINV(RAND(),INPUTS!$B$28,INPUTS!$B$29))))</f>
        <v>792586.722287278</v>
      </c>
      <c r="AD94" s="85" t="n">
        <f aca="true">IF(AD$5=0,AC94,MAX(0,(AC94-AD$4)*(1+NORMINV(RAND(),INPUTS!$B$28,INPUTS!$B$29))))</f>
        <v>754639.367843125</v>
      </c>
      <c r="AE94" s="85" t="n">
        <f aca="true">IF(AE$5=0,AD94,MAX(0,(AD94-AE$4)*(1+NORMINV(RAND(),INPUTS!$B$28,INPUTS!$B$29))))</f>
        <v>708041.66536652</v>
      </c>
      <c r="AF94" s="85" t="n">
        <f aca="true">IF(AF$5=0,AE94,MAX(0,(AE94-AF$4)*(1+NORMINV(RAND(),INPUTS!$B$28,INPUTS!$B$29))))</f>
        <v>758882.360896567</v>
      </c>
      <c r="AG94" s="85" t="n">
        <f aca="true">IF(AG$5=0,AF94,MAX(0,(AF94-AG$4)*(1+NORMINV(RAND(),INPUTS!$B$28,INPUTS!$B$29))))</f>
        <v>847319.178941662</v>
      </c>
      <c r="AH94" s="85" t="n">
        <f aca="true">IF(AH$5=0,AG94,MAX(0,(AG94-AH$4)*(1+NORMINV(RAND(),INPUTS!$B$28,INPUTS!$B$29))))</f>
        <v>706518.221161658</v>
      </c>
      <c r="AI94" s="85" t="n">
        <f aca="true">IF(AI$5=0,AH94,MAX(0,(AH94-AI$4)*(1+NORMINV(RAND(),INPUTS!$B$28,INPUTS!$B$29))))</f>
        <v>664244.969167615</v>
      </c>
      <c r="AJ94" s="85" t="n">
        <f aca="true">IF(AJ$5=0,AI94,MAX(0,(AI94-AJ$4)*(1+NORMINV(RAND(),INPUTS!$B$28,INPUTS!$B$29))))</f>
        <v>631493.910791865</v>
      </c>
      <c r="AK94" s="85" t="n">
        <f aca="true">IF(AK$5=0,AJ94,MAX(0,(AJ94-AK$4)*(1+NORMINV(RAND(),INPUTS!$B$28,INPUTS!$B$29))))</f>
        <v>646739.47273511</v>
      </c>
      <c r="AL94" s="85" t="n">
        <f aca="true">IF(AL$5=0,AK94,MAX(0,(AK94-AL$4)*(1+NORMINV(RAND(),INPUTS!$B$28,INPUTS!$B$29))))</f>
        <v>592302.329826328</v>
      </c>
      <c r="AM94" s="85" t="n">
        <f aca="true">IF(AM$5=0,AL94,MAX(0,(AL94-AM$4)*(1+NORMINV(RAND(),INPUTS!$B$28,INPUTS!$B$29))))</f>
        <v>592302.329826328</v>
      </c>
      <c r="AN94" s="85" t="n">
        <f aca="true">IF(AN$5=0,AM94,MAX(0,(AM94-AN$4)*(1+NORMINV(RAND(),INPUTS!$B$28,INPUTS!$B$29))))</f>
        <v>592302.329826328</v>
      </c>
      <c r="AO94" s="85" t="n">
        <f aca="true">IF(AO$5=0,AN94,MAX(0,(AN94-AO$4)*(1+NORMINV(RAND(),INPUTS!$B$28,INPUTS!$B$29))))</f>
        <v>592302.329826328</v>
      </c>
      <c r="AP94" s="85" t="n">
        <f aca="true">IF(AP$5=0,AO94,MAX(0,(AO94-AP$4)*(1+NORMINV(RAND(),INPUTS!$B$28,INPUTS!$B$29))))</f>
        <v>592302.329826328</v>
      </c>
    </row>
    <row r="95" customFormat="false" ht="15" hidden="false" customHeight="true" outlineLevel="0" collapsed="false">
      <c r="A95" s="83" t="n">
        <v>88</v>
      </c>
      <c r="B95" s="84" t="n">
        <f aca="false">LOOKUP(9.99E+307,C95:AP95)</f>
        <v>6306194.87760837</v>
      </c>
      <c r="C95" s="85" t="n">
        <f aca="true">IF(C$5=0,INPUTS!$B$19,MAX(0,(INPUTS!$B$19-C$4)*(1+NORMINV(RAND(),INPUTS!$B$28,INPUTS!$B$29))))</f>
        <v>1289402.50791129</v>
      </c>
      <c r="D95" s="85" t="n">
        <f aca="true">IF(D$5=0,C95,MAX(0,(C95-D$4)*(1+NORMINV(RAND(),INPUTS!$B$28,INPUTS!$B$29))))</f>
        <v>1160645.25573285</v>
      </c>
      <c r="E95" s="85" t="n">
        <f aca="true">IF(E$5=0,D95,MAX(0,(D95-E$4)*(1+NORMINV(RAND(),INPUTS!$B$28,INPUTS!$B$29))))</f>
        <v>1287883.55853754</v>
      </c>
      <c r="F95" s="85" t="n">
        <f aca="true">IF(F$5=0,E95,MAX(0,(E95-F$4)*(1+NORMINV(RAND(),INPUTS!$B$28,INPUTS!$B$29))))</f>
        <v>1352198.21542555</v>
      </c>
      <c r="G95" s="85" t="n">
        <f aca="true">IF(G$5=0,F95,MAX(0,(F95-G$4)*(1+NORMINV(RAND(),INPUTS!$B$28,INPUTS!$B$29))))</f>
        <v>1474549.26805541</v>
      </c>
      <c r="H95" s="85" t="n">
        <f aca="true">IF(H$5=0,G95,MAX(0,(G95-H$4)*(1+NORMINV(RAND(),INPUTS!$B$28,INPUTS!$B$29))))</f>
        <v>1241212.7902301</v>
      </c>
      <c r="I95" s="85" t="n">
        <f aca="true">IF(I$5=0,H95,MAX(0,(H95-I$4)*(1+NORMINV(RAND(),INPUTS!$B$28,INPUTS!$B$29))))</f>
        <v>1050759.90498447</v>
      </c>
      <c r="J95" s="85" t="n">
        <f aca="true">IF(J$5=0,I95,MAX(0,(I95-J$4)*(1+NORMINV(RAND(),INPUTS!$B$28,INPUTS!$B$29))))</f>
        <v>1334541.39676647</v>
      </c>
      <c r="K95" s="85" t="n">
        <f aca="true">IF(K$5=0,J95,MAX(0,(J95-K$4)*(1+NORMINV(RAND(),INPUTS!$B$28,INPUTS!$B$29))))</f>
        <v>1401595.96609392</v>
      </c>
      <c r="L95" s="85" t="n">
        <f aca="true">IF(L$5=0,K95,MAX(0,(K95-L$4)*(1+NORMINV(RAND(),INPUTS!$B$28,INPUTS!$B$29))))</f>
        <v>1127983.62287891</v>
      </c>
      <c r="M95" s="85" t="n">
        <f aca="true">IF(M$5=0,L95,MAX(0,(L95-M$4)*(1+NORMINV(RAND(),INPUTS!$B$28,INPUTS!$B$29))))</f>
        <v>1125496.85636039</v>
      </c>
      <c r="N95" s="85" t="n">
        <f aca="true">IF(N$5=0,M95,MAX(0,(M95-N$4)*(1+NORMINV(RAND(),INPUTS!$B$28,INPUTS!$B$29))))</f>
        <v>1182789.53684711</v>
      </c>
      <c r="O95" s="85" t="n">
        <f aca="true">IF(O$5=0,N95,MAX(0,(N95-O$4)*(1+NORMINV(RAND(),INPUTS!$B$28,INPUTS!$B$29))))</f>
        <v>1244084.13200647</v>
      </c>
      <c r="P95" s="85" t="n">
        <f aca="true">IF(P$5=0,O95,MAX(0,(O95-P$4)*(1+NORMINV(RAND(),INPUTS!$B$28,INPUTS!$B$29))))</f>
        <v>1475057.26086481</v>
      </c>
      <c r="Q95" s="85" t="n">
        <f aca="true">IF(Q$5=0,P95,MAX(0,(P95-Q$4)*(1+NORMINV(RAND(),INPUTS!$B$28,INPUTS!$B$29))))</f>
        <v>1716958.00058427</v>
      </c>
      <c r="R95" s="85" t="n">
        <f aca="true">IF(R$5=0,Q95,MAX(0,(Q95-R$4)*(1+NORMINV(RAND(),INPUTS!$B$28,INPUTS!$B$29))))</f>
        <v>1719338.98625872</v>
      </c>
      <c r="S95" s="85" t="n">
        <f aca="true">IF(S$5=0,R95,MAX(0,(R95-S$4)*(1+NORMINV(RAND(),INPUTS!$B$28,INPUTS!$B$29))))</f>
        <v>1906994.91641362</v>
      </c>
      <c r="T95" s="85" t="n">
        <f aca="true">IF(T$5=0,S95,MAX(0,(S95-T$4)*(1+NORMINV(RAND(),INPUTS!$B$28,INPUTS!$B$29))))</f>
        <v>2039670.77826559</v>
      </c>
      <c r="U95" s="85" t="n">
        <f aca="true">IF(U$5=0,T95,MAX(0,(T95-U$4)*(1+NORMINV(RAND(),INPUTS!$B$28,INPUTS!$B$29))))</f>
        <v>1905531.57305175</v>
      </c>
      <c r="V95" s="85" t="n">
        <f aca="true">IF(V$5=0,U95,MAX(0,(U95-V$4)*(1+NORMINV(RAND(),INPUTS!$B$28,INPUTS!$B$29))))</f>
        <v>1967669.00509755</v>
      </c>
      <c r="W95" s="85" t="n">
        <f aca="true">IF(W$5=0,V95,MAX(0,(V95-W$4)*(1+NORMINV(RAND(),INPUTS!$B$28,INPUTS!$B$29))))</f>
        <v>2384818.39237635</v>
      </c>
      <c r="X95" s="85" t="n">
        <f aca="true">IF(X$5=0,W95,MAX(0,(W95-X$4)*(1+NORMINV(RAND(),INPUTS!$B$28,INPUTS!$B$29))))</f>
        <v>2851514.20848915</v>
      </c>
      <c r="Y95" s="85" t="n">
        <f aca="true">IF(Y$5=0,X95,MAX(0,(X95-Y$4)*(1+NORMINV(RAND(),INPUTS!$B$28,INPUTS!$B$29))))</f>
        <v>3104484.45385782</v>
      </c>
      <c r="Z95" s="85" t="n">
        <f aca="true">IF(Z$5=0,Y95,MAX(0,(Y95-Z$4)*(1+NORMINV(RAND(),INPUTS!$B$28,INPUTS!$B$29))))</f>
        <v>3329887.34028519</v>
      </c>
      <c r="AA95" s="85" t="n">
        <f aca="true">IF(AA$5=0,Z95,MAX(0,(Z95-AA$4)*(1+NORMINV(RAND(),INPUTS!$B$28,INPUTS!$B$29))))</f>
        <v>4101502.85554651</v>
      </c>
      <c r="AB95" s="85" t="n">
        <f aca="true">IF(AB$5=0,AA95,MAX(0,(AA95-AB$4)*(1+NORMINV(RAND(),INPUTS!$B$28,INPUTS!$B$29))))</f>
        <v>4817269.73377011</v>
      </c>
      <c r="AC95" s="85" t="n">
        <f aca="true">IF(AC$5=0,AB95,MAX(0,(AB95-AC$4)*(1+NORMINV(RAND(),INPUTS!$B$28,INPUTS!$B$29))))</f>
        <v>5322070.17530644</v>
      </c>
      <c r="AD95" s="85" t="n">
        <f aca="true">IF(AD$5=0,AC95,MAX(0,(AC95-AD$4)*(1+NORMINV(RAND(),INPUTS!$B$28,INPUTS!$B$29))))</f>
        <v>5500920.97939124</v>
      </c>
      <c r="AE95" s="85" t="n">
        <f aca="true">IF(AE$5=0,AD95,MAX(0,(AD95-AE$4)*(1+NORMINV(RAND(),INPUTS!$B$28,INPUTS!$B$29))))</f>
        <v>5710517.64139489</v>
      </c>
      <c r="AF95" s="85" t="n">
        <f aca="true">IF(AF$5=0,AE95,MAX(0,(AE95-AF$4)*(1+NORMINV(RAND(),INPUTS!$B$28,INPUTS!$B$29))))</f>
        <v>5336385.97774329</v>
      </c>
      <c r="AG95" s="85" t="n">
        <f aca="true">IF(AG$5=0,AF95,MAX(0,(AF95-AG$4)*(1+NORMINV(RAND(),INPUTS!$B$28,INPUTS!$B$29))))</f>
        <v>4399245.85225174</v>
      </c>
      <c r="AH95" s="85" t="n">
        <f aca="true">IF(AH$5=0,AG95,MAX(0,(AG95-AH$4)*(1+NORMINV(RAND(),INPUTS!$B$28,INPUTS!$B$29))))</f>
        <v>5000453.92045943</v>
      </c>
      <c r="AI95" s="85" t="n">
        <f aca="true">IF(AI$5=0,AH95,MAX(0,(AH95-AI$4)*(1+NORMINV(RAND(),INPUTS!$B$28,INPUTS!$B$29))))</f>
        <v>6054606.13068997</v>
      </c>
      <c r="AJ95" s="85" t="n">
        <f aca="true">IF(AJ$5=0,AI95,MAX(0,(AI95-AJ$4)*(1+NORMINV(RAND(),INPUTS!$B$28,INPUTS!$B$29))))</f>
        <v>6781119.17259953</v>
      </c>
      <c r="AK95" s="85" t="n">
        <f aca="true">IF(AK$5=0,AJ95,MAX(0,(AJ95-AK$4)*(1+NORMINV(RAND(),INPUTS!$B$28,INPUTS!$B$29))))</f>
        <v>7348490.58792675</v>
      </c>
      <c r="AL95" s="85" t="n">
        <f aca="true">IF(AL$5=0,AK95,MAX(0,(AK95-AL$4)*(1+NORMINV(RAND(),INPUTS!$B$28,INPUTS!$B$29))))</f>
        <v>6306194.87760837</v>
      </c>
      <c r="AM95" s="85" t="n">
        <f aca="true">IF(AM$5=0,AL95,MAX(0,(AL95-AM$4)*(1+NORMINV(RAND(),INPUTS!$B$28,INPUTS!$B$29))))</f>
        <v>6306194.87760837</v>
      </c>
      <c r="AN95" s="85" t="n">
        <f aca="true">IF(AN$5=0,AM95,MAX(0,(AM95-AN$4)*(1+NORMINV(RAND(),INPUTS!$B$28,INPUTS!$B$29))))</f>
        <v>6306194.87760837</v>
      </c>
      <c r="AO95" s="85" t="n">
        <f aca="true">IF(AO$5=0,AN95,MAX(0,(AN95-AO$4)*(1+NORMINV(RAND(),INPUTS!$B$28,INPUTS!$B$29))))</f>
        <v>6306194.87760837</v>
      </c>
      <c r="AP95" s="85" t="n">
        <f aca="true">IF(AP$5=0,AO95,MAX(0,(AO95-AP$4)*(1+NORMINV(RAND(),INPUTS!$B$28,INPUTS!$B$29))))</f>
        <v>6306194.87760837</v>
      </c>
    </row>
    <row r="96" customFormat="false" ht="15" hidden="false" customHeight="true" outlineLevel="0" collapsed="false">
      <c r="A96" s="83" t="n">
        <v>89</v>
      </c>
      <c r="B96" s="84" t="n">
        <f aca="false">LOOKUP(9.99E+307,C96:AP96)</f>
        <v>3742164.11947371</v>
      </c>
      <c r="C96" s="85" t="n">
        <f aca="true">IF(C$5=0,INPUTS!$B$19,MAX(0,(INPUTS!$B$19-C$4)*(1+NORMINV(RAND(),INPUTS!$B$28,INPUTS!$B$29))))</f>
        <v>1411752.62498652</v>
      </c>
      <c r="D96" s="85" t="n">
        <f aca="true">IF(D$5=0,C96,MAX(0,(C96-D$4)*(1+NORMINV(RAND(),INPUTS!$B$28,INPUTS!$B$29))))</f>
        <v>1519769.55958987</v>
      </c>
      <c r="E96" s="85" t="n">
        <f aca="true">IF(E$5=0,D96,MAX(0,(D96-E$4)*(1+NORMINV(RAND(),INPUTS!$B$28,INPUTS!$B$29))))</f>
        <v>1631117.86189928</v>
      </c>
      <c r="F96" s="85" t="n">
        <f aca="true">IF(F$5=0,E96,MAX(0,(E96-F$4)*(1+NORMINV(RAND(),INPUTS!$B$28,INPUTS!$B$29))))</f>
        <v>1574741.75842807</v>
      </c>
      <c r="G96" s="85" t="n">
        <f aca="true">IF(G$5=0,F96,MAX(0,(F96-G$4)*(1+NORMINV(RAND(),INPUTS!$B$28,INPUTS!$B$29))))</f>
        <v>1607410.75333638</v>
      </c>
      <c r="H96" s="85" t="n">
        <f aca="true">IF(H$5=0,G96,MAX(0,(G96-H$4)*(1+NORMINV(RAND(),INPUTS!$B$28,INPUTS!$B$29))))</f>
        <v>1512958.5996842</v>
      </c>
      <c r="I96" s="85" t="n">
        <f aca="true">IF(I$5=0,H96,MAX(0,(H96-I$4)*(1+NORMINV(RAND(),INPUTS!$B$28,INPUTS!$B$29))))</f>
        <v>1633660.55821497</v>
      </c>
      <c r="J96" s="85" t="n">
        <f aca="true">IF(J$5=0,I96,MAX(0,(I96-J$4)*(1+NORMINV(RAND(),INPUTS!$B$28,INPUTS!$B$29))))</f>
        <v>1724760.61262095</v>
      </c>
      <c r="K96" s="85" t="n">
        <f aca="true">IF(K$5=0,J96,MAX(0,(J96-K$4)*(1+NORMINV(RAND(),INPUTS!$B$28,INPUTS!$B$29))))</f>
        <v>1943515.60598214</v>
      </c>
      <c r="L96" s="85" t="n">
        <f aca="true">IF(L$5=0,K96,MAX(0,(K96-L$4)*(1+NORMINV(RAND(),INPUTS!$B$28,INPUTS!$B$29))))</f>
        <v>2024896.61830083</v>
      </c>
      <c r="M96" s="85" t="n">
        <f aca="true">IF(M$5=0,L96,MAX(0,(L96-M$4)*(1+NORMINV(RAND(),INPUTS!$B$28,INPUTS!$B$29))))</f>
        <v>2073013.60555626</v>
      </c>
      <c r="N96" s="85" t="n">
        <f aca="true">IF(N$5=0,M96,MAX(0,(M96-N$4)*(1+NORMINV(RAND(),INPUTS!$B$28,INPUTS!$B$29))))</f>
        <v>1813501.54368801</v>
      </c>
      <c r="O96" s="85" t="n">
        <f aca="true">IF(O$5=0,N96,MAX(0,(N96-O$4)*(1+NORMINV(RAND(),INPUTS!$B$28,INPUTS!$B$29))))</f>
        <v>2234905.04954956</v>
      </c>
      <c r="P96" s="85" t="n">
        <f aca="true">IF(P$5=0,O96,MAX(0,(O96-P$4)*(1+NORMINV(RAND(),INPUTS!$B$28,INPUTS!$B$29))))</f>
        <v>2454148.10386154</v>
      </c>
      <c r="Q96" s="85" t="n">
        <f aca="true">IF(Q$5=0,P96,MAX(0,(P96-Q$4)*(1+NORMINV(RAND(),INPUTS!$B$28,INPUTS!$B$29))))</f>
        <v>2832122.48001425</v>
      </c>
      <c r="R96" s="85" t="n">
        <f aca="true">IF(R$5=0,Q96,MAX(0,(Q96-R$4)*(1+NORMINV(RAND(),INPUTS!$B$28,INPUTS!$B$29))))</f>
        <v>2807596.42574517</v>
      </c>
      <c r="S96" s="85" t="n">
        <f aca="true">IF(S$5=0,R96,MAX(0,(R96-S$4)*(1+NORMINV(RAND(),INPUTS!$B$28,INPUTS!$B$29))))</f>
        <v>3073728.26529643</v>
      </c>
      <c r="T96" s="85" t="n">
        <f aca="true">IF(T$5=0,S96,MAX(0,(S96-T$4)*(1+NORMINV(RAND(),INPUTS!$B$28,INPUTS!$B$29))))</f>
        <v>2811359.74900886</v>
      </c>
      <c r="U96" s="85" t="n">
        <f aca="true">IF(U$5=0,T96,MAX(0,(T96-U$4)*(1+NORMINV(RAND(),INPUTS!$B$28,INPUTS!$B$29))))</f>
        <v>2868047.33964938</v>
      </c>
      <c r="V96" s="85" t="n">
        <f aca="true">IF(V$5=0,U96,MAX(0,(U96-V$4)*(1+NORMINV(RAND(),INPUTS!$B$28,INPUTS!$B$29))))</f>
        <v>2819432.04658262</v>
      </c>
      <c r="W96" s="85" t="n">
        <f aca="true">IF(W$5=0,V96,MAX(0,(V96-W$4)*(1+NORMINV(RAND(),INPUTS!$B$28,INPUTS!$B$29))))</f>
        <v>3098347.73421336</v>
      </c>
      <c r="X96" s="85" t="n">
        <f aca="true">IF(X$5=0,W96,MAX(0,(W96-X$4)*(1+NORMINV(RAND(),INPUTS!$B$28,INPUTS!$B$29))))</f>
        <v>2554037.37136787</v>
      </c>
      <c r="Y96" s="85" t="n">
        <f aca="true">IF(Y$5=0,X96,MAX(0,(X96-Y$4)*(1+NORMINV(RAND(),INPUTS!$B$28,INPUTS!$B$29))))</f>
        <v>2749229.71738526</v>
      </c>
      <c r="Z96" s="85" t="n">
        <f aca="true">IF(Z$5=0,Y96,MAX(0,(Y96-Z$4)*(1+NORMINV(RAND(),INPUTS!$B$28,INPUTS!$B$29))))</f>
        <v>2352233.02548889</v>
      </c>
      <c r="AA96" s="85" t="n">
        <f aca="true">IF(AA$5=0,Z96,MAX(0,(Z96-AA$4)*(1+NORMINV(RAND(),INPUTS!$B$28,INPUTS!$B$29))))</f>
        <v>2417378.41813819</v>
      </c>
      <c r="AB96" s="85" t="n">
        <f aca="true">IF(AB$5=0,AA96,MAX(0,(AA96-AB$4)*(1+NORMINV(RAND(),INPUTS!$B$28,INPUTS!$B$29))))</f>
        <v>2931016.21101224</v>
      </c>
      <c r="AC96" s="85" t="n">
        <f aca="true">IF(AC$5=0,AB96,MAX(0,(AB96-AC$4)*(1+NORMINV(RAND(),INPUTS!$B$28,INPUTS!$B$29))))</f>
        <v>3463540.58722179</v>
      </c>
      <c r="AD96" s="85" t="n">
        <f aca="true">IF(AD$5=0,AC96,MAX(0,(AC96-AD$4)*(1+NORMINV(RAND(),INPUTS!$B$28,INPUTS!$B$29))))</f>
        <v>3069878.32709561</v>
      </c>
      <c r="AE96" s="85" t="n">
        <f aca="true">IF(AE$5=0,AD96,MAX(0,(AD96-AE$4)*(1+NORMINV(RAND(),INPUTS!$B$28,INPUTS!$B$29))))</f>
        <v>3462315.07345493</v>
      </c>
      <c r="AF96" s="85" t="n">
        <f aca="true">IF(AF$5=0,AE96,MAX(0,(AE96-AF$4)*(1+NORMINV(RAND(),INPUTS!$B$28,INPUTS!$B$29))))</f>
        <v>3453211.41193592</v>
      </c>
      <c r="AG96" s="85" t="n">
        <f aca="true">IF(AG$5=0,AF96,MAX(0,(AF96-AG$4)*(1+NORMINV(RAND(),INPUTS!$B$28,INPUTS!$B$29))))</f>
        <v>3728664.79356288</v>
      </c>
      <c r="AH96" s="85" t="n">
        <f aca="true">IF(AH$5=0,AG96,MAX(0,(AG96-AH$4)*(1+NORMINV(RAND(),INPUTS!$B$28,INPUTS!$B$29))))</f>
        <v>3430590.3316434</v>
      </c>
      <c r="AI96" s="85" t="n">
        <f aca="true">IF(AI$5=0,AH96,MAX(0,(AH96-AI$4)*(1+NORMINV(RAND(),INPUTS!$B$28,INPUTS!$B$29))))</f>
        <v>3450537.53657542</v>
      </c>
      <c r="AJ96" s="85" t="n">
        <f aca="true">IF(AJ$5=0,AI96,MAX(0,(AI96-AJ$4)*(1+NORMINV(RAND(),INPUTS!$B$28,INPUTS!$B$29))))</f>
        <v>3397042.91172474</v>
      </c>
      <c r="AK96" s="85" t="n">
        <f aca="true">IF(AK$5=0,AJ96,MAX(0,(AJ96-AK$4)*(1+NORMINV(RAND(),INPUTS!$B$28,INPUTS!$B$29))))</f>
        <v>3822723.75446731</v>
      </c>
      <c r="AL96" s="85" t="n">
        <f aca="true">IF(AL$5=0,AK96,MAX(0,(AK96-AL$4)*(1+NORMINV(RAND(),INPUTS!$B$28,INPUTS!$B$29))))</f>
        <v>3742164.11947371</v>
      </c>
      <c r="AM96" s="85" t="n">
        <f aca="true">IF(AM$5=0,AL96,MAX(0,(AL96-AM$4)*(1+NORMINV(RAND(),INPUTS!$B$28,INPUTS!$B$29))))</f>
        <v>3742164.11947371</v>
      </c>
      <c r="AN96" s="85" t="n">
        <f aca="true">IF(AN$5=0,AM96,MAX(0,(AM96-AN$4)*(1+NORMINV(RAND(),INPUTS!$B$28,INPUTS!$B$29))))</f>
        <v>3742164.11947371</v>
      </c>
      <c r="AO96" s="85" t="n">
        <f aca="true">IF(AO$5=0,AN96,MAX(0,(AN96-AO$4)*(1+NORMINV(RAND(),INPUTS!$B$28,INPUTS!$B$29))))</f>
        <v>3742164.11947371</v>
      </c>
      <c r="AP96" s="85" t="n">
        <f aca="true">IF(AP$5=0,AO96,MAX(0,(AO96-AP$4)*(1+NORMINV(RAND(),INPUTS!$B$28,INPUTS!$B$29))))</f>
        <v>3742164.11947371</v>
      </c>
    </row>
    <row r="97" customFormat="false" ht="15" hidden="false" customHeight="true" outlineLevel="0" collapsed="false">
      <c r="A97" s="83" t="n">
        <v>90</v>
      </c>
      <c r="B97" s="84" t="n">
        <f aca="false">LOOKUP(9.99E+307,C97:AP97)</f>
        <v>3665775.72666189</v>
      </c>
      <c r="C97" s="85" t="n">
        <f aca="true">IF(C$5=0,INPUTS!$B$19,MAX(0,(INPUTS!$B$19-C$4)*(1+NORMINV(RAND(),INPUTS!$B$28,INPUTS!$B$29))))</f>
        <v>1252461.31326858</v>
      </c>
      <c r="D97" s="85" t="n">
        <f aca="true">IF(D$5=0,C97,MAX(0,(C97-D$4)*(1+NORMINV(RAND(),INPUTS!$B$28,INPUTS!$B$29))))</f>
        <v>1635933.44543347</v>
      </c>
      <c r="E97" s="85" t="n">
        <f aca="true">IF(E$5=0,D97,MAX(0,(D97-E$4)*(1+NORMINV(RAND(),INPUTS!$B$28,INPUTS!$B$29))))</f>
        <v>1746602.63091027</v>
      </c>
      <c r="F97" s="85" t="n">
        <f aca="true">IF(F$5=0,E97,MAX(0,(E97-F$4)*(1+NORMINV(RAND(),INPUTS!$B$28,INPUTS!$B$29))))</f>
        <v>2057839.35871585</v>
      </c>
      <c r="G97" s="85" t="n">
        <f aca="true">IF(G$5=0,F97,MAX(0,(F97-G$4)*(1+NORMINV(RAND(),INPUTS!$B$28,INPUTS!$B$29))))</f>
        <v>1992331.8790836</v>
      </c>
      <c r="H97" s="85" t="n">
        <f aca="true">IF(H$5=0,G97,MAX(0,(G97-H$4)*(1+NORMINV(RAND(),INPUTS!$B$28,INPUTS!$B$29))))</f>
        <v>1938485.74734834</v>
      </c>
      <c r="I97" s="85" t="n">
        <f aca="true">IF(I$5=0,H97,MAX(0,(H97-I$4)*(1+NORMINV(RAND(),INPUTS!$B$28,INPUTS!$B$29))))</f>
        <v>1981479.04891801</v>
      </c>
      <c r="J97" s="85" t="n">
        <f aca="true">IF(J$5=0,I97,MAX(0,(I97-J$4)*(1+NORMINV(RAND(),INPUTS!$B$28,INPUTS!$B$29))))</f>
        <v>2103681.07987856</v>
      </c>
      <c r="K97" s="85" t="n">
        <f aca="true">IF(K$5=0,J97,MAX(0,(J97-K$4)*(1+NORMINV(RAND(),INPUTS!$B$28,INPUTS!$B$29))))</f>
        <v>2267699.19418109</v>
      </c>
      <c r="L97" s="85" t="n">
        <f aca="true">IF(L$5=0,K97,MAX(0,(K97-L$4)*(1+NORMINV(RAND(),INPUTS!$B$28,INPUTS!$B$29))))</f>
        <v>2296572.68144414</v>
      </c>
      <c r="M97" s="85" t="n">
        <f aca="true">IF(M$5=0,L97,MAX(0,(L97-M$4)*(1+NORMINV(RAND(),INPUTS!$B$28,INPUTS!$B$29))))</f>
        <v>2264325.79505379</v>
      </c>
      <c r="N97" s="85" t="n">
        <f aca="true">IF(N$5=0,M97,MAX(0,(M97-N$4)*(1+NORMINV(RAND(),INPUTS!$B$28,INPUTS!$B$29))))</f>
        <v>2246346.80284132</v>
      </c>
      <c r="O97" s="85" t="n">
        <f aca="true">IF(O$5=0,N97,MAX(0,(N97-O$4)*(1+NORMINV(RAND(),INPUTS!$B$28,INPUTS!$B$29))))</f>
        <v>2141285.11982043</v>
      </c>
      <c r="P97" s="85" t="n">
        <f aca="true">IF(P$5=0,O97,MAX(0,(O97-P$4)*(1+NORMINV(RAND(),INPUTS!$B$28,INPUTS!$B$29))))</f>
        <v>1820141.84637028</v>
      </c>
      <c r="Q97" s="85" t="n">
        <f aca="true">IF(Q$5=0,P97,MAX(0,(P97-Q$4)*(1+NORMINV(RAND(),INPUTS!$B$28,INPUTS!$B$29))))</f>
        <v>1892355.41978567</v>
      </c>
      <c r="R97" s="85" t="n">
        <f aca="true">IF(R$5=0,Q97,MAX(0,(Q97-R$4)*(1+NORMINV(RAND(),INPUTS!$B$28,INPUTS!$B$29))))</f>
        <v>1951893.8299718</v>
      </c>
      <c r="S97" s="85" t="n">
        <f aca="true">IF(S$5=0,R97,MAX(0,(R97-S$4)*(1+NORMINV(RAND(),INPUTS!$B$28,INPUTS!$B$29))))</f>
        <v>1925403.98284195</v>
      </c>
      <c r="T97" s="85" t="n">
        <f aca="true">IF(T$5=0,S97,MAX(0,(S97-T$4)*(1+NORMINV(RAND(),INPUTS!$B$28,INPUTS!$B$29))))</f>
        <v>1780961.85536209</v>
      </c>
      <c r="U97" s="85" t="n">
        <f aca="true">IF(U$5=0,T97,MAX(0,(T97-U$4)*(1+NORMINV(RAND(),INPUTS!$B$28,INPUTS!$B$29))))</f>
        <v>2232318.40610782</v>
      </c>
      <c r="V97" s="85" t="n">
        <f aca="true">IF(V$5=0,U97,MAX(0,(U97-V$4)*(1+NORMINV(RAND(),INPUTS!$B$28,INPUTS!$B$29))))</f>
        <v>2226790.39105448</v>
      </c>
      <c r="W97" s="85" t="n">
        <f aca="true">IF(W$5=0,V97,MAX(0,(V97-W$4)*(1+NORMINV(RAND(),INPUTS!$B$28,INPUTS!$B$29))))</f>
        <v>2289436.69997997</v>
      </c>
      <c r="X97" s="85" t="n">
        <f aca="true">IF(X$5=0,W97,MAX(0,(W97-X$4)*(1+NORMINV(RAND(),INPUTS!$B$28,INPUTS!$B$29))))</f>
        <v>2107448.03331346</v>
      </c>
      <c r="Y97" s="85" t="n">
        <f aca="true">IF(Y$5=0,X97,MAX(0,(X97-Y$4)*(1+NORMINV(RAND(),INPUTS!$B$28,INPUTS!$B$29))))</f>
        <v>1824493.20437839</v>
      </c>
      <c r="Z97" s="85" t="n">
        <f aca="true">IF(Z$5=0,Y97,MAX(0,(Y97-Z$4)*(1+NORMINV(RAND(),INPUTS!$B$28,INPUTS!$B$29))))</f>
        <v>1970569.07875864</v>
      </c>
      <c r="AA97" s="85" t="n">
        <f aca="true">IF(AA$5=0,Z97,MAX(0,(Z97-AA$4)*(1+NORMINV(RAND(),INPUTS!$B$28,INPUTS!$B$29))))</f>
        <v>1811196.66167223</v>
      </c>
      <c r="AB97" s="85" t="n">
        <f aca="true">IF(AB$5=0,AA97,MAX(0,(AA97-AB$4)*(1+NORMINV(RAND(),INPUTS!$B$28,INPUTS!$B$29))))</f>
        <v>1747636.27484011</v>
      </c>
      <c r="AC97" s="85" t="n">
        <f aca="true">IF(AC$5=0,AB97,MAX(0,(AB97-AC$4)*(1+NORMINV(RAND(),INPUTS!$B$28,INPUTS!$B$29))))</f>
        <v>1854493.10485632</v>
      </c>
      <c r="AD97" s="85" t="n">
        <f aca="true">IF(AD$5=0,AC97,MAX(0,(AC97-AD$4)*(1+NORMINV(RAND(),INPUTS!$B$28,INPUTS!$B$29))))</f>
        <v>2068254.09951575</v>
      </c>
      <c r="AE97" s="85" t="n">
        <f aca="true">IF(AE$5=0,AD97,MAX(0,(AD97-AE$4)*(1+NORMINV(RAND(),INPUTS!$B$28,INPUTS!$B$29))))</f>
        <v>1957811.11721086</v>
      </c>
      <c r="AF97" s="85" t="n">
        <f aca="true">IF(AF$5=0,AE97,MAX(0,(AE97-AF$4)*(1+NORMINV(RAND(),INPUTS!$B$28,INPUTS!$B$29))))</f>
        <v>1938548.28976788</v>
      </c>
      <c r="AG97" s="85" t="n">
        <f aca="true">IF(AG$5=0,AF97,MAX(0,(AF97-AG$4)*(1+NORMINV(RAND(),INPUTS!$B$28,INPUTS!$B$29))))</f>
        <v>2300045.56971181</v>
      </c>
      <c r="AH97" s="85" t="n">
        <f aca="true">IF(AH$5=0,AG97,MAX(0,(AG97-AH$4)*(1+NORMINV(RAND(),INPUTS!$B$28,INPUTS!$B$29))))</f>
        <v>2422443.48950286</v>
      </c>
      <c r="AI97" s="85" t="n">
        <f aca="true">IF(AI$5=0,AH97,MAX(0,(AH97-AI$4)*(1+NORMINV(RAND(),INPUTS!$B$28,INPUTS!$B$29))))</f>
        <v>2713250.10891408</v>
      </c>
      <c r="AJ97" s="85" t="n">
        <f aca="true">IF(AJ$5=0,AI97,MAX(0,(AI97-AJ$4)*(1+NORMINV(RAND(),INPUTS!$B$28,INPUTS!$B$29))))</f>
        <v>2648397.2904035</v>
      </c>
      <c r="AK97" s="85" t="n">
        <f aca="true">IF(AK$5=0,AJ97,MAX(0,(AJ97-AK$4)*(1+NORMINV(RAND(),INPUTS!$B$28,INPUTS!$B$29))))</f>
        <v>3025138.04662889</v>
      </c>
      <c r="AL97" s="85" t="n">
        <f aca="true">IF(AL$5=0,AK97,MAX(0,(AK97-AL$4)*(1+NORMINV(RAND(),INPUTS!$B$28,INPUTS!$B$29))))</f>
        <v>3665775.72666189</v>
      </c>
      <c r="AM97" s="85" t="n">
        <f aca="true">IF(AM$5=0,AL97,MAX(0,(AL97-AM$4)*(1+NORMINV(RAND(),INPUTS!$B$28,INPUTS!$B$29))))</f>
        <v>3665775.72666189</v>
      </c>
      <c r="AN97" s="85" t="n">
        <f aca="true">IF(AN$5=0,AM97,MAX(0,(AM97-AN$4)*(1+NORMINV(RAND(),INPUTS!$B$28,INPUTS!$B$29))))</f>
        <v>3665775.72666189</v>
      </c>
      <c r="AO97" s="85" t="n">
        <f aca="true">IF(AO$5=0,AN97,MAX(0,(AN97-AO$4)*(1+NORMINV(RAND(),INPUTS!$B$28,INPUTS!$B$29))))</f>
        <v>3665775.72666189</v>
      </c>
      <c r="AP97" s="85" t="n">
        <f aca="true">IF(AP$5=0,AO97,MAX(0,(AO97-AP$4)*(1+NORMINV(RAND(),INPUTS!$B$28,INPUTS!$B$29))))</f>
        <v>3665775.72666189</v>
      </c>
    </row>
    <row r="98" customFormat="false" ht="15" hidden="false" customHeight="true" outlineLevel="0" collapsed="false">
      <c r="A98" s="83" t="n">
        <v>91</v>
      </c>
      <c r="B98" s="84" t="n">
        <f aca="false">LOOKUP(9.99E+307,C98:AP98)</f>
        <v>2536976.03821495</v>
      </c>
      <c r="C98" s="85" t="n">
        <f aca="true">IF(C$5=0,INPUTS!$B$19,MAX(0,(INPUTS!$B$19-C$4)*(1+NORMINV(RAND(),INPUTS!$B$28,INPUTS!$B$29))))</f>
        <v>1277684.98684179</v>
      </c>
      <c r="D98" s="85" t="n">
        <f aca="true">IF(D$5=0,C98,MAX(0,(C98-D$4)*(1+NORMINV(RAND(),INPUTS!$B$28,INPUTS!$B$29))))</f>
        <v>1294521.92907006</v>
      </c>
      <c r="E98" s="85" t="n">
        <f aca="true">IF(E$5=0,D98,MAX(0,(D98-E$4)*(1+NORMINV(RAND(),INPUTS!$B$28,INPUTS!$B$29))))</f>
        <v>1592780.32677769</v>
      </c>
      <c r="F98" s="85" t="n">
        <f aca="true">IF(F$5=0,E98,MAX(0,(E98-F$4)*(1+NORMINV(RAND(),INPUTS!$B$28,INPUTS!$B$29))))</f>
        <v>1540144.74312991</v>
      </c>
      <c r="G98" s="85" t="n">
        <f aca="true">IF(G$5=0,F98,MAX(0,(F98-G$4)*(1+NORMINV(RAND(),INPUTS!$B$28,INPUTS!$B$29))))</f>
        <v>1550506.02259175</v>
      </c>
      <c r="H98" s="85" t="n">
        <f aca="true">IF(H$5=0,G98,MAX(0,(G98-H$4)*(1+NORMINV(RAND(),INPUTS!$B$28,INPUTS!$B$29))))</f>
        <v>1733541.86028007</v>
      </c>
      <c r="I98" s="85" t="n">
        <f aca="true">IF(I$5=0,H98,MAX(0,(H98-I$4)*(1+NORMINV(RAND(),INPUTS!$B$28,INPUTS!$B$29))))</f>
        <v>1756464.53785722</v>
      </c>
      <c r="J98" s="85" t="n">
        <f aca="true">IF(J$5=0,I98,MAX(0,(I98-J$4)*(1+NORMINV(RAND(),INPUTS!$B$28,INPUTS!$B$29))))</f>
        <v>1759849.71901496</v>
      </c>
      <c r="K98" s="85" t="n">
        <f aca="true">IF(K$5=0,J98,MAX(0,(J98-K$4)*(1+NORMINV(RAND(),INPUTS!$B$28,INPUTS!$B$29))))</f>
        <v>1948024.18158326</v>
      </c>
      <c r="L98" s="85" t="n">
        <f aca="true">IF(L$5=0,K98,MAX(0,(K98-L$4)*(1+NORMINV(RAND(),INPUTS!$B$28,INPUTS!$B$29))))</f>
        <v>1932558.73547648</v>
      </c>
      <c r="M98" s="85" t="n">
        <f aca="true">IF(M$5=0,L98,MAX(0,(L98-M$4)*(1+NORMINV(RAND(),INPUTS!$B$28,INPUTS!$B$29))))</f>
        <v>2062359.3238328</v>
      </c>
      <c r="N98" s="85" t="n">
        <f aca="true">IF(N$5=0,M98,MAX(0,(M98-N$4)*(1+NORMINV(RAND(),INPUTS!$B$28,INPUTS!$B$29))))</f>
        <v>1879840.23632767</v>
      </c>
      <c r="O98" s="85" t="n">
        <f aca="true">IF(O$5=0,N98,MAX(0,(N98-O$4)*(1+NORMINV(RAND(),INPUTS!$B$28,INPUTS!$B$29))))</f>
        <v>2134875.4727821</v>
      </c>
      <c r="P98" s="85" t="n">
        <f aca="true">IF(P$5=0,O98,MAX(0,(O98-P$4)*(1+NORMINV(RAND(),INPUTS!$B$28,INPUTS!$B$29))))</f>
        <v>1852216.2222005</v>
      </c>
      <c r="Q98" s="85" t="n">
        <f aca="true">IF(Q$5=0,P98,MAX(0,(P98-Q$4)*(1+NORMINV(RAND(),INPUTS!$B$28,INPUTS!$B$29))))</f>
        <v>1663221.93890801</v>
      </c>
      <c r="R98" s="85" t="n">
        <f aca="true">IF(R$5=0,Q98,MAX(0,(Q98-R$4)*(1+NORMINV(RAND(),INPUTS!$B$28,INPUTS!$B$29))))</f>
        <v>1839073.64347486</v>
      </c>
      <c r="S98" s="85" t="n">
        <f aca="true">IF(S$5=0,R98,MAX(0,(R98-S$4)*(1+NORMINV(RAND(),INPUTS!$B$28,INPUTS!$B$29))))</f>
        <v>1642687.93784888</v>
      </c>
      <c r="T98" s="85" t="n">
        <f aca="true">IF(T$5=0,S98,MAX(0,(S98-T$4)*(1+NORMINV(RAND(),INPUTS!$B$28,INPUTS!$B$29))))</f>
        <v>1459791.33580952</v>
      </c>
      <c r="U98" s="85" t="n">
        <f aca="true">IF(U$5=0,T98,MAX(0,(T98-U$4)*(1+NORMINV(RAND(),INPUTS!$B$28,INPUTS!$B$29))))</f>
        <v>1275493.11503549</v>
      </c>
      <c r="V98" s="85" t="n">
        <f aca="true">IF(V$5=0,U98,MAX(0,(U98-V$4)*(1+NORMINV(RAND(),INPUTS!$B$28,INPUTS!$B$29))))</f>
        <v>1187143.80330653</v>
      </c>
      <c r="W98" s="85" t="n">
        <f aca="true">IF(W$5=0,V98,MAX(0,(V98-W$4)*(1+NORMINV(RAND(),INPUTS!$B$28,INPUTS!$B$29))))</f>
        <v>1277773.08983641</v>
      </c>
      <c r="X98" s="85" t="n">
        <f aca="true">IF(X$5=0,W98,MAX(0,(W98-X$4)*(1+NORMINV(RAND(),INPUTS!$B$28,INPUTS!$B$29))))</f>
        <v>1333868.41974568</v>
      </c>
      <c r="Y98" s="85" t="n">
        <f aca="true">IF(Y$5=0,X98,MAX(0,(X98-Y$4)*(1+NORMINV(RAND(),INPUTS!$B$28,INPUTS!$B$29))))</f>
        <v>1434440.21929054</v>
      </c>
      <c r="Z98" s="85" t="n">
        <f aca="true">IF(Z$5=0,Y98,MAX(0,(Y98-Z$4)*(1+NORMINV(RAND(),INPUTS!$B$28,INPUTS!$B$29))))</f>
        <v>1316833.86444071</v>
      </c>
      <c r="AA98" s="85" t="n">
        <f aca="true">IF(AA$5=0,Z98,MAX(0,(Z98-AA$4)*(1+NORMINV(RAND(),INPUTS!$B$28,INPUTS!$B$29))))</f>
        <v>1356617.82133635</v>
      </c>
      <c r="AB98" s="85" t="n">
        <f aca="true">IF(AB$5=0,AA98,MAX(0,(AA98-AB$4)*(1+NORMINV(RAND(),INPUTS!$B$28,INPUTS!$B$29))))</f>
        <v>1377735.84110335</v>
      </c>
      <c r="AC98" s="85" t="n">
        <f aca="true">IF(AC$5=0,AB98,MAX(0,(AB98-AC$4)*(1+NORMINV(RAND(),INPUTS!$B$28,INPUTS!$B$29))))</f>
        <v>1609874.90196023</v>
      </c>
      <c r="AD98" s="85" t="n">
        <f aca="true">IF(AD$5=0,AC98,MAX(0,(AC98-AD$4)*(1+NORMINV(RAND(),INPUTS!$B$28,INPUTS!$B$29))))</f>
        <v>2031254.82393438</v>
      </c>
      <c r="AE98" s="85" t="n">
        <f aca="true">IF(AE$5=0,AD98,MAX(0,(AD98-AE$4)*(1+NORMINV(RAND(),INPUTS!$B$28,INPUTS!$B$29))))</f>
        <v>2308940.81911647</v>
      </c>
      <c r="AF98" s="85" t="n">
        <f aca="true">IF(AF$5=0,AE98,MAX(0,(AE98-AF$4)*(1+NORMINV(RAND(),INPUTS!$B$28,INPUTS!$B$29))))</f>
        <v>1892888.4137172</v>
      </c>
      <c r="AG98" s="85" t="n">
        <f aca="true">IF(AG$5=0,AF98,MAX(0,(AF98-AG$4)*(1+NORMINV(RAND(),INPUTS!$B$28,INPUTS!$B$29))))</f>
        <v>1949441.40942338</v>
      </c>
      <c r="AH98" s="85" t="n">
        <f aca="true">IF(AH$5=0,AG98,MAX(0,(AG98-AH$4)*(1+NORMINV(RAND(),INPUTS!$B$28,INPUTS!$B$29))))</f>
        <v>2118624.94697171</v>
      </c>
      <c r="AI98" s="85" t="n">
        <f aca="true">IF(AI$5=0,AH98,MAX(0,(AH98-AI$4)*(1+NORMINV(RAND(),INPUTS!$B$28,INPUTS!$B$29))))</f>
        <v>2237401.97810295</v>
      </c>
      <c r="AJ98" s="85" t="n">
        <f aca="true">IF(AJ$5=0,AI98,MAX(0,(AI98-AJ$4)*(1+NORMINV(RAND(),INPUTS!$B$28,INPUTS!$B$29))))</f>
        <v>2759256.81439632</v>
      </c>
      <c r="AK98" s="85" t="n">
        <f aca="true">IF(AK$5=0,AJ98,MAX(0,(AJ98-AK$4)*(1+NORMINV(RAND(),INPUTS!$B$28,INPUTS!$B$29))))</f>
        <v>2470816.47585373</v>
      </c>
      <c r="AL98" s="85" t="n">
        <f aca="true">IF(AL$5=0,AK98,MAX(0,(AK98-AL$4)*(1+NORMINV(RAND(),INPUTS!$B$28,INPUTS!$B$29))))</f>
        <v>2536976.03821495</v>
      </c>
      <c r="AM98" s="85" t="n">
        <f aca="true">IF(AM$5=0,AL98,MAX(0,(AL98-AM$4)*(1+NORMINV(RAND(),INPUTS!$B$28,INPUTS!$B$29))))</f>
        <v>2536976.03821495</v>
      </c>
      <c r="AN98" s="85" t="n">
        <f aca="true">IF(AN$5=0,AM98,MAX(0,(AM98-AN$4)*(1+NORMINV(RAND(),INPUTS!$B$28,INPUTS!$B$29))))</f>
        <v>2536976.03821495</v>
      </c>
      <c r="AO98" s="85" t="n">
        <f aca="true">IF(AO$5=0,AN98,MAX(0,(AN98-AO$4)*(1+NORMINV(RAND(),INPUTS!$B$28,INPUTS!$B$29))))</f>
        <v>2536976.03821495</v>
      </c>
      <c r="AP98" s="85" t="n">
        <f aca="true">IF(AP$5=0,AO98,MAX(0,(AO98-AP$4)*(1+NORMINV(RAND(),INPUTS!$B$28,INPUTS!$B$29))))</f>
        <v>2536976.03821495</v>
      </c>
    </row>
    <row r="99" customFormat="false" ht="15" hidden="false" customHeight="true" outlineLevel="0" collapsed="false">
      <c r="A99" s="83" t="n">
        <v>92</v>
      </c>
      <c r="B99" s="84" t="n">
        <f aca="false">LOOKUP(9.99E+307,C99:AP99)</f>
        <v>0</v>
      </c>
      <c r="C99" s="85" t="n">
        <f aca="true">IF(C$5=0,INPUTS!$B$19,MAX(0,(INPUTS!$B$19-C$4)*(1+NORMINV(RAND(),INPUTS!$B$28,INPUTS!$B$29))))</f>
        <v>1055678.91539603</v>
      </c>
      <c r="D99" s="85" t="n">
        <f aca="true">IF(D$5=0,C99,MAX(0,(C99-D$4)*(1+NORMINV(RAND(),INPUTS!$B$28,INPUTS!$B$29))))</f>
        <v>1346318.33392214</v>
      </c>
      <c r="E99" s="85" t="n">
        <f aca="true">IF(E$5=0,D99,MAX(0,(D99-E$4)*(1+NORMINV(RAND(),INPUTS!$B$28,INPUTS!$B$29))))</f>
        <v>1370444.50015684</v>
      </c>
      <c r="F99" s="85" t="n">
        <f aca="true">IF(F$5=0,E99,MAX(0,(E99-F$4)*(1+NORMINV(RAND(),INPUTS!$B$28,INPUTS!$B$29))))</f>
        <v>1668841.24201337</v>
      </c>
      <c r="G99" s="85" t="n">
        <f aca="true">IF(G$5=0,F99,MAX(0,(F99-G$4)*(1+NORMINV(RAND(),INPUTS!$B$28,INPUTS!$B$29))))</f>
        <v>1355270.90741741</v>
      </c>
      <c r="H99" s="85" t="n">
        <f aca="true">IF(H$5=0,G99,MAX(0,(G99-H$4)*(1+NORMINV(RAND(),INPUTS!$B$28,INPUTS!$B$29))))</f>
        <v>1377826.38584</v>
      </c>
      <c r="I99" s="85" t="n">
        <f aca="true">IF(I$5=0,H99,MAX(0,(H99-I$4)*(1+NORMINV(RAND(),INPUTS!$B$28,INPUTS!$B$29))))</f>
        <v>1000599.55770199</v>
      </c>
      <c r="J99" s="85" t="n">
        <f aca="true">IF(J$5=0,I99,MAX(0,(I99-J$4)*(1+NORMINV(RAND(),INPUTS!$B$28,INPUTS!$B$29))))</f>
        <v>965164.563443658</v>
      </c>
      <c r="K99" s="85" t="n">
        <f aca="true">IF(K$5=0,J99,MAX(0,(J99-K$4)*(1+NORMINV(RAND(),INPUTS!$B$28,INPUTS!$B$29))))</f>
        <v>869429.004151726</v>
      </c>
      <c r="L99" s="85" t="n">
        <f aca="true">IF(L$5=0,K99,MAX(0,(K99-L$4)*(1+NORMINV(RAND(),INPUTS!$B$28,INPUTS!$B$29))))</f>
        <v>959143.502012853</v>
      </c>
      <c r="M99" s="85" t="n">
        <f aca="true">IF(M$5=0,L99,MAX(0,(L99-M$4)*(1+NORMINV(RAND(),INPUTS!$B$28,INPUTS!$B$29))))</f>
        <v>871330.382734657</v>
      </c>
      <c r="N99" s="85" t="n">
        <f aca="true">IF(N$5=0,M99,MAX(0,(M99-N$4)*(1+NORMINV(RAND(),INPUTS!$B$28,INPUTS!$B$29))))</f>
        <v>612314.233253257</v>
      </c>
      <c r="O99" s="85" t="n">
        <f aca="true">IF(O$5=0,N99,MAX(0,(N99-O$4)*(1+NORMINV(RAND(),INPUTS!$B$28,INPUTS!$B$29))))</f>
        <v>780424.204804147</v>
      </c>
      <c r="P99" s="85" t="n">
        <f aca="true">IF(P$5=0,O99,MAX(0,(O99-P$4)*(1+NORMINV(RAND(),INPUTS!$B$28,INPUTS!$B$29))))</f>
        <v>719606.073190873</v>
      </c>
      <c r="Q99" s="85" t="n">
        <f aca="true">IF(Q$5=0,P99,MAX(0,(P99-Q$4)*(1+NORMINV(RAND(),INPUTS!$B$28,INPUTS!$B$29))))</f>
        <v>739725.636387601</v>
      </c>
      <c r="R99" s="85" t="n">
        <f aca="true">IF(R$5=0,Q99,MAX(0,(Q99-R$4)*(1+NORMINV(RAND(),INPUTS!$B$28,INPUTS!$B$29))))</f>
        <v>637293.2296135</v>
      </c>
      <c r="S99" s="85" t="n">
        <f aca="true">IF(S$5=0,R99,MAX(0,(R99-S$4)*(1+NORMINV(RAND(),INPUTS!$B$28,INPUTS!$B$29))))</f>
        <v>566969.843419449</v>
      </c>
      <c r="T99" s="85" t="n">
        <f aca="true">IF(T$5=0,S99,MAX(0,(S99-T$4)*(1+NORMINV(RAND(),INPUTS!$B$28,INPUTS!$B$29))))</f>
        <v>526871.794897854</v>
      </c>
      <c r="U99" s="85" t="n">
        <f aca="true">IF(U$5=0,T99,MAX(0,(T99-U$4)*(1+NORMINV(RAND(),INPUTS!$B$28,INPUTS!$B$29))))</f>
        <v>520949.740674607</v>
      </c>
      <c r="V99" s="85" t="n">
        <f aca="true">IF(V$5=0,U99,MAX(0,(U99-V$4)*(1+NORMINV(RAND(),INPUTS!$B$28,INPUTS!$B$29))))</f>
        <v>627281.716578178</v>
      </c>
      <c r="W99" s="85" t="n">
        <f aca="true">IF(W$5=0,V99,MAX(0,(V99-W$4)*(1+NORMINV(RAND(),INPUTS!$B$28,INPUTS!$B$29))))</f>
        <v>571131.362278206</v>
      </c>
      <c r="X99" s="85" t="n">
        <f aca="true">IF(X$5=0,W99,MAX(0,(W99-X$4)*(1+NORMINV(RAND(),INPUTS!$B$28,INPUTS!$B$29))))</f>
        <v>592872.146235948</v>
      </c>
      <c r="Y99" s="85" t="n">
        <f aca="true">IF(Y$5=0,X99,MAX(0,(X99-Y$4)*(1+NORMINV(RAND(),INPUTS!$B$28,INPUTS!$B$29))))</f>
        <v>537901.67368879</v>
      </c>
      <c r="Z99" s="85" t="n">
        <f aca="true">IF(Z$5=0,Y99,MAX(0,(Y99-Z$4)*(1+NORMINV(RAND(),INPUTS!$B$28,INPUTS!$B$29))))</f>
        <v>465638.923926363</v>
      </c>
      <c r="AA99" s="85" t="n">
        <f aca="true">IF(AA$5=0,Z99,MAX(0,(Z99-AA$4)*(1+NORMINV(RAND(),INPUTS!$B$28,INPUTS!$B$29))))</f>
        <v>309166.729817521</v>
      </c>
      <c r="AB99" s="85" t="n">
        <f aca="true">IF(AB$5=0,AA99,MAX(0,(AA99-AB$4)*(1+NORMINV(RAND(),INPUTS!$B$28,INPUTS!$B$29))))</f>
        <v>226529.693968349</v>
      </c>
      <c r="AC99" s="85" t="n">
        <f aca="true">IF(AC$5=0,AB99,MAX(0,(AB99-AC$4)*(1+NORMINV(RAND(),INPUTS!$B$28,INPUTS!$B$29))))</f>
        <v>143389.192946527</v>
      </c>
      <c r="AD99" s="85" t="n">
        <f aca="true">IF(AD$5=0,AC99,MAX(0,(AC99-AD$4)*(1+NORMINV(RAND(),INPUTS!$B$28,INPUTS!$B$29))))</f>
        <v>76143.7159192747</v>
      </c>
      <c r="AE99" s="85" t="n">
        <f aca="true">IF(AE$5=0,AD99,MAX(0,(AD99-AE$4)*(1+NORMINV(RAND(),INPUTS!$B$28,INPUTS!$B$29))))</f>
        <v>8784.23011401756</v>
      </c>
      <c r="AF99" s="85" t="n">
        <f aca="true">IF(AF$5=0,AE99,MAX(0,(AE99-AF$4)*(1+NORMINV(RAND(),INPUTS!$B$28,INPUTS!$B$29))))</f>
        <v>0</v>
      </c>
      <c r="AG99" s="85" t="n">
        <f aca="true">IF(AG$5=0,AF99,MAX(0,(AF99-AG$4)*(1+NORMINV(RAND(),INPUTS!$B$28,INPUTS!$B$29))))</f>
        <v>0</v>
      </c>
      <c r="AH99" s="85" t="n">
        <f aca="true">IF(AH$5=0,AG99,MAX(0,(AG99-AH$4)*(1+NORMINV(RAND(),INPUTS!$B$28,INPUTS!$B$29))))</f>
        <v>0</v>
      </c>
      <c r="AI99" s="85" t="n">
        <f aca="true">IF(AI$5=0,AH99,MAX(0,(AH99-AI$4)*(1+NORMINV(RAND(),INPUTS!$B$28,INPUTS!$B$29))))</f>
        <v>0</v>
      </c>
      <c r="AJ99" s="85" t="n">
        <f aca="true">IF(AJ$5=0,AI99,MAX(0,(AI99-AJ$4)*(1+NORMINV(RAND(),INPUTS!$B$28,INPUTS!$B$29))))</f>
        <v>0</v>
      </c>
      <c r="AK99" s="85" t="n">
        <f aca="true">IF(AK$5=0,AJ99,MAX(0,(AJ99-AK$4)*(1+NORMINV(RAND(),INPUTS!$B$28,INPUTS!$B$29))))</f>
        <v>0</v>
      </c>
      <c r="AL99" s="85" t="n">
        <f aca="true">IF(AL$5=0,AK99,MAX(0,(AK99-AL$4)*(1+NORMINV(RAND(),INPUTS!$B$28,INPUTS!$B$29))))</f>
        <v>0</v>
      </c>
      <c r="AM99" s="85" t="n">
        <f aca="true">IF(AM$5=0,AL99,MAX(0,(AL99-AM$4)*(1+NORMINV(RAND(),INPUTS!$B$28,INPUTS!$B$29))))</f>
        <v>0</v>
      </c>
      <c r="AN99" s="85" t="n">
        <f aca="true">IF(AN$5=0,AM99,MAX(0,(AM99-AN$4)*(1+NORMINV(RAND(),INPUTS!$B$28,INPUTS!$B$29))))</f>
        <v>0</v>
      </c>
      <c r="AO99" s="85" t="n">
        <f aca="true">IF(AO$5=0,AN99,MAX(0,(AN99-AO$4)*(1+NORMINV(RAND(),INPUTS!$B$28,INPUTS!$B$29))))</f>
        <v>0</v>
      </c>
      <c r="AP99" s="85" t="n">
        <f aca="true">IF(AP$5=0,AO99,MAX(0,(AO99-AP$4)*(1+NORMINV(RAND(),INPUTS!$B$28,INPUTS!$B$29))))</f>
        <v>0</v>
      </c>
    </row>
    <row r="100" customFormat="false" ht="15" hidden="false" customHeight="true" outlineLevel="0" collapsed="false">
      <c r="A100" s="83" t="n">
        <v>93</v>
      </c>
      <c r="B100" s="84" t="n">
        <f aca="false">LOOKUP(9.99E+307,C100:AP100)</f>
        <v>0</v>
      </c>
      <c r="C100" s="85" t="n">
        <f aca="true">IF(C$5=0,INPUTS!$B$19,MAX(0,(INPUTS!$B$19-C$4)*(1+NORMINV(RAND(),INPUTS!$B$28,INPUTS!$B$29))))</f>
        <v>1009971.64032446</v>
      </c>
      <c r="D100" s="85" t="n">
        <f aca="true">IF(D$5=0,C100,MAX(0,(C100-D$4)*(1+NORMINV(RAND(),INPUTS!$B$28,INPUTS!$B$29))))</f>
        <v>748705.756977716</v>
      </c>
      <c r="E100" s="85" t="n">
        <f aca="true">IF(E$5=0,D100,MAX(0,(D100-E$4)*(1+NORMINV(RAND(),INPUTS!$B$28,INPUTS!$B$29))))</f>
        <v>624118.279296887</v>
      </c>
      <c r="F100" s="85" t="n">
        <f aca="true">IF(F$5=0,E100,MAX(0,(E100-F$4)*(1+NORMINV(RAND(),INPUTS!$B$28,INPUTS!$B$29))))</f>
        <v>585933.567796341</v>
      </c>
      <c r="G100" s="85" t="n">
        <f aca="true">IF(G$5=0,F100,MAX(0,(F100-G$4)*(1+NORMINV(RAND(),INPUTS!$B$28,INPUTS!$B$29))))</f>
        <v>570234.738061611</v>
      </c>
      <c r="H100" s="85" t="n">
        <f aca="true">IF(H$5=0,G100,MAX(0,(G100-H$4)*(1+NORMINV(RAND(),INPUTS!$B$28,INPUTS!$B$29))))</f>
        <v>566001.841710035</v>
      </c>
      <c r="I100" s="85" t="n">
        <f aca="true">IF(I$5=0,H100,MAX(0,(H100-I$4)*(1+NORMINV(RAND(),INPUTS!$B$28,INPUTS!$B$29))))</f>
        <v>532354.519413703</v>
      </c>
      <c r="J100" s="85" t="n">
        <f aca="true">IF(J$5=0,I100,MAX(0,(I100-J$4)*(1+NORMINV(RAND(),INPUTS!$B$28,INPUTS!$B$29))))</f>
        <v>526753.325058564</v>
      </c>
      <c r="K100" s="85" t="n">
        <f aca="true">IF(K$5=0,J100,MAX(0,(J100-K$4)*(1+NORMINV(RAND(),INPUTS!$B$28,INPUTS!$B$29))))</f>
        <v>491242.708900795</v>
      </c>
      <c r="L100" s="85" t="n">
        <f aca="true">IF(L$5=0,K100,MAX(0,(K100-L$4)*(1+NORMINV(RAND(),INPUTS!$B$28,INPUTS!$B$29))))</f>
        <v>483059.886256225</v>
      </c>
      <c r="M100" s="85" t="n">
        <f aca="true">IF(M$5=0,L100,MAX(0,(L100-M$4)*(1+NORMINV(RAND(),INPUTS!$B$28,INPUTS!$B$29))))</f>
        <v>405901.911027175</v>
      </c>
      <c r="N100" s="85" t="n">
        <f aca="true">IF(N$5=0,M100,MAX(0,(M100-N$4)*(1+NORMINV(RAND(),INPUTS!$B$28,INPUTS!$B$29))))</f>
        <v>365764.888652831</v>
      </c>
      <c r="O100" s="85" t="n">
        <f aca="true">IF(O$5=0,N100,MAX(0,(N100-O$4)*(1+NORMINV(RAND(),INPUTS!$B$28,INPUTS!$B$29))))</f>
        <v>347147.005715124</v>
      </c>
      <c r="P100" s="85" t="n">
        <f aca="true">IF(P$5=0,O100,MAX(0,(O100-P$4)*(1+NORMINV(RAND(),INPUTS!$B$28,INPUTS!$B$29))))</f>
        <v>335684.297829331</v>
      </c>
      <c r="Q100" s="85" t="n">
        <f aca="true">IF(Q$5=0,P100,MAX(0,(P100-Q$4)*(1+NORMINV(RAND(),INPUTS!$B$28,INPUTS!$B$29))))</f>
        <v>323098.135486595</v>
      </c>
      <c r="R100" s="85" t="n">
        <f aca="true">IF(R$5=0,Q100,MAX(0,(Q100-R$4)*(1+NORMINV(RAND(),INPUTS!$B$28,INPUTS!$B$29))))</f>
        <v>335997.041585153</v>
      </c>
      <c r="S100" s="85" t="n">
        <f aca="true">IF(S$5=0,R100,MAX(0,(R100-S$4)*(1+NORMINV(RAND(),INPUTS!$B$28,INPUTS!$B$29))))</f>
        <v>271849.229378009</v>
      </c>
      <c r="T100" s="85" t="n">
        <f aca="true">IF(T$5=0,S100,MAX(0,(S100-T$4)*(1+NORMINV(RAND(),INPUTS!$B$28,INPUTS!$B$29))))</f>
        <v>218568.308822947</v>
      </c>
      <c r="U100" s="85" t="n">
        <f aca="true">IF(U$5=0,T100,MAX(0,(T100-U$4)*(1+NORMINV(RAND(),INPUTS!$B$28,INPUTS!$B$29))))</f>
        <v>214878.327254828</v>
      </c>
      <c r="V100" s="85" t="n">
        <f aca="true">IF(V$5=0,U100,MAX(0,(U100-V$4)*(1+NORMINV(RAND(),INPUTS!$B$28,INPUTS!$B$29))))</f>
        <v>171630.234482013</v>
      </c>
      <c r="W100" s="85" t="n">
        <f aca="true">IF(W$5=0,V100,MAX(0,(V100-W$4)*(1+NORMINV(RAND(),INPUTS!$B$28,INPUTS!$B$29))))</f>
        <v>125524.536568056</v>
      </c>
      <c r="X100" s="85" t="n">
        <f aca="true">IF(X$5=0,W100,MAX(0,(W100-X$4)*(1+NORMINV(RAND(),INPUTS!$B$28,INPUTS!$B$29))))</f>
        <v>64031.861336464</v>
      </c>
      <c r="Y100" s="85" t="n">
        <f aca="true">IF(Y$5=0,X100,MAX(0,(X100-Y$4)*(1+NORMINV(RAND(),INPUTS!$B$28,INPUTS!$B$29))))</f>
        <v>5300.54525031007</v>
      </c>
      <c r="Z100" s="85" t="n">
        <f aca="true">IF(Z$5=0,Y100,MAX(0,(Y100-Z$4)*(1+NORMINV(RAND(),INPUTS!$B$28,INPUTS!$B$29))))</f>
        <v>0</v>
      </c>
      <c r="AA100" s="85" t="n">
        <f aca="true">IF(AA$5=0,Z100,MAX(0,(Z100-AA$4)*(1+NORMINV(RAND(),INPUTS!$B$28,INPUTS!$B$29))))</f>
        <v>0</v>
      </c>
      <c r="AB100" s="85" t="n">
        <f aca="true">IF(AB$5=0,AA100,MAX(0,(AA100-AB$4)*(1+NORMINV(RAND(),INPUTS!$B$28,INPUTS!$B$29))))</f>
        <v>0</v>
      </c>
      <c r="AC100" s="85" t="n">
        <f aca="true">IF(AC$5=0,AB100,MAX(0,(AB100-AC$4)*(1+NORMINV(RAND(),INPUTS!$B$28,INPUTS!$B$29))))</f>
        <v>0</v>
      </c>
      <c r="AD100" s="85" t="n">
        <f aca="true">IF(AD$5=0,AC100,MAX(0,(AC100-AD$4)*(1+NORMINV(RAND(),INPUTS!$B$28,INPUTS!$B$29))))</f>
        <v>0</v>
      </c>
      <c r="AE100" s="85" t="n">
        <f aca="true">IF(AE$5=0,AD100,MAX(0,(AD100-AE$4)*(1+NORMINV(RAND(),INPUTS!$B$28,INPUTS!$B$29))))</f>
        <v>0</v>
      </c>
      <c r="AF100" s="85" t="n">
        <f aca="true">IF(AF$5=0,AE100,MAX(0,(AE100-AF$4)*(1+NORMINV(RAND(),INPUTS!$B$28,INPUTS!$B$29))))</f>
        <v>0</v>
      </c>
      <c r="AG100" s="85" t="n">
        <f aca="true">IF(AG$5=0,AF100,MAX(0,(AF100-AG$4)*(1+NORMINV(RAND(),INPUTS!$B$28,INPUTS!$B$29))))</f>
        <v>0</v>
      </c>
      <c r="AH100" s="85" t="n">
        <f aca="true">IF(AH$5=0,AG100,MAX(0,(AG100-AH$4)*(1+NORMINV(RAND(),INPUTS!$B$28,INPUTS!$B$29))))</f>
        <v>0</v>
      </c>
      <c r="AI100" s="85" t="n">
        <f aca="true">IF(AI$5=0,AH100,MAX(0,(AH100-AI$4)*(1+NORMINV(RAND(),INPUTS!$B$28,INPUTS!$B$29))))</f>
        <v>0</v>
      </c>
      <c r="AJ100" s="85" t="n">
        <f aca="true">IF(AJ$5=0,AI100,MAX(0,(AI100-AJ$4)*(1+NORMINV(RAND(),INPUTS!$B$28,INPUTS!$B$29))))</f>
        <v>0</v>
      </c>
      <c r="AK100" s="85" t="n">
        <f aca="true">IF(AK$5=0,AJ100,MAX(0,(AJ100-AK$4)*(1+NORMINV(RAND(),INPUTS!$B$28,INPUTS!$B$29))))</f>
        <v>0</v>
      </c>
      <c r="AL100" s="85" t="n">
        <f aca="true">IF(AL$5=0,AK100,MAX(0,(AK100-AL$4)*(1+NORMINV(RAND(),INPUTS!$B$28,INPUTS!$B$29))))</f>
        <v>0</v>
      </c>
      <c r="AM100" s="85" t="n">
        <f aca="true">IF(AM$5=0,AL100,MAX(0,(AL100-AM$4)*(1+NORMINV(RAND(),INPUTS!$B$28,INPUTS!$B$29))))</f>
        <v>0</v>
      </c>
      <c r="AN100" s="85" t="n">
        <f aca="true">IF(AN$5=0,AM100,MAX(0,(AM100-AN$4)*(1+NORMINV(RAND(),INPUTS!$B$28,INPUTS!$B$29))))</f>
        <v>0</v>
      </c>
      <c r="AO100" s="85" t="n">
        <f aca="true">IF(AO$5=0,AN100,MAX(0,(AN100-AO$4)*(1+NORMINV(RAND(),INPUTS!$B$28,INPUTS!$B$29))))</f>
        <v>0</v>
      </c>
      <c r="AP100" s="85" t="n">
        <f aca="true">IF(AP$5=0,AO100,MAX(0,(AO100-AP$4)*(1+NORMINV(RAND(),INPUTS!$B$28,INPUTS!$B$29))))</f>
        <v>0</v>
      </c>
    </row>
    <row r="101" customFormat="false" ht="15" hidden="false" customHeight="true" outlineLevel="0" collapsed="false">
      <c r="A101" s="83" t="n">
        <v>94</v>
      </c>
      <c r="B101" s="84" t="n">
        <f aca="false">LOOKUP(9.99E+307,C101:AP101)</f>
        <v>6414485.92880758</v>
      </c>
      <c r="C101" s="85" t="n">
        <f aca="true">IF(C$5=0,INPUTS!$B$19,MAX(0,(INPUTS!$B$19-C$4)*(1+NORMINV(RAND(),INPUTS!$B$28,INPUTS!$B$29))))</f>
        <v>1414286.77277271</v>
      </c>
      <c r="D101" s="85" t="n">
        <f aca="true">IF(D$5=0,C101,MAX(0,(C101-D$4)*(1+NORMINV(RAND(),INPUTS!$B$28,INPUTS!$B$29))))</f>
        <v>1345246.73466638</v>
      </c>
      <c r="E101" s="85" t="n">
        <f aca="true">IF(E$5=0,D101,MAX(0,(D101-E$4)*(1+NORMINV(RAND(),INPUTS!$B$28,INPUTS!$B$29))))</f>
        <v>1464831.06307809</v>
      </c>
      <c r="F101" s="85" t="n">
        <f aca="true">IF(F$5=0,E101,MAX(0,(E101-F$4)*(1+NORMINV(RAND(),INPUTS!$B$28,INPUTS!$B$29))))</f>
        <v>1633948.48087252</v>
      </c>
      <c r="G101" s="85" t="n">
        <f aca="true">IF(G$5=0,F101,MAX(0,(F101-G$4)*(1+NORMINV(RAND(),INPUTS!$B$28,INPUTS!$B$29))))</f>
        <v>1669996.30296015</v>
      </c>
      <c r="H101" s="85" t="n">
        <f aca="true">IF(H$5=0,G101,MAX(0,(G101-H$4)*(1+NORMINV(RAND(),INPUTS!$B$28,INPUTS!$B$29))))</f>
        <v>1725951.09059816</v>
      </c>
      <c r="I101" s="85" t="n">
        <f aca="true">IF(I$5=0,H101,MAX(0,(H101-I$4)*(1+NORMINV(RAND(),INPUTS!$B$28,INPUTS!$B$29))))</f>
        <v>1928307.91993425</v>
      </c>
      <c r="J101" s="85" t="n">
        <f aca="true">IF(J$5=0,I101,MAX(0,(I101-J$4)*(1+NORMINV(RAND(),INPUTS!$B$28,INPUTS!$B$29))))</f>
        <v>1912623.79352215</v>
      </c>
      <c r="K101" s="85" t="n">
        <f aca="true">IF(K$5=0,J101,MAX(0,(J101-K$4)*(1+NORMINV(RAND(),INPUTS!$B$28,INPUTS!$B$29))))</f>
        <v>1621636.50908818</v>
      </c>
      <c r="L101" s="85" t="n">
        <f aca="true">IF(L$5=0,K101,MAX(0,(K101-L$4)*(1+NORMINV(RAND(),INPUTS!$B$28,INPUTS!$B$29))))</f>
        <v>1709204.8570534</v>
      </c>
      <c r="M101" s="85" t="n">
        <f aca="true">IF(M$5=0,L101,MAX(0,(L101-M$4)*(1+NORMINV(RAND(),INPUTS!$B$28,INPUTS!$B$29))))</f>
        <v>1750427.46405712</v>
      </c>
      <c r="N101" s="85" t="n">
        <f aca="true">IF(N$5=0,M101,MAX(0,(M101-N$4)*(1+NORMINV(RAND(),INPUTS!$B$28,INPUTS!$B$29))))</f>
        <v>1709132.52051827</v>
      </c>
      <c r="O101" s="85" t="n">
        <f aca="true">IF(O$5=0,N101,MAX(0,(N101-O$4)*(1+NORMINV(RAND(),INPUTS!$B$28,INPUTS!$B$29))))</f>
        <v>1718614.06878025</v>
      </c>
      <c r="P101" s="85" t="n">
        <f aca="true">IF(P$5=0,O101,MAX(0,(O101-P$4)*(1+NORMINV(RAND(),INPUTS!$B$28,INPUTS!$B$29))))</f>
        <v>1873975.06874318</v>
      </c>
      <c r="Q101" s="85" t="n">
        <f aca="true">IF(Q$5=0,P101,MAX(0,(P101-Q$4)*(1+NORMINV(RAND(),INPUTS!$B$28,INPUTS!$B$29))))</f>
        <v>2107745.85280461</v>
      </c>
      <c r="R101" s="85" t="n">
        <f aca="true">IF(R$5=0,Q101,MAX(0,(Q101-R$4)*(1+NORMINV(RAND(),INPUTS!$B$28,INPUTS!$B$29))))</f>
        <v>2389800.56540693</v>
      </c>
      <c r="S101" s="85" t="n">
        <f aca="true">IF(S$5=0,R101,MAX(0,(R101-S$4)*(1+NORMINV(RAND(),INPUTS!$B$28,INPUTS!$B$29))))</f>
        <v>2655918.36165921</v>
      </c>
      <c r="T101" s="85" t="n">
        <f aca="true">IF(T$5=0,S101,MAX(0,(S101-T$4)*(1+NORMINV(RAND(),INPUTS!$B$28,INPUTS!$B$29))))</f>
        <v>2697462.41307015</v>
      </c>
      <c r="U101" s="85" t="n">
        <f aca="true">IF(U$5=0,T101,MAX(0,(T101-U$4)*(1+NORMINV(RAND(),INPUTS!$B$28,INPUTS!$B$29))))</f>
        <v>2574067.62501179</v>
      </c>
      <c r="V101" s="85" t="n">
        <f aca="true">IF(V$5=0,U101,MAX(0,(U101-V$4)*(1+NORMINV(RAND(),INPUTS!$B$28,INPUTS!$B$29))))</f>
        <v>2900372.61447569</v>
      </c>
      <c r="W101" s="85" t="n">
        <f aca="true">IF(W$5=0,V101,MAX(0,(V101-W$4)*(1+NORMINV(RAND(),INPUTS!$B$28,INPUTS!$B$29))))</f>
        <v>3257042.97351943</v>
      </c>
      <c r="X101" s="85" t="n">
        <f aca="true">IF(X$5=0,W101,MAX(0,(W101-X$4)*(1+NORMINV(RAND(),INPUTS!$B$28,INPUTS!$B$29))))</f>
        <v>2702517.1764502</v>
      </c>
      <c r="Y101" s="85" t="n">
        <f aca="true">IF(Y$5=0,X101,MAX(0,(X101-Y$4)*(1+NORMINV(RAND(),INPUTS!$B$28,INPUTS!$B$29))))</f>
        <v>2549274.04959198</v>
      </c>
      <c r="Z101" s="85" t="n">
        <f aca="true">IF(Z$5=0,Y101,MAX(0,(Y101-Z$4)*(1+NORMINV(RAND(),INPUTS!$B$28,INPUTS!$B$29))))</f>
        <v>1946530.42168913</v>
      </c>
      <c r="AA101" s="85" t="n">
        <f aca="true">IF(AA$5=0,Z101,MAX(0,(Z101-AA$4)*(1+NORMINV(RAND(),INPUTS!$B$28,INPUTS!$B$29))))</f>
        <v>2242983.30179819</v>
      </c>
      <c r="AB101" s="85" t="n">
        <f aca="true">IF(AB$5=0,AA101,MAX(0,(AA101-AB$4)*(1+NORMINV(RAND(),INPUTS!$B$28,INPUTS!$B$29))))</f>
        <v>2609191.8518385</v>
      </c>
      <c r="AC101" s="85" t="n">
        <f aca="true">IF(AC$5=0,AB101,MAX(0,(AB101-AC$4)*(1+NORMINV(RAND(),INPUTS!$B$28,INPUTS!$B$29))))</f>
        <v>2756122.53596813</v>
      </c>
      <c r="AD101" s="85" t="n">
        <f aca="true">IF(AD$5=0,AC101,MAX(0,(AC101-AD$4)*(1+NORMINV(RAND(),INPUTS!$B$28,INPUTS!$B$29))))</f>
        <v>2428595.70094753</v>
      </c>
      <c r="AE101" s="85" t="n">
        <f aca="true">IF(AE$5=0,AD101,MAX(0,(AD101-AE$4)*(1+NORMINV(RAND(),INPUTS!$B$28,INPUTS!$B$29))))</f>
        <v>2430668.60174253</v>
      </c>
      <c r="AF101" s="85" t="n">
        <f aca="true">IF(AF$5=0,AE101,MAX(0,(AE101-AF$4)*(1+NORMINV(RAND(),INPUTS!$B$28,INPUTS!$B$29))))</f>
        <v>2944101.63043481</v>
      </c>
      <c r="AG101" s="85" t="n">
        <f aca="true">IF(AG$5=0,AF101,MAX(0,(AF101-AG$4)*(1+NORMINV(RAND(),INPUTS!$B$28,INPUTS!$B$29))))</f>
        <v>3396787.17711932</v>
      </c>
      <c r="AH101" s="85" t="n">
        <f aca="true">IF(AH$5=0,AG101,MAX(0,(AG101-AH$4)*(1+NORMINV(RAND(),INPUTS!$B$28,INPUTS!$B$29))))</f>
        <v>3827493.31909945</v>
      </c>
      <c r="AI101" s="85" t="n">
        <f aca="true">IF(AI$5=0,AH101,MAX(0,(AH101-AI$4)*(1+NORMINV(RAND(),INPUTS!$B$28,INPUTS!$B$29))))</f>
        <v>4239776.96109094</v>
      </c>
      <c r="AJ101" s="85" t="n">
        <f aca="true">IF(AJ$5=0,AI101,MAX(0,(AI101-AJ$4)*(1+NORMINV(RAND(),INPUTS!$B$28,INPUTS!$B$29))))</f>
        <v>4302352.81309201</v>
      </c>
      <c r="AK101" s="85" t="n">
        <f aca="true">IF(AK$5=0,AJ101,MAX(0,(AJ101-AK$4)*(1+NORMINV(RAND(),INPUTS!$B$28,INPUTS!$B$29))))</f>
        <v>5237086.29500964</v>
      </c>
      <c r="AL101" s="85" t="n">
        <f aca="true">IF(AL$5=0,AK101,MAX(0,(AK101-AL$4)*(1+NORMINV(RAND(),INPUTS!$B$28,INPUTS!$B$29))))</f>
        <v>6414485.92880758</v>
      </c>
      <c r="AM101" s="85" t="n">
        <f aca="true">IF(AM$5=0,AL101,MAX(0,(AL101-AM$4)*(1+NORMINV(RAND(),INPUTS!$B$28,INPUTS!$B$29))))</f>
        <v>6414485.92880758</v>
      </c>
      <c r="AN101" s="85" t="n">
        <f aca="true">IF(AN$5=0,AM101,MAX(0,(AM101-AN$4)*(1+NORMINV(RAND(),INPUTS!$B$28,INPUTS!$B$29))))</f>
        <v>6414485.92880758</v>
      </c>
      <c r="AO101" s="85" t="n">
        <f aca="true">IF(AO$5=0,AN101,MAX(0,(AN101-AO$4)*(1+NORMINV(RAND(),INPUTS!$B$28,INPUTS!$B$29))))</f>
        <v>6414485.92880758</v>
      </c>
      <c r="AP101" s="85" t="n">
        <f aca="true">IF(AP$5=0,AO101,MAX(0,(AO101-AP$4)*(1+NORMINV(RAND(),INPUTS!$B$28,INPUTS!$B$29))))</f>
        <v>6414485.92880758</v>
      </c>
    </row>
    <row r="102" customFormat="false" ht="15" hidden="false" customHeight="true" outlineLevel="0" collapsed="false">
      <c r="A102" s="83" t="n">
        <v>95</v>
      </c>
      <c r="B102" s="84" t="n">
        <f aca="false">LOOKUP(9.99E+307,C102:AP102)</f>
        <v>0</v>
      </c>
      <c r="C102" s="85" t="n">
        <f aca="true">IF(C$5=0,INPUTS!$B$19,MAX(0,(INPUTS!$B$19-C$4)*(1+NORMINV(RAND(),INPUTS!$B$28,INPUTS!$B$29))))</f>
        <v>1080630.76647344</v>
      </c>
      <c r="D102" s="85" t="n">
        <f aca="true">IF(D$5=0,C102,MAX(0,(C102-D$4)*(1+NORMINV(RAND(),INPUTS!$B$28,INPUTS!$B$29))))</f>
        <v>1215529.65759891</v>
      </c>
      <c r="E102" s="85" t="n">
        <f aca="true">IF(E$5=0,D102,MAX(0,(D102-E$4)*(1+NORMINV(RAND(),INPUTS!$B$28,INPUTS!$B$29))))</f>
        <v>1267462.22458067</v>
      </c>
      <c r="F102" s="85" t="n">
        <f aca="true">IF(F$5=0,E102,MAX(0,(E102-F$4)*(1+NORMINV(RAND(),INPUTS!$B$28,INPUTS!$B$29))))</f>
        <v>1141856.32600015</v>
      </c>
      <c r="G102" s="85" t="n">
        <f aca="true">IF(G$5=0,F102,MAX(0,(F102-G$4)*(1+NORMINV(RAND(),INPUTS!$B$28,INPUTS!$B$29))))</f>
        <v>1110148.21983847</v>
      </c>
      <c r="H102" s="85" t="n">
        <f aca="true">IF(H$5=0,G102,MAX(0,(G102-H$4)*(1+NORMINV(RAND(),INPUTS!$B$28,INPUTS!$B$29))))</f>
        <v>916922.237690178</v>
      </c>
      <c r="I102" s="85" t="n">
        <f aca="true">IF(I$5=0,H102,MAX(0,(H102-I$4)*(1+NORMINV(RAND(),INPUTS!$B$28,INPUTS!$B$29))))</f>
        <v>852754.372567331</v>
      </c>
      <c r="J102" s="85" t="n">
        <f aca="true">IF(J$5=0,I102,MAX(0,(I102-J$4)*(1+NORMINV(RAND(),INPUTS!$B$28,INPUTS!$B$29))))</f>
        <v>921460.291202969</v>
      </c>
      <c r="K102" s="85" t="n">
        <f aca="true">IF(K$5=0,J102,MAX(0,(J102-K$4)*(1+NORMINV(RAND(),INPUTS!$B$28,INPUTS!$B$29))))</f>
        <v>830093.17014863</v>
      </c>
      <c r="L102" s="85" t="n">
        <f aca="true">IF(L$5=0,K102,MAX(0,(K102-L$4)*(1+NORMINV(RAND(),INPUTS!$B$28,INPUTS!$B$29))))</f>
        <v>731046.688709301</v>
      </c>
      <c r="M102" s="85" t="n">
        <f aca="true">IF(M$5=0,L102,MAX(0,(L102-M$4)*(1+NORMINV(RAND(),INPUTS!$B$28,INPUTS!$B$29))))</f>
        <v>684134.548937929</v>
      </c>
      <c r="N102" s="85" t="n">
        <f aca="true">IF(N$5=0,M102,MAX(0,(M102-N$4)*(1+NORMINV(RAND(),INPUTS!$B$28,INPUTS!$B$29))))</f>
        <v>662420.760329405</v>
      </c>
      <c r="O102" s="85" t="n">
        <f aca="true">IF(O$5=0,N102,MAX(0,(N102-O$4)*(1+NORMINV(RAND(),INPUTS!$B$28,INPUTS!$B$29))))</f>
        <v>693604.242441207</v>
      </c>
      <c r="P102" s="85" t="n">
        <f aca="true">IF(P$5=0,O102,MAX(0,(O102-P$4)*(1+NORMINV(RAND(),INPUTS!$B$28,INPUTS!$B$29))))</f>
        <v>528182.456430398</v>
      </c>
      <c r="Q102" s="85" t="n">
        <f aca="true">IF(Q$5=0,P102,MAX(0,(P102-Q$4)*(1+NORMINV(RAND(),INPUTS!$B$28,INPUTS!$B$29))))</f>
        <v>529754.640390952</v>
      </c>
      <c r="R102" s="85" t="n">
        <f aca="true">IF(R$5=0,Q102,MAX(0,(Q102-R$4)*(1+NORMINV(RAND(),INPUTS!$B$28,INPUTS!$B$29))))</f>
        <v>589179.414650215</v>
      </c>
      <c r="S102" s="85" t="n">
        <f aca="true">IF(S$5=0,R102,MAX(0,(R102-S$4)*(1+NORMINV(RAND(),INPUTS!$B$28,INPUTS!$B$29))))</f>
        <v>644227.820861815</v>
      </c>
      <c r="T102" s="85" t="n">
        <f aca="true">IF(T$5=0,S102,MAX(0,(S102-T$4)*(1+NORMINV(RAND(),INPUTS!$B$28,INPUTS!$B$29))))</f>
        <v>598925.115697883</v>
      </c>
      <c r="U102" s="85" t="n">
        <f aca="true">IF(U$5=0,T102,MAX(0,(T102-U$4)*(1+NORMINV(RAND(),INPUTS!$B$28,INPUTS!$B$29))))</f>
        <v>401049.857766069</v>
      </c>
      <c r="V102" s="85" t="n">
        <f aca="true">IF(V$5=0,U102,MAX(0,(U102-V$4)*(1+NORMINV(RAND(),INPUTS!$B$28,INPUTS!$B$29))))</f>
        <v>409322.115808435</v>
      </c>
      <c r="W102" s="85" t="n">
        <f aca="true">IF(W$5=0,V102,MAX(0,(V102-W$4)*(1+NORMINV(RAND(),INPUTS!$B$28,INPUTS!$B$29))))</f>
        <v>430910.793682229</v>
      </c>
      <c r="X102" s="85" t="n">
        <f aca="true">IF(X$5=0,W102,MAX(0,(W102-X$4)*(1+NORMINV(RAND(),INPUTS!$B$28,INPUTS!$B$29))))</f>
        <v>400467.549494364</v>
      </c>
      <c r="Y102" s="85" t="n">
        <f aca="true">IF(Y$5=0,X102,MAX(0,(X102-Y$4)*(1+NORMINV(RAND(),INPUTS!$B$28,INPUTS!$B$29))))</f>
        <v>364797.375366379</v>
      </c>
      <c r="Z102" s="85" t="n">
        <f aca="true">IF(Z$5=0,Y102,MAX(0,(Y102-Z$4)*(1+NORMINV(RAND(),INPUTS!$B$28,INPUTS!$B$29))))</f>
        <v>351948.20342113</v>
      </c>
      <c r="AA102" s="85" t="n">
        <f aca="true">IF(AA$5=0,Z102,MAX(0,(Z102-AA$4)*(1+NORMINV(RAND(),INPUTS!$B$28,INPUTS!$B$29))))</f>
        <v>300025.704999723</v>
      </c>
      <c r="AB102" s="85" t="n">
        <f aca="true">IF(AB$5=0,AA102,MAX(0,(AA102-AB$4)*(1+NORMINV(RAND(),INPUTS!$B$28,INPUTS!$B$29))))</f>
        <v>205491.900061954</v>
      </c>
      <c r="AC102" s="85" t="n">
        <f aca="true">IF(AC$5=0,AB102,MAX(0,(AB102-AC$4)*(1+NORMINV(RAND(),INPUTS!$B$28,INPUTS!$B$29))))</f>
        <v>149887.048667518</v>
      </c>
      <c r="AD102" s="85" t="n">
        <f aca="true">IF(AD$5=0,AC102,MAX(0,(AC102-AD$4)*(1+NORMINV(RAND(),INPUTS!$B$28,INPUTS!$B$29))))</f>
        <v>75378.1512400486</v>
      </c>
      <c r="AE102" s="85" t="n">
        <f aca="true">IF(AE$5=0,AD102,MAX(0,(AD102-AE$4)*(1+NORMINV(RAND(),INPUTS!$B$28,INPUTS!$B$29))))</f>
        <v>7775.23655017923</v>
      </c>
      <c r="AF102" s="85" t="n">
        <f aca="true">IF(AF$5=0,AE102,MAX(0,(AE102-AF$4)*(1+NORMINV(RAND(),INPUTS!$B$28,INPUTS!$B$29))))</f>
        <v>0</v>
      </c>
      <c r="AG102" s="85" t="n">
        <f aca="true">IF(AG$5=0,AF102,MAX(0,(AF102-AG$4)*(1+NORMINV(RAND(),INPUTS!$B$28,INPUTS!$B$29))))</f>
        <v>0</v>
      </c>
      <c r="AH102" s="85" t="n">
        <f aca="true">IF(AH$5=0,AG102,MAX(0,(AG102-AH$4)*(1+NORMINV(RAND(),INPUTS!$B$28,INPUTS!$B$29))))</f>
        <v>0</v>
      </c>
      <c r="AI102" s="85" t="n">
        <f aca="true">IF(AI$5=0,AH102,MAX(0,(AH102-AI$4)*(1+NORMINV(RAND(),INPUTS!$B$28,INPUTS!$B$29))))</f>
        <v>0</v>
      </c>
      <c r="AJ102" s="85" t="n">
        <f aca="true">IF(AJ$5=0,AI102,MAX(0,(AI102-AJ$4)*(1+NORMINV(RAND(),INPUTS!$B$28,INPUTS!$B$29))))</f>
        <v>0</v>
      </c>
      <c r="AK102" s="85" t="n">
        <f aca="true">IF(AK$5=0,AJ102,MAX(0,(AJ102-AK$4)*(1+NORMINV(RAND(),INPUTS!$B$28,INPUTS!$B$29))))</f>
        <v>0</v>
      </c>
      <c r="AL102" s="85" t="n">
        <f aca="true">IF(AL$5=0,AK102,MAX(0,(AK102-AL$4)*(1+NORMINV(RAND(),INPUTS!$B$28,INPUTS!$B$29))))</f>
        <v>0</v>
      </c>
      <c r="AM102" s="85" t="n">
        <f aca="true">IF(AM$5=0,AL102,MAX(0,(AL102-AM$4)*(1+NORMINV(RAND(),INPUTS!$B$28,INPUTS!$B$29))))</f>
        <v>0</v>
      </c>
      <c r="AN102" s="85" t="n">
        <f aca="true">IF(AN$5=0,AM102,MAX(0,(AM102-AN$4)*(1+NORMINV(RAND(),INPUTS!$B$28,INPUTS!$B$29))))</f>
        <v>0</v>
      </c>
      <c r="AO102" s="85" t="n">
        <f aca="true">IF(AO$5=0,AN102,MAX(0,(AN102-AO$4)*(1+NORMINV(RAND(),INPUTS!$B$28,INPUTS!$B$29))))</f>
        <v>0</v>
      </c>
      <c r="AP102" s="85" t="n">
        <f aca="true">IF(AP$5=0,AO102,MAX(0,(AO102-AP$4)*(1+NORMINV(RAND(),INPUTS!$B$28,INPUTS!$B$29))))</f>
        <v>0</v>
      </c>
    </row>
    <row r="103" customFormat="false" ht="15" hidden="false" customHeight="true" outlineLevel="0" collapsed="false">
      <c r="A103" s="83" t="n">
        <v>96</v>
      </c>
      <c r="B103" s="84" t="n">
        <f aca="false">LOOKUP(9.99E+307,C103:AP103)</f>
        <v>775497.530157488</v>
      </c>
      <c r="C103" s="85" t="n">
        <f aca="true">IF(C$5=0,INPUTS!$B$19,MAX(0,(INPUTS!$B$19-C$4)*(1+NORMINV(RAND(),INPUTS!$B$28,INPUTS!$B$29))))</f>
        <v>1162973.53590855</v>
      </c>
      <c r="D103" s="85" t="n">
        <f aca="true">IF(D$5=0,C103,MAX(0,(C103-D$4)*(1+NORMINV(RAND(),INPUTS!$B$28,INPUTS!$B$29))))</f>
        <v>1221343.38101468</v>
      </c>
      <c r="E103" s="85" t="n">
        <f aca="true">IF(E$5=0,D103,MAX(0,(D103-E$4)*(1+NORMINV(RAND(),INPUTS!$B$28,INPUTS!$B$29))))</f>
        <v>1294482.9677155</v>
      </c>
      <c r="F103" s="85" t="n">
        <f aca="true">IF(F$5=0,E103,MAX(0,(E103-F$4)*(1+NORMINV(RAND(),INPUTS!$B$28,INPUTS!$B$29))))</f>
        <v>1311559.66325489</v>
      </c>
      <c r="G103" s="85" t="n">
        <f aca="true">IF(G$5=0,F103,MAX(0,(F103-G$4)*(1+NORMINV(RAND(),INPUTS!$B$28,INPUTS!$B$29))))</f>
        <v>1330205.53091797</v>
      </c>
      <c r="H103" s="85" t="n">
        <f aca="true">IF(H$5=0,G103,MAX(0,(G103-H$4)*(1+NORMINV(RAND(),INPUTS!$B$28,INPUTS!$B$29))))</f>
        <v>1289630.30728082</v>
      </c>
      <c r="I103" s="85" t="n">
        <f aca="true">IF(I$5=0,H103,MAX(0,(H103-I$4)*(1+NORMINV(RAND(),INPUTS!$B$28,INPUTS!$B$29))))</f>
        <v>1500232.30370574</v>
      </c>
      <c r="J103" s="85" t="n">
        <f aca="true">IF(J$5=0,I103,MAX(0,(I103-J$4)*(1+NORMINV(RAND(),INPUTS!$B$28,INPUTS!$B$29))))</f>
        <v>1774874.78543231</v>
      </c>
      <c r="K103" s="85" t="n">
        <f aca="true">IF(K$5=0,J103,MAX(0,(J103-K$4)*(1+NORMINV(RAND(),INPUTS!$B$28,INPUTS!$B$29))))</f>
        <v>1523309.95073438</v>
      </c>
      <c r="L103" s="85" t="n">
        <f aca="true">IF(L$5=0,K103,MAX(0,(K103-L$4)*(1+NORMINV(RAND(),INPUTS!$B$28,INPUTS!$B$29))))</f>
        <v>1521835.68784683</v>
      </c>
      <c r="M103" s="85" t="n">
        <f aca="true">IF(M$5=0,L103,MAX(0,(L103-M$4)*(1+NORMINV(RAND(),INPUTS!$B$28,INPUTS!$B$29))))</f>
        <v>1724515.01677747</v>
      </c>
      <c r="N103" s="85" t="n">
        <f aca="true">IF(N$5=0,M103,MAX(0,(M103-N$4)*(1+NORMINV(RAND(),INPUTS!$B$28,INPUTS!$B$29))))</f>
        <v>1723719.89785067</v>
      </c>
      <c r="O103" s="85" t="n">
        <f aca="true">IF(O$5=0,N103,MAX(0,(N103-O$4)*(1+NORMINV(RAND(),INPUTS!$B$28,INPUTS!$B$29))))</f>
        <v>1984770.16744392</v>
      </c>
      <c r="P103" s="85" t="n">
        <f aca="true">IF(P$5=0,O103,MAX(0,(O103-P$4)*(1+NORMINV(RAND(),INPUTS!$B$28,INPUTS!$B$29))))</f>
        <v>2023465.43418246</v>
      </c>
      <c r="Q103" s="85" t="n">
        <f aca="true">IF(Q$5=0,P103,MAX(0,(P103-Q$4)*(1+NORMINV(RAND(),INPUTS!$B$28,INPUTS!$B$29))))</f>
        <v>1863262.30697648</v>
      </c>
      <c r="R103" s="85" t="n">
        <f aca="true">IF(R$5=0,Q103,MAX(0,(Q103-R$4)*(1+NORMINV(RAND(),INPUTS!$B$28,INPUTS!$B$29))))</f>
        <v>1980562.62044981</v>
      </c>
      <c r="S103" s="85" t="n">
        <f aca="true">IF(S$5=0,R103,MAX(0,(R103-S$4)*(1+NORMINV(RAND(),INPUTS!$B$28,INPUTS!$B$29))))</f>
        <v>1932110.38771007</v>
      </c>
      <c r="T103" s="85" t="n">
        <f aca="true">IF(T$5=0,S103,MAX(0,(S103-T$4)*(1+NORMINV(RAND(),INPUTS!$B$28,INPUTS!$B$29))))</f>
        <v>2175562.95273449</v>
      </c>
      <c r="U103" s="85" t="n">
        <f aca="true">IF(U$5=0,T103,MAX(0,(T103-U$4)*(1+NORMINV(RAND(),INPUTS!$B$28,INPUTS!$B$29))))</f>
        <v>2468406.52717986</v>
      </c>
      <c r="V103" s="85" t="n">
        <f aca="true">IF(V$5=0,U103,MAX(0,(U103-V$4)*(1+NORMINV(RAND(),INPUTS!$B$28,INPUTS!$B$29))))</f>
        <v>2006206.84954241</v>
      </c>
      <c r="W103" s="85" t="n">
        <f aca="true">IF(W$5=0,V103,MAX(0,(V103-W$4)*(1+NORMINV(RAND(),INPUTS!$B$28,INPUTS!$B$29))))</f>
        <v>1887592.41346347</v>
      </c>
      <c r="X103" s="85" t="n">
        <f aca="true">IF(X$5=0,W103,MAX(0,(W103-X$4)*(1+NORMINV(RAND(),INPUTS!$B$28,INPUTS!$B$29))))</f>
        <v>1412749.61949526</v>
      </c>
      <c r="Y103" s="85" t="n">
        <f aca="true">IF(Y$5=0,X103,MAX(0,(X103-Y$4)*(1+NORMINV(RAND(),INPUTS!$B$28,INPUTS!$B$29))))</f>
        <v>1427556.73648365</v>
      </c>
      <c r="Z103" s="85" t="n">
        <f aca="true">IF(Z$5=0,Y103,MAX(0,(Y103-Z$4)*(1+NORMINV(RAND(),INPUTS!$B$28,INPUTS!$B$29))))</f>
        <v>1274157.4777007</v>
      </c>
      <c r="AA103" s="85" t="n">
        <f aca="true">IF(AA$5=0,Z103,MAX(0,(Z103-AA$4)*(1+NORMINV(RAND(),INPUTS!$B$28,INPUTS!$B$29))))</f>
        <v>1145615.86382711</v>
      </c>
      <c r="AB103" s="85" t="n">
        <f aca="true">IF(AB$5=0,AA103,MAX(0,(AA103-AB$4)*(1+NORMINV(RAND(),INPUTS!$B$28,INPUTS!$B$29))))</f>
        <v>1036831.78875346</v>
      </c>
      <c r="AC103" s="85" t="n">
        <f aca="true">IF(AC$5=0,AB103,MAX(0,(AB103-AC$4)*(1+NORMINV(RAND(),INPUTS!$B$28,INPUTS!$B$29))))</f>
        <v>1118493.78423932</v>
      </c>
      <c r="AD103" s="85" t="n">
        <f aca="true">IF(AD$5=0,AC103,MAX(0,(AC103-AD$4)*(1+NORMINV(RAND(),INPUTS!$B$28,INPUTS!$B$29))))</f>
        <v>934702.150167583</v>
      </c>
      <c r="AE103" s="85" t="n">
        <f aca="true">IF(AE$5=0,AD103,MAX(0,(AD103-AE$4)*(1+NORMINV(RAND(),INPUTS!$B$28,INPUTS!$B$29))))</f>
        <v>1070066.41922598</v>
      </c>
      <c r="AF103" s="85" t="n">
        <f aca="true">IF(AF$5=0,AE103,MAX(0,(AE103-AF$4)*(1+NORMINV(RAND(),INPUTS!$B$28,INPUTS!$B$29))))</f>
        <v>929412.803274375</v>
      </c>
      <c r="AG103" s="85" t="n">
        <f aca="true">IF(AG$5=0,AF103,MAX(0,(AF103-AG$4)*(1+NORMINV(RAND(),INPUTS!$B$28,INPUTS!$B$29))))</f>
        <v>879933.570148328</v>
      </c>
      <c r="AH103" s="85" t="n">
        <f aca="true">IF(AH$5=0,AG103,MAX(0,(AG103-AH$4)*(1+NORMINV(RAND(),INPUTS!$B$28,INPUTS!$B$29))))</f>
        <v>916281.025556809</v>
      </c>
      <c r="AI103" s="85" t="n">
        <f aca="true">IF(AI$5=0,AH103,MAX(0,(AH103-AI$4)*(1+NORMINV(RAND(),INPUTS!$B$28,INPUTS!$B$29))))</f>
        <v>961160.208928453</v>
      </c>
      <c r="AJ103" s="85" t="n">
        <f aca="true">IF(AJ$5=0,AI103,MAX(0,(AI103-AJ$4)*(1+NORMINV(RAND(),INPUTS!$B$28,INPUTS!$B$29))))</f>
        <v>936452.114699059</v>
      </c>
      <c r="AK103" s="85" t="n">
        <f aca="true">IF(AK$5=0,AJ103,MAX(0,(AJ103-AK$4)*(1+NORMINV(RAND(),INPUTS!$B$28,INPUTS!$B$29))))</f>
        <v>752873.549956042</v>
      </c>
      <c r="AL103" s="85" t="n">
        <f aca="true">IF(AL$5=0,AK103,MAX(0,(AK103-AL$4)*(1+NORMINV(RAND(),INPUTS!$B$28,INPUTS!$B$29))))</f>
        <v>775497.530157488</v>
      </c>
      <c r="AM103" s="85" t="n">
        <f aca="true">IF(AM$5=0,AL103,MAX(0,(AL103-AM$4)*(1+NORMINV(RAND(),INPUTS!$B$28,INPUTS!$B$29))))</f>
        <v>775497.530157488</v>
      </c>
      <c r="AN103" s="85" t="n">
        <f aca="true">IF(AN$5=0,AM103,MAX(0,(AM103-AN$4)*(1+NORMINV(RAND(),INPUTS!$B$28,INPUTS!$B$29))))</f>
        <v>775497.530157488</v>
      </c>
      <c r="AO103" s="85" t="n">
        <f aca="true">IF(AO$5=0,AN103,MAX(0,(AN103-AO$4)*(1+NORMINV(RAND(),INPUTS!$B$28,INPUTS!$B$29))))</f>
        <v>775497.530157488</v>
      </c>
      <c r="AP103" s="85" t="n">
        <f aca="true">IF(AP$5=0,AO103,MAX(0,(AO103-AP$4)*(1+NORMINV(RAND(),INPUTS!$B$28,INPUTS!$B$29))))</f>
        <v>775497.530157488</v>
      </c>
    </row>
    <row r="104" customFormat="false" ht="15" hidden="false" customHeight="true" outlineLevel="0" collapsed="false">
      <c r="A104" s="83" t="n">
        <v>97</v>
      </c>
      <c r="B104" s="84" t="n">
        <f aca="false">LOOKUP(9.99E+307,C104:AP104)</f>
        <v>2849774.53981601</v>
      </c>
      <c r="C104" s="85" t="n">
        <f aca="true">IF(C$5=0,INPUTS!$B$19,MAX(0,(INPUTS!$B$19-C$4)*(1+NORMINV(RAND(),INPUTS!$B$28,INPUTS!$B$29))))</f>
        <v>1327442.7028432</v>
      </c>
      <c r="D104" s="85" t="n">
        <f aca="true">IF(D$5=0,C104,MAX(0,(C104-D$4)*(1+NORMINV(RAND(),INPUTS!$B$28,INPUTS!$B$29))))</f>
        <v>1383343.91605842</v>
      </c>
      <c r="E104" s="85" t="n">
        <f aca="true">IF(E$5=0,D104,MAX(0,(D104-E$4)*(1+NORMINV(RAND(),INPUTS!$B$28,INPUTS!$B$29))))</f>
        <v>1101337.88375703</v>
      </c>
      <c r="F104" s="85" t="n">
        <f aca="true">IF(F$5=0,E104,MAX(0,(E104-F$4)*(1+NORMINV(RAND(),INPUTS!$B$28,INPUTS!$B$29))))</f>
        <v>1243479.59544748</v>
      </c>
      <c r="G104" s="85" t="n">
        <f aca="true">IF(G$5=0,F104,MAX(0,(F104-G$4)*(1+NORMINV(RAND(),INPUTS!$B$28,INPUTS!$B$29))))</f>
        <v>1290964.03294313</v>
      </c>
      <c r="H104" s="85" t="n">
        <f aca="true">IF(H$5=0,G104,MAX(0,(G104-H$4)*(1+NORMINV(RAND(),INPUTS!$B$28,INPUTS!$B$29))))</f>
        <v>1280963.40293841</v>
      </c>
      <c r="I104" s="85" t="n">
        <f aca="true">IF(I$5=0,H104,MAX(0,(H104-I$4)*(1+NORMINV(RAND(),INPUTS!$B$28,INPUTS!$B$29))))</f>
        <v>1150308.36493024</v>
      </c>
      <c r="J104" s="85" t="n">
        <f aca="true">IF(J$5=0,I104,MAX(0,(I104-J$4)*(1+NORMINV(RAND(),INPUTS!$B$28,INPUTS!$B$29))))</f>
        <v>1218290.26844731</v>
      </c>
      <c r="K104" s="85" t="n">
        <f aca="true">IF(K$5=0,J104,MAX(0,(J104-K$4)*(1+NORMINV(RAND(),INPUTS!$B$28,INPUTS!$B$29))))</f>
        <v>1138877.45935322</v>
      </c>
      <c r="L104" s="85" t="n">
        <f aca="true">IF(L$5=0,K104,MAX(0,(K104-L$4)*(1+NORMINV(RAND(),INPUTS!$B$28,INPUTS!$B$29))))</f>
        <v>1074669.39207276</v>
      </c>
      <c r="M104" s="85" t="n">
        <f aca="true">IF(M$5=0,L104,MAX(0,(L104-M$4)*(1+NORMINV(RAND(),INPUTS!$B$28,INPUTS!$B$29))))</f>
        <v>1195236.68339339</v>
      </c>
      <c r="N104" s="85" t="n">
        <f aca="true">IF(N$5=0,M104,MAX(0,(M104-N$4)*(1+NORMINV(RAND(),INPUTS!$B$28,INPUTS!$B$29))))</f>
        <v>1423607.02010566</v>
      </c>
      <c r="O104" s="85" t="n">
        <f aca="true">IF(O$5=0,N104,MAX(0,(N104-O$4)*(1+NORMINV(RAND(),INPUTS!$B$28,INPUTS!$B$29))))</f>
        <v>1606209.54364584</v>
      </c>
      <c r="P104" s="85" t="n">
        <f aca="true">IF(P$5=0,O104,MAX(0,(O104-P$4)*(1+NORMINV(RAND(),INPUTS!$B$28,INPUTS!$B$29))))</f>
        <v>1347793.89547117</v>
      </c>
      <c r="Q104" s="85" t="n">
        <f aca="true">IF(Q$5=0,P104,MAX(0,(P104-Q$4)*(1+NORMINV(RAND(),INPUTS!$B$28,INPUTS!$B$29))))</f>
        <v>1325751.99195467</v>
      </c>
      <c r="R104" s="85" t="n">
        <f aca="true">IF(R$5=0,Q104,MAX(0,(Q104-R$4)*(1+NORMINV(RAND(),INPUTS!$B$28,INPUTS!$B$29))))</f>
        <v>1058742.86238549</v>
      </c>
      <c r="S104" s="85" t="n">
        <f aca="true">IF(S$5=0,R104,MAX(0,(R104-S$4)*(1+NORMINV(RAND(),INPUTS!$B$28,INPUTS!$B$29))))</f>
        <v>950992.211673584</v>
      </c>
      <c r="T104" s="85" t="n">
        <f aca="true">IF(T$5=0,S104,MAX(0,(S104-T$4)*(1+NORMINV(RAND(),INPUTS!$B$28,INPUTS!$B$29))))</f>
        <v>1025316.64645268</v>
      </c>
      <c r="U104" s="85" t="n">
        <f aca="true">IF(U$5=0,T104,MAX(0,(T104-U$4)*(1+NORMINV(RAND(),INPUTS!$B$28,INPUTS!$B$29))))</f>
        <v>1043632.30314524</v>
      </c>
      <c r="V104" s="85" t="n">
        <f aca="true">IF(V$5=0,U104,MAX(0,(U104-V$4)*(1+NORMINV(RAND(),INPUTS!$B$28,INPUTS!$B$29))))</f>
        <v>1265544.39326429</v>
      </c>
      <c r="W104" s="85" t="n">
        <f aca="true">IF(W$5=0,V104,MAX(0,(V104-W$4)*(1+NORMINV(RAND(),INPUTS!$B$28,INPUTS!$B$29))))</f>
        <v>1258142.26229998</v>
      </c>
      <c r="X104" s="85" t="n">
        <f aca="true">IF(X$5=0,W104,MAX(0,(W104-X$4)*(1+NORMINV(RAND(),INPUTS!$B$28,INPUTS!$B$29))))</f>
        <v>1239143.38490669</v>
      </c>
      <c r="Y104" s="85" t="n">
        <f aca="true">IF(Y$5=0,X104,MAX(0,(X104-Y$4)*(1+NORMINV(RAND(),INPUTS!$B$28,INPUTS!$B$29))))</f>
        <v>1239708.68408347</v>
      </c>
      <c r="Z104" s="85" t="n">
        <f aca="true">IF(Z$5=0,Y104,MAX(0,(Y104-Z$4)*(1+NORMINV(RAND(),INPUTS!$B$28,INPUTS!$B$29))))</f>
        <v>1378463.08410176</v>
      </c>
      <c r="AA104" s="85" t="n">
        <f aca="true">IF(AA$5=0,Z104,MAX(0,(Z104-AA$4)*(1+NORMINV(RAND(),INPUTS!$B$28,INPUTS!$B$29))))</f>
        <v>1713321.10017674</v>
      </c>
      <c r="AB104" s="85" t="n">
        <f aca="true">IF(AB$5=0,AA104,MAX(0,(AA104-AB$4)*(1+NORMINV(RAND(),INPUTS!$B$28,INPUTS!$B$29))))</f>
        <v>1652492.50927168</v>
      </c>
      <c r="AC104" s="85" t="n">
        <f aca="true">IF(AC$5=0,AB104,MAX(0,(AB104-AC$4)*(1+NORMINV(RAND(),INPUTS!$B$28,INPUTS!$B$29))))</f>
        <v>1442367.44491041</v>
      </c>
      <c r="AD104" s="85" t="n">
        <f aca="true">IF(AD$5=0,AC104,MAX(0,(AC104-AD$4)*(1+NORMINV(RAND(),INPUTS!$B$28,INPUTS!$B$29))))</f>
        <v>1474766.34253105</v>
      </c>
      <c r="AE104" s="85" t="n">
        <f aca="true">IF(AE$5=0,AD104,MAX(0,(AD104-AE$4)*(1+NORMINV(RAND(),INPUTS!$B$28,INPUTS!$B$29))))</f>
        <v>1725324.36902857</v>
      </c>
      <c r="AF104" s="85" t="n">
        <f aca="true">IF(AF$5=0,AE104,MAX(0,(AE104-AF$4)*(1+NORMINV(RAND(),INPUTS!$B$28,INPUTS!$B$29))))</f>
        <v>1875940.65121218</v>
      </c>
      <c r="AG104" s="85" t="n">
        <f aca="true">IF(AG$5=0,AF104,MAX(0,(AF104-AG$4)*(1+NORMINV(RAND(),INPUTS!$B$28,INPUTS!$B$29))))</f>
        <v>2054553.96699798</v>
      </c>
      <c r="AH104" s="85" t="n">
        <f aca="true">IF(AH$5=0,AG104,MAX(0,(AG104-AH$4)*(1+NORMINV(RAND(),INPUTS!$B$28,INPUTS!$B$29))))</f>
        <v>1928195.76432246</v>
      </c>
      <c r="AI104" s="85" t="n">
        <f aca="true">IF(AI$5=0,AH104,MAX(0,(AH104-AI$4)*(1+NORMINV(RAND(),INPUTS!$B$28,INPUTS!$B$29))))</f>
        <v>2520618.33545693</v>
      </c>
      <c r="AJ104" s="85" t="n">
        <f aca="true">IF(AJ$5=0,AI104,MAX(0,(AI104-AJ$4)*(1+NORMINV(RAND(),INPUTS!$B$28,INPUTS!$B$29))))</f>
        <v>2948799.19529488</v>
      </c>
      <c r="AK104" s="85" t="n">
        <f aca="true">IF(AK$5=0,AJ104,MAX(0,(AJ104-AK$4)*(1+NORMINV(RAND(),INPUTS!$B$28,INPUTS!$B$29))))</f>
        <v>3057468.06488717</v>
      </c>
      <c r="AL104" s="85" t="n">
        <f aca="true">IF(AL$5=0,AK104,MAX(0,(AK104-AL$4)*(1+NORMINV(RAND(),INPUTS!$B$28,INPUTS!$B$29))))</f>
        <v>2849774.53981601</v>
      </c>
      <c r="AM104" s="85" t="n">
        <f aca="true">IF(AM$5=0,AL104,MAX(0,(AL104-AM$4)*(1+NORMINV(RAND(),INPUTS!$B$28,INPUTS!$B$29))))</f>
        <v>2849774.53981601</v>
      </c>
      <c r="AN104" s="85" t="n">
        <f aca="true">IF(AN$5=0,AM104,MAX(0,(AM104-AN$4)*(1+NORMINV(RAND(),INPUTS!$B$28,INPUTS!$B$29))))</f>
        <v>2849774.53981601</v>
      </c>
      <c r="AO104" s="85" t="n">
        <f aca="true">IF(AO$5=0,AN104,MAX(0,(AN104-AO$4)*(1+NORMINV(RAND(),INPUTS!$B$28,INPUTS!$B$29))))</f>
        <v>2849774.53981601</v>
      </c>
      <c r="AP104" s="85" t="n">
        <f aca="true">IF(AP$5=0,AO104,MAX(0,(AO104-AP$4)*(1+NORMINV(RAND(),INPUTS!$B$28,INPUTS!$B$29))))</f>
        <v>2849774.53981601</v>
      </c>
    </row>
    <row r="105" customFormat="false" ht="15" hidden="false" customHeight="true" outlineLevel="0" collapsed="false">
      <c r="A105" s="83" t="n">
        <v>98</v>
      </c>
      <c r="B105" s="84" t="n">
        <f aca="false">LOOKUP(9.99E+307,C105:AP105)</f>
        <v>1814263.80261881</v>
      </c>
      <c r="C105" s="85" t="n">
        <f aca="true">IF(C$5=0,INPUTS!$B$19,MAX(0,(INPUTS!$B$19-C$4)*(1+NORMINV(RAND(),INPUTS!$B$28,INPUTS!$B$29))))</f>
        <v>1278256.06273134</v>
      </c>
      <c r="D105" s="85" t="n">
        <f aca="true">IF(D$5=0,C105,MAX(0,(C105-D$4)*(1+NORMINV(RAND(),INPUTS!$B$28,INPUTS!$B$29))))</f>
        <v>1119929.26694095</v>
      </c>
      <c r="E105" s="85" t="n">
        <f aca="true">IF(E$5=0,D105,MAX(0,(D105-E$4)*(1+NORMINV(RAND(),INPUTS!$B$28,INPUTS!$B$29))))</f>
        <v>1190439.48417748</v>
      </c>
      <c r="F105" s="85" t="n">
        <f aca="true">IF(F$5=0,E105,MAX(0,(E105-F$4)*(1+NORMINV(RAND(),INPUTS!$B$28,INPUTS!$B$29))))</f>
        <v>1253526.18657676</v>
      </c>
      <c r="G105" s="85" t="n">
        <f aca="true">IF(G$5=0,F105,MAX(0,(F105-G$4)*(1+NORMINV(RAND(),INPUTS!$B$28,INPUTS!$B$29))))</f>
        <v>1365291.59213536</v>
      </c>
      <c r="H105" s="85" t="n">
        <f aca="true">IF(H$5=0,G105,MAX(0,(G105-H$4)*(1+NORMINV(RAND(),INPUTS!$B$28,INPUTS!$B$29))))</f>
        <v>1500819.75872479</v>
      </c>
      <c r="I105" s="85" t="n">
        <f aca="true">IF(I$5=0,H105,MAX(0,(H105-I$4)*(1+NORMINV(RAND(),INPUTS!$B$28,INPUTS!$B$29))))</f>
        <v>1586354.4091858</v>
      </c>
      <c r="J105" s="85" t="n">
        <f aca="true">IF(J$5=0,I105,MAX(0,(I105-J$4)*(1+NORMINV(RAND(),INPUTS!$B$28,INPUTS!$B$29))))</f>
        <v>1482360.01258234</v>
      </c>
      <c r="K105" s="85" t="n">
        <f aca="true">IF(K$5=0,J105,MAX(0,(J105-K$4)*(1+NORMINV(RAND(),INPUTS!$B$28,INPUTS!$B$29))))</f>
        <v>1811876.19425908</v>
      </c>
      <c r="L105" s="85" t="n">
        <f aca="true">IF(L$5=0,K105,MAX(0,(K105-L$4)*(1+NORMINV(RAND(),INPUTS!$B$28,INPUTS!$B$29))))</f>
        <v>1804542.00296897</v>
      </c>
      <c r="M105" s="85" t="n">
        <f aca="true">IF(M$5=0,L105,MAX(0,(L105-M$4)*(1+NORMINV(RAND(),INPUTS!$B$28,INPUTS!$B$29))))</f>
        <v>1567309.6216741</v>
      </c>
      <c r="N105" s="85" t="n">
        <f aca="true">IF(N$5=0,M105,MAX(0,(M105-N$4)*(1+NORMINV(RAND(),INPUTS!$B$28,INPUTS!$B$29))))</f>
        <v>1279211.42306274</v>
      </c>
      <c r="O105" s="85" t="n">
        <f aca="true">IF(O$5=0,N105,MAX(0,(N105-O$4)*(1+NORMINV(RAND(),INPUTS!$B$28,INPUTS!$B$29))))</f>
        <v>1223592.88234364</v>
      </c>
      <c r="P105" s="85" t="n">
        <f aca="true">IF(P$5=0,O105,MAX(0,(O105-P$4)*(1+NORMINV(RAND(),INPUTS!$B$28,INPUTS!$B$29))))</f>
        <v>1189042.7672639</v>
      </c>
      <c r="Q105" s="85" t="n">
        <f aca="true">IF(Q$5=0,P105,MAX(0,(P105-Q$4)*(1+NORMINV(RAND(),INPUTS!$B$28,INPUTS!$B$29))))</f>
        <v>1086528.56353708</v>
      </c>
      <c r="R105" s="85" t="n">
        <f aca="true">IF(R$5=0,Q105,MAX(0,(Q105-R$4)*(1+NORMINV(RAND(),INPUTS!$B$28,INPUTS!$B$29))))</f>
        <v>1042684.18467284</v>
      </c>
      <c r="S105" s="85" t="n">
        <f aca="true">IF(S$5=0,R105,MAX(0,(R105-S$4)*(1+NORMINV(RAND(),INPUTS!$B$28,INPUTS!$B$29))))</f>
        <v>941877.1391667</v>
      </c>
      <c r="T105" s="85" t="n">
        <f aca="true">IF(T$5=0,S105,MAX(0,(S105-T$4)*(1+NORMINV(RAND(),INPUTS!$B$28,INPUTS!$B$29))))</f>
        <v>992749.240122719</v>
      </c>
      <c r="U105" s="85" t="n">
        <f aca="true">IF(U$5=0,T105,MAX(0,(T105-U$4)*(1+NORMINV(RAND(),INPUTS!$B$28,INPUTS!$B$29))))</f>
        <v>1123468.43671319</v>
      </c>
      <c r="V105" s="85" t="n">
        <f aca="true">IF(V$5=0,U105,MAX(0,(U105-V$4)*(1+NORMINV(RAND(),INPUTS!$B$28,INPUTS!$B$29))))</f>
        <v>1135780.73260274</v>
      </c>
      <c r="W105" s="85" t="n">
        <f aca="true">IF(W$5=0,V105,MAX(0,(V105-W$4)*(1+NORMINV(RAND(),INPUTS!$B$28,INPUTS!$B$29))))</f>
        <v>1302984.47544042</v>
      </c>
      <c r="X105" s="85" t="n">
        <f aca="true">IF(X$5=0,W105,MAX(0,(W105-X$4)*(1+NORMINV(RAND(),INPUTS!$B$28,INPUTS!$B$29))))</f>
        <v>1333817.66448778</v>
      </c>
      <c r="Y105" s="85" t="n">
        <f aca="true">IF(Y$5=0,X105,MAX(0,(X105-Y$4)*(1+NORMINV(RAND(),INPUTS!$B$28,INPUTS!$B$29))))</f>
        <v>1183513.98500151</v>
      </c>
      <c r="Z105" s="85" t="n">
        <f aca="true">IF(Z$5=0,Y105,MAX(0,(Y105-Z$4)*(1+NORMINV(RAND(),INPUTS!$B$28,INPUTS!$B$29))))</f>
        <v>1471866.34645039</v>
      </c>
      <c r="AA105" s="85" t="n">
        <f aca="true">IF(AA$5=0,Z105,MAX(0,(Z105-AA$4)*(1+NORMINV(RAND(),INPUTS!$B$28,INPUTS!$B$29))))</f>
        <v>1590595.38872846</v>
      </c>
      <c r="AB105" s="85" t="n">
        <f aca="true">IF(AB$5=0,AA105,MAX(0,(AA105-AB$4)*(1+NORMINV(RAND(),INPUTS!$B$28,INPUTS!$B$29))))</f>
        <v>1731417.823602</v>
      </c>
      <c r="AC105" s="85" t="n">
        <f aca="true">IF(AC$5=0,AB105,MAX(0,(AB105-AC$4)*(1+NORMINV(RAND(),INPUTS!$B$28,INPUTS!$B$29))))</f>
        <v>1628712.4059523</v>
      </c>
      <c r="AD105" s="85" t="n">
        <f aca="true">IF(AD$5=0,AC105,MAX(0,(AC105-AD$4)*(1+NORMINV(RAND(),INPUTS!$B$28,INPUTS!$B$29))))</f>
        <v>1594687.87671853</v>
      </c>
      <c r="AE105" s="85" t="n">
        <f aca="true">IF(AE$5=0,AD105,MAX(0,(AD105-AE$4)*(1+NORMINV(RAND(),INPUTS!$B$28,INPUTS!$B$29))))</f>
        <v>1692436.78763859</v>
      </c>
      <c r="AF105" s="85" t="n">
        <f aca="true">IF(AF$5=0,AE105,MAX(0,(AE105-AF$4)*(1+NORMINV(RAND(),INPUTS!$B$28,INPUTS!$B$29))))</f>
        <v>1598499.47967156</v>
      </c>
      <c r="AG105" s="85" t="n">
        <f aca="true">IF(AG$5=0,AF105,MAX(0,(AF105-AG$4)*(1+NORMINV(RAND(),INPUTS!$B$28,INPUTS!$B$29))))</f>
        <v>1784922.42381415</v>
      </c>
      <c r="AH105" s="85" t="n">
        <f aca="true">IF(AH$5=0,AG105,MAX(0,(AG105-AH$4)*(1+NORMINV(RAND(),INPUTS!$B$28,INPUTS!$B$29))))</f>
        <v>1860415.00396053</v>
      </c>
      <c r="AI105" s="85" t="n">
        <f aca="true">IF(AI$5=0,AH105,MAX(0,(AH105-AI$4)*(1+NORMINV(RAND(),INPUTS!$B$28,INPUTS!$B$29))))</f>
        <v>2126354.61911596</v>
      </c>
      <c r="AJ105" s="85" t="n">
        <f aca="true">IF(AJ$5=0,AI105,MAX(0,(AI105-AJ$4)*(1+NORMINV(RAND(),INPUTS!$B$28,INPUTS!$B$29))))</f>
        <v>1852274.86108268</v>
      </c>
      <c r="AK105" s="85" t="n">
        <f aca="true">IF(AK$5=0,AJ105,MAX(0,(AJ105-AK$4)*(1+NORMINV(RAND(),INPUTS!$B$28,INPUTS!$B$29))))</f>
        <v>1674174.22194204</v>
      </c>
      <c r="AL105" s="85" t="n">
        <f aca="true">IF(AL$5=0,AK105,MAX(0,(AK105-AL$4)*(1+NORMINV(RAND(),INPUTS!$B$28,INPUTS!$B$29))))</f>
        <v>1814263.80261881</v>
      </c>
      <c r="AM105" s="85" t="n">
        <f aca="true">IF(AM$5=0,AL105,MAX(0,(AL105-AM$4)*(1+NORMINV(RAND(),INPUTS!$B$28,INPUTS!$B$29))))</f>
        <v>1814263.80261881</v>
      </c>
      <c r="AN105" s="85" t="n">
        <f aca="true">IF(AN$5=0,AM105,MAX(0,(AM105-AN$4)*(1+NORMINV(RAND(),INPUTS!$B$28,INPUTS!$B$29))))</f>
        <v>1814263.80261881</v>
      </c>
      <c r="AO105" s="85" t="n">
        <f aca="true">IF(AO$5=0,AN105,MAX(0,(AN105-AO$4)*(1+NORMINV(RAND(),INPUTS!$B$28,INPUTS!$B$29))))</f>
        <v>1814263.80261881</v>
      </c>
      <c r="AP105" s="85" t="n">
        <f aca="true">IF(AP$5=0,AO105,MAX(0,(AO105-AP$4)*(1+NORMINV(RAND(),INPUTS!$B$28,INPUTS!$B$29))))</f>
        <v>1814263.80261881</v>
      </c>
    </row>
    <row r="106" customFormat="false" ht="15" hidden="false" customHeight="true" outlineLevel="0" collapsed="false">
      <c r="A106" s="83" t="n">
        <v>99</v>
      </c>
      <c r="B106" s="84" t="n">
        <f aca="false">LOOKUP(9.99E+307,C106:AP106)</f>
        <v>1301110.21087968</v>
      </c>
      <c r="C106" s="85" t="n">
        <f aca="true">IF(C$5=0,INPUTS!$B$19,MAX(0,(INPUTS!$B$19-C$4)*(1+NORMINV(RAND(),INPUTS!$B$28,INPUTS!$B$29))))</f>
        <v>1199286.78054453</v>
      </c>
      <c r="D106" s="85" t="n">
        <f aca="true">IF(D$5=0,C106,MAX(0,(C106-D$4)*(1+NORMINV(RAND(),INPUTS!$B$28,INPUTS!$B$29))))</f>
        <v>1179996.07891084</v>
      </c>
      <c r="E106" s="85" t="n">
        <f aca="true">IF(E$5=0,D106,MAX(0,(D106-E$4)*(1+NORMINV(RAND(),INPUTS!$B$28,INPUTS!$B$29))))</f>
        <v>1216019.61567671</v>
      </c>
      <c r="F106" s="85" t="n">
        <f aca="true">IF(F$5=0,E106,MAX(0,(E106-F$4)*(1+NORMINV(RAND(),INPUTS!$B$28,INPUTS!$B$29))))</f>
        <v>1173886.5887528</v>
      </c>
      <c r="G106" s="85" t="n">
        <f aca="true">IF(G$5=0,F106,MAX(0,(F106-G$4)*(1+NORMINV(RAND(),INPUTS!$B$28,INPUTS!$B$29))))</f>
        <v>1050947.83613971</v>
      </c>
      <c r="H106" s="85" t="n">
        <f aca="true">IF(H$5=0,G106,MAX(0,(G106-H$4)*(1+NORMINV(RAND(),INPUTS!$B$28,INPUTS!$B$29))))</f>
        <v>950974.687272067</v>
      </c>
      <c r="I106" s="85" t="n">
        <f aca="true">IF(I$5=0,H106,MAX(0,(H106-I$4)*(1+NORMINV(RAND(),INPUTS!$B$28,INPUTS!$B$29))))</f>
        <v>984209.222562825</v>
      </c>
      <c r="J106" s="85" t="n">
        <f aca="true">IF(J$5=0,I106,MAX(0,(I106-J$4)*(1+NORMINV(RAND(),INPUTS!$B$28,INPUTS!$B$29))))</f>
        <v>893616.145802819</v>
      </c>
      <c r="K106" s="85" t="n">
        <f aca="true">IF(K$5=0,J106,MAX(0,(J106-K$4)*(1+NORMINV(RAND(),INPUTS!$B$28,INPUTS!$B$29))))</f>
        <v>877048.837919076</v>
      </c>
      <c r="L106" s="85" t="n">
        <f aca="true">IF(L$5=0,K106,MAX(0,(K106-L$4)*(1+NORMINV(RAND(),INPUTS!$B$28,INPUTS!$B$29))))</f>
        <v>991739.717112926</v>
      </c>
      <c r="M106" s="85" t="n">
        <f aca="true">IF(M$5=0,L106,MAX(0,(L106-M$4)*(1+NORMINV(RAND(),INPUTS!$B$28,INPUTS!$B$29))))</f>
        <v>1076758.31119439</v>
      </c>
      <c r="N106" s="85" t="n">
        <f aca="true">IF(N$5=0,M106,MAX(0,(M106-N$4)*(1+NORMINV(RAND(),INPUTS!$B$28,INPUTS!$B$29))))</f>
        <v>1185624.05115845</v>
      </c>
      <c r="O106" s="85" t="n">
        <f aca="true">IF(O$5=0,N106,MAX(0,(N106-O$4)*(1+NORMINV(RAND(),INPUTS!$B$28,INPUTS!$B$29))))</f>
        <v>1109019.7324797</v>
      </c>
      <c r="P106" s="85" t="n">
        <f aca="true">IF(P$5=0,O106,MAX(0,(O106-P$4)*(1+NORMINV(RAND(),INPUTS!$B$28,INPUTS!$B$29))))</f>
        <v>1138943.65201487</v>
      </c>
      <c r="Q106" s="85" t="n">
        <f aca="true">IF(Q$5=0,P106,MAX(0,(P106-Q$4)*(1+NORMINV(RAND(),INPUTS!$B$28,INPUTS!$B$29))))</f>
        <v>1277152.14873698</v>
      </c>
      <c r="R106" s="85" t="n">
        <f aca="true">IF(R$5=0,Q106,MAX(0,(Q106-R$4)*(1+NORMINV(RAND(),INPUTS!$B$28,INPUTS!$B$29))))</f>
        <v>1390626.33432349</v>
      </c>
      <c r="S106" s="85" t="n">
        <f aca="true">IF(S$5=0,R106,MAX(0,(R106-S$4)*(1+NORMINV(RAND(),INPUTS!$B$28,INPUTS!$B$29))))</f>
        <v>1175332.7000443</v>
      </c>
      <c r="T106" s="85" t="n">
        <f aca="true">IF(T$5=0,S106,MAX(0,(S106-T$4)*(1+NORMINV(RAND(),INPUTS!$B$28,INPUTS!$B$29))))</f>
        <v>1254009.43002498</v>
      </c>
      <c r="U106" s="85" t="n">
        <f aca="true">IF(U$5=0,T106,MAX(0,(T106-U$4)*(1+NORMINV(RAND(),INPUTS!$B$28,INPUTS!$B$29))))</f>
        <v>1265891.92262108</v>
      </c>
      <c r="V106" s="85" t="n">
        <f aca="true">IF(V$5=0,U106,MAX(0,(U106-V$4)*(1+NORMINV(RAND(),INPUTS!$B$28,INPUTS!$B$29))))</f>
        <v>1340288.78703817</v>
      </c>
      <c r="W106" s="85" t="n">
        <f aca="true">IF(W$5=0,V106,MAX(0,(V106-W$4)*(1+NORMINV(RAND(),INPUTS!$B$28,INPUTS!$B$29))))</f>
        <v>1369436.69618063</v>
      </c>
      <c r="X106" s="85" t="n">
        <f aca="true">IF(X$5=0,W106,MAX(0,(W106-X$4)*(1+NORMINV(RAND(),INPUTS!$B$28,INPUTS!$B$29))))</f>
        <v>1360506.9541087</v>
      </c>
      <c r="Y106" s="85" t="n">
        <f aca="true">IF(Y$5=0,X106,MAX(0,(X106-Y$4)*(1+NORMINV(RAND(),INPUTS!$B$28,INPUTS!$B$29))))</f>
        <v>1162916.98712352</v>
      </c>
      <c r="Z106" s="85" t="n">
        <f aca="true">IF(Z$5=0,Y106,MAX(0,(Y106-Z$4)*(1+NORMINV(RAND(),INPUTS!$B$28,INPUTS!$B$29))))</f>
        <v>1225215.19439321</v>
      </c>
      <c r="AA106" s="85" t="n">
        <f aca="true">IF(AA$5=0,Z106,MAX(0,(Z106-AA$4)*(1+NORMINV(RAND(),INPUTS!$B$28,INPUTS!$B$29))))</f>
        <v>1371604.19221603</v>
      </c>
      <c r="AB106" s="85" t="n">
        <f aca="true">IF(AB$5=0,AA106,MAX(0,(AA106-AB$4)*(1+NORMINV(RAND(),INPUTS!$B$28,INPUTS!$B$29))))</f>
        <v>1437446.35001817</v>
      </c>
      <c r="AC106" s="85" t="n">
        <f aca="true">IF(AC$5=0,AB106,MAX(0,(AB106-AC$4)*(1+NORMINV(RAND(),INPUTS!$B$28,INPUTS!$B$29))))</f>
        <v>1694001.78607709</v>
      </c>
      <c r="AD106" s="85" t="n">
        <f aca="true">IF(AD$5=0,AC106,MAX(0,(AC106-AD$4)*(1+NORMINV(RAND(),INPUTS!$B$28,INPUTS!$B$29))))</f>
        <v>1617380.40186774</v>
      </c>
      <c r="AE106" s="85" t="n">
        <f aca="true">IF(AE$5=0,AD106,MAX(0,(AD106-AE$4)*(1+NORMINV(RAND(),INPUTS!$B$28,INPUTS!$B$29))))</f>
        <v>1887379.87073956</v>
      </c>
      <c r="AF106" s="85" t="n">
        <f aca="true">IF(AF$5=0,AE106,MAX(0,(AE106-AF$4)*(1+NORMINV(RAND(),INPUTS!$B$28,INPUTS!$B$29))))</f>
        <v>1805830.18528815</v>
      </c>
      <c r="AG106" s="85" t="n">
        <f aca="true">IF(AG$5=0,AF106,MAX(0,(AF106-AG$4)*(1+NORMINV(RAND(),INPUTS!$B$28,INPUTS!$B$29))))</f>
        <v>1355585.52417822</v>
      </c>
      <c r="AH106" s="85" t="n">
        <f aca="true">IF(AH$5=0,AG106,MAX(0,(AG106-AH$4)*(1+NORMINV(RAND(),INPUTS!$B$28,INPUTS!$B$29))))</f>
        <v>1532604.42281899</v>
      </c>
      <c r="AI106" s="85" t="n">
        <f aca="true">IF(AI$5=0,AH106,MAX(0,(AH106-AI$4)*(1+NORMINV(RAND(),INPUTS!$B$28,INPUTS!$B$29))))</f>
        <v>1681031.93023441</v>
      </c>
      <c r="AJ106" s="85" t="n">
        <f aca="true">IF(AJ$5=0,AI106,MAX(0,(AI106-AJ$4)*(1+NORMINV(RAND(),INPUTS!$B$28,INPUTS!$B$29))))</f>
        <v>1657038.99542902</v>
      </c>
      <c r="AK106" s="85" t="n">
        <f aca="true">IF(AK$5=0,AJ106,MAX(0,(AJ106-AK$4)*(1+NORMINV(RAND(),INPUTS!$B$28,INPUTS!$B$29))))</f>
        <v>1654277.5477423</v>
      </c>
      <c r="AL106" s="85" t="n">
        <f aca="true">IF(AL$5=0,AK106,MAX(0,(AK106-AL$4)*(1+NORMINV(RAND(),INPUTS!$B$28,INPUTS!$B$29))))</f>
        <v>1301110.21087968</v>
      </c>
      <c r="AM106" s="85" t="n">
        <f aca="true">IF(AM$5=0,AL106,MAX(0,(AL106-AM$4)*(1+NORMINV(RAND(),INPUTS!$B$28,INPUTS!$B$29))))</f>
        <v>1301110.21087968</v>
      </c>
      <c r="AN106" s="85" t="n">
        <f aca="true">IF(AN$5=0,AM106,MAX(0,(AM106-AN$4)*(1+NORMINV(RAND(),INPUTS!$B$28,INPUTS!$B$29))))</f>
        <v>1301110.21087968</v>
      </c>
      <c r="AO106" s="85" t="n">
        <f aca="true">IF(AO$5=0,AN106,MAX(0,(AN106-AO$4)*(1+NORMINV(RAND(),INPUTS!$B$28,INPUTS!$B$29))))</f>
        <v>1301110.21087968</v>
      </c>
      <c r="AP106" s="85" t="n">
        <f aca="true">IF(AP$5=0,AO106,MAX(0,(AO106-AP$4)*(1+NORMINV(RAND(),INPUTS!$B$28,INPUTS!$B$29))))</f>
        <v>1301110.21087968</v>
      </c>
    </row>
    <row r="107" customFormat="false" ht="15" hidden="false" customHeight="true" outlineLevel="0" collapsed="false">
      <c r="A107" s="83" t="n">
        <v>100</v>
      </c>
      <c r="B107" s="84" t="n">
        <f aca="false">LOOKUP(9.99E+307,C107:AP107)</f>
        <v>0</v>
      </c>
      <c r="C107" s="85" t="n">
        <f aca="true">IF(C$5=0,INPUTS!$B$19,MAX(0,(INPUTS!$B$19-C$4)*(1+NORMINV(RAND(),INPUTS!$B$28,INPUTS!$B$29))))</f>
        <v>1180203.31449794</v>
      </c>
      <c r="D107" s="85" t="n">
        <f aca="true">IF(D$5=0,C107,MAX(0,(C107-D$4)*(1+NORMINV(RAND(),INPUTS!$B$28,INPUTS!$B$29))))</f>
        <v>1285385.24916153</v>
      </c>
      <c r="E107" s="85" t="n">
        <f aca="true">IF(E$5=0,D107,MAX(0,(D107-E$4)*(1+NORMINV(RAND(),INPUTS!$B$28,INPUTS!$B$29))))</f>
        <v>1139314.55202272</v>
      </c>
      <c r="F107" s="85" t="n">
        <f aca="true">IF(F$5=0,E107,MAX(0,(E107-F$4)*(1+NORMINV(RAND(),INPUTS!$B$28,INPUTS!$B$29))))</f>
        <v>1014590.07102667</v>
      </c>
      <c r="G107" s="85" t="n">
        <f aca="true">IF(G$5=0,F107,MAX(0,(F107-G$4)*(1+NORMINV(RAND(),INPUTS!$B$28,INPUTS!$B$29))))</f>
        <v>1150472.48474671</v>
      </c>
      <c r="H107" s="85" t="n">
        <f aca="true">IF(H$5=0,G107,MAX(0,(G107-H$4)*(1+NORMINV(RAND(),INPUTS!$B$28,INPUTS!$B$29))))</f>
        <v>1104923.96476962</v>
      </c>
      <c r="I107" s="85" t="n">
        <f aca="true">IF(I$5=0,H107,MAX(0,(H107-I$4)*(1+NORMINV(RAND(),INPUTS!$B$28,INPUTS!$B$29))))</f>
        <v>1246143.46581905</v>
      </c>
      <c r="J107" s="85" t="n">
        <f aca="true">IF(J$5=0,I107,MAX(0,(I107-J$4)*(1+NORMINV(RAND(),INPUTS!$B$28,INPUTS!$B$29))))</f>
        <v>1245783.17840579</v>
      </c>
      <c r="K107" s="85" t="n">
        <f aca="true">IF(K$5=0,J107,MAX(0,(J107-K$4)*(1+NORMINV(RAND(),INPUTS!$B$28,INPUTS!$B$29))))</f>
        <v>1148604.32675113</v>
      </c>
      <c r="L107" s="85" t="n">
        <f aca="true">IF(L$5=0,K107,MAX(0,(K107-L$4)*(1+NORMINV(RAND(),INPUTS!$B$28,INPUTS!$B$29))))</f>
        <v>989555.981873774</v>
      </c>
      <c r="M107" s="85" t="n">
        <f aca="true">IF(M$5=0,L107,MAX(0,(L107-M$4)*(1+NORMINV(RAND(),INPUTS!$B$28,INPUTS!$B$29))))</f>
        <v>879799.590998354</v>
      </c>
      <c r="N107" s="85" t="n">
        <f aca="true">IF(N$5=0,M107,MAX(0,(M107-N$4)*(1+NORMINV(RAND(),INPUTS!$B$28,INPUTS!$B$29))))</f>
        <v>731575.936202207</v>
      </c>
      <c r="O107" s="85" t="n">
        <f aca="true">IF(O$5=0,N107,MAX(0,(N107-O$4)*(1+NORMINV(RAND(),INPUTS!$B$28,INPUTS!$B$29))))</f>
        <v>767890.537031421</v>
      </c>
      <c r="P107" s="85" t="n">
        <f aca="true">IF(P$5=0,O107,MAX(0,(O107-P$4)*(1+NORMINV(RAND(),INPUTS!$B$28,INPUTS!$B$29))))</f>
        <v>767035.520608048</v>
      </c>
      <c r="Q107" s="85" t="n">
        <f aca="true">IF(Q$5=0,P107,MAX(0,(P107-Q$4)*(1+NORMINV(RAND(),INPUTS!$B$28,INPUTS!$B$29))))</f>
        <v>664790.742823495</v>
      </c>
      <c r="R107" s="85" t="n">
        <f aca="true">IF(R$5=0,Q107,MAX(0,(Q107-R$4)*(1+NORMINV(RAND(),INPUTS!$B$28,INPUTS!$B$29))))</f>
        <v>656497.558612139</v>
      </c>
      <c r="S107" s="85" t="n">
        <f aca="true">IF(S$5=0,R107,MAX(0,(R107-S$4)*(1+NORMINV(RAND(),INPUTS!$B$28,INPUTS!$B$29))))</f>
        <v>669777.292047431</v>
      </c>
      <c r="T107" s="85" t="n">
        <f aca="true">IF(T$5=0,S107,MAX(0,(S107-T$4)*(1+NORMINV(RAND(),INPUTS!$B$28,INPUTS!$B$29))))</f>
        <v>618238.20372149</v>
      </c>
      <c r="U107" s="85" t="n">
        <f aca="true">IF(U$5=0,T107,MAX(0,(T107-U$4)*(1+NORMINV(RAND(),INPUTS!$B$28,INPUTS!$B$29))))</f>
        <v>508962.492126718</v>
      </c>
      <c r="V107" s="85" t="n">
        <f aca="true">IF(V$5=0,U107,MAX(0,(U107-V$4)*(1+NORMINV(RAND(),INPUTS!$B$28,INPUTS!$B$29))))</f>
        <v>554328.016670496</v>
      </c>
      <c r="W107" s="85" t="n">
        <f aca="true">IF(W$5=0,V107,MAX(0,(V107-W$4)*(1+NORMINV(RAND(),INPUTS!$B$28,INPUTS!$B$29))))</f>
        <v>488195.347465934</v>
      </c>
      <c r="X107" s="85" t="n">
        <f aca="true">IF(X$5=0,W107,MAX(0,(W107-X$4)*(1+NORMINV(RAND(),INPUTS!$B$28,INPUTS!$B$29))))</f>
        <v>481199.339128346</v>
      </c>
      <c r="Y107" s="85" t="n">
        <f aca="true">IF(Y$5=0,X107,MAX(0,(X107-Y$4)*(1+NORMINV(RAND(),INPUTS!$B$28,INPUTS!$B$29))))</f>
        <v>396084.881030639</v>
      </c>
      <c r="Z107" s="85" t="n">
        <f aca="true">IF(Z$5=0,Y107,MAX(0,(Y107-Z$4)*(1+NORMINV(RAND(),INPUTS!$B$28,INPUTS!$B$29))))</f>
        <v>310816.963686953</v>
      </c>
      <c r="AA107" s="85" t="n">
        <f aca="true">IF(AA$5=0,Z107,MAX(0,(Z107-AA$4)*(1+NORMINV(RAND(),INPUTS!$B$28,INPUTS!$B$29))))</f>
        <v>291950.647763083</v>
      </c>
      <c r="AB107" s="85" t="n">
        <f aca="true">IF(AB$5=0,AA107,MAX(0,(AA107-AB$4)*(1+NORMINV(RAND(),INPUTS!$B$28,INPUTS!$B$29))))</f>
        <v>217216.691427003</v>
      </c>
      <c r="AC107" s="85" t="n">
        <f aca="true">IF(AC$5=0,AB107,MAX(0,(AB107-AC$4)*(1+NORMINV(RAND(),INPUTS!$B$28,INPUTS!$B$29))))</f>
        <v>163628.866854836</v>
      </c>
      <c r="AD107" s="85" t="n">
        <f aca="true">IF(AD$5=0,AC107,MAX(0,(AC107-AD$4)*(1+NORMINV(RAND(),INPUTS!$B$28,INPUTS!$B$29))))</f>
        <v>89589.1699275102</v>
      </c>
      <c r="AE107" s="85" t="n">
        <f aca="true">IF(AE$5=0,AD107,MAX(0,(AD107-AE$4)*(1+NORMINV(RAND(),INPUTS!$B$28,INPUTS!$B$29))))</f>
        <v>21953.9460774238</v>
      </c>
      <c r="AF107" s="85" t="n">
        <f aca="true">IF(AF$5=0,AE107,MAX(0,(AE107-AF$4)*(1+NORMINV(RAND(),INPUTS!$B$28,INPUTS!$B$29))))</f>
        <v>0</v>
      </c>
      <c r="AG107" s="85" t="n">
        <f aca="true">IF(AG$5=0,AF107,MAX(0,(AF107-AG$4)*(1+NORMINV(RAND(),INPUTS!$B$28,INPUTS!$B$29))))</f>
        <v>0</v>
      </c>
      <c r="AH107" s="85" t="n">
        <f aca="true">IF(AH$5=0,AG107,MAX(0,(AG107-AH$4)*(1+NORMINV(RAND(),INPUTS!$B$28,INPUTS!$B$29))))</f>
        <v>0</v>
      </c>
      <c r="AI107" s="85" t="n">
        <f aca="true">IF(AI$5=0,AH107,MAX(0,(AH107-AI$4)*(1+NORMINV(RAND(),INPUTS!$B$28,INPUTS!$B$29))))</f>
        <v>0</v>
      </c>
      <c r="AJ107" s="85" t="n">
        <f aca="true">IF(AJ$5=0,AI107,MAX(0,(AI107-AJ$4)*(1+NORMINV(RAND(),INPUTS!$B$28,INPUTS!$B$29))))</f>
        <v>0</v>
      </c>
      <c r="AK107" s="85" t="n">
        <f aca="true">IF(AK$5=0,AJ107,MAX(0,(AJ107-AK$4)*(1+NORMINV(RAND(),INPUTS!$B$28,INPUTS!$B$29))))</f>
        <v>0</v>
      </c>
      <c r="AL107" s="85" t="n">
        <f aca="true">IF(AL$5=0,AK107,MAX(0,(AK107-AL$4)*(1+NORMINV(RAND(),INPUTS!$B$28,INPUTS!$B$29))))</f>
        <v>0</v>
      </c>
      <c r="AM107" s="85" t="n">
        <f aca="true">IF(AM$5=0,AL107,MAX(0,(AL107-AM$4)*(1+NORMINV(RAND(),INPUTS!$B$28,INPUTS!$B$29))))</f>
        <v>0</v>
      </c>
      <c r="AN107" s="85" t="n">
        <f aca="true">IF(AN$5=0,AM107,MAX(0,(AM107-AN$4)*(1+NORMINV(RAND(),INPUTS!$B$28,INPUTS!$B$29))))</f>
        <v>0</v>
      </c>
      <c r="AO107" s="85" t="n">
        <f aca="true">IF(AO$5=0,AN107,MAX(0,(AN107-AO$4)*(1+NORMINV(RAND(),INPUTS!$B$28,INPUTS!$B$29))))</f>
        <v>0</v>
      </c>
      <c r="AP107" s="85" t="n">
        <f aca="true">IF(AP$5=0,AO107,MAX(0,(AO107-AP$4)*(1+NORMINV(RAND(),INPUTS!$B$28,INPUTS!$B$29))))</f>
        <v>0</v>
      </c>
    </row>
    <row r="108" customFormat="false" ht="15" hidden="false" customHeight="true" outlineLevel="0" collapsed="false">
      <c r="A108" s="83" t="n">
        <v>101</v>
      </c>
      <c r="B108" s="84" t="n">
        <f aca="false">LOOKUP(9.99E+307,C108:AP108)</f>
        <v>6574528.72563737</v>
      </c>
      <c r="C108" s="85" t="n">
        <f aca="true">IF(C$5=0,INPUTS!$B$19,MAX(0,(INPUTS!$B$19-C$4)*(1+NORMINV(RAND(),INPUTS!$B$28,INPUTS!$B$29))))</f>
        <v>1178890.25385424</v>
      </c>
      <c r="D108" s="85" t="n">
        <f aca="true">IF(D$5=0,C108,MAX(0,(C108-D$4)*(1+NORMINV(RAND(),INPUTS!$B$28,INPUTS!$B$29))))</f>
        <v>1147974.86327534</v>
      </c>
      <c r="E108" s="85" t="n">
        <f aca="true">IF(E$5=0,D108,MAX(0,(D108-E$4)*(1+NORMINV(RAND(),INPUTS!$B$28,INPUTS!$B$29))))</f>
        <v>1165583.93058895</v>
      </c>
      <c r="F108" s="85" t="n">
        <f aca="true">IF(F$5=0,E108,MAX(0,(E108-F$4)*(1+NORMINV(RAND(),INPUTS!$B$28,INPUTS!$B$29))))</f>
        <v>1406969.57609216</v>
      </c>
      <c r="G108" s="85" t="n">
        <f aca="true">IF(G$5=0,F108,MAX(0,(F108-G$4)*(1+NORMINV(RAND(),INPUTS!$B$28,INPUTS!$B$29))))</f>
        <v>1507985.75736878</v>
      </c>
      <c r="H108" s="85" t="n">
        <f aca="true">IF(H$5=0,G108,MAX(0,(G108-H$4)*(1+NORMINV(RAND(),INPUTS!$B$28,INPUTS!$B$29))))</f>
        <v>1613296.36145569</v>
      </c>
      <c r="I108" s="85" t="n">
        <f aca="true">IF(I$5=0,H108,MAX(0,(H108-I$4)*(1+NORMINV(RAND(),INPUTS!$B$28,INPUTS!$B$29))))</f>
        <v>1625326.84738917</v>
      </c>
      <c r="J108" s="85" t="n">
        <f aca="true">IF(J$5=0,I108,MAX(0,(I108-J$4)*(1+NORMINV(RAND(),INPUTS!$B$28,INPUTS!$B$29))))</f>
        <v>1812877.53145384</v>
      </c>
      <c r="K108" s="85" t="n">
        <f aca="true">IF(K$5=0,J108,MAX(0,(J108-K$4)*(1+NORMINV(RAND(),INPUTS!$B$28,INPUTS!$B$29))))</f>
        <v>2043329.28390906</v>
      </c>
      <c r="L108" s="85" t="n">
        <f aca="true">IF(L$5=0,K108,MAX(0,(K108-L$4)*(1+NORMINV(RAND(),INPUTS!$B$28,INPUTS!$B$29))))</f>
        <v>2227741.94769166</v>
      </c>
      <c r="M108" s="85" t="n">
        <f aca="true">IF(M$5=0,L108,MAX(0,(L108-M$4)*(1+NORMINV(RAND(),INPUTS!$B$28,INPUTS!$B$29))))</f>
        <v>1816561.64567856</v>
      </c>
      <c r="N108" s="85" t="n">
        <f aca="true">IF(N$5=0,M108,MAX(0,(M108-N$4)*(1+NORMINV(RAND(),INPUTS!$B$28,INPUTS!$B$29))))</f>
        <v>2103202.05493454</v>
      </c>
      <c r="O108" s="85" t="n">
        <f aca="true">IF(O$5=0,N108,MAX(0,(N108-O$4)*(1+NORMINV(RAND(),INPUTS!$B$28,INPUTS!$B$29))))</f>
        <v>2369691.95719208</v>
      </c>
      <c r="P108" s="85" t="n">
        <f aca="true">IF(P$5=0,O108,MAX(0,(O108-P$4)*(1+NORMINV(RAND(),INPUTS!$B$28,INPUTS!$B$29))))</f>
        <v>2744525.77276959</v>
      </c>
      <c r="Q108" s="85" t="n">
        <f aca="true">IF(Q$5=0,P108,MAX(0,(P108-Q$4)*(1+NORMINV(RAND(),INPUTS!$B$28,INPUTS!$B$29))))</f>
        <v>2872366.14999728</v>
      </c>
      <c r="R108" s="85" t="n">
        <f aca="true">IF(R$5=0,Q108,MAX(0,(Q108-R$4)*(1+NORMINV(RAND(),INPUTS!$B$28,INPUTS!$B$29))))</f>
        <v>2899561.66570607</v>
      </c>
      <c r="S108" s="85" t="n">
        <f aca="true">IF(S$5=0,R108,MAX(0,(R108-S$4)*(1+NORMINV(RAND(),INPUTS!$B$28,INPUTS!$B$29))))</f>
        <v>3111362.23055164</v>
      </c>
      <c r="T108" s="85" t="n">
        <f aca="true">IF(T$5=0,S108,MAX(0,(S108-T$4)*(1+NORMINV(RAND(),INPUTS!$B$28,INPUTS!$B$29))))</f>
        <v>3428780.78687563</v>
      </c>
      <c r="U108" s="85" t="n">
        <f aca="true">IF(U$5=0,T108,MAX(0,(T108-U$4)*(1+NORMINV(RAND(),INPUTS!$B$28,INPUTS!$B$29))))</f>
        <v>3892942.59187353</v>
      </c>
      <c r="V108" s="85" t="n">
        <f aca="true">IF(V$5=0,U108,MAX(0,(U108-V$4)*(1+NORMINV(RAND(),INPUTS!$B$28,INPUTS!$B$29))))</f>
        <v>3697253.23023397</v>
      </c>
      <c r="W108" s="85" t="n">
        <f aca="true">IF(W$5=0,V108,MAX(0,(V108-W$4)*(1+NORMINV(RAND(),INPUTS!$B$28,INPUTS!$B$29))))</f>
        <v>3663298.55297782</v>
      </c>
      <c r="X108" s="85" t="n">
        <f aca="true">IF(X$5=0,W108,MAX(0,(W108-X$4)*(1+NORMINV(RAND(),INPUTS!$B$28,INPUTS!$B$29))))</f>
        <v>4800678.19192661</v>
      </c>
      <c r="Y108" s="85" t="n">
        <f aca="true">IF(Y$5=0,X108,MAX(0,(X108-Y$4)*(1+NORMINV(RAND(),INPUTS!$B$28,INPUTS!$B$29))))</f>
        <v>4845428.22041112</v>
      </c>
      <c r="Z108" s="85" t="n">
        <f aca="true">IF(Z$5=0,Y108,MAX(0,(Y108-Z$4)*(1+NORMINV(RAND(),INPUTS!$B$28,INPUTS!$B$29))))</f>
        <v>5447653.78213067</v>
      </c>
      <c r="AA108" s="85" t="n">
        <f aca="true">IF(AA$5=0,Z108,MAX(0,(Z108-AA$4)*(1+NORMINV(RAND(),INPUTS!$B$28,INPUTS!$B$29))))</f>
        <v>5217110.40463158</v>
      </c>
      <c r="AB108" s="85" t="n">
        <f aca="true">IF(AB$5=0,AA108,MAX(0,(AA108-AB$4)*(1+NORMINV(RAND(),INPUTS!$B$28,INPUTS!$B$29))))</f>
        <v>6272672.71511107</v>
      </c>
      <c r="AC108" s="85" t="n">
        <f aca="true">IF(AC$5=0,AB108,MAX(0,(AB108-AC$4)*(1+NORMINV(RAND(),INPUTS!$B$28,INPUTS!$B$29))))</f>
        <v>6194930.27340828</v>
      </c>
      <c r="AD108" s="85" t="n">
        <f aca="true">IF(AD$5=0,AC108,MAX(0,(AC108-AD$4)*(1+NORMINV(RAND(),INPUTS!$B$28,INPUTS!$B$29))))</f>
        <v>6165448.51147891</v>
      </c>
      <c r="AE108" s="85" t="n">
        <f aca="true">IF(AE$5=0,AD108,MAX(0,(AD108-AE$4)*(1+NORMINV(RAND(),INPUTS!$B$28,INPUTS!$B$29))))</f>
        <v>5574777.22362478</v>
      </c>
      <c r="AF108" s="85" t="n">
        <f aca="true">IF(AF$5=0,AE108,MAX(0,(AE108-AF$4)*(1+NORMINV(RAND(),INPUTS!$B$28,INPUTS!$B$29))))</f>
        <v>6695085.50261468</v>
      </c>
      <c r="AG108" s="85" t="n">
        <f aca="true">IF(AG$5=0,AF108,MAX(0,(AF108-AG$4)*(1+NORMINV(RAND(),INPUTS!$B$28,INPUTS!$B$29))))</f>
        <v>6780518.70614378</v>
      </c>
      <c r="AH108" s="85" t="n">
        <f aca="true">IF(AH$5=0,AG108,MAX(0,(AG108-AH$4)*(1+NORMINV(RAND(),INPUTS!$B$28,INPUTS!$B$29))))</f>
        <v>7708252.99643801</v>
      </c>
      <c r="AI108" s="85" t="n">
        <f aca="true">IF(AI$5=0,AH108,MAX(0,(AH108-AI$4)*(1+NORMINV(RAND(),INPUTS!$B$28,INPUTS!$B$29))))</f>
        <v>8444164.08243354</v>
      </c>
      <c r="AJ108" s="85" t="n">
        <f aca="true">IF(AJ$5=0,AI108,MAX(0,(AI108-AJ$4)*(1+NORMINV(RAND(),INPUTS!$B$28,INPUTS!$B$29))))</f>
        <v>6976102.07917692</v>
      </c>
      <c r="AK108" s="85" t="n">
        <f aca="true">IF(AK$5=0,AJ108,MAX(0,(AJ108-AK$4)*(1+NORMINV(RAND(),INPUTS!$B$28,INPUTS!$B$29))))</f>
        <v>6443565.10476745</v>
      </c>
      <c r="AL108" s="85" t="n">
        <f aca="true">IF(AL$5=0,AK108,MAX(0,(AK108-AL$4)*(1+NORMINV(RAND(),INPUTS!$B$28,INPUTS!$B$29))))</f>
        <v>6574528.72563737</v>
      </c>
      <c r="AM108" s="85" t="n">
        <f aca="true">IF(AM$5=0,AL108,MAX(0,(AL108-AM$4)*(1+NORMINV(RAND(),INPUTS!$B$28,INPUTS!$B$29))))</f>
        <v>6574528.72563737</v>
      </c>
      <c r="AN108" s="85" t="n">
        <f aca="true">IF(AN$5=0,AM108,MAX(0,(AM108-AN$4)*(1+NORMINV(RAND(),INPUTS!$B$28,INPUTS!$B$29))))</f>
        <v>6574528.72563737</v>
      </c>
      <c r="AO108" s="85" t="n">
        <f aca="true">IF(AO$5=0,AN108,MAX(0,(AN108-AO$4)*(1+NORMINV(RAND(),INPUTS!$B$28,INPUTS!$B$29))))</f>
        <v>6574528.72563737</v>
      </c>
      <c r="AP108" s="85" t="n">
        <f aca="true">IF(AP$5=0,AO108,MAX(0,(AO108-AP$4)*(1+NORMINV(RAND(),INPUTS!$B$28,INPUTS!$B$29))))</f>
        <v>6574528.72563737</v>
      </c>
    </row>
    <row r="109" customFormat="false" ht="15" hidden="false" customHeight="true" outlineLevel="0" collapsed="false">
      <c r="A109" s="83" t="n">
        <v>102</v>
      </c>
      <c r="B109" s="84" t="n">
        <f aca="false">LOOKUP(9.99E+307,C109:AP109)</f>
        <v>2198937.85666122</v>
      </c>
      <c r="C109" s="85" t="n">
        <f aca="true">IF(C$5=0,INPUTS!$B$19,MAX(0,(INPUTS!$B$19-C$4)*(1+NORMINV(RAND(),INPUTS!$B$28,INPUTS!$B$29))))</f>
        <v>1092703.24301441</v>
      </c>
      <c r="D109" s="85" t="n">
        <f aca="true">IF(D$5=0,C109,MAX(0,(C109-D$4)*(1+NORMINV(RAND(),INPUTS!$B$28,INPUTS!$B$29))))</f>
        <v>958495.784048351</v>
      </c>
      <c r="E109" s="85" t="n">
        <f aca="true">IF(E$5=0,D109,MAX(0,(D109-E$4)*(1+NORMINV(RAND(),INPUTS!$B$28,INPUTS!$B$29))))</f>
        <v>918630.641083962</v>
      </c>
      <c r="F109" s="85" t="n">
        <f aca="true">IF(F$5=0,E109,MAX(0,(E109-F$4)*(1+NORMINV(RAND(),INPUTS!$B$28,INPUTS!$B$29))))</f>
        <v>1011877.26854731</v>
      </c>
      <c r="G109" s="85" t="n">
        <f aca="true">IF(G$5=0,F109,MAX(0,(F109-G$4)*(1+NORMINV(RAND(),INPUTS!$B$28,INPUTS!$B$29))))</f>
        <v>1007712.91299229</v>
      </c>
      <c r="H109" s="85" t="n">
        <f aca="true">IF(H$5=0,G109,MAX(0,(G109-H$4)*(1+NORMINV(RAND(),INPUTS!$B$28,INPUTS!$B$29))))</f>
        <v>1086403.89483445</v>
      </c>
      <c r="I109" s="85" t="n">
        <f aca="true">IF(I$5=0,H109,MAX(0,(H109-I$4)*(1+NORMINV(RAND(),INPUTS!$B$28,INPUTS!$B$29))))</f>
        <v>1350611.61922958</v>
      </c>
      <c r="J109" s="85" t="n">
        <f aca="true">IF(J$5=0,I109,MAX(0,(I109-J$4)*(1+NORMINV(RAND(),INPUTS!$B$28,INPUTS!$B$29))))</f>
        <v>1336387.22841702</v>
      </c>
      <c r="K109" s="85" t="n">
        <f aca="true">IF(K$5=0,J109,MAX(0,(J109-K$4)*(1+NORMINV(RAND(),INPUTS!$B$28,INPUTS!$B$29))))</f>
        <v>1224391.20605107</v>
      </c>
      <c r="L109" s="85" t="n">
        <f aca="true">IF(L$5=0,K109,MAX(0,(K109-L$4)*(1+NORMINV(RAND(),INPUTS!$B$28,INPUTS!$B$29))))</f>
        <v>1390562.52748881</v>
      </c>
      <c r="M109" s="85" t="n">
        <f aca="true">IF(M$5=0,L109,MAX(0,(L109-M$4)*(1+NORMINV(RAND(),INPUTS!$B$28,INPUTS!$B$29))))</f>
        <v>1474421.63134155</v>
      </c>
      <c r="N109" s="85" t="n">
        <f aca="true">IF(N$5=0,M109,MAX(0,(M109-N$4)*(1+NORMINV(RAND(),INPUTS!$B$28,INPUTS!$B$29))))</f>
        <v>1300649.27084702</v>
      </c>
      <c r="O109" s="85" t="n">
        <f aca="true">IF(O$5=0,N109,MAX(0,(N109-O$4)*(1+NORMINV(RAND(),INPUTS!$B$28,INPUTS!$B$29))))</f>
        <v>1143678.81314942</v>
      </c>
      <c r="P109" s="85" t="n">
        <f aca="true">IF(P$5=0,O109,MAX(0,(O109-P$4)*(1+NORMINV(RAND(),INPUTS!$B$28,INPUTS!$B$29))))</f>
        <v>1299573.95518617</v>
      </c>
      <c r="Q109" s="85" t="n">
        <f aca="true">IF(Q$5=0,P109,MAX(0,(P109-Q$4)*(1+NORMINV(RAND(),INPUTS!$B$28,INPUTS!$B$29))))</f>
        <v>1308705.103108</v>
      </c>
      <c r="R109" s="85" t="n">
        <f aca="true">IF(R$5=0,Q109,MAX(0,(Q109-R$4)*(1+NORMINV(RAND(),INPUTS!$B$28,INPUTS!$B$29))))</f>
        <v>1275520.19930216</v>
      </c>
      <c r="S109" s="85" t="n">
        <f aca="true">IF(S$5=0,R109,MAX(0,(R109-S$4)*(1+NORMINV(RAND(),INPUTS!$B$28,INPUTS!$B$29))))</f>
        <v>1394430.33716531</v>
      </c>
      <c r="T109" s="85" t="n">
        <f aca="true">IF(T$5=0,S109,MAX(0,(S109-T$4)*(1+NORMINV(RAND(),INPUTS!$B$28,INPUTS!$B$29))))</f>
        <v>1646614.44388074</v>
      </c>
      <c r="U109" s="85" t="n">
        <f aca="true">IF(U$5=0,T109,MAX(0,(T109-U$4)*(1+NORMINV(RAND(),INPUTS!$B$28,INPUTS!$B$29))))</f>
        <v>1742088.61521104</v>
      </c>
      <c r="V109" s="85" t="n">
        <f aca="true">IF(V$5=0,U109,MAX(0,(U109-V$4)*(1+NORMINV(RAND(),INPUTS!$B$28,INPUTS!$B$29))))</f>
        <v>1630147.05539227</v>
      </c>
      <c r="W109" s="85" t="n">
        <f aca="true">IF(W$5=0,V109,MAX(0,(V109-W$4)*(1+NORMINV(RAND(),INPUTS!$B$28,INPUTS!$B$29))))</f>
        <v>1280316.73871747</v>
      </c>
      <c r="X109" s="85" t="n">
        <f aca="true">IF(X$5=0,W109,MAX(0,(W109-X$4)*(1+NORMINV(RAND(),INPUTS!$B$28,INPUTS!$B$29))))</f>
        <v>1321820.35007372</v>
      </c>
      <c r="Y109" s="85" t="n">
        <f aca="true">IF(Y$5=0,X109,MAX(0,(X109-Y$4)*(1+NORMINV(RAND(),INPUTS!$B$28,INPUTS!$B$29))))</f>
        <v>1319227.5885328</v>
      </c>
      <c r="Z109" s="85" t="n">
        <f aca="true">IF(Z$5=0,Y109,MAX(0,(Y109-Z$4)*(1+NORMINV(RAND(),INPUTS!$B$28,INPUTS!$B$29))))</f>
        <v>1411156.90789603</v>
      </c>
      <c r="AA109" s="85" t="n">
        <f aca="true">IF(AA$5=0,Z109,MAX(0,(Z109-AA$4)*(1+NORMINV(RAND(),INPUTS!$B$28,INPUTS!$B$29))))</f>
        <v>1432258.95920407</v>
      </c>
      <c r="AB109" s="85" t="n">
        <f aca="true">IF(AB$5=0,AA109,MAX(0,(AA109-AB$4)*(1+NORMINV(RAND(),INPUTS!$B$28,INPUTS!$B$29))))</f>
        <v>1544854.79423926</v>
      </c>
      <c r="AC109" s="85" t="n">
        <f aca="true">IF(AC$5=0,AB109,MAX(0,(AB109-AC$4)*(1+NORMINV(RAND(),INPUTS!$B$28,INPUTS!$B$29))))</f>
        <v>1563204.27757159</v>
      </c>
      <c r="AD109" s="85" t="n">
        <f aca="true">IF(AD$5=0,AC109,MAX(0,(AC109-AD$4)*(1+NORMINV(RAND(),INPUTS!$B$28,INPUTS!$B$29))))</f>
        <v>1534813.06474724</v>
      </c>
      <c r="AE109" s="85" t="n">
        <f aca="true">IF(AE$5=0,AD109,MAX(0,(AD109-AE$4)*(1+NORMINV(RAND(),INPUTS!$B$28,INPUTS!$B$29))))</f>
        <v>1645035.05431374</v>
      </c>
      <c r="AF109" s="85" t="n">
        <f aca="true">IF(AF$5=0,AE109,MAX(0,(AE109-AF$4)*(1+NORMINV(RAND(),INPUTS!$B$28,INPUTS!$B$29))))</f>
        <v>1729151.05482418</v>
      </c>
      <c r="AG109" s="85" t="n">
        <f aca="true">IF(AG$5=0,AF109,MAX(0,(AF109-AG$4)*(1+NORMINV(RAND(),INPUTS!$B$28,INPUTS!$B$29))))</f>
        <v>1867102.62413816</v>
      </c>
      <c r="AH109" s="85" t="n">
        <f aca="true">IF(AH$5=0,AG109,MAX(0,(AG109-AH$4)*(1+NORMINV(RAND(),INPUTS!$B$28,INPUTS!$B$29))))</f>
        <v>2064679.13048558</v>
      </c>
      <c r="AI109" s="85" t="n">
        <f aca="true">IF(AI$5=0,AH109,MAX(0,(AH109-AI$4)*(1+NORMINV(RAND(),INPUTS!$B$28,INPUTS!$B$29))))</f>
        <v>2286389.55904193</v>
      </c>
      <c r="AJ109" s="85" t="n">
        <f aca="true">IF(AJ$5=0,AI109,MAX(0,(AI109-AJ$4)*(1+NORMINV(RAND(),INPUTS!$B$28,INPUTS!$B$29))))</f>
        <v>2176874.80930495</v>
      </c>
      <c r="AK109" s="85" t="n">
        <f aca="true">IF(AK$5=0,AJ109,MAX(0,(AJ109-AK$4)*(1+NORMINV(RAND(),INPUTS!$B$28,INPUTS!$B$29))))</f>
        <v>1946117.18825462</v>
      </c>
      <c r="AL109" s="85" t="n">
        <f aca="true">IF(AL$5=0,AK109,MAX(0,(AK109-AL$4)*(1+NORMINV(RAND(),INPUTS!$B$28,INPUTS!$B$29))))</f>
        <v>2198937.85666122</v>
      </c>
      <c r="AM109" s="85" t="n">
        <f aca="true">IF(AM$5=0,AL109,MAX(0,(AL109-AM$4)*(1+NORMINV(RAND(),INPUTS!$B$28,INPUTS!$B$29))))</f>
        <v>2198937.85666122</v>
      </c>
      <c r="AN109" s="85" t="n">
        <f aca="true">IF(AN$5=0,AM109,MAX(0,(AM109-AN$4)*(1+NORMINV(RAND(),INPUTS!$B$28,INPUTS!$B$29))))</f>
        <v>2198937.85666122</v>
      </c>
      <c r="AO109" s="85" t="n">
        <f aca="true">IF(AO$5=0,AN109,MAX(0,(AN109-AO$4)*(1+NORMINV(RAND(),INPUTS!$B$28,INPUTS!$B$29))))</f>
        <v>2198937.85666122</v>
      </c>
      <c r="AP109" s="85" t="n">
        <f aca="true">IF(AP$5=0,AO109,MAX(0,(AO109-AP$4)*(1+NORMINV(RAND(),INPUTS!$B$28,INPUTS!$B$29))))</f>
        <v>2198937.85666122</v>
      </c>
    </row>
    <row r="110" customFormat="false" ht="15" hidden="false" customHeight="true" outlineLevel="0" collapsed="false">
      <c r="A110" s="83" t="n">
        <v>103</v>
      </c>
      <c r="B110" s="84" t="n">
        <f aca="false">LOOKUP(9.99E+307,C110:AP110)</f>
        <v>0</v>
      </c>
      <c r="C110" s="85" t="n">
        <f aca="true">IF(C$5=0,INPUTS!$B$19,MAX(0,(INPUTS!$B$19-C$4)*(1+NORMINV(RAND(),INPUTS!$B$28,INPUTS!$B$29))))</f>
        <v>1123502.24404297</v>
      </c>
      <c r="D110" s="85" t="n">
        <f aca="true">IF(D$5=0,C110,MAX(0,(C110-D$4)*(1+NORMINV(RAND(),INPUTS!$B$28,INPUTS!$B$29))))</f>
        <v>1020695.56631501</v>
      </c>
      <c r="E110" s="85" t="n">
        <f aca="true">IF(E$5=0,D110,MAX(0,(D110-E$4)*(1+NORMINV(RAND(),INPUTS!$B$28,INPUTS!$B$29))))</f>
        <v>921244.790905744</v>
      </c>
      <c r="F110" s="85" t="n">
        <f aca="true">IF(F$5=0,E110,MAX(0,(E110-F$4)*(1+NORMINV(RAND(),INPUTS!$B$28,INPUTS!$B$29))))</f>
        <v>1048724.47250296</v>
      </c>
      <c r="G110" s="85" t="n">
        <f aca="true">IF(G$5=0,F110,MAX(0,(F110-G$4)*(1+NORMINV(RAND(),INPUTS!$B$28,INPUTS!$B$29))))</f>
        <v>1072426.69588893</v>
      </c>
      <c r="H110" s="85" t="n">
        <f aca="true">IF(H$5=0,G110,MAX(0,(G110-H$4)*(1+NORMINV(RAND(),INPUTS!$B$28,INPUTS!$B$29))))</f>
        <v>714891.055494896</v>
      </c>
      <c r="I110" s="85" t="n">
        <f aca="true">IF(I$5=0,H110,MAX(0,(H110-I$4)*(1+NORMINV(RAND(),INPUTS!$B$28,INPUTS!$B$29))))</f>
        <v>810003.556929565</v>
      </c>
      <c r="J110" s="85" t="n">
        <f aca="true">IF(J$5=0,I110,MAX(0,(I110-J$4)*(1+NORMINV(RAND(),INPUTS!$B$28,INPUTS!$B$29))))</f>
        <v>753650.437748089</v>
      </c>
      <c r="K110" s="85" t="n">
        <f aca="true">IF(K$5=0,J110,MAX(0,(J110-K$4)*(1+NORMINV(RAND(),INPUTS!$B$28,INPUTS!$B$29))))</f>
        <v>646095.894164871</v>
      </c>
      <c r="L110" s="85" t="n">
        <f aca="true">IF(L$5=0,K110,MAX(0,(K110-L$4)*(1+NORMINV(RAND(),INPUTS!$B$28,INPUTS!$B$29))))</f>
        <v>569062.572123641</v>
      </c>
      <c r="M110" s="85" t="n">
        <f aca="true">IF(M$5=0,L110,MAX(0,(L110-M$4)*(1+NORMINV(RAND(),INPUTS!$B$28,INPUTS!$B$29))))</f>
        <v>608818.13351746</v>
      </c>
      <c r="N110" s="85" t="n">
        <f aca="true">IF(N$5=0,M110,MAX(0,(M110-N$4)*(1+NORMINV(RAND(),INPUTS!$B$28,INPUTS!$B$29))))</f>
        <v>619991.615147535</v>
      </c>
      <c r="O110" s="85" t="n">
        <f aca="true">IF(O$5=0,N110,MAX(0,(N110-O$4)*(1+NORMINV(RAND(),INPUTS!$B$28,INPUTS!$B$29))))</f>
        <v>550351.778257991</v>
      </c>
      <c r="P110" s="85" t="n">
        <f aca="true">IF(P$5=0,O110,MAX(0,(O110-P$4)*(1+NORMINV(RAND(),INPUTS!$B$28,INPUTS!$B$29))))</f>
        <v>564492.846333967</v>
      </c>
      <c r="Q110" s="85" t="n">
        <f aca="true">IF(Q$5=0,P110,MAX(0,(P110-Q$4)*(1+NORMINV(RAND(),INPUTS!$B$28,INPUTS!$B$29))))</f>
        <v>603133.42768598</v>
      </c>
      <c r="R110" s="85" t="n">
        <f aca="true">IF(R$5=0,Q110,MAX(0,(Q110-R$4)*(1+NORMINV(RAND(),INPUTS!$B$28,INPUTS!$B$29))))</f>
        <v>686552.448583346</v>
      </c>
      <c r="S110" s="85" t="n">
        <f aca="true">IF(S$5=0,R110,MAX(0,(R110-S$4)*(1+NORMINV(RAND(),INPUTS!$B$28,INPUTS!$B$29))))</f>
        <v>736841.740478651</v>
      </c>
      <c r="T110" s="85" t="n">
        <f aca="true">IF(T$5=0,S110,MAX(0,(S110-T$4)*(1+NORMINV(RAND(),INPUTS!$B$28,INPUTS!$B$29))))</f>
        <v>721198.752203809</v>
      </c>
      <c r="U110" s="85" t="n">
        <f aca="true">IF(U$5=0,T110,MAX(0,(T110-U$4)*(1+NORMINV(RAND(),INPUTS!$B$28,INPUTS!$B$29))))</f>
        <v>752728.608624541</v>
      </c>
      <c r="V110" s="85" t="n">
        <f aca="true">IF(V$5=0,U110,MAX(0,(U110-V$4)*(1+NORMINV(RAND(),INPUTS!$B$28,INPUTS!$B$29))))</f>
        <v>658204.456256448</v>
      </c>
      <c r="W110" s="85" t="n">
        <f aca="true">IF(W$5=0,V110,MAX(0,(V110-W$4)*(1+NORMINV(RAND(),INPUTS!$B$28,INPUTS!$B$29))))</f>
        <v>686919.949565663</v>
      </c>
      <c r="X110" s="85" t="n">
        <f aca="true">IF(X$5=0,W110,MAX(0,(W110-X$4)*(1+NORMINV(RAND(),INPUTS!$B$28,INPUTS!$B$29))))</f>
        <v>605525.345339937</v>
      </c>
      <c r="Y110" s="85" t="n">
        <f aca="true">IF(Y$5=0,X110,MAX(0,(X110-Y$4)*(1+NORMINV(RAND(),INPUTS!$B$28,INPUTS!$B$29))))</f>
        <v>676985.866333845</v>
      </c>
      <c r="Z110" s="85" t="n">
        <f aca="true">IF(Z$5=0,Y110,MAX(0,(Y110-Z$4)*(1+NORMINV(RAND(),INPUTS!$B$28,INPUTS!$B$29))))</f>
        <v>575422.76841185</v>
      </c>
      <c r="AA110" s="85" t="n">
        <f aca="true">IF(AA$5=0,Z110,MAX(0,(Z110-AA$4)*(1+NORMINV(RAND(),INPUTS!$B$28,INPUTS!$B$29))))</f>
        <v>530679.351125239</v>
      </c>
      <c r="AB110" s="85" t="n">
        <f aca="true">IF(AB$5=0,AA110,MAX(0,(AA110-AB$4)*(1+NORMINV(RAND(),INPUTS!$B$28,INPUTS!$B$29))))</f>
        <v>473193.304161388</v>
      </c>
      <c r="AC110" s="85" t="n">
        <f aca="true">IF(AC$5=0,AB110,MAX(0,(AB110-AC$4)*(1+NORMINV(RAND(),INPUTS!$B$28,INPUTS!$B$29))))</f>
        <v>364501.390499918</v>
      </c>
      <c r="AD110" s="85" t="n">
        <f aca="true">IF(AD$5=0,AC110,MAX(0,(AC110-AD$4)*(1+NORMINV(RAND(),INPUTS!$B$28,INPUTS!$B$29))))</f>
        <v>290186.577775152</v>
      </c>
      <c r="AE110" s="85" t="n">
        <f aca="true">IF(AE$5=0,AD110,MAX(0,(AD110-AE$4)*(1+NORMINV(RAND(),INPUTS!$B$28,INPUTS!$B$29))))</f>
        <v>244125.015475306</v>
      </c>
      <c r="AF110" s="85" t="n">
        <f aca="true">IF(AF$5=0,AE110,MAX(0,(AE110-AF$4)*(1+NORMINV(RAND(),INPUTS!$B$28,INPUTS!$B$29))))</f>
        <v>180998.939362789</v>
      </c>
      <c r="AG110" s="85" t="n">
        <f aca="true">IF(AG$5=0,AF110,MAX(0,(AF110-AG$4)*(1+NORMINV(RAND(),INPUTS!$B$28,INPUTS!$B$29))))</f>
        <v>118525.386599039</v>
      </c>
      <c r="AH110" s="85" t="n">
        <f aca="true">IF(AH$5=0,AG110,MAX(0,(AG110-AH$4)*(1+NORMINV(RAND(),INPUTS!$B$28,INPUTS!$B$29))))</f>
        <v>47641.6935986613</v>
      </c>
      <c r="AI110" s="85" t="n">
        <f aca="true">IF(AI$5=0,AH110,MAX(0,(AH110-AI$4)*(1+NORMINV(RAND(),INPUTS!$B$28,INPUTS!$B$29))))</f>
        <v>0</v>
      </c>
      <c r="AJ110" s="85" t="n">
        <f aca="true">IF(AJ$5=0,AI110,MAX(0,(AI110-AJ$4)*(1+NORMINV(RAND(),INPUTS!$B$28,INPUTS!$B$29))))</f>
        <v>0</v>
      </c>
      <c r="AK110" s="85" t="n">
        <f aca="true">IF(AK$5=0,AJ110,MAX(0,(AJ110-AK$4)*(1+NORMINV(RAND(),INPUTS!$B$28,INPUTS!$B$29))))</f>
        <v>0</v>
      </c>
      <c r="AL110" s="85" t="n">
        <f aca="true">IF(AL$5=0,AK110,MAX(0,(AK110-AL$4)*(1+NORMINV(RAND(),INPUTS!$B$28,INPUTS!$B$29))))</f>
        <v>0</v>
      </c>
      <c r="AM110" s="85" t="n">
        <f aca="true">IF(AM$5=0,AL110,MAX(0,(AL110-AM$4)*(1+NORMINV(RAND(),INPUTS!$B$28,INPUTS!$B$29))))</f>
        <v>0</v>
      </c>
      <c r="AN110" s="85" t="n">
        <f aca="true">IF(AN$5=0,AM110,MAX(0,(AM110-AN$4)*(1+NORMINV(RAND(),INPUTS!$B$28,INPUTS!$B$29))))</f>
        <v>0</v>
      </c>
      <c r="AO110" s="85" t="n">
        <f aca="true">IF(AO$5=0,AN110,MAX(0,(AN110-AO$4)*(1+NORMINV(RAND(),INPUTS!$B$28,INPUTS!$B$29))))</f>
        <v>0</v>
      </c>
      <c r="AP110" s="85" t="n">
        <f aca="true">IF(AP$5=0,AO110,MAX(0,(AO110-AP$4)*(1+NORMINV(RAND(),INPUTS!$B$28,INPUTS!$B$29))))</f>
        <v>0</v>
      </c>
    </row>
    <row r="111" customFormat="false" ht="15" hidden="false" customHeight="true" outlineLevel="0" collapsed="false">
      <c r="A111" s="83" t="n">
        <v>104</v>
      </c>
      <c r="B111" s="84" t="n">
        <f aca="false">LOOKUP(9.99E+307,C111:AP111)</f>
        <v>179369.751399948</v>
      </c>
      <c r="C111" s="85" t="n">
        <f aca="true">IF(C$5=0,INPUTS!$B$19,MAX(0,(INPUTS!$B$19-C$4)*(1+NORMINV(RAND(),INPUTS!$B$28,INPUTS!$B$29))))</f>
        <v>1273622.01300611</v>
      </c>
      <c r="D111" s="85" t="n">
        <f aca="true">IF(D$5=0,C111,MAX(0,(C111-D$4)*(1+NORMINV(RAND(),INPUTS!$B$28,INPUTS!$B$29))))</f>
        <v>1129890.18637745</v>
      </c>
      <c r="E111" s="85" t="n">
        <f aca="true">IF(E$5=0,D111,MAX(0,(D111-E$4)*(1+NORMINV(RAND(),INPUTS!$B$28,INPUTS!$B$29))))</f>
        <v>1146002.80743873</v>
      </c>
      <c r="F111" s="85" t="n">
        <f aca="true">IF(F$5=0,E111,MAX(0,(E111-F$4)*(1+NORMINV(RAND(),INPUTS!$B$28,INPUTS!$B$29))))</f>
        <v>1103614.439456</v>
      </c>
      <c r="G111" s="85" t="n">
        <f aca="true">IF(G$5=0,F111,MAX(0,(F111-G$4)*(1+NORMINV(RAND(),INPUTS!$B$28,INPUTS!$B$29))))</f>
        <v>1049585.70864374</v>
      </c>
      <c r="H111" s="85" t="n">
        <f aca="true">IF(H$5=0,G111,MAX(0,(G111-H$4)*(1+NORMINV(RAND(),INPUTS!$B$28,INPUTS!$B$29))))</f>
        <v>1098605.51431304</v>
      </c>
      <c r="I111" s="85" t="n">
        <f aca="true">IF(I$5=0,H111,MAX(0,(H111-I$4)*(1+NORMINV(RAND(),INPUTS!$B$28,INPUTS!$B$29))))</f>
        <v>1320590.0520468</v>
      </c>
      <c r="J111" s="85" t="n">
        <f aca="true">IF(J$5=0,I111,MAX(0,(I111-J$4)*(1+NORMINV(RAND(),INPUTS!$B$28,INPUTS!$B$29))))</f>
        <v>1155030.02754405</v>
      </c>
      <c r="K111" s="85" t="n">
        <f aca="true">IF(K$5=0,J111,MAX(0,(J111-K$4)*(1+NORMINV(RAND(),INPUTS!$B$28,INPUTS!$B$29))))</f>
        <v>1100133.49048105</v>
      </c>
      <c r="L111" s="85" t="n">
        <f aca="true">IF(L$5=0,K111,MAX(0,(K111-L$4)*(1+NORMINV(RAND(),INPUTS!$B$28,INPUTS!$B$29))))</f>
        <v>1065873.63247123</v>
      </c>
      <c r="M111" s="85" t="n">
        <f aca="true">IF(M$5=0,L111,MAX(0,(L111-M$4)*(1+NORMINV(RAND(),INPUTS!$B$28,INPUTS!$B$29))))</f>
        <v>1082308.67039567</v>
      </c>
      <c r="N111" s="85" t="n">
        <f aca="true">IF(N$5=0,M111,MAX(0,(M111-N$4)*(1+NORMINV(RAND(),INPUTS!$B$28,INPUTS!$B$29))))</f>
        <v>1146436.16462892</v>
      </c>
      <c r="O111" s="85" t="n">
        <f aca="true">IF(O$5=0,N111,MAX(0,(N111-O$4)*(1+NORMINV(RAND(),INPUTS!$B$28,INPUTS!$B$29))))</f>
        <v>1276800.23399345</v>
      </c>
      <c r="P111" s="85" t="n">
        <f aca="true">IF(P$5=0,O111,MAX(0,(O111-P$4)*(1+NORMINV(RAND(),INPUTS!$B$28,INPUTS!$B$29))))</f>
        <v>1118838.86450942</v>
      </c>
      <c r="Q111" s="85" t="n">
        <f aca="true">IF(Q$5=0,P111,MAX(0,(P111-Q$4)*(1+NORMINV(RAND(),INPUTS!$B$28,INPUTS!$B$29))))</f>
        <v>1226805.91888548</v>
      </c>
      <c r="R111" s="85" t="n">
        <f aca="true">IF(R$5=0,Q111,MAX(0,(Q111-R$4)*(1+NORMINV(RAND(),INPUTS!$B$28,INPUTS!$B$29))))</f>
        <v>1279231.53704671</v>
      </c>
      <c r="S111" s="85" t="n">
        <f aca="true">IF(S$5=0,R111,MAX(0,(R111-S$4)*(1+NORMINV(RAND(),INPUTS!$B$28,INPUTS!$B$29))))</f>
        <v>1069405.17900389</v>
      </c>
      <c r="T111" s="85" t="n">
        <f aca="true">IF(T$5=0,S111,MAX(0,(S111-T$4)*(1+NORMINV(RAND(),INPUTS!$B$28,INPUTS!$B$29))))</f>
        <v>837996.45205406</v>
      </c>
      <c r="U111" s="85" t="n">
        <f aca="true">IF(U$5=0,T111,MAX(0,(T111-U$4)*(1+NORMINV(RAND(),INPUTS!$B$28,INPUTS!$B$29))))</f>
        <v>903064.381058148</v>
      </c>
      <c r="V111" s="85" t="n">
        <f aca="true">IF(V$5=0,U111,MAX(0,(U111-V$4)*(1+NORMINV(RAND(),INPUTS!$B$28,INPUTS!$B$29))))</f>
        <v>978407.056416092</v>
      </c>
      <c r="W111" s="85" t="n">
        <f aca="true">IF(W$5=0,V111,MAX(0,(V111-W$4)*(1+NORMINV(RAND(),INPUTS!$B$28,INPUTS!$B$29))))</f>
        <v>927428.341066939</v>
      </c>
      <c r="X111" s="85" t="n">
        <f aca="true">IF(X$5=0,W111,MAX(0,(W111-X$4)*(1+NORMINV(RAND(),INPUTS!$B$28,INPUTS!$B$29))))</f>
        <v>897832.094905903</v>
      </c>
      <c r="Y111" s="85" t="n">
        <f aca="true">IF(Y$5=0,X111,MAX(0,(X111-Y$4)*(1+NORMINV(RAND(),INPUTS!$B$28,INPUTS!$B$29))))</f>
        <v>932816.586249393</v>
      </c>
      <c r="Z111" s="85" t="n">
        <f aca="true">IF(Z$5=0,Y111,MAX(0,(Y111-Z$4)*(1+NORMINV(RAND(),INPUTS!$B$28,INPUTS!$B$29))))</f>
        <v>819477.809527958</v>
      </c>
      <c r="AA111" s="85" t="n">
        <f aca="true">IF(AA$5=0,Z111,MAX(0,(Z111-AA$4)*(1+NORMINV(RAND(),INPUTS!$B$28,INPUTS!$B$29))))</f>
        <v>702809.649179665</v>
      </c>
      <c r="AB111" s="85" t="n">
        <f aca="true">IF(AB$5=0,AA111,MAX(0,(AA111-AB$4)*(1+NORMINV(RAND(),INPUTS!$B$28,INPUTS!$B$29))))</f>
        <v>585195.880649908</v>
      </c>
      <c r="AC111" s="85" t="n">
        <f aca="true">IF(AC$5=0,AB111,MAX(0,(AB111-AC$4)*(1+NORMINV(RAND(),INPUTS!$B$28,INPUTS!$B$29))))</f>
        <v>548880.634641424</v>
      </c>
      <c r="AD111" s="85" t="n">
        <f aca="true">IF(AD$5=0,AC111,MAX(0,(AC111-AD$4)*(1+NORMINV(RAND(),INPUTS!$B$28,INPUTS!$B$29))))</f>
        <v>521722.920665028</v>
      </c>
      <c r="AE111" s="85" t="n">
        <f aca="true">IF(AE$5=0,AD111,MAX(0,(AD111-AE$4)*(1+NORMINV(RAND(),INPUTS!$B$28,INPUTS!$B$29))))</f>
        <v>469576.618531908</v>
      </c>
      <c r="AF111" s="85" t="n">
        <f aca="true">IF(AF$5=0,AE111,MAX(0,(AE111-AF$4)*(1+NORMINV(RAND(),INPUTS!$B$28,INPUTS!$B$29))))</f>
        <v>492503.701351275</v>
      </c>
      <c r="AG111" s="85" t="n">
        <f aca="true">IF(AG$5=0,AF111,MAX(0,(AF111-AG$4)*(1+NORMINV(RAND(),INPUTS!$B$28,INPUTS!$B$29))))</f>
        <v>437931.255725837</v>
      </c>
      <c r="AH111" s="85" t="n">
        <f aca="true">IF(AH$5=0,AG111,MAX(0,(AG111-AH$4)*(1+NORMINV(RAND(),INPUTS!$B$28,INPUTS!$B$29))))</f>
        <v>429099.203364774</v>
      </c>
      <c r="AI111" s="85" t="n">
        <f aca="true">IF(AI$5=0,AH111,MAX(0,(AH111-AI$4)*(1+NORMINV(RAND(),INPUTS!$B$28,INPUTS!$B$29))))</f>
        <v>351484.42724043</v>
      </c>
      <c r="AJ111" s="85" t="n">
        <f aca="true">IF(AJ$5=0,AI111,MAX(0,(AI111-AJ$4)*(1+NORMINV(RAND(),INPUTS!$B$28,INPUTS!$B$29))))</f>
        <v>312422.831088401</v>
      </c>
      <c r="AK111" s="85" t="n">
        <f aca="true">IF(AK$5=0,AJ111,MAX(0,(AJ111-AK$4)*(1+NORMINV(RAND(),INPUTS!$B$28,INPUTS!$B$29))))</f>
        <v>245577.467062838</v>
      </c>
      <c r="AL111" s="85" t="n">
        <f aca="true">IF(AL$5=0,AK111,MAX(0,(AK111-AL$4)*(1+NORMINV(RAND(),INPUTS!$B$28,INPUTS!$B$29))))</f>
        <v>179369.751399948</v>
      </c>
      <c r="AM111" s="85" t="n">
        <f aca="true">IF(AM$5=0,AL111,MAX(0,(AL111-AM$4)*(1+NORMINV(RAND(),INPUTS!$B$28,INPUTS!$B$29))))</f>
        <v>179369.751399948</v>
      </c>
      <c r="AN111" s="85" t="n">
        <f aca="true">IF(AN$5=0,AM111,MAX(0,(AM111-AN$4)*(1+NORMINV(RAND(),INPUTS!$B$28,INPUTS!$B$29))))</f>
        <v>179369.751399948</v>
      </c>
      <c r="AO111" s="85" t="n">
        <f aca="true">IF(AO$5=0,AN111,MAX(0,(AN111-AO$4)*(1+NORMINV(RAND(),INPUTS!$B$28,INPUTS!$B$29))))</f>
        <v>179369.751399948</v>
      </c>
      <c r="AP111" s="85" t="n">
        <f aca="true">IF(AP$5=0,AO111,MAX(0,(AO111-AP$4)*(1+NORMINV(RAND(),INPUTS!$B$28,INPUTS!$B$29))))</f>
        <v>179369.751399948</v>
      </c>
    </row>
    <row r="112" customFormat="false" ht="15" hidden="false" customHeight="true" outlineLevel="0" collapsed="false">
      <c r="A112" s="83" t="n">
        <v>105</v>
      </c>
      <c r="B112" s="84" t="n">
        <f aca="false">LOOKUP(9.99E+307,C112:AP112)</f>
        <v>0</v>
      </c>
      <c r="C112" s="85" t="n">
        <f aca="true">IF(C$5=0,INPUTS!$B$19,MAX(0,(INPUTS!$B$19-C$4)*(1+NORMINV(RAND(),INPUTS!$B$28,INPUTS!$B$29))))</f>
        <v>1355353.59056142</v>
      </c>
      <c r="D112" s="85" t="n">
        <f aca="true">IF(D$5=0,C112,MAX(0,(C112-D$4)*(1+NORMINV(RAND(),INPUTS!$B$28,INPUTS!$B$29))))</f>
        <v>1303216.00926397</v>
      </c>
      <c r="E112" s="85" t="n">
        <f aca="true">IF(E$5=0,D112,MAX(0,(D112-E$4)*(1+NORMINV(RAND(),INPUTS!$B$28,INPUTS!$B$29))))</f>
        <v>1199961.508506</v>
      </c>
      <c r="F112" s="85" t="n">
        <f aca="true">IF(F$5=0,E112,MAX(0,(E112-F$4)*(1+NORMINV(RAND(),INPUTS!$B$28,INPUTS!$B$29))))</f>
        <v>1267119.2357238</v>
      </c>
      <c r="G112" s="85" t="n">
        <f aca="true">IF(G$5=0,F112,MAX(0,(F112-G$4)*(1+NORMINV(RAND(),INPUTS!$B$28,INPUTS!$B$29))))</f>
        <v>979178.440466186</v>
      </c>
      <c r="H112" s="85" t="n">
        <f aca="true">IF(H$5=0,G112,MAX(0,(G112-H$4)*(1+NORMINV(RAND(),INPUTS!$B$28,INPUTS!$B$29))))</f>
        <v>926025.518559364</v>
      </c>
      <c r="I112" s="85" t="n">
        <f aca="true">IF(I$5=0,H112,MAX(0,(H112-I$4)*(1+NORMINV(RAND(),INPUTS!$B$28,INPUTS!$B$29))))</f>
        <v>1042162.50705414</v>
      </c>
      <c r="J112" s="85" t="n">
        <f aca="true">IF(J$5=0,I112,MAX(0,(I112-J$4)*(1+NORMINV(RAND(),INPUTS!$B$28,INPUTS!$B$29))))</f>
        <v>949420.359412667</v>
      </c>
      <c r="K112" s="85" t="n">
        <f aca="true">IF(K$5=0,J112,MAX(0,(J112-K$4)*(1+NORMINV(RAND(),INPUTS!$B$28,INPUTS!$B$29))))</f>
        <v>802859.514234709</v>
      </c>
      <c r="L112" s="85" t="n">
        <f aca="true">IF(L$5=0,K112,MAX(0,(K112-L$4)*(1+NORMINV(RAND(),INPUTS!$B$28,INPUTS!$B$29))))</f>
        <v>786971.938231564</v>
      </c>
      <c r="M112" s="85" t="n">
        <f aca="true">IF(M$5=0,L112,MAX(0,(L112-M$4)*(1+NORMINV(RAND(),INPUTS!$B$28,INPUTS!$B$29))))</f>
        <v>706135.0878458</v>
      </c>
      <c r="N112" s="85" t="n">
        <f aca="true">IF(N$5=0,M112,MAX(0,(M112-N$4)*(1+NORMINV(RAND(),INPUTS!$B$28,INPUTS!$B$29))))</f>
        <v>809608.10941814</v>
      </c>
      <c r="O112" s="85" t="n">
        <f aca="true">IF(O$5=0,N112,MAX(0,(N112-O$4)*(1+NORMINV(RAND(),INPUTS!$B$28,INPUTS!$B$29))))</f>
        <v>786777.829532961</v>
      </c>
      <c r="P112" s="85" t="n">
        <f aca="true">IF(P$5=0,O112,MAX(0,(O112-P$4)*(1+NORMINV(RAND(),INPUTS!$B$28,INPUTS!$B$29))))</f>
        <v>644658.983376341</v>
      </c>
      <c r="Q112" s="85" t="n">
        <f aca="true">IF(Q$5=0,P112,MAX(0,(P112-Q$4)*(1+NORMINV(RAND(),INPUTS!$B$28,INPUTS!$B$29))))</f>
        <v>616471.351306943</v>
      </c>
      <c r="R112" s="85" t="n">
        <f aca="true">IF(R$5=0,Q112,MAX(0,(Q112-R$4)*(1+NORMINV(RAND(),INPUTS!$B$28,INPUTS!$B$29))))</f>
        <v>609815.502726092</v>
      </c>
      <c r="S112" s="85" t="n">
        <f aca="true">IF(S$5=0,R112,MAX(0,(R112-S$4)*(1+NORMINV(RAND(),INPUTS!$B$28,INPUTS!$B$29))))</f>
        <v>696601.404276672</v>
      </c>
      <c r="T112" s="85" t="n">
        <f aca="true">IF(T$5=0,S112,MAX(0,(S112-T$4)*(1+NORMINV(RAND(),INPUTS!$B$28,INPUTS!$B$29))))</f>
        <v>548710.944066256</v>
      </c>
      <c r="U112" s="85" t="n">
        <f aca="true">IF(U$5=0,T112,MAX(0,(T112-U$4)*(1+NORMINV(RAND(),INPUTS!$B$28,INPUTS!$B$29))))</f>
        <v>451204.671651372</v>
      </c>
      <c r="V112" s="85" t="n">
        <f aca="true">IF(V$5=0,U112,MAX(0,(U112-V$4)*(1+NORMINV(RAND(),INPUTS!$B$28,INPUTS!$B$29))))</f>
        <v>410399.005895417</v>
      </c>
      <c r="W112" s="85" t="n">
        <f aca="true">IF(W$5=0,V112,MAX(0,(V112-W$4)*(1+NORMINV(RAND(),INPUTS!$B$28,INPUTS!$B$29))))</f>
        <v>425390.971181687</v>
      </c>
      <c r="X112" s="85" t="n">
        <f aca="true">IF(X$5=0,W112,MAX(0,(W112-X$4)*(1+NORMINV(RAND(),INPUTS!$B$28,INPUTS!$B$29))))</f>
        <v>401715.834337098</v>
      </c>
      <c r="Y112" s="85" t="n">
        <f aca="true">IF(Y$5=0,X112,MAX(0,(X112-Y$4)*(1+NORMINV(RAND(),INPUTS!$B$28,INPUTS!$B$29))))</f>
        <v>361568.503819299</v>
      </c>
      <c r="Z112" s="85" t="n">
        <f aca="true">IF(Z$5=0,Y112,MAX(0,(Y112-Z$4)*(1+NORMINV(RAND(),INPUTS!$B$28,INPUTS!$B$29))))</f>
        <v>311012.577476585</v>
      </c>
      <c r="AA112" s="85" t="n">
        <f aca="true">IF(AA$5=0,Z112,MAX(0,(Z112-AA$4)*(1+NORMINV(RAND(),INPUTS!$B$28,INPUTS!$B$29))))</f>
        <v>260953.937083452</v>
      </c>
      <c r="AB112" s="85" t="n">
        <f aca="true">IF(AB$5=0,AA112,MAX(0,(AA112-AB$4)*(1+NORMINV(RAND(),INPUTS!$B$28,INPUTS!$B$29))))</f>
        <v>226155.138235272</v>
      </c>
      <c r="AC112" s="85" t="n">
        <f aca="true">IF(AC$5=0,AB112,MAX(0,(AB112-AC$4)*(1+NORMINV(RAND(),INPUTS!$B$28,INPUTS!$B$29))))</f>
        <v>177715.439237299</v>
      </c>
      <c r="AD112" s="85" t="n">
        <f aca="true">IF(AD$5=0,AC112,MAX(0,(AC112-AD$4)*(1+NORMINV(RAND(),INPUTS!$B$28,INPUTS!$B$29))))</f>
        <v>132999.1891508</v>
      </c>
      <c r="AE112" s="85" t="n">
        <f aca="true">IF(AE$5=0,AD112,MAX(0,(AD112-AE$4)*(1+NORMINV(RAND(),INPUTS!$B$28,INPUTS!$B$29))))</f>
        <v>73448.9959722482</v>
      </c>
      <c r="AF112" s="85" t="n">
        <f aca="true">IF(AF$5=0,AE112,MAX(0,(AE112-AF$4)*(1+NORMINV(RAND(),INPUTS!$B$28,INPUTS!$B$29))))</f>
        <v>6257.00544543335</v>
      </c>
      <c r="AG112" s="85" t="n">
        <f aca="true">IF(AG$5=0,AF112,MAX(0,(AF112-AG$4)*(1+NORMINV(RAND(),INPUTS!$B$28,INPUTS!$B$29))))</f>
        <v>0</v>
      </c>
      <c r="AH112" s="85" t="n">
        <f aca="true">IF(AH$5=0,AG112,MAX(0,(AG112-AH$4)*(1+NORMINV(RAND(),INPUTS!$B$28,INPUTS!$B$29))))</f>
        <v>0</v>
      </c>
      <c r="AI112" s="85" t="n">
        <f aca="true">IF(AI$5=0,AH112,MAX(0,(AH112-AI$4)*(1+NORMINV(RAND(),INPUTS!$B$28,INPUTS!$B$29))))</f>
        <v>0</v>
      </c>
      <c r="AJ112" s="85" t="n">
        <f aca="true">IF(AJ$5=0,AI112,MAX(0,(AI112-AJ$4)*(1+NORMINV(RAND(),INPUTS!$B$28,INPUTS!$B$29))))</f>
        <v>0</v>
      </c>
      <c r="AK112" s="85" t="n">
        <f aca="true">IF(AK$5=0,AJ112,MAX(0,(AJ112-AK$4)*(1+NORMINV(RAND(),INPUTS!$B$28,INPUTS!$B$29))))</f>
        <v>0</v>
      </c>
      <c r="AL112" s="85" t="n">
        <f aca="true">IF(AL$5=0,AK112,MAX(0,(AK112-AL$4)*(1+NORMINV(RAND(),INPUTS!$B$28,INPUTS!$B$29))))</f>
        <v>0</v>
      </c>
      <c r="AM112" s="85" t="n">
        <f aca="true">IF(AM$5=0,AL112,MAX(0,(AL112-AM$4)*(1+NORMINV(RAND(),INPUTS!$B$28,INPUTS!$B$29))))</f>
        <v>0</v>
      </c>
      <c r="AN112" s="85" t="n">
        <f aca="true">IF(AN$5=0,AM112,MAX(0,(AM112-AN$4)*(1+NORMINV(RAND(),INPUTS!$B$28,INPUTS!$B$29))))</f>
        <v>0</v>
      </c>
      <c r="AO112" s="85" t="n">
        <f aca="true">IF(AO$5=0,AN112,MAX(0,(AN112-AO$4)*(1+NORMINV(RAND(),INPUTS!$B$28,INPUTS!$B$29))))</f>
        <v>0</v>
      </c>
      <c r="AP112" s="85" t="n">
        <f aca="true">IF(AP$5=0,AO112,MAX(0,(AO112-AP$4)*(1+NORMINV(RAND(),INPUTS!$B$28,INPUTS!$B$29))))</f>
        <v>0</v>
      </c>
    </row>
    <row r="113" customFormat="false" ht="15" hidden="false" customHeight="true" outlineLevel="0" collapsed="false">
      <c r="A113" s="83" t="n">
        <v>106</v>
      </c>
      <c r="B113" s="84" t="n">
        <f aca="false">LOOKUP(9.99E+307,C113:AP113)</f>
        <v>985456.474204729</v>
      </c>
      <c r="C113" s="85" t="n">
        <f aca="true">IF(C$5=0,INPUTS!$B$19,MAX(0,(INPUTS!$B$19-C$4)*(1+NORMINV(RAND(),INPUTS!$B$28,INPUTS!$B$29))))</f>
        <v>1237612.19025205</v>
      </c>
      <c r="D113" s="85" t="n">
        <f aca="true">IF(D$5=0,C113,MAX(0,(C113-D$4)*(1+NORMINV(RAND(),INPUTS!$B$28,INPUTS!$B$29))))</f>
        <v>1255644.43825326</v>
      </c>
      <c r="E113" s="85" t="n">
        <f aca="true">IF(E$5=0,D113,MAX(0,(D113-E$4)*(1+NORMINV(RAND(),INPUTS!$B$28,INPUTS!$B$29))))</f>
        <v>1368817.47034962</v>
      </c>
      <c r="F113" s="85" t="n">
        <f aca="true">IF(F$5=0,E113,MAX(0,(E113-F$4)*(1+NORMINV(RAND(),INPUTS!$B$28,INPUTS!$B$29))))</f>
        <v>1435346.55544419</v>
      </c>
      <c r="G113" s="85" t="n">
        <f aca="true">IF(G$5=0,F113,MAX(0,(F113-G$4)*(1+NORMINV(RAND(),INPUTS!$B$28,INPUTS!$B$29))))</f>
        <v>1334489.89280889</v>
      </c>
      <c r="H113" s="85" t="n">
        <f aca="true">IF(H$5=0,G113,MAX(0,(G113-H$4)*(1+NORMINV(RAND(),INPUTS!$B$28,INPUTS!$B$29))))</f>
        <v>1239042.47183662</v>
      </c>
      <c r="I113" s="85" t="n">
        <f aca="true">IF(I$5=0,H113,MAX(0,(H113-I$4)*(1+NORMINV(RAND(),INPUTS!$B$28,INPUTS!$B$29))))</f>
        <v>1189189.58836871</v>
      </c>
      <c r="J113" s="85" t="n">
        <f aca="true">IF(J$5=0,I113,MAX(0,(I113-J$4)*(1+NORMINV(RAND(),INPUTS!$B$28,INPUTS!$B$29))))</f>
        <v>1140859.27238112</v>
      </c>
      <c r="K113" s="85" t="n">
        <f aca="true">IF(K$5=0,J113,MAX(0,(J113-K$4)*(1+NORMINV(RAND(),INPUTS!$B$28,INPUTS!$B$29))))</f>
        <v>1190326.50382574</v>
      </c>
      <c r="L113" s="85" t="n">
        <f aca="true">IF(L$5=0,K113,MAX(0,(K113-L$4)*(1+NORMINV(RAND(),INPUTS!$B$28,INPUTS!$B$29))))</f>
        <v>1431926.69544421</v>
      </c>
      <c r="M113" s="85" t="n">
        <f aca="true">IF(M$5=0,L113,MAX(0,(L113-M$4)*(1+NORMINV(RAND(),INPUTS!$B$28,INPUTS!$B$29))))</f>
        <v>1454670.58514908</v>
      </c>
      <c r="N113" s="85" t="n">
        <f aca="true">IF(N$5=0,M113,MAX(0,(M113-N$4)*(1+NORMINV(RAND(),INPUTS!$B$28,INPUTS!$B$29))))</f>
        <v>1246934.26007959</v>
      </c>
      <c r="O113" s="85" t="n">
        <f aca="true">IF(O$5=0,N113,MAX(0,(N113-O$4)*(1+NORMINV(RAND(),INPUTS!$B$28,INPUTS!$B$29))))</f>
        <v>1382361.55039755</v>
      </c>
      <c r="P113" s="85" t="n">
        <f aca="true">IF(P$5=0,O113,MAX(0,(O113-P$4)*(1+NORMINV(RAND(),INPUTS!$B$28,INPUTS!$B$29))))</f>
        <v>1538850.5224796</v>
      </c>
      <c r="Q113" s="85" t="n">
        <f aca="true">IF(Q$5=0,P113,MAX(0,(P113-Q$4)*(1+NORMINV(RAND(),INPUTS!$B$28,INPUTS!$B$29))))</f>
        <v>1306506.68519537</v>
      </c>
      <c r="R113" s="85" t="n">
        <f aca="true">IF(R$5=0,Q113,MAX(0,(Q113-R$4)*(1+NORMINV(RAND(),INPUTS!$B$28,INPUTS!$B$29))))</f>
        <v>1174102.78324826</v>
      </c>
      <c r="S113" s="85" t="n">
        <f aca="true">IF(S$5=0,R113,MAX(0,(R113-S$4)*(1+NORMINV(RAND(),INPUTS!$B$28,INPUTS!$B$29))))</f>
        <v>1071405.28160835</v>
      </c>
      <c r="T113" s="85" t="n">
        <f aca="true">IF(T$5=0,S113,MAX(0,(S113-T$4)*(1+NORMINV(RAND(),INPUTS!$B$28,INPUTS!$B$29))))</f>
        <v>929731.326835752</v>
      </c>
      <c r="U113" s="85" t="n">
        <f aca="true">IF(U$5=0,T113,MAX(0,(T113-U$4)*(1+NORMINV(RAND(),INPUTS!$B$28,INPUTS!$B$29))))</f>
        <v>1010913.36841248</v>
      </c>
      <c r="V113" s="85" t="n">
        <f aca="true">IF(V$5=0,U113,MAX(0,(U113-V$4)*(1+NORMINV(RAND(),INPUTS!$B$28,INPUTS!$B$29))))</f>
        <v>914047.295648208</v>
      </c>
      <c r="W113" s="85" t="n">
        <f aca="true">IF(W$5=0,V113,MAX(0,(V113-W$4)*(1+NORMINV(RAND(),INPUTS!$B$28,INPUTS!$B$29))))</f>
        <v>911994.716055036</v>
      </c>
      <c r="X113" s="85" t="n">
        <f aca="true">IF(X$5=0,W113,MAX(0,(W113-X$4)*(1+NORMINV(RAND(),INPUTS!$B$28,INPUTS!$B$29))))</f>
        <v>929447.038092659</v>
      </c>
      <c r="Y113" s="85" t="n">
        <f aca="true">IF(Y$5=0,X113,MAX(0,(X113-Y$4)*(1+NORMINV(RAND(),INPUTS!$B$28,INPUTS!$B$29))))</f>
        <v>807667.974894074</v>
      </c>
      <c r="Z113" s="85" t="n">
        <f aca="true">IF(Z$5=0,Y113,MAX(0,(Y113-Z$4)*(1+NORMINV(RAND(),INPUTS!$B$28,INPUTS!$B$29))))</f>
        <v>809802.670706909</v>
      </c>
      <c r="AA113" s="85" t="n">
        <f aca="true">IF(AA$5=0,Z113,MAX(0,(Z113-AA$4)*(1+NORMINV(RAND(),INPUTS!$B$28,INPUTS!$B$29))))</f>
        <v>891561.139407541</v>
      </c>
      <c r="AB113" s="85" t="n">
        <f aca="true">IF(AB$5=0,AA113,MAX(0,(AA113-AB$4)*(1+NORMINV(RAND(),INPUTS!$B$28,INPUTS!$B$29))))</f>
        <v>1016796.93604014</v>
      </c>
      <c r="AC113" s="85" t="n">
        <f aca="true">IF(AC$5=0,AB113,MAX(0,(AB113-AC$4)*(1+NORMINV(RAND(),INPUTS!$B$28,INPUTS!$B$29))))</f>
        <v>1010130.2984733</v>
      </c>
      <c r="AD113" s="85" t="n">
        <f aca="true">IF(AD$5=0,AC113,MAX(0,(AC113-AD$4)*(1+NORMINV(RAND(),INPUTS!$B$28,INPUTS!$B$29))))</f>
        <v>1075269.54334187</v>
      </c>
      <c r="AE113" s="85" t="n">
        <f aca="true">IF(AE$5=0,AD113,MAX(0,(AD113-AE$4)*(1+NORMINV(RAND(),INPUTS!$B$28,INPUTS!$B$29))))</f>
        <v>1007467.53377712</v>
      </c>
      <c r="AF113" s="85" t="n">
        <f aca="true">IF(AF$5=0,AE113,MAX(0,(AE113-AF$4)*(1+NORMINV(RAND(),INPUTS!$B$28,INPUTS!$B$29))))</f>
        <v>1083949.69952974</v>
      </c>
      <c r="AG113" s="85" t="n">
        <f aca="true">IF(AG$5=0,AF113,MAX(0,(AF113-AG$4)*(1+NORMINV(RAND(),INPUTS!$B$28,INPUTS!$B$29))))</f>
        <v>1143619.30861033</v>
      </c>
      <c r="AH113" s="85" t="n">
        <f aca="true">IF(AH$5=0,AG113,MAX(0,(AG113-AH$4)*(1+NORMINV(RAND(),INPUTS!$B$28,INPUTS!$B$29))))</f>
        <v>1068631.13256625</v>
      </c>
      <c r="AI113" s="85" t="n">
        <f aca="true">IF(AI$5=0,AH113,MAX(0,(AH113-AI$4)*(1+NORMINV(RAND(),INPUTS!$B$28,INPUTS!$B$29))))</f>
        <v>872856.35432339</v>
      </c>
      <c r="AJ113" s="85" t="n">
        <f aca="true">IF(AJ$5=0,AI113,MAX(0,(AI113-AJ$4)*(1+NORMINV(RAND(),INPUTS!$B$28,INPUTS!$B$29))))</f>
        <v>809547.879880392</v>
      </c>
      <c r="AK113" s="85" t="n">
        <f aca="true">IF(AK$5=0,AJ113,MAX(0,(AJ113-AK$4)*(1+NORMINV(RAND(),INPUTS!$B$28,INPUTS!$B$29))))</f>
        <v>927400.930373512</v>
      </c>
      <c r="AL113" s="85" t="n">
        <f aca="true">IF(AL$5=0,AK113,MAX(0,(AK113-AL$4)*(1+NORMINV(RAND(),INPUTS!$B$28,INPUTS!$B$29))))</f>
        <v>985456.474204729</v>
      </c>
      <c r="AM113" s="85" t="n">
        <f aca="true">IF(AM$5=0,AL113,MAX(0,(AL113-AM$4)*(1+NORMINV(RAND(),INPUTS!$B$28,INPUTS!$B$29))))</f>
        <v>985456.474204729</v>
      </c>
      <c r="AN113" s="85" t="n">
        <f aca="true">IF(AN$5=0,AM113,MAX(0,(AM113-AN$4)*(1+NORMINV(RAND(),INPUTS!$B$28,INPUTS!$B$29))))</f>
        <v>985456.474204729</v>
      </c>
      <c r="AO113" s="85" t="n">
        <f aca="true">IF(AO$5=0,AN113,MAX(0,(AN113-AO$4)*(1+NORMINV(RAND(),INPUTS!$B$28,INPUTS!$B$29))))</f>
        <v>985456.474204729</v>
      </c>
      <c r="AP113" s="85" t="n">
        <f aca="true">IF(AP$5=0,AO113,MAX(0,(AO113-AP$4)*(1+NORMINV(RAND(),INPUTS!$B$28,INPUTS!$B$29))))</f>
        <v>985456.474204729</v>
      </c>
    </row>
    <row r="114" customFormat="false" ht="15" hidden="false" customHeight="true" outlineLevel="0" collapsed="false">
      <c r="A114" s="83" t="n">
        <v>107</v>
      </c>
      <c r="B114" s="84" t="n">
        <f aca="false">LOOKUP(9.99E+307,C114:AP114)</f>
        <v>1292771.45244096</v>
      </c>
      <c r="C114" s="85" t="n">
        <f aca="true">IF(C$5=0,INPUTS!$B$19,MAX(0,(INPUTS!$B$19-C$4)*(1+NORMINV(RAND(),INPUTS!$B$28,INPUTS!$B$29))))</f>
        <v>1086937.09320236</v>
      </c>
      <c r="D114" s="85" t="n">
        <f aca="true">IF(D$5=0,C114,MAX(0,(C114-D$4)*(1+NORMINV(RAND(),INPUTS!$B$28,INPUTS!$B$29))))</f>
        <v>1129459.52645751</v>
      </c>
      <c r="E114" s="85" t="n">
        <f aca="true">IF(E$5=0,D114,MAX(0,(D114-E$4)*(1+NORMINV(RAND(),INPUTS!$B$28,INPUTS!$B$29))))</f>
        <v>1074484.86302953</v>
      </c>
      <c r="F114" s="85" t="n">
        <f aca="true">IF(F$5=0,E114,MAX(0,(E114-F$4)*(1+NORMINV(RAND(),INPUTS!$B$28,INPUTS!$B$29))))</f>
        <v>1048844.28356833</v>
      </c>
      <c r="G114" s="85" t="n">
        <f aca="true">IF(G$5=0,F114,MAX(0,(F114-G$4)*(1+NORMINV(RAND(),INPUTS!$B$28,INPUTS!$B$29))))</f>
        <v>1166398.43658122</v>
      </c>
      <c r="H114" s="85" t="n">
        <f aca="true">IF(H$5=0,G114,MAX(0,(G114-H$4)*(1+NORMINV(RAND(),INPUTS!$B$28,INPUTS!$B$29))))</f>
        <v>1213485.59379117</v>
      </c>
      <c r="I114" s="85" t="n">
        <f aca="true">IF(I$5=0,H114,MAX(0,(H114-I$4)*(1+NORMINV(RAND(),INPUTS!$B$28,INPUTS!$B$29))))</f>
        <v>1195903.85382862</v>
      </c>
      <c r="J114" s="85" t="n">
        <f aca="true">IF(J$5=0,I114,MAX(0,(I114-J$4)*(1+NORMINV(RAND(),INPUTS!$B$28,INPUTS!$B$29))))</f>
        <v>1019669.02335296</v>
      </c>
      <c r="K114" s="85" t="n">
        <f aca="true">IF(K$5=0,J114,MAX(0,(J114-K$4)*(1+NORMINV(RAND(),INPUTS!$B$28,INPUTS!$B$29))))</f>
        <v>878896.234526486</v>
      </c>
      <c r="L114" s="85" t="n">
        <f aca="true">IF(L$5=0,K114,MAX(0,(K114-L$4)*(1+NORMINV(RAND(),INPUTS!$B$28,INPUTS!$B$29))))</f>
        <v>942354.637170598</v>
      </c>
      <c r="M114" s="85" t="n">
        <f aca="true">IF(M$5=0,L114,MAX(0,(L114-M$4)*(1+NORMINV(RAND(),INPUTS!$B$28,INPUTS!$B$29))))</f>
        <v>892301.997069975</v>
      </c>
      <c r="N114" s="85" t="n">
        <f aca="true">IF(N$5=0,M114,MAX(0,(M114-N$4)*(1+NORMINV(RAND(),INPUTS!$B$28,INPUTS!$B$29))))</f>
        <v>1023804.07965702</v>
      </c>
      <c r="O114" s="85" t="n">
        <f aca="true">IF(O$5=0,N114,MAX(0,(N114-O$4)*(1+NORMINV(RAND(),INPUTS!$B$28,INPUTS!$B$29))))</f>
        <v>914895.033059325</v>
      </c>
      <c r="P114" s="85" t="n">
        <f aca="true">IF(P$5=0,O114,MAX(0,(O114-P$4)*(1+NORMINV(RAND(),INPUTS!$B$28,INPUTS!$B$29))))</f>
        <v>787159.871214957</v>
      </c>
      <c r="Q114" s="85" t="n">
        <f aca="true">IF(Q$5=0,P114,MAX(0,(P114-Q$4)*(1+NORMINV(RAND(),INPUTS!$B$28,INPUTS!$B$29))))</f>
        <v>814643.830542208</v>
      </c>
      <c r="R114" s="85" t="n">
        <f aca="true">IF(R$5=0,Q114,MAX(0,(Q114-R$4)*(1+NORMINV(RAND(),INPUTS!$B$28,INPUTS!$B$29))))</f>
        <v>767376.642002191</v>
      </c>
      <c r="S114" s="85" t="n">
        <f aca="true">IF(S$5=0,R114,MAX(0,(R114-S$4)*(1+NORMINV(RAND(),INPUTS!$B$28,INPUTS!$B$29))))</f>
        <v>825921.121038475</v>
      </c>
      <c r="T114" s="85" t="n">
        <f aca="true">IF(T$5=0,S114,MAX(0,(S114-T$4)*(1+NORMINV(RAND(),INPUTS!$B$28,INPUTS!$B$29))))</f>
        <v>774963.023763066</v>
      </c>
      <c r="U114" s="85" t="n">
        <f aca="true">IF(U$5=0,T114,MAX(0,(T114-U$4)*(1+NORMINV(RAND(),INPUTS!$B$28,INPUTS!$B$29))))</f>
        <v>855623.687152034</v>
      </c>
      <c r="V114" s="85" t="n">
        <f aca="true">IF(V$5=0,U114,MAX(0,(U114-V$4)*(1+NORMINV(RAND(),INPUTS!$B$28,INPUTS!$B$29))))</f>
        <v>998510.314613852</v>
      </c>
      <c r="W114" s="85" t="n">
        <f aca="true">IF(W$5=0,V114,MAX(0,(V114-W$4)*(1+NORMINV(RAND(),INPUTS!$B$28,INPUTS!$B$29))))</f>
        <v>906580.826876168</v>
      </c>
      <c r="X114" s="85" t="n">
        <f aca="true">IF(X$5=0,W114,MAX(0,(W114-X$4)*(1+NORMINV(RAND(),INPUTS!$B$28,INPUTS!$B$29))))</f>
        <v>1120702.82964925</v>
      </c>
      <c r="Y114" s="85" t="n">
        <f aca="true">IF(Y$5=0,X114,MAX(0,(X114-Y$4)*(1+NORMINV(RAND(),INPUTS!$B$28,INPUTS!$B$29))))</f>
        <v>1122480.753228</v>
      </c>
      <c r="Z114" s="85" t="n">
        <f aca="true">IF(Z$5=0,Y114,MAX(0,(Y114-Z$4)*(1+NORMINV(RAND(),INPUTS!$B$28,INPUTS!$B$29))))</f>
        <v>1518692.30982856</v>
      </c>
      <c r="AA114" s="85" t="n">
        <f aca="true">IF(AA$5=0,Z114,MAX(0,(Z114-AA$4)*(1+NORMINV(RAND(),INPUTS!$B$28,INPUTS!$B$29))))</f>
        <v>1498636.40151294</v>
      </c>
      <c r="AB114" s="85" t="n">
        <f aca="true">IF(AB$5=0,AA114,MAX(0,(AA114-AB$4)*(1+NORMINV(RAND(),INPUTS!$B$28,INPUTS!$B$29))))</f>
        <v>1459253.56225921</v>
      </c>
      <c r="AC114" s="85" t="n">
        <f aca="true">IF(AC$5=0,AB114,MAX(0,(AB114-AC$4)*(1+NORMINV(RAND(),INPUTS!$B$28,INPUTS!$B$29))))</f>
        <v>1264944.85911194</v>
      </c>
      <c r="AD114" s="85" t="n">
        <f aca="true">IF(AD$5=0,AC114,MAX(0,(AC114-AD$4)*(1+NORMINV(RAND(),INPUTS!$B$28,INPUTS!$B$29))))</f>
        <v>1203828.4725346</v>
      </c>
      <c r="AE114" s="85" t="n">
        <f aca="true">IF(AE$5=0,AD114,MAX(0,(AD114-AE$4)*(1+NORMINV(RAND(),INPUTS!$B$28,INPUTS!$B$29))))</f>
        <v>1205451.43377864</v>
      </c>
      <c r="AF114" s="85" t="n">
        <f aca="true">IF(AF$5=0,AE114,MAX(0,(AE114-AF$4)*(1+NORMINV(RAND(),INPUTS!$B$28,INPUTS!$B$29))))</f>
        <v>1216878.69932427</v>
      </c>
      <c r="AG114" s="85" t="n">
        <f aca="true">IF(AG$5=0,AF114,MAX(0,(AF114-AG$4)*(1+NORMINV(RAND(),INPUTS!$B$28,INPUTS!$B$29))))</f>
        <v>1200529.30334492</v>
      </c>
      <c r="AH114" s="85" t="n">
        <f aca="true">IF(AH$5=0,AG114,MAX(0,(AG114-AH$4)*(1+NORMINV(RAND(),INPUTS!$B$28,INPUTS!$B$29))))</f>
        <v>1198549.69389434</v>
      </c>
      <c r="AI114" s="85" t="n">
        <f aca="true">IF(AI$5=0,AH114,MAX(0,(AH114-AI$4)*(1+NORMINV(RAND(),INPUTS!$B$28,INPUTS!$B$29))))</f>
        <v>1198248.14794955</v>
      </c>
      <c r="AJ114" s="85" t="n">
        <f aca="true">IF(AJ$5=0,AI114,MAX(0,(AI114-AJ$4)*(1+NORMINV(RAND(),INPUTS!$B$28,INPUTS!$B$29))))</f>
        <v>1316189.91026299</v>
      </c>
      <c r="AK114" s="85" t="n">
        <f aca="true">IF(AK$5=0,AJ114,MAX(0,(AJ114-AK$4)*(1+NORMINV(RAND(),INPUTS!$B$28,INPUTS!$B$29))))</f>
        <v>1332195.79174229</v>
      </c>
      <c r="AL114" s="85" t="n">
        <f aca="true">IF(AL$5=0,AK114,MAX(0,(AK114-AL$4)*(1+NORMINV(RAND(),INPUTS!$B$28,INPUTS!$B$29))))</f>
        <v>1292771.45244096</v>
      </c>
      <c r="AM114" s="85" t="n">
        <f aca="true">IF(AM$5=0,AL114,MAX(0,(AL114-AM$4)*(1+NORMINV(RAND(),INPUTS!$B$28,INPUTS!$B$29))))</f>
        <v>1292771.45244096</v>
      </c>
      <c r="AN114" s="85" t="n">
        <f aca="true">IF(AN$5=0,AM114,MAX(0,(AM114-AN$4)*(1+NORMINV(RAND(),INPUTS!$B$28,INPUTS!$B$29))))</f>
        <v>1292771.45244096</v>
      </c>
      <c r="AO114" s="85" t="n">
        <f aca="true">IF(AO$5=0,AN114,MAX(0,(AN114-AO$4)*(1+NORMINV(RAND(),INPUTS!$B$28,INPUTS!$B$29))))</f>
        <v>1292771.45244096</v>
      </c>
      <c r="AP114" s="85" t="n">
        <f aca="true">IF(AP$5=0,AO114,MAX(0,(AO114-AP$4)*(1+NORMINV(RAND(),INPUTS!$B$28,INPUTS!$B$29))))</f>
        <v>1292771.45244096</v>
      </c>
    </row>
    <row r="115" customFormat="false" ht="15" hidden="false" customHeight="true" outlineLevel="0" collapsed="false">
      <c r="A115" s="83" t="n">
        <v>108</v>
      </c>
      <c r="B115" s="84" t="n">
        <f aca="false">LOOKUP(9.99E+307,C115:AP115)</f>
        <v>17593691.7378956</v>
      </c>
      <c r="C115" s="85" t="n">
        <f aca="true">IF(C$5=0,INPUTS!$B$19,MAX(0,(INPUTS!$B$19-C$4)*(1+NORMINV(RAND(),INPUTS!$B$28,INPUTS!$B$29))))</f>
        <v>1277126.7735721</v>
      </c>
      <c r="D115" s="85" t="n">
        <f aca="true">IF(D$5=0,C115,MAX(0,(C115-D$4)*(1+NORMINV(RAND(),INPUTS!$B$28,INPUTS!$B$29))))</f>
        <v>1278092.84825694</v>
      </c>
      <c r="E115" s="85" t="n">
        <f aca="true">IF(E$5=0,D115,MAX(0,(D115-E$4)*(1+NORMINV(RAND(),INPUTS!$B$28,INPUTS!$B$29))))</f>
        <v>1490536.14792568</v>
      </c>
      <c r="F115" s="85" t="n">
        <f aca="true">IF(F$5=0,E115,MAX(0,(E115-F$4)*(1+NORMINV(RAND(),INPUTS!$B$28,INPUTS!$B$29))))</f>
        <v>1782262.88367536</v>
      </c>
      <c r="G115" s="85" t="n">
        <f aca="true">IF(G$5=0,F115,MAX(0,(F115-G$4)*(1+NORMINV(RAND(),INPUTS!$B$28,INPUTS!$B$29))))</f>
        <v>1785647.58894636</v>
      </c>
      <c r="H115" s="85" t="n">
        <f aca="true">IF(H$5=0,G115,MAX(0,(G115-H$4)*(1+NORMINV(RAND(),INPUTS!$B$28,INPUTS!$B$29))))</f>
        <v>1912010.08546785</v>
      </c>
      <c r="I115" s="85" t="n">
        <f aca="true">IF(I$5=0,H115,MAX(0,(H115-I$4)*(1+NORMINV(RAND(),INPUTS!$B$28,INPUTS!$B$29))))</f>
        <v>1759593.62757736</v>
      </c>
      <c r="J115" s="85" t="n">
        <f aca="true">IF(J$5=0,I115,MAX(0,(I115-J$4)*(1+NORMINV(RAND(),INPUTS!$B$28,INPUTS!$B$29))))</f>
        <v>1782295.98445149</v>
      </c>
      <c r="K115" s="85" t="n">
        <f aca="true">IF(K$5=0,J115,MAX(0,(J115-K$4)*(1+NORMINV(RAND(),INPUTS!$B$28,INPUTS!$B$29))))</f>
        <v>2154938.37379945</v>
      </c>
      <c r="L115" s="85" t="n">
        <f aca="true">IF(L$5=0,K115,MAX(0,(K115-L$4)*(1+NORMINV(RAND(),INPUTS!$B$28,INPUTS!$B$29))))</f>
        <v>2043011.9288439</v>
      </c>
      <c r="M115" s="85" t="n">
        <f aca="true">IF(M$5=0,L115,MAX(0,(L115-M$4)*(1+NORMINV(RAND(),INPUTS!$B$28,INPUTS!$B$29))))</f>
        <v>2202730.53600894</v>
      </c>
      <c r="N115" s="85" t="n">
        <f aca="true">IF(N$5=0,M115,MAX(0,(M115-N$4)*(1+NORMINV(RAND(),INPUTS!$B$28,INPUTS!$B$29))))</f>
        <v>2462739.29861474</v>
      </c>
      <c r="O115" s="85" t="n">
        <f aca="true">IF(O$5=0,N115,MAX(0,(N115-O$4)*(1+NORMINV(RAND(),INPUTS!$B$28,INPUTS!$B$29))))</f>
        <v>2739643.23072347</v>
      </c>
      <c r="P115" s="85" t="n">
        <f aca="true">IF(P$5=0,O115,MAX(0,(O115-P$4)*(1+NORMINV(RAND(),INPUTS!$B$28,INPUTS!$B$29))))</f>
        <v>3209039.1411872</v>
      </c>
      <c r="Q115" s="85" t="n">
        <f aca="true">IF(Q$5=0,P115,MAX(0,(P115-Q$4)*(1+NORMINV(RAND(),INPUTS!$B$28,INPUTS!$B$29))))</f>
        <v>3716270.40171437</v>
      </c>
      <c r="R115" s="85" t="n">
        <f aca="true">IF(R$5=0,Q115,MAX(0,(Q115-R$4)*(1+NORMINV(RAND(),INPUTS!$B$28,INPUTS!$B$29))))</f>
        <v>3548849.09010938</v>
      </c>
      <c r="S115" s="85" t="n">
        <f aca="true">IF(S$5=0,R115,MAX(0,(R115-S$4)*(1+NORMINV(RAND(),INPUTS!$B$28,INPUTS!$B$29))))</f>
        <v>4392527.27763423</v>
      </c>
      <c r="T115" s="85" t="n">
        <f aca="true">IF(T$5=0,S115,MAX(0,(S115-T$4)*(1+NORMINV(RAND(),INPUTS!$B$28,INPUTS!$B$29))))</f>
        <v>4681035.03282044</v>
      </c>
      <c r="U115" s="85" t="n">
        <f aca="true">IF(U$5=0,T115,MAX(0,(T115-U$4)*(1+NORMINV(RAND(),INPUTS!$B$28,INPUTS!$B$29))))</f>
        <v>4134083.05884781</v>
      </c>
      <c r="V115" s="85" t="n">
        <f aca="true">IF(V$5=0,U115,MAX(0,(U115-V$4)*(1+NORMINV(RAND(),INPUTS!$B$28,INPUTS!$B$29))))</f>
        <v>4260887.0643191</v>
      </c>
      <c r="W115" s="85" t="n">
        <f aca="true">IF(W$5=0,V115,MAX(0,(V115-W$4)*(1+NORMINV(RAND(),INPUTS!$B$28,INPUTS!$B$29))))</f>
        <v>4510615.48746076</v>
      </c>
      <c r="X115" s="85" t="n">
        <f aca="true">IF(X$5=0,W115,MAX(0,(W115-X$4)*(1+NORMINV(RAND(),INPUTS!$B$28,INPUTS!$B$29))))</f>
        <v>3944954.07298473</v>
      </c>
      <c r="Y115" s="85" t="n">
        <f aca="true">IF(Y$5=0,X115,MAX(0,(X115-Y$4)*(1+NORMINV(RAND(),INPUTS!$B$28,INPUTS!$B$29))))</f>
        <v>4191092.57170022</v>
      </c>
      <c r="Z115" s="85" t="n">
        <f aca="true">IF(Z$5=0,Y115,MAX(0,(Y115-Z$4)*(1+NORMINV(RAND(),INPUTS!$B$28,INPUTS!$B$29))))</f>
        <v>4267705.36562072</v>
      </c>
      <c r="AA115" s="85" t="n">
        <f aca="true">IF(AA$5=0,Z115,MAX(0,(Z115-AA$4)*(1+NORMINV(RAND(),INPUTS!$B$28,INPUTS!$B$29))))</f>
        <v>5178427.75295371</v>
      </c>
      <c r="AB115" s="85" t="n">
        <f aca="true">IF(AB$5=0,AA115,MAX(0,(AA115-AB$4)*(1+NORMINV(RAND(),INPUTS!$B$28,INPUTS!$B$29))))</f>
        <v>5701017.57722577</v>
      </c>
      <c r="AC115" s="85" t="n">
        <f aca="true">IF(AC$5=0,AB115,MAX(0,(AB115-AC$4)*(1+NORMINV(RAND(),INPUTS!$B$28,INPUTS!$B$29))))</f>
        <v>6550419.45335519</v>
      </c>
      <c r="AD115" s="85" t="n">
        <f aca="true">IF(AD$5=0,AC115,MAX(0,(AC115-AD$4)*(1+NORMINV(RAND(),INPUTS!$B$28,INPUTS!$B$29))))</f>
        <v>6508672.04517372</v>
      </c>
      <c r="AE115" s="85" t="n">
        <f aca="true">IF(AE$5=0,AD115,MAX(0,(AD115-AE$4)*(1+NORMINV(RAND(),INPUTS!$B$28,INPUTS!$B$29))))</f>
        <v>7329744.72397003</v>
      </c>
      <c r="AF115" s="85" t="n">
        <f aca="true">IF(AF$5=0,AE115,MAX(0,(AE115-AF$4)*(1+NORMINV(RAND(),INPUTS!$B$28,INPUTS!$B$29))))</f>
        <v>8018053.86185599</v>
      </c>
      <c r="AG115" s="85" t="n">
        <f aca="true">IF(AG$5=0,AF115,MAX(0,(AF115-AG$4)*(1+NORMINV(RAND(),INPUTS!$B$28,INPUTS!$B$29))))</f>
        <v>9135510.45300483</v>
      </c>
      <c r="AH115" s="85" t="n">
        <f aca="true">IF(AH$5=0,AG115,MAX(0,(AG115-AH$4)*(1+NORMINV(RAND(),INPUTS!$B$28,INPUTS!$B$29))))</f>
        <v>10541640.420536</v>
      </c>
      <c r="AI115" s="85" t="n">
        <f aca="true">IF(AI$5=0,AH115,MAX(0,(AH115-AI$4)*(1+NORMINV(RAND(),INPUTS!$B$28,INPUTS!$B$29))))</f>
        <v>11174441.0469495</v>
      </c>
      <c r="AJ115" s="85" t="n">
        <f aca="true">IF(AJ$5=0,AI115,MAX(0,(AI115-AJ$4)*(1+NORMINV(RAND(),INPUTS!$B$28,INPUTS!$B$29))))</f>
        <v>11961050.3269775</v>
      </c>
      <c r="AK115" s="85" t="n">
        <f aca="true">IF(AK$5=0,AJ115,MAX(0,(AJ115-AK$4)*(1+NORMINV(RAND(),INPUTS!$B$28,INPUTS!$B$29))))</f>
        <v>14032788.4488473</v>
      </c>
      <c r="AL115" s="85" t="n">
        <f aca="true">IF(AL$5=0,AK115,MAX(0,(AK115-AL$4)*(1+NORMINV(RAND(),INPUTS!$B$28,INPUTS!$B$29))))</f>
        <v>17593691.7378956</v>
      </c>
      <c r="AM115" s="85" t="n">
        <f aca="true">IF(AM$5=0,AL115,MAX(0,(AL115-AM$4)*(1+NORMINV(RAND(),INPUTS!$B$28,INPUTS!$B$29))))</f>
        <v>17593691.7378956</v>
      </c>
      <c r="AN115" s="85" t="n">
        <f aca="true">IF(AN$5=0,AM115,MAX(0,(AM115-AN$4)*(1+NORMINV(RAND(),INPUTS!$B$28,INPUTS!$B$29))))</f>
        <v>17593691.7378956</v>
      </c>
      <c r="AO115" s="85" t="n">
        <f aca="true">IF(AO$5=0,AN115,MAX(0,(AN115-AO$4)*(1+NORMINV(RAND(),INPUTS!$B$28,INPUTS!$B$29))))</f>
        <v>17593691.7378956</v>
      </c>
      <c r="AP115" s="85" t="n">
        <f aca="true">IF(AP$5=0,AO115,MAX(0,(AO115-AP$4)*(1+NORMINV(RAND(),INPUTS!$B$28,INPUTS!$B$29))))</f>
        <v>17593691.7378956</v>
      </c>
    </row>
    <row r="116" customFormat="false" ht="15" hidden="false" customHeight="true" outlineLevel="0" collapsed="false">
      <c r="A116" s="83" t="n">
        <v>109</v>
      </c>
      <c r="B116" s="84" t="n">
        <f aca="false">LOOKUP(9.99E+307,C116:AP116)</f>
        <v>2129326.57278417</v>
      </c>
      <c r="C116" s="85" t="n">
        <f aca="true">IF(C$5=0,INPUTS!$B$19,MAX(0,(INPUTS!$B$19-C$4)*(1+NORMINV(RAND(),INPUTS!$B$28,INPUTS!$B$29))))</f>
        <v>1139591.7973638</v>
      </c>
      <c r="D116" s="85" t="n">
        <f aca="true">IF(D$5=0,C116,MAX(0,(C116-D$4)*(1+NORMINV(RAND(),INPUTS!$B$28,INPUTS!$B$29))))</f>
        <v>995243.480855254</v>
      </c>
      <c r="E116" s="85" t="n">
        <f aca="true">IF(E$5=0,D116,MAX(0,(D116-E$4)*(1+NORMINV(RAND(),INPUTS!$B$28,INPUTS!$B$29))))</f>
        <v>1056226.18026326</v>
      </c>
      <c r="F116" s="85" t="n">
        <f aca="true">IF(F$5=0,E116,MAX(0,(E116-F$4)*(1+NORMINV(RAND(),INPUTS!$B$28,INPUTS!$B$29))))</f>
        <v>1029714.34512958</v>
      </c>
      <c r="G116" s="85" t="n">
        <f aca="true">IF(G$5=0,F116,MAX(0,(F116-G$4)*(1+NORMINV(RAND(),INPUTS!$B$28,INPUTS!$B$29))))</f>
        <v>1244688.84397961</v>
      </c>
      <c r="H116" s="85" t="n">
        <f aca="true">IF(H$5=0,G116,MAX(0,(G116-H$4)*(1+NORMINV(RAND(),INPUTS!$B$28,INPUTS!$B$29))))</f>
        <v>1546231.1527109</v>
      </c>
      <c r="I116" s="85" t="n">
        <f aca="true">IF(I$5=0,H116,MAX(0,(H116-I$4)*(1+NORMINV(RAND(),INPUTS!$B$28,INPUTS!$B$29))))</f>
        <v>1637643.9011957</v>
      </c>
      <c r="J116" s="85" t="n">
        <f aca="true">IF(J$5=0,I116,MAX(0,(I116-J$4)*(1+NORMINV(RAND(),INPUTS!$B$28,INPUTS!$B$29))))</f>
        <v>1558794.48393375</v>
      </c>
      <c r="K116" s="85" t="n">
        <f aca="true">IF(K$5=0,J116,MAX(0,(J116-K$4)*(1+NORMINV(RAND(),INPUTS!$B$28,INPUTS!$B$29))))</f>
        <v>1475183.77172173</v>
      </c>
      <c r="L116" s="85" t="n">
        <f aca="true">IF(L$5=0,K116,MAX(0,(K116-L$4)*(1+NORMINV(RAND(),INPUTS!$B$28,INPUTS!$B$29))))</f>
        <v>1390404.89286305</v>
      </c>
      <c r="M116" s="85" t="n">
        <f aca="true">IF(M$5=0,L116,MAX(0,(L116-M$4)*(1+NORMINV(RAND(),INPUTS!$B$28,INPUTS!$B$29))))</f>
        <v>1614444.23295492</v>
      </c>
      <c r="N116" s="85" t="n">
        <f aca="true">IF(N$5=0,M116,MAX(0,(M116-N$4)*(1+NORMINV(RAND(),INPUTS!$B$28,INPUTS!$B$29))))</f>
        <v>1369344.96789674</v>
      </c>
      <c r="O116" s="85" t="n">
        <f aca="true">IF(O$5=0,N116,MAX(0,(N116-O$4)*(1+NORMINV(RAND(),INPUTS!$B$28,INPUTS!$B$29))))</f>
        <v>1326648.39973005</v>
      </c>
      <c r="P116" s="85" t="n">
        <f aca="true">IF(P$5=0,O116,MAX(0,(O116-P$4)*(1+NORMINV(RAND(),INPUTS!$B$28,INPUTS!$B$29))))</f>
        <v>1326749.62230649</v>
      </c>
      <c r="Q116" s="85" t="n">
        <f aca="true">IF(Q$5=0,P116,MAX(0,(P116-Q$4)*(1+NORMINV(RAND(),INPUTS!$B$28,INPUTS!$B$29))))</f>
        <v>1182457.28076479</v>
      </c>
      <c r="R116" s="85" t="n">
        <f aca="true">IF(R$5=0,Q116,MAX(0,(Q116-R$4)*(1+NORMINV(RAND(),INPUTS!$B$28,INPUTS!$B$29))))</f>
        <v>1153753.63610447</v>
      </c>
      <c r="S116" s="85" t="n">
        <f aca="true">IF(S$5=0,R116,MAX(0,(R116-S$4)*(1+NORMINV(RAND(),INPUTS!$B$28,INPUTS!$B$29))))</f>
        <v>1064805.01117702</v>
      </c>
      <c r="T116" s="85" t="n">
        <f aca="true">IF(T$5=0,S116,MAX(0,(S116-T$4)*(1+NORMINV(RAND(),INPUTS!$B$28,INPUTS!$B$29))))</f>
        <v>1114569.49177197</v>
      </c>
      <c r="U116" s="85" t="n">
        <f aca="true">IF(U$5=0,T116,MAX(0,(T116-U$4)*(1+NORMINV(RAND(),INPUTS!$B$28,INPUTS!$B$29))))</f>
        <v>1307037.64011233</v>
      </c>
      <c r="V116" s="85" t="n">
        <f aca="true">IF(V$5=0,U116,MAX(0,(U116-V$4)*(1+NORMINV(RAND(),INPUTS!$B$28,INPUTS!$B$29))))</f>
        <v>1279475.24569427</v>
      </c>
      <c r="W116" s="85" t="n">
        <f aca="true">IF(W$5=0,V116,MAX(0,(V116-W$4)*(1+NORMINV(RAND(),INPUTS!$B$28,INPUTS!$B$29))))</f>
        <v>1435603.94979517</v>
      </c>
      <c r="X116" s="85" t="n">
        <f aca="true">IF(X$5=0,W116,MAX(0,(W116-X$4)*(1+NORMINV(RAND(),INPUTS!$B$28,INPUTS!$B$29))))</f>
        <v>1515870.66516368</v>
      </c>
      <c r="Y116" s="85" t="n">
        <f aca="true">IF(Y$5=0,X116,MAX(0,(X116-Y$4)*(1+NORMINV(RAND(),INPUTS!$B$28,INPUTS!$B$29))))</f>
        <v>1779740.29365615</v>
      </c>
      <c r="Z116" s="85" t="n">
        <f aca="true">IF(Z$5=0,Y116,MAX(0,(Y116-Z$4)*(1+NORMINV(RAND(),INPUTS!$B$28,INPUTS!$B$29))))</f>
        <v>1929459.22197398</v>
      </c>
      <c r="AA116" s="85" t="n">
        <f aca="true">IF(AA$5=0,Z116,MAX(0,(Z116-AA$4)*(1+NORMINV(RAND(),INPUTS!$B$28,INPUTS!$B$29))))</f>
        <v>1800799.54880839</v>
      </c>
      <c r="AB116" s="85" t="n">
        <f aca="true">IF(AB$5=0,AA116,MAX(0,(AA116-AB$4)*(1+NORMINV(RAND(),INPUTS!$B$28,INPUTS!$B$29))))</f>
        <v>1746226.28044717</v>
      </c>
      <c r="AC116" s="85" t="n">
        <f aca="true">IF(AC$5=0,AB116,MAX(0,(AB116-AC$4)*(1+NORMINV(RAND(),INPUTS!$B$28,INPUTS!$B$29))))</f>
        <v>2246832.3874578</v>
      </c>
      <c r="AD116" s="85" t="n">
        <f aca="true">IF(AD$5=0,AC116,MAX(0,(AC116-AD$4)*(1+NORMINV(RAND(),INPUTS!$B$28,INPUTS!$B$29))))</f>
        <v>2658720.71492043</v>
      </c>
      <c r="AE116" s="85" t="n">
        <f aca="true">IF(AE$5=0,AD116,MAX(0,(AD116-AE$4)*(1+NORMINV(RAND(),INPUTS!$B$28,INPUTS!$B$29))))</f>
        <v>2442309.26374392</v>
      </c>
      <c r="AF116" s="85" t="n">
        <f aca="true">IF(AF$5=0,AE116,MAX(0,(AE116-AF$4)*(1+NORMINV(RAND(),INPUTS!$B$28,INPUTS!$B$29))))</f>
        <v>3024280.81448961</v>
      </c>
      <c r="AG116" s="85" t="n">
        <f aca="true">IF(AG$5=0,AF116,MAX(0,(AF116-AG$4)*(1+NORMINV(RAND(),INPUTS!$B$28,INPUTS!$B$29))))</f>
        <v>3304407.75598466</v>
      </c>
      <c r="AH116" s="85" t="n">
        <f aca="true">IF(AH$5=0,AG116,MAX(0,(AG116-AH$4)*(1+NORMINV(RAND(),INPUTS!$B$28,INPUTS!$B$29))))</f>
        <v>2968358.92432712</v>
      </c>
      <c r="AI116" s="85" t="n">
        <f aca="true">IF(AI$5=0,AH116,MAX(0,(AH116-AI$4)*(1+NORMINV(RAND(),INPUTS!$B$28,INPUTS!$B$29))))</f>
        <v>2426055.77405317</v>
      </c>
      <c r="AJ116" s="85" t="n">
        <f aca="true">IF(AJ$5=0,AI116,MAX(0,(AI116-AJ$4)*(1+NORMINV(RAND(),INPUTS!$B$28,INPUTS!$B$29))))</f>
        <v>2841203.79978273</v>
      </c>
      <c r="AK116" s="85" t="n">
        <f aca="true">IF(AK$5=0,AJ116,MAX(0,(AJ116-AK$4)*(1+NORMINV(RAND(),INPUTS!$B$28,INPUTS!$B$29))))</f>
        <v>2023209.16474246</v>
      </c>
      <c r="AL116" s="85" t="n">
        <f aca="true">IF(AL$5=0,AK116,MAX(0,(AK116-AL$4)*(1+NORMINV(RAND(),INPUTS!$B$28,INPUTS!$B$29))))</f>
        <v>2129326.57278417</v>
      </c>
      <c r="AM116" s="85" t="n">
        <f aca="true">IF(AM$5=0,AL116,MAX(0,(AL116-AM$4)*(1+NORMINV(RAND(),INPUTS!$B$28,INPUTS!$B$29))))</f>
        <v>2129326.57278417</v>
      </c>
      <c r="AN116" s="85" t="n">
        <f aca="true">IF(AN$5=0,AM116,MAX(0,(AM116-AN$4)*(1+NORMINV(RAND(),INPUTS!$B$28,INPUTS!$B$29))))</f>
        <v>2129326.57278417</v>
      </c>
      <c r="AO116" s="85" t="n">
        <f aca="true">IF(AO$5=0,AN116,MAX(0,(AN116-AO$4)*(1+NORMINV(RAND(),INPUTS!$B$28,INPUTS!$B$29))))</f>
        <v>2129326.57278417</v>
      </c>
      <c r="AP116" s="85" t="n">
        <f aca="true">IF(AP$5=0,AO116,MAX(0,(AO116-AP$4)*(1+NORMINV(RAND(),INPUTS!$B$28,INPUTS!$B$29))))</f>
        <v>2129326.57278417</v>
      </c>
    </row>
    <row r="117" customFormat="false" ht="15" hidden="false" customHeight="true" outlineLevel="0" collapsed="false">
      <c r="A117" s="83" t="n">
        <v>110</v>
      </c>
      <c r="B117" s="84" t="n">
        <f aca="false">LOOKUP(9.99E+307,C117:AP117)</f>
        <v>10832445.8742356</v>
      </c>
      <c r="C117" s="85" t="n">
        <f aca="true">IF(C$5=0,INPUTS!$B$19,MAX(0,(INPUTS!$B$19-C$4)*(1+NORMINV(RAND(),INPUTS!$B$28,INPUTS!$B$29))))</f>
        <v>1509478.68390603</v>
      </c>
      <c r="D117" s="85" t="n">
        <f aca="true">IF(D$5=0,C117,MAX(0,(C117-D$4)*(1+NORMINV(RAND(),INPUTS!$B$28,INPUTS!$B$29))))</f>
        <v>1431612.50807071</v>
      </c>
      <c r="E117" s="85" t="n">
        <f aca="true">IF(E$5=0,D117,MAX(0,(D117-E$4)*(1+NORMINV(RAND(),INPUTS!$B$28,INPUTS!$B$29))))</f>
        <v>1802669.09794806</v>
      </c>
      <c r="F117" s="85" t="n">
        <f aca="true">IF(F$5=0,E117,MAX(0,(E117-F$4)*(1+NORMINV(RAND(),INPUTS!$B$28,INPUTS!$B$29))))</f>
        <v>2073164.1825759</v>
      </c>
      <c r="G117" s="85" t="n">
        <f aca="true">IF(G$5=0,F117,MAX(0,(F117-G$4)*(1+NORMINV(RAND(),INPUTS!$B$28,INPUTS!$B$29))))</f>
        <v>2421978.01760562</v>
      </c>
      <c r="H117" s="85" t="n">
        <f aca="true">IF(H$5=0,G117,MAX(0,(G117-H$4)*(1+NORMINV(RAND(),INPUTS!$B$28,INPUTS!$B$29))))</f>
        <v>2788392.62969091</v>
      </c>
      <c r="I117" s="85" t="n">
        <f aca="true">IF(I$5=0,H117,MAX(0,(H117-I$4)*(1+NORMINV(RAND(),INPUTS!$B$28,INPUTS!$B$29))))</f>
        <v>2553809.64029082</v>
      </c>
      <c r="J117" s="85" t="n">
        <f aca="true">IF(J$5=0,I117,MAX(0,(I117-J$4)*(1+NORMINV(RAND(),INPUTS!$B$28,INPUTS!$B$29))))</f>
        <v>2673411.43487936</v>
      </c>
      <c r="K117" s="85" t="n">
        <f aca="true">IF(K$5=0,J117,MAX(0,(J117-K$4)*(1+NORMINV(RAND(),INPUTS!$B$28,INPUTS!$B$29))))</f>
        <v>2858760.0419349</v>
      </c>
      <c r="L117" s="85" t="n">
        <f aca="true">IF(L$5=0,K117,MAX(0,(K117-L$4)*(1+NORMINV(RAND(),INPUTS!$B$28,INPUTS!$B$29))))</f>
        <v>3164560.59668028</v>
      </c>
      <c r="M117" s="85" t="n">
        <f aca="true">IF(M$5=0,L117,MAX(0,(L117-M$4)*(1+NORMINV(RAND(),INPUTS!$B$28,INPUTS!$B$29))))</f>
        <v>3041864.77640746</v>
      </c>
      <c r="N117" s="85" t="n">
        <f aca="true">IF(N$5=0,M117,MAX(0,(M117-N$4)*(1+NORMINV(RAND(),INPUTS!$B$28,INPUTS!$B$29))))</f>
        <v>3737706.59633081</v>
      </c>
      <c r="O117" s="85" t="n">
        <f aca="true">IF(O$5=0,N117,MAX(0,(N117-O$4)*(1+NORMINV(RAND(),INPUTS!$B$28,INPUTS!$B$29))))</f>
        <v>4108390.63078966</v>
      </c>
      <c r="P117" s="85" t="n">
        <f aca="true">IF(P$5=0,O117,MAX(0,(O117-P$4)*(1+NORMINV(RAND(),INPUTS!$B$28,INPUTS!$B$29))))</f>
        <v>4683010.56362918</v>
      </c>
      <c r="Q117" s="85" t="n">
        <f aca="true">IF(Q$5=0,P117,MAX(0,(P117-Q$4)*(1+NORMINV(RAND(),INPUTS!$B$28,INPUTS!$B$29))))</f>
        <v>5271937.11849315</v>
      </c>
      <c r="R117" s="85" t="n">
        <f aca="true">IF(R$5=0,Q117,MAX(0,(Q117-R$4)*(1+NORMINV(RAND(),INPUTS!$B$28,INPUTS!$B$29))))</f>
        <v>5376816.01339924</v>
      </c>
      <c r="S117" s="85" t="n">
        <f aca="true">IF(S$5=0,R117,MAX(0,(R117-S$4)*(1+NORMINV(RAND(),INPUTS!$B$28,INPUTS!$B$29))))</f>
        <v>4977541.20828851</v>
      </c>
      <c r="T117" s="85" t="n">
        <f aca="true">IF(T$5=0,S117,MAX(0,(S117-T$4)*(1+NORMINV(RAND(),INPUTS!$B$28,INPUTS!$B$29))))</f>
        <v>5282972.62541133</v>
      </c>
      <c r="U117" s="85" t="n">
        <f aca="true">IF(U$5=0,T117,MAX(0,(T117-U$4)*(1+NORMINV(RAND(),INPUTS!$B$28,INPUTS!$B$29))))</f>
        <v>4955218.06680596</v>
      </c>
      <c r="V117" s="85" t="n">
        <f aca="true">IF(V$5=0,U117,MAX(0,(U117-V$4)*(1+NORMINV(RAND(),INPUTS!$B$28,INPUTS!$B$29))))</f>
        <v>5415757.82618599</v>
      </c>
      <c r="W117" s="85" t="n">
        <f aca="true">IF(W$5=0,V117,MAX(0,(V117-W$4)*(1+NORMINV(RAND(),INPUTS!$B$28,INPUTS!$B$29))))</f>
        <v>6459447.77959147</v>
      </c>
      <c r="X117" s="85" t="n">
        <f aca="true">IF(X$5=0,W117,MAX(0,(W117-X$4)*(1+NORMINV(RAND(),INPUTS!$B$28,INPUTS!$B$29))))</f>
        <v>7883467.65533949</v>
      </c>
      <c r="Y117" s="85" t="n">
        <f aca="true">IF(Y$5=0,X117,MAX(0,(X117-Y$4)*(1+NORMINV(RAND(),INPUTS!$B$28,INPUTS!$B$29))))</f>
        <v>7114372.68643569</v>
      </c>
      <c r="Z117" s="85" t="n">
        <f aca="true">IF(Z$5=0,Y117,MAX(0,(Y117-Z$4)*(1+NORMINV(RAND(),INPUTS!$B$28,INPUTS!$B$29))))</f>
        <v>7426780.89569743</v>
      </c>
      <c r="AA117" s="85" t="n">
        <f aca="true">IF(AA$5=0,Z117,MAX(0,(Z117-AA$4)*(1+NORMINV(RAND(),INPUTS!$B$28,INPUTS!$B$29))))</f>
        <v>7404584.15831731</v>
      </c>
      <c r="AB117" s="85" t="n">
        <f aca="true">IF(AB$5=0,AA117,MAX(0,(AA117-AB$4)*(1+NORMINV(RAND(),INPUTS!$B$28,INPUTS!$B$29))))</f>
        <v>7432699.91078935</v>
      </c>
      <c r="AC117" s="85" t="n">
        <f aca="true">IF(AC$5=0,AB117,MAX(0,(AB117-AC$4)*(1+NORMINV(RAND(),INPUTS!$B$28,INPUTS!$B$29))))</f>
        <v>7150214.89222378</v>
      </c>
      <c r="AD117" s="85" t="n">
        <f aca="true">IF(AD$5=0,AC117,MAX(0,(AC117-AD$4)*(1+NORMINV(RAND(),INPUTS!$B$28,INPUTS!$B$29))))</f>
        <v>8487940.52464285</v>
      </c>
      <c r="AE117" s="85" t="n">
        <f aca="true">IF(AE$5=0,AD117,MAX(0,(AD117-AE$4)*(1+NORMINV(RAND(),INPUTS!$B$28,INPUTS!$B$29))))</f>
        <v>8345044.03354992</v>
      </c>
      <c r="AF117" s="85" t="n">
        <f aca="true">IF(AF$5=0,AE117,MAX(0,(AE117-AF$4)*(1+NORMINV(RAND(),INPUTS!$B$28,INPUTS!$B$29))))</f>
        <v>6556593.70074153</v>
      </c>
      <c r="AG117" s="85" t="n">
        <f aca="true">IF(AG$5=0,AF117,MAX(0,(AF117-AG$4)*(1+NORMINV(RAND(),INPUTS!$B$28,INPUTS!$B$29))))</f>
        <v>8028432.3433048</v>
      </c>
      <c r="AH117" s="85" t="n">
        <f aca="true">IF(AH$5=0,AG117,MAX(0,(AG117-AH$4)*(1+NORMINV(RAND(),INPUTS!$B$28,INPUTS!$B$29))))</f>
        <v>7067301.35064937</v>
      </c>
      <c r="AI117" s="85" t="n">
        <f aca="true">IF(AI$5=0,AH117,MAX(0,(AH117-AI$4)*(1+NORMINV(RAND(),INPUTS!$B$28,INPUTS!$B$29))))</f>
        <v>8309025.61423789</v>
      </c>
      <c r="AJ117" s="85" t="n">
        <f aca="true">IF(AJ$5=0,AI117,MAX(0,(AI117-AJ$4)*(1+NORMINV(RAND(),INPUTS!$B$28,INPUTS!$B$29))))</f>
        <v>8243212.11601522</v>
      </c>
      <c r="AK117" s="85" t="n">
        <f aca="true">IF(AK$5=0,AJ117,MAX(0,(AJ117-AK$4)*(1+NORMINV(RAND(),INPUTS!$B$28,INPUTS!$B$29))))</f>
        <v>9712821.38736116</v>
      </c>
      <c r="AL117" s="85" t="n">
        <f aca="true">IF(AL$5=0,AK117,MAX(0,(AK117-AL$4)*(1+NORMINV(RAND(),INPUTS!$B$28,INPUTS!$B$29))))</f>
        <v>10832445.8742356</v>
      </c>
      <c r="AM117" s="85" t="n">
        <f aca="true">IF(AM$5=0,AL117,MAX(0,(AL117-AM$4)*(1+NORMINV(RAND(),INPUTS!$B$28,INPUTS!$B$29))))</f>
        <v>10832445.8742356</v>
      </c>
      <c r="AN117" s="85" t="n">
        <f aca="true">IF(AN$5=0,AM117,MAX(0,(AM117-AN$4)*(1+NORMINV(RAND(),INPUTS!$B$28,INPUTS!$B$29))))</f>
        <v>10832445.8742356</v>
      </c>
      <c r="AO117" s="85" t="n">
        <f aca="true">IF(AO$5=0,AN117,MAX(0,(AN117-AO$4)*(1+NORMINV(RAND(),INPUTS!$B$28,INPUTS!$B$29))))</f>
        <v>10832445.8742356</v>
      </c>
      <c r="AP117" s="85" t="n">
        <f aca="true">IF(AP$5=0,AO117,MAX(0,(AO117-AP$4)*(1+NORMINV(RAND(),INPUTS!$B$28,INPUTS!$B$29))))</f>
        <v>10832445.8742356</v>
      </c>
    </row>
    <row r="118" customFormat="false" ht="15" hidden="false" customHeight="true" outlineLevel="0" collapsed="false">
      <c r="A118" s="83" t="n">
        <v>111</v>
      </c>
      <c r="B118" s="84" t="n">
        <f aca="false">LOOKUP(9.99E+307,C118:AP118)</f>
        <v>3195941.48795906</v>
      </c>
      <c r="C118" s="85" t="n">
        <f aca="true">IF(C$5=0,INPUTS!$B$19,MAX(0,(INPUTS!$B$19-C$4)*(1+NORMINV(RAND(),INPUTS!$B$28,INPUTS!$B$29))))</f>
        <v>1308979.3731814</v>
      </c>
      <c r="D118" s="85" t="n">
        <f aca="true">IF(D$5=0,C118,MAX(0,(C118-D$4)*(1+NORMINV(RAND(),INPUTS!$B$28,INPUTS!$B$29))))</f>
        <v>1253042.35143192</v>
      </c>
      <c r="E118" s="85" t="n">
        <f aca="true">IF(E$5=0,D118,MAX(0,(D118-E$4)*(1+NORMINV(RAND(),INPUTS!$B$28,INPUTS!$B$29))))</f>
        <v>1329531.72345581</v>
      </c>
      <c r="F118" s="85" t="n">
        <f aca="true">IF(F$5=0,E118,MAX(0,(E118-F$4)*(1+NORMINV(RAND(),INPUTS!$B$28,INPUTS!$B$29))))</f>
        <v>1188981.58829185</v>
      </c>
      <c r="G118" s="85" t="n">
        <f aca="true">IF(G$5=0,F118,MAX(0,(F118-G$4)*(1+NORMINV(RAND(),INPUTS!$B$28,INPUTS!$B$29))))</f>
        <v>1086925.29873614</v>
      </c>
      <c r="H118" s="85" t="n">
        <f aca="true">IF(H$5=0,G118,MAX(0,(G118-H$4)*(1+NORMINV(RAND(),INPUTS!$B$28,INPUTS!$B$29))))</f>
        <v>985162.652245947</v>
      </c>
      <c r="I118" s="85" t="n">
        <f aca="true">IF(I$5=0,H118,MAX(0,(H118-I$4)*(1+NORMINV(RAND(),INPUTS!$B$28,INPUTS!$B$29))))</f>
        <v>1000289.96286772</v>
      </c>
      <c r="J118" s="85" t="n">
        <f aca="true">IF(J$5=0,I118,MAX(0,(I118-J$4)*(1+NORMINV(RAND(),INPUTS!$B$28,INPUTS!$B$29))))</f>
        <v>1004054.00608808</v>
      </c>
      <c r="K118" s="85" t="n">
        <f aca="true">IF(K$5=0,J118,MAX(0,(J118-K$4)*(1+NORMINV(RAND(),INPUTS!$B$28,INPUTS!$B$29))))</f>
        <v>1027126.42323538</v>
      </c>
      <c r="L118" s="85" t="n">
        <f aca="true">IF(L$5=0,K118,MAX(0,(K118-L$4)*(1+NORMINV(RAND(),INPUTS!$B$28,INPUTS!$B$29))))</f>
        <v>1189106.04876522</v>
      </c>
      <c r="M118" s="85" t="n">
        <f aca="true">IF(M$5=0,L118,MAX(0,(L118-M$4)*(1+NORMINV(RAND(),INPUTS!$B$28,INPUTS!$B$29))))</f>
        <v>1197411.60533387</v>
      </c>
      <c r="N118" s="85" t="n">
        <f aca="true">IF(N$5=0,M118,MAX(0,(M118-N$4)*(1+NORMINV(RAND(),INPUTS!$B$28,INPUTS!$B$29))))</f>
        <v>1227538.75221181</v>
      </c>
      <c r="O118" s="85" t="n">
        <f aca="true">IF(O$5=0,N118,MAX(0,(N118-O$4)*(1+NORMINV(RAND(),INPUTS!$B$28,INPUTS!$B$29))))</f>
        <v>1243365.88237431</v>
      </c>
      <c r="P118" s="85" t="n">
        <f aca="true">IF(P$5=0,O118,MAX(0,(O118-P$4)*(1+NORMINV(RAND(),INPUTS!$B$28,INPUTS!$B$29))))</f>
        <v>1230596.66085993</v>
      </c>
      <c r="Q118" s="85" t="n">
        <f aca="true">IF(Q$5=0,P118,MAX(0,(P118-Q$4)*(1+NORMINV(RAND(),INPUTS!$B$28,INPUTS!$B$29))))</f>
        <v>1211233.7989159</v>
      </c>
      <c r="R118" s="85" t="n">
        <f aca="true">IF(R$5=0,Q118,MAX(0,(Q118-R$4)*(1+NORMINV(RAND(),INPUTS!$B$28,INPUTS!$B$29))))</f>
        <v>1467593.24903772</v>
      </c>
      <c r="S118" s="85" t="n">
        <f aca="true">IF(S$5=0,R118,MAX(0,(R118-S$4)*(1+NORMINV(RAND(),INPUTS!$B$28,INPUTS!$B$29))))</f>
        <v>1677709.81673808</v>
      </c>
      <c r="T118" s="85" t="n">
        <f aca="true">IF(T$5=0,S118,MAX(0,(S118-T$4)*(1+NORMINV(RAND(),INPUTS!$B$28,INPUTS!$B$29))))</f>
        <v>1826066.40191822</v>
      </c>
      <c r="U118" s="85" t="n">
        <f aca="true">IF(U$5=0,T118,MAX(0,(T118-U$4)*(1+NORMINV(RAND(),INPUTS!$B$28,INPUTS!$B$29))))</f>
        <v>1928082.90356385</v>
      </c>
      <c r="V118" s="85" t="n">
        <f aca="true">IF(V$5=0,U118,MAX(0,(U118-V$4)*(1+NORMINV(RAND(),INPUTS!$B$28,INPUTS!$B$29))))</f>
        <v>2275776.09870238</v>
      </c>
      <c r="W118" s="85" t="n">
        <f aca="true">IF(W$5=0,V118,MAX(0,(V118-W$4)*(1+NORMINV(RAND(),INPUTS!$B$28,INPUTS!$B$29))))</f>
        <v>2573148.90974151</v>
      </c>
      <c r="X118" s="85" t="n">
        <f aca="true">IF(X$5=0,W118,MAX(0,(W118-X$4)*(1+NORMINV(RAND(),INPUTS!$B$28,INPUTS!$B$29))))</f>
        <v>2342062.64693604</v>
      </c>
      <c r="Y118" s="85" t="n">
        <f aca="true">IF(Y$5=0,X118,MAX(0,(X118-Y$4)*(1+NORMINV(RAND(),INPUTS!$B$28,INPUTS!$B$29))))</f>
        <v>2511303.67722292</v>
      </c>
      <c r="Z118" s="85" t="n">
        <f aca="true">IF(Z$5=0,Y118,MAX(0,(Y118-Z$4)*(1+NORMINV(RAND(),INPUTS!$B$28,INPUTS!$B$29))))</f>
        <v>1791766.84098903</v>
      </c>
      <c r="AA118" s="85" t="n">
        <f aca="true">IF(AA$5=0,Z118,MAX(0,(Z118-AA$4)*(1+NORMINV(RAND(),INPUTS!$B$28,INPUTS!$B$29))))</f>
        <v>1940146.25397474</v>
      </c>
      <c r="AB118" s="85" t="n">
        <f aca="true">IF(AB$5=0,AA118,MAX(0,(AA118-AB$4)*(1+NORMINV(RAND(),INPUTS!$B$28,INPUTS!$B$29))))</f>
        <v>1976954.44951232</v>
      </c>
      <c r="AC118" s="85" t="n">
        <f aca="true">IF(AC$5=0,AB118,MAX(0,(AB118-AC$4)*(1+NORMINV(RAND(),INPUTS!$B$28,INPUTS!$B$29))))</f>
        <v>2053991.92577319</v>
      </c>
      <c r="AD118" s="85" t="n">
        <f aca="true">IF(AD$5=0,AC118,MAX(0,(AC118-AD$4)*(1+NORMINV(RAND(),INPUTS!$B$28,INPUTS!$B$29))))</f>
        <v>2328258.52347731</v>
      </c>
      <c r="AE118" s="85" t="n">
        <f aca="true">IF(AE$5=0,AD118,MAX(0,(AD118-AE$4)*(1+NORMINV(RAND(),INPUTS!$B$28,INPUTS!$B$29))))</f>
        <v>2340595.8753205</v>
      </c>
      <c r="AF118" s="85" t="n">
        <f aca="true">IF(AF$5=0,AE118,MAX(0,(AE118-AF$4)*(1+NORMINV(RAND(),INPUTS!$B$28,INPUTS!$B$29))))</f>
        <v>2265877.20374016</v>
      </c>
      <c r="AG118" s="85" t="n">
        <f aca="true">IF(AG$5=0,AF118,MAX(0,(AF118-AG$4)*(1+NORMINV(RAND(),INPUTS!$B$28,INPUTS!$B$29))))</f>
        <v>2557093.94449458</v>
      </c>
      <c r="AH118" s="85" t="n">
        <f aca="true">IF(AH$5=0,AG118,MAX(0,(AG118-AH$4)*(1+NORMINV(RAND(),INPUTS!$B$28,INPUTS!$B$29))))</f>
        <v>2394962.6015376</v>
      </c>
      <c r="AI118" s="85" t="n">
        <f aca="true">IF(AI$5=0,AH118,MAX(0,(AH118-AI$4)*(1+NORMINV(RAND(),INPUTS!$B$28,INPUTS!$B$29))))</f>
        <v>2554636.94930987</v>
      </c>
      <c r="AJ118" s="85" t="n">
        <f aca="true">IF(AJ$5=0,AI118,MAX(0,(AI118-AJ$4)*(1+NORMINV(RAND(),INPUTS!$B$28,INPUTS!$B$29))))</f>
        <v>2706302.81868449</v>
      </c>
      <c r="AK118" s="85" t="n">
        <f aca="true">IF(AK$5=0,AJ118,MAX(0,(AJ118-AK$4)*(1+NORMINV(RAND(),INPUTS!$B$28,INPUTS!$B$29))))</f>
        <v>2982424.73316099</v>
      </c>
      <c r="AL118" s="85" t="n">
        <f aca="true">IF(AL$5=0,AK118,MAX(0,(AK118-AL$4)*(1+NORMINV(RAND(),INPUTS!$B$28,INPUTS!$B$29))))</f>
        <v>3195941.48795906</v>
      </c>
      <c r="AM118" s="85" t="n">
        <f aca="true">IF(AM$5=0,AL118,MAX(0,(AL118-AM$4)*(1+NORMINV(RAND(),INPUTS!$B$28,INPUTS!$B$29))))</f>
        <v>3195941.48795906</v>
      </c>
      <c r="AN118" s="85" t="n">
        <f aca="true">IF(AN$5=0,AM118,MAX(0,(AM118-AN$4)*(1+NORMINV(RAND(),INPUTS!$B$28,INPUTS!$B$29))))</f>
        <v>3195941.48795906</v>
      </c>
      <c r="AO118" s="85" t="n">
        <f aca="true">IF(AO$5=0,AN118,MAX(0,(AN118-AO$4)*(1+NORMINV(RAND(),INPUTS!$B$28,INPUTS!$B$29))))</f>
        <v>3195941.48795906</v>
      </c>
      <c r="AP118" s="85" t="n">
        <f aca="true">IF(AP$5=0,AO118,MAX(0,(AO118-AP$4)*(1+NORMINV(RAND(),INPUTS!$B$28,INPUTS!$B$29))))</f>
        <v>3195941.48795906</v>
      </c>
    </row>
    <row r="119" customFormat="false" ht="15" hidden="false" customHeight="true" outlineLevel="0" collapsed="false">
      <c r="A119" s="83" t="n">
        <v>112</v>
      </c>
      <c r="B119" s="84" t="n">
        <f aca="false">LOOKUP(9.99E+307,C119:AP119)</f>
        <v>1704641.31011137</v>
      </c>
      <c r="C119" s="85" t="n">
        <f aca="true">IF(C$5=0,INPUTS!$B$19,MAX(0,(INPUTS!$B$19-C$4)*(1+NORMINV(RAND(),INPUTS!$B$28,INPUTS!$B$29))))</f>
        <v>1401314.87382916</v>
      </c>
      <c r="D119" s="85" t="n">
        <f aca="true">IF(D$5=0,C119,MAX(0,(C119-D$4)*(1+NORMINV(RAND(),INPUTS!$B$28,INPUTS!$B$29))))</f>
        <v>1568321.21351602</v>
      </c>
      <c r="E119" s="85" t="n">
        <f aca="true">IF(E$5=0,D119,MAX(0,(D119-E$4)*(1+NORMINV(RAND(),INPUTS!$B$28,INPUTS!$B$29))))</f>
        <v>1414670.49663626</v>
      </c>
      <c r="F119" s="85" t="n">
        <f aca="true">IF(F$5=0,E119,MAX(0,(E119-F$4)*(1+NORMINV(RAND(),INPUTS!$B$28,INPUTS!$B$29))))</f>
        <v>1395070.62742916</v>
      </c>
      <c r="G119" s="85" t="n">
        <f aca="true">IF(G$5=0,F119,MAX(0,(F119-G$4)*(1+NORMINV(RAND(),INPUTS!$B$28,INPUTS!$B$29))))</f>
        <v>1357845.77046258</v>
      </c>
      <c r="H119" s="85" t="n">
        <f aca="true">IF(H$5=0,G119,MAX(0,(G119-H$4)*(1+NORMINV(RAND(),INPUTS!$B$28,INPUTS!$B$29))))</f>
        <v>1564284.06290441</v>
      </c>
      <c r="I119" s="85" t="n">
        <f aca="true">IF(I$5=0,H119,MAX(0,(H119-I$4)*(1+NORMINV(RAND(),INPUTS!$B$28,INPUTS!$B$29))))</f>
        <v>1446317.79655189</v>
      </c>
      <c r="J119" s="85" t="n">
        <f aca="true">IF(J$5=0,I119,MAX(0,(I119-J$4)*(1+NORMINV(RAND(),INPUTS!$B$28,INPUTS!$B$29))))</f>
        <v>1296770.58183886</v>
      </c>
      <c r="K119" s="85" t="n">
        <f aca="true">IF(K$5=0,J119,MAX(0,(J119-K$4)*(1+NORMINV(RAND(),INPUTS!$B$28,INPUTS!$B$29))))</f>
        <v>1181568.03268501</v>
      </c>
      <c r="L119" s="85" t="n">
        <f aca="true">IF(L$5=0,K119,MAX(0,(K119-L$4)*(1+NORMINV(RAND(),INPUTS!$B$28,INPUTS!$B$29))))</f>
        <v>1292504.68728456</v>
      </c>
      <c r="M119" s="85" t="n">
        <f aca="true">IF(M$5=0,L119,MAX(0,(L119-M$4)*(1+NORMINV(RAND(),INPUTS!$B$28,INPUTS!$B$29))))</f>
        <v>1171911.08820943</v>
      </c>
      <c r="N119" s="85" t="n">
        <f aca="true">IF(N$5=0,M119,MAX(0,(M119-N$4)*(1+NORMINV(RAND(),INPUTS!$B$28,INPUTS!$B$29))))</f>
        <v>1188937.94537508</v>
      </c>
      <c r="O119" s="85" t="n">
        <f aca="true">IF(O$5=0,N119,MAX(0,(N119-O$4)*(1+NORMINV(RAND(),INPUTS!$B$28,INPUTS!$B$29))))</f>
        <v>1217077.19498914</v>
      </c>
      <c r="P119" s="85" t="n">
        <f aca="true">IF(P$5=0,O119,MAX(0,(O119-P$4)*(1+NORMINV(RAND(),INPUTS!$B$28,INPUTS!$B$29))))</f>
        <v>1205034.72241136</v>
      </c>
      <c r="Q119" s="85" t="n">
        <f aca="true">IF(Q$5=0,P119,MAX(0,(P119-Q$4)*(1+NORMINV(RAND(),INPUTS!$B$28,INPUTS!$B$29))))</f>
        <v>1229398.73171076</v>
      </c>
      <c r="R119" s="85" t="n">
        <f aca="true">IF(R$5=0,Q119,MAX(0,(Q119-R$4)*(1+NORMINV(RAND(),INPUTS!$B$28,INPUTS!$B$29))))</f>
        <v>1456584.60329844</v>
      </c>
      <c r="S119" s="85" t="n">
        <f aca="true">IF(S$5=0,R119,MAX(0,(R119-S$4)*(1+NORMINV(RAND(),INPUTS!$B$28,INPUTS!$B$29))))</f>
        <v>1783368.17370638</v>
      </c>
      <c r="T119" s="85" t="n">
        <f aca="true">IF(T$5=0,S119,MAX(0,(S119-T$4)*(1+NORMINV(RAND(),INPUTS!$B$28,INPUTS!$B$29))))</f>
        <v>1751057.7926619</v>
      </c>
      <c r="U119" s="85" t="n">
        <f aca="true">IF(U$5=0,T119,MAX(0,(T119-U$4)*(1+NORMINV(RAND(),INPUTS!$B$28,INPUTS!$B$29))))</f>
        <v>1899874.91894985</v>
      </c>
      <c r="V119" s="85" t="n">
        <f aca="true">IF(V$5=0,U119,MAX(0,(U119-V$4)*(1+NORMINV(RAND(),INPUTS!$B$28,INPUTS!$B$29))))</f>
        <v>1667605.07857878</v>
      </c>
      <c r="W119" s="85" t="n">
        <f aca="true">IF(W$5=0,V119,MAX(0,(V119-W$4)*(1+NORMINV(RAND(),INPUTS!$B$28,INPUTS!$B$29))))</f>
        <v>1864904.53481114</v>
      </c>
      <c r="X119" s="85" t="n">
        <f aca="true">IF(X$5=0,W119,MAX(0,(W119-X$4)*(1+NORMINV(RAND(),INPUTS!$B$28,INPUTS!$B$29))))</f>
        <v>2038899.83781281</v>
      </c>
      <c r="Y119" s="85" t="n">
        <f aca="true">IF(Y$5=0,X119,MAX(0,(X119-Y$4)*(1+NORMINV(RAND(),INPUTS!$B$28,INPUTS!$B$29))))</f>
        <v>2124354.3212161</v>
      </c>
      <c r="Z119" s="85" t="n">
        <f aca="true">IF(Z$5=0,Y119,MAX(0,(Y119-Z$4)*(1+NORMINV(RAND(),INPUTS!$B$28,INPUTS!$B$29))))</f>
        <v>2355233.66334791</v>
      </c>
      <c r="AA119" s="85" t="n">
        <f aca="true">IF(AA$5=0,Z119,MAX(0,(Z119-AA$4)*(1+NORMINV(RAND(),INPUTS!$B$28,INPUTS!$B$29))))</f>
        <v>2235094.91120442</v>
      </c>
      <c r="AB119" s="85" t="n">
        <f aca="true">IF(AB$5=0,AA119,MAX(0,(AA119-AB$4)*(1+NORMINV(RAND(),INPUTS!$B$28,INPUTS!$B$29))))</f>
        <v>2505975.66915172</v>
      </c>
      <c r="AC119" s="85" t="n">
        <f aca="true">IF(AC$5=0,AB119,MAX(0,(AB119-AC$4)*(1+NORMINV(RAND(),INPUTS!$B$28,INPUTS!$B$29))))</f>
        <v>2421471.94109657</v>
      </c>
      <c r="AD119" s="85" t="n">
        <f aca="true">IF(AD$5=0,AC119,MAX(0,(AC119-AD$4)*(1+NORMINV(RAND(),INPUTS!$B$28,INPUTS!$B$29))))</f>
        <v>2522455.03242094</v>
      </c>
      <c r="AE119" s="85" t="n">
        <f aca="true">IF(AE$5=0,AD119,MAX(0,(AD119-AE$4)*(1+NORMINV(RAND(),INPUTS!$B$28,INPUTS!$B$29))))</f>
        <v>2061020.89489841</v>
      </c>
      <c r="AF119" s="85" t="n">
        <f aca="true">IF(AF$5=0,AE119,MAX(0,(AE119-AF$4)*(1+NORMINV(RAND(),INPUTS!$B$28,INPUTS!$B$29))))</f>
        <v>2059044.27445361</v>
      </c>
      <c r="AG119" s="85" t="n">
        <f aca="true">IF(AG$5=0,AF119,MAX(0,(AF119-AG$4)*(1+NORMINV(RAND(),INPUTS!$B$28,INPUTS!$B$29))))</f>
        <v>1817214.47559946</v>
      </c>
      <c r="AH119" s="85" t="n">
        <f aca="true">IF(AH$5=0,AG119,MAX(0,(AG119-AH$4)*(1+NORMINV(RAND(),INPUTS!$B$28,INPUTS!$B$29))))</f>
        <v>1917005.05745072</v>
      </c>
      <c r="AI119" s="85" t="n">
        <f aca="true">IF(AI$5=0,AH119,MAX(0,(AH119-AI$4)*(1+NORMINV(RAND(),INPUTS!$B$28,INPUTS!$B$29))))</f>
        <v>1672164.82847819</v>
      </c>
      <c r="AJ119" s="85" t="n">
        <f aca="true">IF(AJ$5=0,AI119,MAX(0,(AI119-AJ$4)*(1+NORMINV(RAND(),INPUTS!$B$28,INPUTS!$B$29))))</f>
        <v>1337633.82715577</v>
      </c>
      <c r="AK119" s="85" t="n">
        <f aca="true">IF(AK$5=0,AJ119,MAX(0,(AJ119-AK$4)*(1+NORMINV(RAND(),INPUTS!$B$28,INPUTS!$B$29))))</f>
        <v>1574348.0507817</v>
      </c>
      <c r="AL119" s="85" t="n">
        <f aca="true">IF(AL$5=0,AK119,MAX(0,(AK119-AL$4)*(1+NORMINV(RAND(),INPUTS!$B$28,INPUTS!$B$29))))</f>
        <v>1704641.31011137</v>
      </c>
      <c r="AM119" s="85" t="n">
        <f aca="true">IF(AM$5=0,AL119,MAX(0,(AL119-AM$4)*(1+NORMINV(RAND(),INPUTS!$B$28,INPUTS!$B$29))))</f>
        <v>1704641.31011137</v>
      </c>
      <c r="AN119" s="85" t="n">
        <f aca="true">IF(AN$5=0,AM119,MAX(0,(AM119-AN$4)*(1+NORMINV(RAND(),INPUTS!$B$28,INPUTS!$B$29))))</f>
        <v>1704641.31011137</v>
      </c>
      <c r="AO119" s="85" t="n">
        <f aca="true">IF(AO$5=0,AN119,MAX(0,(AN119-AO$4)*(1+NORMINV(RAND(),INPUTS!$B$28,INPUTS!$B$29))))</f>
        <v>1704641.31011137</v>
      </c>
      <c r="AP119" s="85" t="n">
        <f aca="true">IF(AP$5=0,AO119,MAX(0,(AO119-AP$4)*(1+NORMINV(RAND(),INPUTS!$B$28,INPUTS!$B$29))))</f>
        <v>1704641.31011137</v>
      </c>
    </row>
    <row r="120" customFormat="false" ht="15" hidden="false" customHeight="true" outlineLevel="0" collapsed="false">
      <c r="A120" s="83" t="n">
        <v>113</v>
      </c>
      <c r="B120" s="84" t="n">
        <f aca="false">LOOKUP(9.99E+307,C120:AP120)</f>
        <v>184567.818804192</v>
      </c>
      <c r="C120" s="85" t="n">
        <f aca="true">IF(C$5=0,INPUTS!$B$19,MAX(0,(INPUTS!$B$19-C$4)*(1+NORMINV(RAND(),INPUTS!$B$28,INPUTS!$B$29))))</f>
        <v>1547478.28488408</v>
      </c>
      <c r="D120" s="85" t="n">
        <f aca="true">IF(D$5=0,C120,MAX(0,(C120-D$4)*(1+NORMINV(RAND(),INPUTS!$B$28,INPUTS!$B$29))))</f>
        <v>1754449.88363469</v>
      </c>
      <c r="E120" s="85" t="n">
        <f aca="true">IF(E$5=0,D120,MAX(0,(D120-E$4)*(1+NORMINV(RAND(),INPUTS!$B$28,INPUTS!$B$29))))</f>
        <v>1677299.02169716</v>
      </c>
      <c r="F120" s="85" t="n">
        <f aca="true">IF(F$5=0,E120,MAX(0,(E120-F$4)*(1+NORMINV(RAND(),INPUTS!$B$28,INPUTS!$B$29))))</f>
        <v>1722246.32542159</v>
      </c>
      <c r="G120" s="85" t="n">
        <f aca="true">IF(G$5=0,F120,MAX(0,(F120-G$4)*(1+NORMINV(RAND(),INPUTS!$B$28,INPUTS!$B$29))))</f>
        <v>1611762.45857537</v>
      </c>
      <c r="H120" s="85" t="n">
        <f aca="true">IF(H$5=0,G120,MAX(0,(G120-H$4)*(1+NORMINV(RAND(),INPUTS!$B$28,INPUTS!$B$29))))</f>
        <v>1634031.64260205</v>
      </c>
      <c r="I120" s="85" t="n">
        <f aca="true">IF(I$5=0,H120,MAX(0,(H120-I$4)*(1+NORMINV(RAND(),INPUTS!$B$28,INPUTS!$B$29))))</f>
        <v>1437587.28496273</v>
      </c>
      <c r="J120" s="85" t="n">
        <f aca="true">IF(J$5=0,I120,MAX(0,(I120-J$4)*(1+NORMINV(RAND(),INPUTS!$B$28,INPUTS!$B$29))))</f>
        <v>1476923.16066978</v>
      </c>
      <c r="K120" s="85" t="n">
        <f aca="true">IF(K$5=0,J120,MAX(0,(J120-K$4)*(1+NORMINV(RAND(),INPUTS!$B$28,INPUTS!$B$29))))</f>
        <v>1477257.62442931</v>
      </c>
      <c r="L120" s="85" t="n">
        <f aca="true">IF(L$5=0,K120,MAX(0,(K120-L$4)*(1+NORMINV(RAND(),INPUTS!$B$28,INPUTS!$B$29))))</f>
        <v>1566360.64445265</v>
      </c>
      <c r="M120" s="85" t="n">
        <f aca="true">IF(M$5=0,L120,MAX(0,(L120-M$4)*(1+NORMINV(RAND(),INPUTS!$B$28,INPUTS!$B$29))))</f>
        <v>1608328.23368882</v>
      </c>
      <c r="N120" s="85" t="n">
        <f aca="true">IF(N$5=0,M120,MAX(0,(M120-N$4)*(1+NORMINV(RAND(),INPUTS!$B$28,INPUTS!$B$29))))</f>
        <v>1508497.62086241</v>
      </c>
      <c r="O120" s="85" t="n">
        <f aca="true">IF(O$5=0,N120,MAX(0,(N120-O$4)*(1+NORMINV(RAND(),INPUTS!$B$28,INPUTS!$B$29))))</f>
        <v>1427960.32855861</v>
      </c>
      <c r="P120" s="85" t="n">
        <f aca="true">IF(P$5=0,O120,MAX(0,(O120-P$4)*(1+NORMINV(RAND(),INPUTS!$B$28,INPUTS!$B$29))))</f>
        <v>1488281.8240341</v>
      </c>
      <c r="Q120" s="85" t="n">
        <f aca="true">IF(Q$5=0,P120,MAX(0,(P120-Q$4)*(1+NORMINV(RAND(),INPUTS!$B$28,INPUTS!$B$29))))</f>
        <v>1410939.78908858</v>
      </c>
      <c r="R120" s="85" t="n">
        <f aca="true">IF(R$5=0,Q120,MAX(0,(Q120-R$4)*(1+NORMINV(RAND(),INPUTS!$B$28,INPUTS!$B$29))))</f>
        <v>1324002.55963184</v>
      </c>
      <c r="S120" s="85" t="n">
        <f aca="true">IF(S$5=0,R120,MAX(0,(R120-S$4)*(1+NORMINV(RAND(),INPUTS!$B$28,INPUTS!$B$29))))</f>
        <v>1532236.03658437</v>
      </c>
      <c r="T120" s="85" t="n">
        <f aca="true">IF(T$5=0,S120,MAX(0,(S120-T$4)*(1+NORMINV(RAND(),INPUTS!$B$28,INPUTS!$B$29))))</f>
        <v>1598629.97871772</v>
      </c>
      <c r="U120" s="85" t="n">
        <f aca="true">IF(U$5=0,T120,MAX(0,(T120-U$4)*(1+NORMINV(RAND(),INPUTS!$B$28,INPUTS!$B$29))))</f>
        <v>1324443.69707328</v>
      </c>
      <c r="V120" s="85" t="n">
        <f aca="true">IF(V$5=0,U120,MAX(0,(U120-V$4)*(1+NORMINV(RAND(),INPUTS!$B$28,INPUTS!$B$29))))</f>
        <v>1154494.60918086</v>
      </c>
      <c r="W120" s="85" t="n">
        <f aca="true">IF(W$5=0,V120,MAX(0,(V120-W$4)*(1+NORMINV(RAND(),INPUTS!$B$28,INPUTS!$B$29))))</f>
        <v>1071836.31797626</v>
      </c>
      <c r="X120" s="85" t="n">
        <f aca="true">IF(X$5=0,W120,MAX(0,(W120-X$4)*(1+NORMINV(RAND(),INPUTS!$B$28,INPUTS!$B$29))))</f>
        <v>1001191.74692728</v>
      </c>
      <c r="Y120" s="85" t="n">
        <f aca="true">IF(Y$5=0,X120,MAX(0,(X120-Y$4)*(1+NORMINV(RAND(),INPUTS!$B$28,INPUTS!$B$29))))</f>
        <v>1070518.40686276</v>
      </c>
      <c r="Z120" s="85" t="n">
        <f aca="true">IF(Z$5=0,Y120,MAX(0,(Y120-Z$4)*(1+NORMINV(RAND(),INPUTS!$B$28,INPUTS!$B$29))))</f>
        <v>1244542.00538675</v>
      </c>
      <c r="AA120" s="85" t="n">
        <f aca="true">IF(AA$5=0,Z120,MAX(0,(Z120-AA$4)*(1+NORMINV(RAND(),INPUTS!$B$28,INPUTS!$B$29))))</f>
        <v>1250312.63425267</v>
      </c>
      <c r="AB120" s="85" t="n">
        <f aca="true">IF(AB$5=0,AA120,MAX(0,(AA120-AB$4)*(1+NORMINV(RAND(),INPUTS!$B$28,INPUTS!$B$29))))</f>
        <v>1061526.41404097</v>
      </c>
      <c r="AC120" s="85" t="n">
        <f aca="true">IF(AC$5=0,AB120,MAX(0,(AB120-AC$4)*(1+NORMINV(RAND(),INPUTS!$B$28,INPUTS!$B$29))))</f>
        <v>1138803.69971642</v>
      </c>
      <c r="AD120" s="85" t="n">
        <f aca="true">IF(AD$5=0,AC120,MAX(0,(AC120-AD$4)*(1+NORMINV(RAND(),INPUTS!$B$28,INPUTS!$B$29))))</f>
        <v>1129853.92291378</v>
      </c>
      <c r="AE120" s="85" t="n">
        <f aca="true">IF(AE$5=0,AD120,MAX(0,(AD120-AE$4)*(1+NORMINV(RAND(),INPUTS!$B$28,INPUTS!$B$29))))</f>
        <v>1019038.59891965</v>
      </c>
      <c r="AF120" s="85" t="n">
        <f aca="true">IF(AF$5=0,AE120,MAX(0,(AE120-AF$4)*(1+NORMINV(RAND(),INPUTS!$B$28,INPUTS!$B$29))))</f>
        <v>766287.187768909</v>
      </c>
      <c r="AG120" s="85" t="n">
        <f aca="true">IF(AG$5=0,AF120,MAX(0,(AF120-AG$4)*(1+NORMINV(RAND(),INPUTS!$B$28,INPUTS!$B$29))))</f>
        <v>658251.871185286</v>
      </c>
      <c r="AH120" s="85" t="n">
        <f aca="true">IF(AH$5=0,AG120,MAX(0,(AG120-AH$4)*(1+NORMINV(RAND(),INPUTS!$B$28,INPUTS!$B$29))))</f>
        <v>443039.204589305</v>
      </c>
      <c r="AI120" s="85" t="n">
        <f aca="true">IF(AI$5=0,AH120,MAX(0,(AH120-AI$4)*(1+NORMINV(RAND(),INPUTS!$B$28,INPUTS!$B$29))))</f>
        <v>389244.187876869</v>
      </c>
      <c r="AJ120" s="85" t="n">
        <f aca="true">IF(AJ$5=0,AI120,MAX(0,(AI120-AJ$4)*(1+NORMINV(RAND(),INPUTS!$B$28,INPUTS!$B$29))))</f>
        <v>319225.060001291</v>
      </c>
      <c r="AK120" s="85" t="n">
        <f aca="true">IF(AK$5=0,AJ120,MAX(0,(AJ120-AK$4)*(1+NORMINV(RAND(),INPUTS!$B$28,INPUTS!$B$29))))</f>
        <v>247669.404559434</v>
      </c>
      <c r="AL120" s="85" t="n">
        <f aca="true">IF(AL$5=0,AK120,MAX(0,(AK120-AL$4)*(1+NORMINV(RAND(),INPUTS!$B$28,INPUTS!$B$29))))</f>
        <v>184567.818804192</v>
      </c>
      <c r="AM120" s="85" t="n">
        <f aca="true">IF(AM$5=0,AL120,MAX(0,(AL120-AM$4)*(1+NORMINV(RAND(),INPUTS!$B$28,INPUTS!$B$29))))</f>
        <v>184567.818804192</v>
      </c>
      <c r="AN120" s="85" t="n">
        <f aca="true">IF(AN$5=0,AM120,MAX(0,(AM120-AN$4)*(1+NORMINV(RAND(),INPUTS!$B$28,INPUTS!$B$29))))</f>
        <v>184567.818804192</v>
      </c>
      <c r="AO120" s="85" t="n">
        <f aca="true">IF(AO$5=0,AN120,MAX(0,(AN120-AO$4)*(1+NORMINV(RAND(),INPUTS!$B$28,INPUTS!$B$29))))</f>
        <v>184567.818804192</v>
      </c>
      <c r="AP120" s="85" t="n">
        <f aca="true">IF(AP$5=0,AO120,MAX(0,(AO120-AP$4)*(1+NORMINV(RAND(),INPUTS!$B$28,INPUTS!$B$29))))</f>
        <v>184567.818804192</v>
      </c>
    </row>
    <row r="121" customFormat="false" ht="15" hidden="false" customHeight="true" outlineLevel="0" collapsed="false">
      <c r="A121" s="83" t="n">
        <v>114</v>
      </c>
      <c r="B121" s="84" t="n">
        <f aca="false">LOOKUP(9.99E+307,C121:AP121)</f>
        <v>5888102.03628277</v>
      </c>
      <c r="C121" s="85" t="n">
        <f aca="true">IF(C$5=0,INPUTS!$B$19,MAX(0,(INPUTS!$B$19-C$4)*(1+NORMINV(RAND(),INPUTS!$B$28,INPUTS!$B$29))))</f>
        <v>1289923.20653469</v>
      </c>
      <c r="D121" s="85" t="n">
        <f aca="true">IF(D$5=0,C121,MAX(0,(C121-D$4)*(1+NORMINV(RAND(),INPUTS!$B$28,INPUTS!$B$29))))</f>
        <v>1406468.49950731</v>
      </c>
      <c r="E121" s="85" t="n">
        <f aca="true">IF(E$5=0,D121,MAX(0,(D121-E$4)*(1+NORMINV(RAND(),INPUTS!$B$28,INPUTS!$B$29))))</f>
        <v>1292132.32163361</v>
      </c>
      <c r="F121" s="85" t="n">
        <f aca="true">IF(F$5=0,E121,MAX(0,(E121-F$4)*(1+NORMINV(RAND(),INPUTS!$B$28,INPUTS!$B$29))))</f>
        <v>1146690.38323965</v>
      </c>
      <c r="G121" s="85" t="n">
        <f aca="true">IF(G$5=0,F121,MAX(0,(F121-G$4)*(1+NORMINV(RAND(),INPUTS!$B$28,INPUTS!$B$29))))</f>
        <v>1286932.95529212</v>
      </c>
      <c r="H121" s="85" t="n">
        <f aca="true">IF(H$5=0,G121,MAX(0,(G121-H$4)*(1+NORMINV(RAND(),INPUTS!$B$28,INPUTS!$B$29))))</f>
        <v>1247926.55324953</v>
      </c>
      <c r="I121" s="85" t="n">
        <f aca="true">IF(I$5=0,H121,MAX(0,(H121-I$4)*(1+NORMINV(RAND(),INPUTS!$B$28,INPUTS!$B$29))))</f>
        <v>1236714.46029414</v>
      </c>
      <c r="J121" s="85" t="n">
        <f aca="true">IF(J$5=0,I121,MAX(0,(I121-J$4)*(1+NORMINV(RAND(),INPUTS!$B$28,INPUTS!$B$29))))</f>
        <v>1254766.57211476</v>
      </c>
      <c r="K121" s="85" t="n">
        <f aca="true">IF(K$5=0,J121,MAX(0,(J121-K$4)*(1+NORMINV(RAND(),INPUTS!$B$28,INPUTS!$B$29))))</f>
        <v>1489731.94198433</v>
      </c>
      <c r="L121" s="85" t="n">
        <f aca="true">IF(L$5=0,K121,MAX(0,(K121-L$4)*(1+NORMINV(RAND(),INPUTS!$B$28,INPUTS!$B$29))))</f>
        <v>1755791.44670273</v>
      </c>
      <c r="M121" s="85" t="n">
        <f aca="true">IF(M$5=0,L121,MAX(0,(L121-M$4)*(1+NORMINV(RAND(),INPUTS!$B$28,INPUTS!$B$29))))</f>
        <v>1822500.94846319</v>
      </c>
      <c r="N121" s="85" t="n">
        <f aca="true">IF(N$5=0,M121,MAX(0,(M121-N$4)*(1+NORMINV(RAND(),INPUTS!$B$28,INPUTS!$B$29))))</f>
        <v>1771071.23911467</v>
      </c>
      <c r="O121" s="85" t="n">
        <f aca="true">IF(O$5=0,N121,MAX(0,(N121-O$4)*(1+NORMINV(RAND(),INPUTS!$B$28,INPUTS!$B$29))))</f>
        <v>1999959.76642459</v>
      </c>
      <c r="P121" s="85" t="n">
        <f aca="true">IF(P$5=0,O121,MAX(0,(O121-P$4)*(1+NORMINV(RAND(),INPUTS!$B$28,INPUTS!$B$29))))</f>
        <v>1970005.10769336</v>
      </c>
      <c r="Q121" s="85" t="n">
        <f aca="true">IF(Q$5=0,P121,MAX(0,(P121-Q$4)*(1+NORMINV(RAND(),INPUTS!$B$28,INPUTS!$B$29))))</f>
        <v>2630755.84772564</v>
      </c>
      <c r="R121" s="85" t="n">
        <f aca="true">IF(R$5=0,Q121,MAX(0,(Q121-R$4)*(1+NORMINV(RAND(),INPUTS!$B$28,INPUTS!$B$29))))</f>
        <v>2778743.42935337</v>
      </c>
      <c r="S121" s="85" t="n">
        <f aca="true">IF(S$5=0,R121,MAX(0,(R121-S$4)*(1+NORMINV(RAND(),INPUTS!$B$28,INPUTS!$B$29))))</f>
        <v>3158729.38172784</v>
      </c>
      <c r="T121" s="85" t="n">
        <f aca="true">IF(T$5=0,S121,MAX(0,(S121-T$4)*(1+NORMINV(RAND(),INPUTS!$B$28,INPUTS!$B$29))))</f>
        <v>3081897.01080882</v>
      </c>
      <c r="U121" s="85" t="n">
        <f aca="true">IF(U$5=0,T121,MAX(0,(T121-U$4)*(1+NORMINV(RAND(),INPUTS!$B$28,INPUTS!$B$29))))</f>
        <v>2902931.12599292</v>
      </c>
      <c r="V121" s="85" t="n">
        <f aca="true">IF(V$5=0,U121,MAX(0,(U121-V$4)*(1+NORMINV(RAND(),INPUTS!$B$28,INPUTS!$B$29))))</f>
        <v>3146197.73491866</v>
      </c>
      <c r="W121" s="85" t="n">
        <f aca="true">IF(W$5=0,V121,MAX(0,(V121-W$4)*(1+NORMINV(RAND(),INPUTS!$B$28,INPUTS!$B$29))))</f>
        <v>3139546.47491681</v>
      </c>
      <c r="X121" s="85" t="n">
        <f aca="true">IF(X$5=0,W121,MAX(0,(W121-X$4)*(1+NORMINV(RAND(),INPUTS!$B$28,INPUTS!$B$29))))</f>
        <v>3695205.23876129</v>
      </c>
      <c r="Y121" s="85" t="n">
        <f aca="true">IF(Y$5=0,X121,MAX(0,(X121-Y$4)*(1+NORMINV(RAND(),INPUTS!$B$28,INPUTS!$B$29))))</f>
        <v>4292018.35922343</v>
      </c>
      <c r="Z121" s="85" t="n">
        <f aca="true">IF(Z$5=0,Y121,MAX(0,(Y121-Z$4)*(1+NORMINV(RAND(),INPUTS!$B$28,INPUTS!$B$29))))</f>
        <v>5623047.4770584</v>
      </c>
      <c r="AA121" s="85" t="n">
        <f aca="true">IF(AA$5=0,Z121,MAX(0,(Z121-AA$4)*(1+NORMINV(RAND(),INPUTS!$B$28,INPUTS!$B$29))))</f>
        <v>5966522.76729543</v>
      </c>
      <c r="AB121" s="85" t="n">
        <f aca="true">IF(AB$5=0,AA121,MAX(0,(AA121-AB$4)*(1+NORMINV(RAND(),INPUTS!$B$28,INPUTS!$B$29))))</f>
        <v>6036569.2533625</v>
      </c>
      <c r="AC121" s="85" t="n">
        <f aca="true">IF(AC$5=0,AB121,MAX(0,(AB121-AC$4)*(1+NORMINV(RAND(),INPUTS!$B$28,INPUTS!$B$29))))</f>
        <v>7209055.39806674</v>
      </c>
      <c r="AD121" s="85" t="n">
        <f aca="true">IF(AD$5=0,AC121,MAX(0,(AC121-AD$4)*(1+NORMINV(RAND(),INPUTS!$B$28,INPUTS!$B$29))))</f>
        <v>7398792.4439383</v>
      </c>
      <c r="AE121" s="85" t="n">
        <f aca="true">IF(AE$5=0,AD121,MAX(0,(AD121-AE$4)*(1+NORMINV(RAND(),INPUTS!$B$28,INPUTS!$B$29))))</f>
        <v>6925587.08833568</v>
      </c>
      <c r="AF121" s="85" t="n">
        <f aca="true">IF(AF$5=0,AE121,MAX(0,(AE121-AF$4)*(1+NORMINV(RAND(),INPUTS!$B$28,INPUTS!$B$29))))</f>
        <v>5626198.18992542</v>
      </c>
      <c r="AG121" s="85" t="n">
        <f aca="true">IF(AG$5=0,AF121,MAX(0,(AF121-AG$4)*(1+NORMINV(RAND(),INPUTS!$B$28,INPUTS!$B$29))))</f>
        <v>6047920.43719181</v>
      </c>
      <c r="AH121" s="85" t="n">
        <f aca="true">IF(AH$5=0,AG121,MAX(0,(AG121-AH$4)*(1+NORMINV(RAND(),INPUTS!$B$28,INPUTS!$B$29))))</f>
        <v>6456971.53177462</v>
      </c>
      <c r="AI121" s="85" t="n">
        <f aca="true">IF(AI$5=0,AH121,MAX(0,(AH121-AI$4)*(1+NORMINV(RAND(),INPUTS!$B$28,INPUTS!$B$29))))</f>
        <v>7152176.00861893</v>
      </c>
      <c r="AJ121" s="85" t="n">
        <f aca="true">IF(AJ$5=0,AI121,MAX(0,(AI121-AJ$4)*(1+NORMINV(RAND(),INPUTS!$B$28,INPUTS!$B$29))))</f>
        <v>6655279.66224523</v>
      </c>
      <c r="AK121" s="85" t="n">
        <f aca="true">IF(AK$5=0,AJ121,MAX(0,(AJ121-AK$4)*(1+NORMINV(RAND(),INPUTS!$B$28,INPUTS!$B$29))))</f>
        <v>6224122.78842552</v>
      </c>
      <c r="AL121" s="85" t="n">
        <f aca="true">IF(AL$5=0,AK121,MAX(0,(AK121-AL$4)*(1+NORMINV(RAND(),INPUTS!$B$28,INPUTS!$B$29))))</f>
        <v>5888102.03628277</v>
      </c>
      <c r="AM121" s="85" t="n">
        <f aca="true">IF(AM$5=0,AL121,MAX(0,(AL121-AM$4)*(1+NORMINV(RAND(),INPUTS!$B$28,INPUTS!$B$29))))</f>
        <v>5888102.03628277</v>
      </c>
      <c r="AN121" s="85" t="n">
        <f aca="true">IF(AN$5=0,AM121,MAX(0,(AM121-AN$4)*(1+NORMINV(RAND(),INPUTS!$B$28,INPUTS!$B$29))))</f>
        <v>5888102.03628277</v>
      </c>
      <c r="AO121" s="85" t="n">
        <f aca="true">IF(AO$5=0,AN121,MAX(0,(AN121-AO$4)*(1+NORMINV(RAND(),INPUTS!$B$28,INPUTS!$B$29))))</f>
        <v>5888102.03628277</v>
      </c>
      <c r="AP121" s="85" t="n">
        <f aca="true">IF(AP$5=0,AO121,MAX(0,(AO121-AP$4)*(1+NORMINV(RAND(),INPUTS!$B$28,INPUTS!$B$29))))</f>
        <v>5888102.03628277</v>
      </c>
    </row>
    <row r="122" customFormat="false" ht="15" hidden="false" customHeight="true" outlineLevel="0" collapsed="false">
      <c r="A122" s="83" t="n">
        <v>115</v>
      </c>
      <c r="B122" s="84" t="n">
        <f aca="false">LOOKUP(9.99E+307,C122:AP122)</f>
        <v>1028819.56203361</v>
      </c>
      <c r="C122" s="85" t="n">
        <f aca="true">IF(C$5=0,INPUTS!$B$19,MAX(0,(INPUTS!$B$19-C$4)*(1+NORMINV(RAND(),INPUTS!$B$28,INPUTS!$B$29))))</f>
        <v>1311125.56718535</v>
      </c>
      <c r="D122" s="85" t="n">
        <f aca="true">IF(D$5=0,C122,MAX(0,(C122-D$4)*(1+NORMINV(RAND(),INPUTS!$B$28,INPUTS!$B$29))))</f>
        <v>1206282.30066334</v>
      </c>
      <c r="E122" s="85" t="n">
        <f aca="true">IF(E$5=0,D122,MAX(0,(D122-E$4)*(1+NORMINV(RAND(),INPUTS!$B$28,INPUTS!$B$29))))</f>
        <v>1067675.94701257</v>
      </c>
      <c r="F122" s="85" t="n">
        <f aca="true">IF(F$5=0,E122,MAX(0,(E122-F$4)*(1+NORMINV(RAND(),INPUTS!$B$28,INPUTS!$B$29))))</f>
        <v>1184331.65585325</v>
      </c>
      <c r="G122" s="85" t="n">
        <f aca="true">IF(G$5=0,F122,MAX(0,(F122-G$4)*(1+NORMINV(RAND(),INPUTS!$B$28,INPUTS!$B$29))))</f>
        <v>1153858.68080461</v>
      </c>
      <c r="H122" s="85" t="n">
        <f aca="true">IF(H$5=0,G122,MAX(0,(G122-H$4)*(1+NORMINV(RAND(),INPUTS!$B$28,INPUTS!$B$29))))</f>
        <v>1104049.60492761</v>
      </c>
      <c r="I122" s="85" t="n">
        <f aca="true">IF(I$5=0,H122,MAX(0,(H122-I$4)*(1+NORMINV(RAND(),INPUTS!$B$28,INPUTS!$B$29))))</f>
        <v>1170938.40813077</v>
      </c>
      <c r="J122" s="85" t="n">
        <f aca="true">IF(J$5=0,I122,MAX(0,(I122-J$4)*(1+NORMINV(RAND(),INPUTS!$B$28,INPUTS!$B$29))))</f>
        <v>1232041.70483809</v>
      </c>
      <c r="K122" s="85" t="n">
        <f aca="true">IF(K$5=0,J122,MAX(0,(J122-K$4)*(1+NORMINV(RAND(),INPUTS!$B$28,INPUTS!$B$29))))</f>
        <v>1240130.14975326</v>
      </c>
      <c r="L122" s="85" t="n">
        <f aca="true">IF(L$5=0,K122,MAX(0,(K122-L$4)*(1+NORMINV(RAND(),INPUTS!$B$28,INPUTS!$B$29))))</f>
        <v>1238969.73758402</v>
      </c>
      <c r="M122" s="85" t="n">
        <f aca="true">IF(M$5=0,L122,MAX(0,(L122-M$4)*(1+NORMINV(RAND(),INPUTS!$B$28,INPUTS!$B$29))))</f>
        <v>1128101.32529189</v>
      </c>
      <c r="N122" s="85" t="n">
        <f aca="true">IF(N$5=0,M122,MAX(0,(M122-N$4)*(1+NORMINV(RAND(),INPUTS!$B$28,INPUTS!$B$29))))</f>
        <v>919470.935033992</v>
      </c>
      <c r="O122" s="85" t="n">
        <f aca="true">IF(O$5=0,N122,MAX(0,(N122-O$4)*(1+NORMINV(RAND(),INPUTS!$B$28,INPUTS!$B$29))))</f>
        <v>1033611.88264942</v>
      </c>
      <c r="P122" s="85" t="n">
        <f aca="true">IF(P$5=0,O122,MAX(0,(O122-P$4)*(1+NORMINV(RAND(),INPUTS!$B$28,INPUTS!$B$29))))</f>
        <v>1051425.36538027</v>
      </c>
      <c r="Q122" s="85" t="n">
        <f aca="true">IF(Q$5=0,P122,MAX(0,(P122-Q$4)*(1+NORMINV(RAND(),INPUTS!$B$28,INPUTS!$B$29))))</f>
        <v>956960.489952854</v>
      </c>
      <c r="R122" s="85" t="n">
        <f aca="true">IF(R$5=0,Q122,MAX(0,(Q122-R$4)*(1+NORMINV(RAND(),INPUTS!$B$28,INPUTS!$B$29))))</f>
        <v>1058828.69630815</v>
      </c>
      <c r="S122" s="85" t="n">
        <f aca="true">IF(S$5=0,R122,MAX(0,(R122-S$4)*(1+NORMINV(RAND(),INPUTS!$B$28,INPUTS!$B$29))))</f>
        <v>1006085.82655834</v>
      </c>
      <c r="T122" s="85" t="n">
        <f aca="true">IF(T$5=0,S122,MAX(0,(S122-T$4)*(1+NORMINV(RAND(),INPUTS!$B$28,INPUTS!$B$29))))</f>
        <v>993578.404726711</v>
      </c>
      <c r="U122" s="85" t="n">
        <f aca="true">IF(U$5=0,T122,MAX(0,(T122-U$4)*(1+NORMINV(RAND(),INPUTS!$B$28,INPUTS!$B$29))))</f>
        <v>1232644.50658276</v>
      </c>
      <c r="V122" s="85" t="n">
        <f aca="true">IF(V$5=0,U122,MAX(0,(U122-V$4)*(1+NORMINV(RAND(),INPUTS!$B$28,INPUTS!$B$29))))</f>
        <v>1485989.15921792</v>
      </c>
      <c r="W122" s="85" t="n">
        <f aca="true">IF(W$5=0,V122,MAX(0,(V122-W$4)*(1+NORMINV(RAND(),INPUTS!$B$28,INPUTS!$B$29))))</f>
        <v>1246481.28834379</v>
      </c>
      <c r="X122" s="85" t="n">
        <f aca="true">IF(X$5=0,W122,MAX(0,(W122-X$4)*(1+NORMINV(RAND(),INPUTS!$B$28,INPUTS!$B$29))))</f>
        <v>1155957.15042077</v>
      </c>
      <c r="Y122" s="85" t="n">
        <f aca="true">IF(Y$5=0,X122,MAX(0,(X122-Y$4)*(1+NORMINV(RAND(),INPUTS!$B$28,INPUTS!$B$29))))</f>
        <v>1200087.74658525</v>
      </c>
      <c r="Z122" s="85" t="n">
        <f aca="true">IF(Z$5=0,Y122,MAX(0,(Y122-Z$4)*(1+NORMINV(RAND(),INPUTS!$B$28,INPUTS!$B$29))))</f>
        <v>1175263.71582791</v>
      </c>
      <c r="AA122" s="85" t="n">
        <f aca="true">IF(AA$5=0,Z122,MAX(0,(Z122-AA$4)*(1+NORMINV(RAND(),INPUTS!$B$28,INPUTS!$B$29))))</f>
        <v>1124787.95795386</v>
      </c>
      <c r="AB122" s="85" t="n">
        <f aca="true">IF(AB$5=0,AA122,MAX(0,(AA122-AB$4)*(1+NORMINV(RAND(),INPUTS!$B$28,INPUTS!$B$29))))</f>
        <v>1338829.21178211</v>
      </c>
      <c r="AC122" s="85" t="n">
        <f aca="true">IF(AC$5=0,AB122,MAX(0,(AB122-AC$4)*(1+NORMINV(RAND(),INPUTS!$B$28,INPUTS!$B$29))))</f>
        <v>1198449.07175671</v>
      </c>
      <c r="AD122" s="85" t="n">
        <f aca="true">IF(AD$5=0,AC122,MAX(0,(AC122-AD$4)*(1+NORMINV(RAND(),INPUTS!$B$28,INPUTS!$B$29))))</f>
        <v>1079277.17394068</v>
      </c>
      <c r="AE122" s="85" t="n">
        <f aca="true">IF(AE$5=0,AD122,MAX(0,(AD122-AE$4)*(1+NORMINV(RAND(),INPUTS!$B$28,INPUTS!$B$29))))</f>
        <v>1101735.70153883</v>
      </c>
      <c r="AF122" s="85" t="n">
        <f aca="true">IF(AF$5=0,AE122,MAX(0,(AE122-AF$4)*(1+NORMINV(RAND(),INPUTS!$B$28,INPUTS!$B$29))))</f>
        <v>1034800.81044495</v>
      </c>
      <c r="AG122" s="85" t="n">
        <f aca="true">IF(AG$5=0,AF122,MAX(0,(AF122-AG$4)*(1+NORMINV(RAND(),INPUTS!$B$28,INPUTS!$B$29))))</f>
        <v>1022631.92224705</v>
      </c>
      <c r="AH122" s="85" t="n">
        <f aca="true">IF(AH$5=0,AG122,MAX(0,(AG122-AH$4)*(1+NORMINV(RAND(),INPUTS!$B$28,INPUTS!$B$29))))</f>
        <v>989632.990229521</v>
      </c>
      <c r="AI122" s="85" t="n">
        <f aca="true">IF(AI$5=0,AH122,MAX(0,(AH122-AI$4)*(1+NORMINV(RAND(),INPUTS!$B$28,INPUTS!$B$29))))</f>
        <v>859168.030087774</v>
      </c>
      <c r="AJ122" s="85" t="n">
        <f aca="true">IF(AJ$5=0,AI122,MAX(0,(AI122-AJ$4)*(1+NORMINV(RAND(),INPUTS!$B$28,INPUTS!$B$29))))</f>
        <v>984194.523548179</v>
      </c>
      <c r="AK122" s="85" t="n">
        <f aca="true">IF(AK$5=0,AJ122,MAX(0,(AJ122-AK$4)*(1+NORMINV(RAND(),INPUTS!$B$28,INPUTS!$B$29))))</f>
        <v>1051193.70530078</v>
      </c>
      <c r="AL122" s="85" t="n">
        <f aca="true">IF(AL$5=0,AK122,MAX(0,(AK122-AL$4)*(1+NORMINV(RAND(),INPUTS!$B$28,INPUTS!$B$29))))</f>
        <v>1028819.56203361</v>
      </c>
      <c r="AM122" s="85" t="n">
        <f aca="true">IF(AM$5=0,AL122,MAX(0,(AL122-AM$4)*(1+NORMINV(RAND(),INPUTS!$B$28,INPUTS!$B$29))))</f>
        <v>1028819.56203361</v>
      </c>
      <c r="AN122" s="85" t="n">
        <f aca="true">IF(AN$5=0,AM122,MAX(0,(AM122-AN$4)*(1+NORMINV(RAND(),INPUTS!$B$28,INPUTS!$B$29))))</f>
        <v>1028819.56203361</v>
      </c>
      <c r="AO122" s="85" t="n">
        <f aca="true">IF(AO$5=0,AN122,MAX(0,(AN122-AO$4)*(1+NORMINV(RAND(),INPUTS!$B$28,INPUTS!$B$29))))</f>
        <v>1028819.56203361</v>
      </c>
      <c r="AP122" s="85" t="n">
        <f aca="true">IF(AP$5=0,AO122,MAX(0,(AO122-AP$4)*(1+NORMINV(RAND(),INPUTS!$B$28,INPUTS!$B$29))))</f>
        <v>1028819.56203361</v>
      </c>
    </row>
    <row r="123" customFormat="false" ht="15" hidden="false" customHeight="true" outlineLevel="0" collapsed="false">
      <c r="A123" s="83" t="n">
        <v>116</v>
      </c>
      <c r="B123" s="84" t="n">
        <f aca="false">LOOKUP(9.99E+307,C123:AP123)</f>
        <v>1079505.32631614</v>
      </c>
      <c r="C123" s="85" t="n">
        <f aca="true">IF(C$5=0,INPUTS!$B$19,MAX(0,(INPUTS!$B$19-C$4)*(1+NORMINV(RAND(),INPUTS!$B$28,INPUTS!$B$29))))</f>
        <v>1270682.97237563</v>
      </c>
      <c r="D123" s="85" t="n">
        <f aca="true">IF(D$5=0,C123,MAX(0,(C123-D$4)*(1+NORMINV(RAND(),INPUTS!$B$28,INPUTS!$B$29))))</f>
        <v>1448504.53665941</v>
      </c>
      <c r="E123" s="85" t="n">
        <f aca="true">IF(E$5=0,D123,MAX(0,(D123-E$4)*(1+NORMINV(RAND(),INPUTS!$B$28,INPUTS!$B$29))))</f>
        <v>1516057.35330573</v>
      </c>
      <c r="F123" s="85" t="n">
        <f aca="true">IF(F$5=0,E123,MAX(0,(E123-F$4)*(1+NORMINV(RAND(),INPUTS!$B$28,INPUTS!$B$29))))</f>
        <v>1342908.46868292</v>
      </c>
      <c r="G123" s="85" t="n">
        <f aca="true">IF(G$5=0,F123,MAX(0,(F123-G$4)*(1+NORMINV(RAND(),INPUTS!$B$28,INPUTS!$B$29))))</f>
        <v>1272930.58152822</v>
      </c>
      <c r="H123" s="85" t="n">
        <f aca="true">IF(H$5=0,G123,MAX(0,(G123-H$4)*(1+NORMINV(RAND(),INPUTS!$B$28,INPUTS!$B$29))))</f>
        <v>1222251.18869023</v>
      </c>
      <c r="I123" s="85" t="n">
        <f aca="true">IF(I$5=0,H123,MAX(0,(H123-I$4)*(1+NORMINV(RAND(),INPUTS!$B$28,INPUTS!$B$29))))</f>
        <v>1290413.87763521</v>
      </c>
      <c r="J123" s="85" t="n">
        <f aca="true">IF(J$5=0,I123,MAX(0,(I123-J$4)*(1+NORMINV(RAND(),INPUTS!$B$28,INPUTS!$B$29))))</f>
        <v>1416371.49245962</v>
      </c>
      <c r="K123" s="85" t="n">
        <f aca="true">IF(K$5=0,J123,MAX(0,(J123-K$4)*(1+NORMINV(RAND(),INPUTS!$B$28,INPUTS!$B$29))))</f>
        <v>1263949.05946977</v>
      </c>
      <c r="L123" s="85" t="n">
        <f aca="true">IF(L$5=0,K123,MAX(0,(K123-L$4)*(1+NORMINV(RAND(),INPUTS!$B$28,INPUTS!$B$29))))</f>
        <v>1120032.97937636</v>
      </c>
      <c r="M123" s="85" t="n">
        <f aca="true">IF(M$5=0,L123,MAX(0,(L123-M$4)*(1+NORMINV(RAND(),INPUTS!$B$28,INPUTS!$B$29))))</f>
        <v>1147691.01364822</v>
      </c>
      <c r="N123" s="85" t="n">
        <f aca="true">IF(N$5=0,M123,MAX(0,(M123-N$4)*(1+NORMINV(RAND(),INPUTS!$B$28,INPUTS!$B$29))))</f>
        <v>1212770.60196152</v>
      </c>
      <c r="O123" s="85" t="n">
        <f aca="true">IF(O$5=0,N123,MAX(0,(N123-O$4)*(1+NORMINV(RAND(),INPUTS!$B$28,INPUTS!$B$29))))</f>
        <v>1322198.48093845</v>
      </c>
      <c r="P123" s="85" t="n">
        <f aca="true">IF(P$5=0,O123,MAX(0,(O123-P$4)*(1+NORMINV(RAND(),INPUTS!$B$28,INPUTS!$B$29))))</f>
        <v>1209456.36007775</v>
      </c>
      <c r="Q123" s="85" t="n">
        <f aca="true">IF(Q$5=0,P123,MAX(0,(P123-Q$4)*(1+NORMINV(RAND(),INPUTS!$B$28,INPUTS!$B$29))))</f>
        <v>978704.856301417</v>
      </c>
      <c r="R123" s="85" t="n">
        <f aca="true">IF(R$5=0,Q123,MAX(0,(Q123-R$4)*(1+NORMINV(RAND(),INPUTS!$B$28,INPUTS!$B$29))))</f>
        <v>1105324.26020611</v>
      </c>
      <c r="S123" s="85" t="n">
        <f aca="true">IF(S$5=0,R123,MAX(0,(R123-S$4)*(1+NORMINV(RAND(),INPUTS!$B$28,INPUTS!$B$29))))</f>
        <v>1227652.3549496</v>
      </c>
      <c r="T123" s="85" t="n">
        <f aca="true">IF(T$5=0,S123,MAX(0,(S123-T$4)*(1+NORMINV(RAND(),INPUTS!$B$28,INPUTS!$B$29))))</f>
        <v>1509368.22097553</v>
      </c>
      <c r="U123" s="85" t="n">
        <f aca="true">IF(U$5=0,T123,MAX(0,(T123-U$4)*(1+NORMINV(RAND(),INPUTS!$B$28,INPUTS!$B$29))))</f>
        <v>1956219.64739033</v>
      </c>
      <c r="V123" s="85" t="n">
        <f aca="true">IF(V$5=0,U123,MAX(0,(U123-V$4)*(1+NORMINV(RAND(),INPUTS!$B$28,INPUTS!$B$29))))</f>
        <v>1804451.70658576</v>
      </c>
      <c r="W123" s="85" t="n">
        <f aca="true">IF(W$5=0,V123,MAX(0,(V123-W$4)*(1+NORMINV(RAND(),INPUTS!$B$28,INPUTS!$B$29))))</f>
        <v>1717112.06926429</v>
      </c>
      <c r="X123" s="85" t="n">
        <f aca="true">IF(X$5=0,W123,MAX(0,(W123-X$4)*(1+NORMINV(RAND(),INPUTS!$B$28,INPUTS!$B$29))))</f>
        <v>1642293.23076371</v>
      </c>
      <c r="Y123" s="85" t="n">
        <f aca="true">IF(Y$5=0,X123,MAX(0,(X123-Y$4)*(1+NORMINV(RAND(),INPUTS!$B$28,INPUTS!$B$29))))</f>
        <v>1722542.62636709</v>
      </c>
      <c r="Z123" s="85" t="n">
        <f aca="true">IF(Z$5=0,Y123,MAX(0,(Y123-Z$4)*(1+NORMINV(RAND(),INPUTS!$B$28,INPUTS!$B$29))))</f>
        <v>1634246.42259022</v>
      </c>
      <c r="AA123" s="85" t="n">
        <f aca="true">IF(AA$5=0,Z123,MAX(0,(Z123-AA$4)*(1+NORMINV(RAND(),INPUTS!$B$28,INPUTS!$B$29))))</f>
        <v>1637223.14391648</v>
      </c>
      <c r="AB123" s="85" t="n">
        <f aca="true">IF(AB$5=0,AA123,MAX(0,(AA123-AB$4)*(1+NORMINV(RAND(),INPUTS!$B$28,INPUTS!$B$29))))</f>
        <v>1836974.22030708</v>
      </c>
      <c r="AC123" s="85" t="n">
        <f aca="true">IF(AC$5=0,AB123,MAX(0,(AB123-AC$4)*(1+NORMINV(RAND(),INPUTS!$B$28,INPUTS!$B$29))))</f>
        <v>1972884.12036139</v>
      </c>
      <c r="AD123" s="85" t="n">
        <f aca="true">IF(AD$5=0,AC123,MAX(0,(AC123-AD$4)*(1+NORMINV(RAND(),INPUTS!$B$28,INPUTS!$B$29))))</f>
        <v>1748721.05685344</v>
      </c>
      <c r="AE123" s="85" t="n">
        <f aca="true">IF(AE$5=0,AD123,MAX(0,(AD123-AE$4)*(1+NORMINV(RAND(),INPUTS!$B$28,INPUTS!$B$29))))</f>
        <v>1920357.88556171</v>
      </c>
      <c r="AF123" s="85" t="n">
        <f aca="true">IF(AF$5=0,AE123,MAX(0,(AE123-AF$4)*(1+NORMINV(RAND(),INPUTS!$B$28,INPUTS!$B$29))))</f>
        <v>1986936.65493003</v>
      </c>
      <c r="AG123" s="85" t="n">
        <f aca="true">IF(AG$5=0,AF123,MAX(0,(AF123-AG$4)*(1+NORMINV(RAND(),INPUTS!$B$28,INPUTS!$B$29))))</f>
        <v>1863682.35589092</v>
      </c>
      <c r="AH123" s="85" t="n">
        <f aca="true">IF(AH$5=0,AG123,MAX(0,(AG123-AH$4)*(1+NORMINV(RAND(),INPUTS!$B$28,INPUTS!$B$29))))</f>
        <v>1528811.07535</v>
      </c>
      <c r="AI123" s="85" t="n">
        <f aca="true">IF(AI$5=0,AH123,MAX(0,(AH123-AI$4)*(1+NORMINV(RAND(),INPUTS!$B$28,INPUTS!$B$29))))</f>
        <v>1359028.17897895</v>
      </c>
      <c r="AJ123" s="85" t="n">
        <f aca="true">IF(AJ$5=0,AI123,MAX(0,(AI123-AJ$4)*(1+NORMINV(RAND(),INPUTS!$B$28,INPUTS!$B$29))))</f>
        <v>1021409.5306602</v>
      </c>
      <c r="AK123" s="85" t="n">
        <f aca="true">IF(AK$5=0,AJ123,MAX(0,(AJ123-AK$4)*(1+NORMINV(RAND(),INPUTS!$B$28,INPUTS!$B$29))))</f>
        <v>1100202.40736434</v>
      </c>
      <c r="AL123" s="85" t="n">
        <f aca="true">IF(AL$5=0,AK123,MAX(0,(AK123-AL$4)*(1+NORMINV(RAND(),INPUTS!$B$28,INPUTS!$B$29))))</f>
        <v>1079505.32631614</v>
      </c>
      <c r="AM123" s="85" t="n">
        <f aca="true">IF(AM$5=0,AL123,MAX(0,(AL123-AM$4)*(1+NORMINV(RAND(),INPUTS!$B$28,INPUTS!$B$29))))</f>
        <v>1079505.32631614</v>
      </c>
      <c r="AN123" s="85" t="n">
        <f aca="true">IF(AN$5=0,AM123,MAX(0,(AM123-AN$4)*(1+NORMINV(RAND(),INPUTS!$B$28,INPUTS!$B$29))))</f>
        <v>1079505.32631614</v>
      </c>
      <c r="AO123" s="85" t="n">
        <f aca="true">IF(AO$5=0,AN123,MAX(0,(AN123-AO$4)*(1+NORMINV(RAND(),INPUTS!$B$28,INPUTS!$B$29))))</f>
        <v>1079505.32631614</v>
      </c>
      <c r="AP123" s="85" t="n">
        <f aca="true">IF(AP$5=0,AO123,MAX(0,(AO123-AP$4)*(1+NORMINV(RAND(),INPUTS!$B$28,INPUTS!$B$29))))</f>
        <v>1079505.32631614</v>
      </c>
    </row>
    <row r="124" customFormat="false" ht="15" hidden="false" customHeight="true" outlineLevel="0" collapsed="false">
      <c r="A124" s="83" t="n">
        <v>117</v>
      </c>
      <c r="B124" s="84" t="n">
        <f aca="false">LOOKUP(9.99E+307,C124:AP124)</f>
        <v>1375694.3663173</v>
      </c>
      <c r="C124" s="85" t="n">
        <f aca="true">IF(C$5=0,INPUTS!$B$19,MAX(0,(INPUTS!$B$19-C$4)*(1+NORMINV(RAND(),INPUTS!$B$28,INPUTS!$B$29))))</f>
        <v>1323382.06432429</v>
      </c>
      <c r="D124" s="85" t="n">
        <f aca="true">IF(D$5=0,C124,MAX(0,(C124-D$4)*(1+NORMINV(RAND(),INPUTS!$B$28,INPUTS!$B$29))))</f>
        <v>1256632.58038237</v>
      </c>
      <c r="E124" s="85" t="n">
        <f aca="true">IF(E$5=0,D124,MAX(0,(D124-E$4)*(1+NORMINV(RAND(),INPUTS!$B$28,INPUTS!$B$29))))</f>
        <v>1197594.06503561</v>
      </c>
      <c r="F124" s="85" t="n">
        <f aca="true">IF(F$5=0,E124,MAX(0,(E124-F$4)*(1+NORMINV(RAND(),INPUTS!$B$28,INPUTS!$B$29))))</f>
        <v>1347622.48095071</v>
      </c>
      <c r="G124" s="85" t="n">
        <f aca="true">IF(G$5=0,F124,MAX(0,(F124-G$4)*(1+NORMINV(RAND(),INPUTS!$B$28,INPUTS!$B$29))))</f>
        <v>1473968.62777985</v>
      </c>
      <c r="H124" s="85" t="n">
        <f aca="true">IF(H$5=0,G124,MAX(0,(G124-H$4)*(1+NORMINV(RAND(),INPUTS!$B$28,INPUTS!$B$29))))</f>
        <v>1785607.61702149</v>
      </c>
      <c r="I124" s="85" t="n">
        <f aca="true">IF(I$5=0,H124,MAX(0,(H124-I$4)*(1+NORMINV(RAND(),INPUTS!$B$28,INPUTS!$B$29))))</f>
        <v>2048456.1813387</v>
      </c>
      <c r="J124" s="85" t="n">
        <f aca="true">IF(J$5=0,I124,MAX(0,(I124-J$4)*(1+NORMINV(RAND(),INPUTS!$B$28,INPUTS!$B$29))))</f>
        <v>2140336.70222489</v>
      </c>
      <c r="K124" s="85" t="n">
        <f aca="true">IF(K$5=0,J124,MAX(0,(J124-K$4)*(1+NORMINV(RAND(),INPUTS!$B$28,INPUTS!$B$29))))</f>
        <v>2089736.8023533</v>
      </c>
      <c r="L124" s="85" t="n">
        <f aca="true">IF(L$5=0,K124,MAX(0,(K124-L$4)*(1+NORMINV(RAND(),INPUTS!$B$28,INPUTS!$B$29))))</f>
        <v>1869376.65994869</v>
      </c>
      <c r="M124" s="85" t="n">
        <f aca="true">IF(M$5=0,L124,MAX(0,(L124-M$4)*(1+NORMINV(RAND(),INPUTS!$B$28,INPUTS!$B$29))))</f>
        <v>1864341.29042065</v>
      </c>
      <c r="N124" s="85" t="n">
        <f aca="true">IF(N$5=0,M124,MAX(0,(M124-N$4)*(1+NORMINV(RAND(),INPUTS!$B$28,INPUTS!$B$29))))</f>
        <v>1924699.73508351</v>
      </c>
      <c r="O124" s="85" t="n">
        <f aca="true">IF(O$5=0,N124,MAX(0,(N124-O$4)*(1+NORMINV(RAND(),INPUTS!$B$28,INPUTS!$B$29))))</f>
        <v>1804773.28078824</v>
      </c>
      <c r="P124" s="85" t="n">
        <f aca="true">IF(P$5=0,O124,MAX(0,(O124-P$4)*(1+NORMINV(RAND(),INPUTS!$B$28,INPUTS!$B$29))))</f>
        <v>2152526.37397302</v>
      </c>
      <c r="Q124" s="85" t="n">
        <f aca="true">IF(Q$5=0,P124,MAX(0,(P124-Q$4)*(1+NORMINV(RAND(),INPUTS!$B$28,INPUTS!$B$29))))</f>
        <v>2424376.6415982</v>
      </c>
      <c r="R124" s="85" t="n">
        <f aca="true">IF(R$5=0,Q124,MAX(0,(Q124-R$4)*(1+NORMINV(RAND(),INPUTS!$B$28,INPUTS!$B$29))))</f>
        <v>2390251.5597023</v>
      </c>
      <c r="S124" s="85" t="n">
        <f aca="true">IF(S$5=0,R124,MAX(0,(R124-S$4)*(1+NORMINV(RAND(),INPUTS!$B$28,INPUTS!$B$29))))</f>
        <v>2489542.18833392</v>
      </c>
      <c r="T124" s="85" t="n">
        <f aca="true">IF(T$5=0,S124,MAX(0,(S124-T$4)*(1+NORMINV(RAND(),INPUTS!$B$28,INPUTS!$B$29))))</f>
        <v>2688850.69550733</v>
      </c>
      <c r="U124" s="85" t="n">
        <f aca="true">IF(U$5=0,T124,MAX(0,(T124-U$4)*(1+NORMINV(RAND(),INPUTS!$B$28,INPUTS!$B$29))))</f>
        <v>2729087.76100883</v>
      </c>
      <c r="V124" s="85" t="n">
        <f aca="true">IF(V$5=0,U124,MAX(0,(U124-V$4)*(1+NORMINV(RAND(),INPUTS!$B$28,INPUTS!$B$29))))</f>
        <v>3640095.41163533</v>
      </c>
      <c r="W124" s="85" t="n">
        <f aca="true">IF(W$5=0,V124,MAX(0,(V124-W$4)*(1+NORMINV(RAND(),INPUTS!$B$28,INPUTS!$B$29))))</f>
        <v>4192341.50276733</v>
      </c>
      <c r="X124" s="85" t="n">
        <f aca="true">IF(X$5=0,W124,MAX(0,(W124-X$4)*(1+NORMINV(RAND(),INPUTS!$B$28,INPUTS!$B$29))))</f>
        <v>3748800.77098809</v>
      </c>
      <c r="Y124" s="85" t="n">
        <f aca="true">IF(Y$5=0,X124,MAX(0,(X124-Y$4)*(1+NORMINV(RAND(),INPUTS!$B$28,INPUTS!$B$29))))</f>
        <v>3676495.80568788</v>
      </c>
      <c r="Z124" s="85" t="n">
        <f aca="true">IF(Z$5=0,Y124,MAX(0,(Y124-Z$4)*(1+NORMINV(RAND(),INPUTS!$B$28,INPUTS!$B$29))))</f>
        <v>3195208.52515066</v>
      </c>
      <c r="AA124" s="85" t="n">
        <f aca="true">IF(AA$5=0,Z124,MAX(0,(Z124-AA$4)*(1+NORMINV(RAND(),INPUTS!$B$28,INPUTS!$B$29))))</f>
        <v>3241988.12753811</v>
      </c>
      <c r="AB124" s="85" t="n">
        <f aca="true">IF(AB$5=0,AA124,MAX(0,(AA124-AB$4)*(1+NORMINV(RAND(),INPUTS!$B$28,INPUTS!$B$29))))</f>
        <v>2993628.05774106</v>
      </c>
      <c r="AC124" s="85" t="n">
        <f aca="true">IF(AC$5=0,AB124,MAX(0,(AB124-AC$4)*(1+NORMINV(RAND(),INPUTS!$B$28,INPUTS!$B$29))))</f>
        <v>2846686.4545285</v>
      </c>
      <c r="AD124" s="85" t="n">
        <f aca="true">IF(AD$5=0,AC124,MAX(0,(AC124-AD$4)*(1+NORMINV(RAND(),INPUTS!$B$28,INPUTS!$B$29))))</f>
        <v>1966939.48251384</v>
      </c>
      <c r="AE124" s="85" t="n">
        <f aca="true">IF(AE$5=0,AD124,MAX(0,(AD124-AE$4)*(1+NORMINV(RAND(),INPUTS!$B$28,INPUTS!$B$29))))</f>
        <v>1745779.80086283</v>
      </c>
      <c r="AF124" s="85" t="n">
        <f aca="true">IF(AF$5=0,AE124,MAX(0,(AE124-AF$4)*(1+NORMINV(RAND(),INPUTS!$B$28,INPUTS!$B$29))))</f>
        <v>1668088.30344005</v>
      </c>
      <c r="AG124" s="85" t="n">
        <f aca="true">IF(AG$5=0,AF124,MAX(0,(AF124-AG$4)*(1+NORMINV(RAND(),INPUTS!$B$28,INPUTS!$B$29))))</f>
        <v>1764604.18355441</v>
      </c>
      <c r="AH124" s="85" t="n">
        <f aca="true">IF(AH$5=0,AG124,MAX(0,(AG124-AH$4)*(1+NORMINV(RAND(),INPUTS!$B$28,INPUTS!$B$29))))</f>
        <v>1884806.7679869</v>
      </c>
      <c r="AI124" s="85" t="n">
        <f aca="true">IF(AI$5=0,AH124,MAX(0,(AH124-AI$4)*(1+NORMINV(RAND(),INPUTS!$B$28,INPUTS!$B$29))))</f>
        <v>1769359.69478707</v>
      </c>
      <c r="AJ124" s="85" t="n">
        <f aca="true">IF(AJ$5=0,AI124,MAX(0,(AI124-AJ$4)*(1+NORMINV(RAND(),INPUTS!$B$28,INPUTS!$B$29))))</f>
        <v>1488430.09222416</v>
      </c>
      <c r="AK124" s="85" t="n">
        <f aca="true">IF(AK$5=0,AJ124,MAX(0,(AJ124-AK$4)*(1+NORMINV(RAND(),INPUTS!$B$28,INPUTS!$B$29))))</f>
        <v>1235259.19000301</v>
      </c>
      <c r="AL124" s="85" t="n">
        <f aca="true">IF(AL$5=0,AK124,MAX(0,(AK124-AL$4)*(1+NORMINV(RAND(),INPUTS!$B$28,INPUTS!$B$29))))</f>
        <v>1375694.3663173</v>
      </c>
      <c r="AM124" s="85" t="n">
        <f aca="true">IF(AM$5=0,AL124,MAX(0,(AL124-AM$4)*(1+NORMINV(RAND(),INPUTS!$B$28,INPUTS!$B$29))))</f>
        <v>1375694.3663173</v>
      </c>
      <c r="AN124" s="85" t="n">
        <f aca="true">IF(AN$5=0,AM124,MAX(0,(AM124-AN$4)*(1+NORMINV(RAND(),INPUTS!$B$28,INPUTS!$B$29))))</f>
        <v>1375694.3663173</v>
      </c>
      <c r="AO124" s="85" t="n">
        <f aca="true">IF(AO$5=0,AN124,MAX(0,(AN124-AO$4)*(1+NORMINV(RAND(),INPUTS!$B$28,INPUTS!$B$29))))</f>
        <v>1375694.3663173</v>
      </c>
      <c r="AP124" s="85" t="n">
        <f aca="true">IF(AP$5=0,AO124,MAX(0,(AO124-AP$4)*(1+NORMINV(RAND(),INPUTS!$B$28,INPUTS!$B$29))))</f>
        <v>1375694.3663173</v>
      </c>
    </row>
    <row r="125" customFormat="false" ht="15" hidden="false" customHeight="true" outlineLevel="0" collapsed="false">
      <c r="A125" s="83" t="n">
        <v>118</v>
      </c>
      <c r="B125" s="84" t="n">
        <f aca="false">LOOKUP(9.99E+307,C125:AP125)</f>
        <v>204851.748779446</v>
      </c>
      <c r="C125" s="85" t="n">
        <f aca="true">IF(C$5=0,INPUTS!$B$19,MAX(0,(INPUTS!$B$19-C$4)*(1+NORMINV(RAND(),INPUTS!$B$28,INPUTS!$B$29))))</f>
        <v>1018919.99149295</v>
      </c>
      <c r="D125" s="85" t="n">
        <f aca="true">IF(D$5=0,C125,MAX(0,(C125-D$4)*(1+NORMINV(RAND(),INPUTS!$B$28,INPUTS!$B$29))))</f>
        <v>919564.067749904</v>
      </c>
      <c r="E125" s="85" t="n">
        <f aca="true">IF(E$5=0,D125,MAX(0,(D125-E$4)*(1+NORMINV(RAND(),INPUTS!$B$28,INPUTS!$B$29))))</f>
        <v>961645.318096191</v>
      </c>
      <c r="F125" s="85" t="n">
        <f aca="true">IF(F$5=0,E125,MAX(0,(E125-F$4)*(1+NORMINV(RAND(),INPUTS!$B$28,INPUTS!$B$29))))</f>
        <v>1113893.64251088</v>
      </c>
      <c r="G125" s="85" t="n">
        <f aca="true">IF(G$5=0,F125,MAX(0,(F125-G$4)*(1+NORMINV(RAND(),INPUTS!$B$28,INPUTS!$B$29))))</f>
        <v>1146004.62392052</v>
      </c>
      <c r="H125" s="85" t="n">
        <f aca="true">IF(H$5=0,G125,MAX(0,(G125-H$4)*(1+NORMINV(RAND(),INPUTS!$B$28,INPUTS!$B$29))))</f>
        <v>1158073.35462492</v>
      </c>
      <c r="I125" s="85" t="n">
        <f aca="true">IF(I$5=0,H125,MAX(0,(H125-I$4)*(1+NORMINV(RAND(),INPUTS!$B$28,INPUTS!$B$29))))</f>
        <v>1094892.06215437</v>
      </c>
      <c r="J125" s="85" t="n">
        <f aca="true">IF(J$5=0,I125,MAX(0,(I125-J$4)*(1+NORMINV(RAND(),INPUTS!$B$28,INPUTS!$B$29))))</f>
        <v>1222765.27125416</v>
      </c>
      <c r="K125" s="85" t="n">
        <f aca="true">IF(K$5=0,J125,MAX(0,(J125-K$4)*(1+NORMINV(RAND(),INPUTS!$B$28,INPUTS!$B$29))))</f>
        <v>1122123.83681971</v>
      </c>
      <c r="L125" s="85" t="n">
        <f aca="true">IF(L$5=0,K125,MAX(0,(K125-L$4)*(1+NORMINV(RAND(),INPUTS!$B$28,INPUTS!$B$29))))</f>
        <v>1192910.80045306</v>
      </c>
      <c r="M125" s="85" t="n">
        <f aca="true">IF(M$5=0,L125,MAX(0,(L125-M$4)*(1+NORMINV(RAND(),INPUTS!$B$28,INPUTS!$B$29))))</f>
        <v>1163617.20530197</v>
      </c>
      <c r="N125" s="85" t="n">
        <f aca="true">IF(N$5=0,M125,MAX(0,(M125-N$4)*(1+NORMINV(RAND(),INPUTS!$B$28,INPUTS!$B$29))))</f>
        <v>1257438.6485372</v>
      </c>
      <c r="O125" s="85" t="n">
        <f aca="true">IF(O$5=0,N125,MAX(0,(N125-O$4)*(1+NORMINV(RAND(),INPUTS!$B$28,INPUTS!$B$29))))</f>
        <v>1319130.74491738</v>
      </c>
      <c r="P125" s="85" t="n">
        <f aca="true">IF(P$5=0,O125,MAX(0,(O125-P$4)*(1+NORMINV(RAND(),INPUTS!$B$28,INPUTS!$B$29))))</f>
        <v>1377925.73701085</v>
      </c>
      <c r="Q125" s="85" t="n">
        <f aca="true">IF(Q$5=0,P125,MAX(0,(P125-Q$4)*(1+NORMINV(RAND(),INPUTS!$B$28,INPUTS!$B$29))))</f>
        <v>1247136.60111157</v>
      </c>
      <c r="R125" s="85" t="n">
        <f aca="true">IF(R$5=0,Q125,MAX(0,(Q125-R$4)*(1+NORMINV(RAND(),INPUTS!$B$28,INPUTS!$B$29))))</f>
        <v>1022215.79570451</v>
      </c>
      <c r="S125" s="85" t="n">
        <f aca="true">IF(S$5=0,R125,MAX(0,(R125-S$4)*(1+NORMINV(RAND(),INPUTS!$B$28,INPUTS!$B$29))))</f>
        <v>1056861.90182101</v>
      </c>
      <c r="T125" s="85" t="n">
        <f aca="true">IF(T$5=0,S125,MAX(0,(S125-T$4)*(1+NORMINV(RAND(),INPUTS!$B$28,INPUTS!$B$29))))</f>
        <v>1017925.52564768</v>
      </c>
      <c r="U125" s="85" t="n">
        <f aca="true">IF(U$5=0,T125,MAX(0,(T125-U$4)*(1+NORMINV(RAND(),INPUTS!$B$28,INPUTS!$B$29))))</f>
        <v>1117019.4155705</v>
      </c>
      <c r="V125" s="85" t="n">
        <f aca="true">IF(V$5=0,U125,MAX(0,(U125-V$4)*(1+NORMINV(RAND(),INPUTS!$B$28,INPUTS!$B$29))))</f>
        <v>1019121.4831505</v>
      </c>
      <c r="W125" s="85" t="n">
        <f aca="true">IF(W$5=0,V125,MAX(0,(V125-W$4)*(1+NORMINV(RAND(),INPUTS!$B$28,INPUTS!$B$29))))</f>
        <v>891319.099343554</v>
      </c>
      <c r="X125" s="85" t="n">
        <f aca="true">IF(X$5=0,W125,MAX(0,(W125-X$4)*(1+NORMINV(RAND(),INPUTS!$B$28,INPUTS!$B$29))))</f>
        <v>839139.914322037</v>
      </c>
      <c r="Y125" s="85" t="n">
        <f aca="true">IF(Y$5=0,X125,MAX(0,(X125-Y$4)*(1+NORMINV(RAND(),INPUTS!$B$28,INPUTS!$B$29))))</f>
        <v>826450.057097956</v>
      </c>
      <c r="Z125" s="85" t="n">
        <f aca="true">IF(Z$5=0,Y125,MAX(0,(Y125-Z$4)*(1+NORMINV(RAND(),INPUTS!$B$28,INPUTS!$B$29))))</f>
        <v>808025.015958047</v>
      </c>
      <c r="AA125" s="85" t="n">
        <f aca="true">IF(AA$5=0,Z125,MAX(0,(Z125-AA$4)*(1+NORMINV(RAND(),INPUTS!$B$28,INPUTS!$B$29))))</f>
        <v>711300.266118399</v>
      </c>
      <c r="AB125" s="85" t="n">
        <f aca="true">IF(AB$5=0,AA125,MAX(0,(AA125-AB$4)*(1+NORMINV(RAND(),INPUTS!$B$28,INPUTS!$B$29))))</f>
        <v>755983.528127734</v>
      </c>
      <c r="AC125" s="85" t="n">
        <f aca="true">IF(AC$5=0,AB125,MAX(0,(AB125-AC$4)*(1+NORMINV(RAND(),INPUTS!$B$28,INPUTS!$B$29))))</f>
        <v>638847.502786667</v>
      </c>
      <c r="AD125" s="85" t="n">
        <f aca="true">IF(AD$5=0,AC125,MAX(0,(AC125-AD$4)*(1+NORMINV(RAND(),INPUTS!$B$28,INPUTS!$B$29))))</f>
        <v>627066.858002657</v>
      </c>
      <c r="AE125" s="85" t="n">
        <f aca="true">IF(AE$5=0,AD125,MAX(0,(AD125-AE$4)*(1+NORMINV(RAND(),INPUTS!$B$28,INPUTS!$B$29))))</f>
        <v>628867.368221404</v>
      </c>
      <c r="AF125" s="85" t="n">
        <f aca="true">IF(AF$5=0,AE125,MAX(0,(AE125-AF$4)*(1+NORMINV(RAND(),INPUTS!$B$28,INPUTS!$B$29))))</f>
        <v>644712.290071611</v>
      </c>
      <c r="AG125" s="85" t="n">
        <f aca="true">IF(AG$5=0,AF125,MAX(0,(AF125-AG$4)*(1+NORMINV(RAND(),INPUTS!$B$28,INPUTS!$B$29))))</f>
        <v>679874.762052738</v>
      </c>
      <c r="AH125" s="85" t="n">
        <f aca="true">IF(AH$5=0,AG125,MAX(0,(AG125-AH$4)*(1+NORMINV(RAND(),INPUTS!$B$28,INPUTS!$B$29))))</f>
        <v>586772.886072103</v>
      </c>
      <c r="AI125" s="85" t="n">
        <f aca="true">IF(AI$5=0,AH125,MAX(0,(AH125-AI$4)*(1+NORMINV(RAND(),INPUTS!$B$28,INPUTS!$B$29))))</f>
        <v>468930.181218611</v>
      </c>
      <c r="AJ125" s="85" t="n">
        <f aca="true">IF(AJ$5=0,AI125,MAX(0,(AI125-AJ$4)*(1+NORMINV(RAND(),INPUTS!$B$28,INPUTS!$B$29))))</f>
        <v>363897.239691861</v>
      </c>
      <c r="AK125" s="85" t="n">
        <f aca="true">IF(AK$5=0,AJ125,MAX(0,(AJ125-AK$4)*(1+NORMINV(RAND(),INPUTS!$B$28,INPUTS!$B$29))))</f>
        <v>271097.871406722</v>
      </c>
      <c r="AL125" s="85" t="n">
        <f aca="true">IF(AL$5=0,AK125,MAX(0,(AK125-AL$4)*(1+NORMINV(RAND(),INPUTS!$B$28,INPUTS!$B$29))))</f>
        <v>204851.748779446</v>
      </c>
      <c r="AM125" s="85" t="n">
        <f aca="true">IF(AM$5=0,AL125,MAX(0,(AL125-AM$4)*(1+NORMINV(RAND(),INPUTS!$B$28,INPUTS!$B$29))))</f>
        <v>204851.748779446</v>
      </c>
      <c r="AN125" s="85" t="n">
        <f aca="true">IF(AN$5=0,AM125,MAX(0,(AM125-AN$4)*(1+NORMINV(RAND(),INPUTS!$B$28,INPUTS!$B$29))))</f>
        <v>204851.748779446</v>
      </c>
      <c r="AO125" s="85" t="n">
        <f aca="true">IF(AO$5=0,AN125,MAX(0,(AN125-AO$4)*(1+NORMINV(RAND(),INPUTS!$B$28,INPUTS!$B$29))))</f>
        <v>204851.748779446</v>
      </c>
      <c r="AP125" s="85" t="n">
        <f aca="true">IF(AP$5=0,AO125,MAX(0,(AO125-AP$4)*(1+NORMINV(RAND(),INPUTS!$B$28,INPUTS!$B$29))))</f>
        <v>204851.748779446</v>
      </c>
    </row>
    <row r="126" customFormat="false" ht="15" hidden="false" customHeight="true" outlineLevel="0" collapsed="false">
      <c r="A126" s="83" t="n">
        <v>119</v>
      </c>
      <c r="B126" s="84" t="n">
        <f aca="false">LOOKUP(9.99E+307,C126:AP126)</f>
        <v>896561.474853041</v>
      </c>
      <c r="C126" s="85" t="n">
        <f aca="true">IF(C$5=0,INPUTS!$B$19,MAX(0,(INPUTS!$B$19-C$4)*(1+NORMINV(RAND(),INPUTS!$B$28,INPUTS!$B$29))))</f>
        <v>1110891.18233115</v>
      </c>
      <c r="D126" s="85" t="n">
        <f aca="true">IF(D$5=0,C126,MAX(0,(C126-D$4)*(1+NORMINV(RAND(),INPUTS!$B$28,INPUTS!$B$29))))</f>
        <v>801657.282731999</v>
      </c>
      <c r="E126" s="85" t="n">
        <f aca="true">IF(E$5=0,D126,MAX(0,(D126-E$4)*(1+NORMINV(RAND(),INPUTS!$B$28,INPUTS!$B$29))))</f>
        <v>827927.635780905</v>
      </c>
      <c r="F126" s="85" t="n">
        <f aca="true">IF(F$5=0,E126,MAX(0,(E126-F$4)*(1+NORMINV(RAND(),INPUTS!$B$28,INPUTS!$B$29))))</f>
        <v>827077.56457691</v>
      </c>
      <c r="G126" s="85" t="n">
        <f aca="true">IF(G$5=0,F126,MAX(0,(F126-G$4)*(1+NORMINV(RAND(),INPUTS!$B$28,INPUTS!$B$29))))</f>
        <v>769752.10289851</v>
      </c>
      <c r="H126" s="85" t="n">
        <f aca="true">IF(H$5=0,G126,MAX(0,(G126-H$4)*(1+NORMINV(RAND(),INPUTS!$B$28,INPUTS!$B$29))))</f>
        <v>854814.397306645</v>
      </c>
      <c r="I126" s="85" t="n">
        <f aca="true">IF(I$5=0,H126,MAX(0,(H126-I$4)*(1+NORMINV(RAND(),INPUTS!$B$28,INPUTS!$B$29))))</f>
        <v>914821.171915302</v>
      </c>
      <c r="J126" s="85" t="n">
        <f aca="true">IF(J$5=0,I126,MAX(0,(I126-J$4)*(1+NORMINV(RAND(),INPUTS!$B$28,INPUTS!$B$29))))</f>
        <v>984586.854021407</v>
      </c>
      <c r="K126" s="85" t="n">
        <f aca="true">IF(K$5=0,J126,MAX(0,(J126-K$4)*(1+NORMINV(RAND(),INPUTS!$B$28,INPUTS!$B$29))))</f>
        <v>1099926.2056748</v>
      </c>
      <c r="L126" s="85" t="n">
        <f aca="true">IF(L$5=0,K126,MAX(0,(K126-L$4)*(1+NORMINV(RAND(),INPUTS!$B$28,INPUTS!$B$29))))</f>
        <v>964686.558842642</v>
      </c>
      <c r="M126" s="85" t="n">
        <f aca="true">IF(M$5=0,L126,MAX(0,(L126-M$4)*(1+NORMINV(RAND(),INPUTS!$B$28,INPUTS!$B$29))))</f>
        <v>1232386.49918132</v>
      </c>
      <c r="N126" s="85" t="n">
        <f aca="true">IF(N$5=0,M126,MAX(0,(M126-N$4)*(1+NORMINV(RAND(),INPUTS!$B$28,INPUTS!$B$29))))</f>
        <v>1255603.99741788</v>
      </c>
      <c r="O126" s="85" t="n">
        <f aca="true">IF(O$5=0,N126,MAX(0,(N126-O$4)*(1+NORMINV(RAND(),INPUTS!$B$28,INPUTS!$B$29))))</f>
        <v>1126470.35370436</v>
      </c>
      <c r="P126" s="85" t="n">
        <f aca="true">IF(P$5=0,O126,MAX(0,(O126-P$4)*(1+NORMINV(RAND(),INPUTS!$B$28,INPUTS!$B$29))))</f>
        <v>1299351.55342286</v>
      </c>
      <c r="Q126" s="85" t="n">
        <f aca="true">IF(Q$5=0,P126,MAX(0,(P126-Q$4)*(1+NORMINV(RAND(),INPUTS!$B$28,INPUTS!$B$29))))</f>
        <v>1045002.97302423</v>
      </c>
      <c r="R126" s="85" t="n">
        <f aca="true">IF(R$5=0,Q126,MAX(0,(Q126-R$4)*(1+NORMINV(RAND(),INPUTS!$B$28,INPUTS!$B$29))))</f>
        <v>1074258.59062998</v>
      </c>
      <c r="S126" s="85" t="n">
        <f aca="true">IF(S$5=0,R126,MAX(0,(R126-S$4)*(1+NORMINV(RAND(),INPUTS!$B$28,INPUTS!$B$29))))</f>
        <v>865287.861500185</v>
      </c>
      <c r="T126" s="85" t="n">
        <f aca="true">IF(T$5=0,S126,MAX(0,(S126-T$4)*(1+NORMINV(RAND(),INPUTS!$B$28,INPUTS!$B$29))))</f>
        <v>799794.837658846</v>
      </c>
      <c r="U126" s="85" t="n">
        <f aca="true">IF(U$5=0,T126,MAX(0,(T126-U$4)*(1+NORMINV(RAND(),INPUTS!$B$28,INPUTS!$B$29))))</f>
        <v>889264.819457247</v>
      </c>
      <c r="V126" s="85" t="n">
        <f aca="true">IF(V$5=0,U126,MAX(0,(U126-V$4)*(1+NORMINV(RAND(),INPUTS!$B$28,INPUTS!$B$29))))</f>
        <v>1068809.17920187</v>
      </c>
      <c r="W126" s="85" t="n">
        <f aca="true">IF(W$5=0,V126,MAX(0,(V126-W$4)*(1+NORMINV(RAND(),INPUTS!$B$28,INPUTS!$B$29))))</f>
        <v>1219172.85322896</v>
      </c>
      <c r="X126" s="85" t="n">
        <f aca="true">IF(X$5=0,W126,MAX(0,(W126-X$4)*(1+NORMINV(RAND(),INPUTS!$B$28,INPUTS!$B$29))))</f>
        <v>1155177.0013935</v>
      </c>
      <c r="Y126" s="85" t="n">
        <f aca="true">IF(Y$5=0,X126,MAX(0,(X126-Y$4)*(1+NORMINV(RAND(),INPUTS!$B$28,INPUTS!$B$29))))</f>
        <v>1224666.21302361</v>
      </c>
      <c r="Z126" s="85" t="n">
        <f aca="true">IF(Z$5=0,Y126,MAX(0,(Y126-Z$4)*(1+NORMINV(RAND(),INPUTS!$B$28,INPUTS!$B$29))))</f>
        <v>1209069.73939743</v>
      </c>
      <c r="AA126" s="85" t="n">
        <f aca="true">IF(AA$5=0,Z126,MAX(0,(Z126-AA$4)*(1+NORMINV(RAND(),INPUTS!$B$28,INPUTS!$B$29))))</f>
        <v>1318661.52277687</v>
      </c>
      <c r="AB126" s="85" t="n">
        <f aca="true">IF(AB$5=0,AA126,MAX(0,(AA126-AB$4)*(1+NORMINV(RAND(),INPUTS!$B$28,INPUTS!$B$29))))</f>
        <v>1297134.10183972</v>
      </c>
      <c r="AC126" s="85" t="n">
        <f aca="true">IF(AC$5=0,AB126,MAX(0,(AB126-AC$4)*(1+NORMINV(RAND(),INPUTS!$B$28,INPUTS!$B$29))))</f>
        <v>1139839.05891884</v>
      </c>
      <c r="AD126" s="85" t="n">
        <f aca="true">IF(AD$5=0,AC126,MAX(0,(AC126-AD$4)*(1+NORMINV(RAND(),INPUTS!$B$28,INPUTS!$B$29))))</f>
        <v>982462.196104614</v>
      </c>
      <c r="AE126" s="85" t="n">
        <f aca="true">IF(AE$5=0,AD126,MAX(0,(AD126-AE$4)*(1+NORMINV(RAND(),INPUTS!$B$28,INPUTS!$B$29))))</f>
        <v>920634.370700885</v>
      </c>
      <c r="AF126" s="85" t="n">
        <f aca="true">IF(AF$5=0,AE126,MAX(0,(AE126-AF$4)*(1+NORMINV(RAND(),INPUTS!$B$28,INPUTS!$B$29))))</f>
        <v>798838.905323583</v>
      </c>
      <c r="AG126" s="85" t="n">
        <f aca="true">IF(AG$5=0,AF126,MAX(0,(AF126-AG$4)*(1+NORMINV(RAND(),INPUTS!$B$28,INPUTS!$B$29))))</f>
        <v>942478.489518401</v>
      </c>
      <c r="AH126" s="85" t="n">
        <f aca="true">IF(AH$5=0,AG126,MAX(0,(AG126-AH$4)*(1+NORMINV(RAND(),INPUTS!$B$28,INPUTS!$B$29))))</f>
        <v>932615.759963398</v>
      </c>
      <c r="AI126" s="85" t="n">
        <f aca="true">IF(AI$5=0,AH126,MAX(0,(AH126-AI$4)*(1+NORMINV(RAND(),INPUTS!$B$28,INPUTS!$B$29))))</f>
        <v>917965.158024333</v>
      </c>
      <c r="AJ126" s="85" t="n">
        <f aca="true">IF(AJ$5=0,AI126,MAX(0,(AI126-AJ$4)*(1+NORMINV(RAND(),INPUTS!$B$28,INPUTS!$B$29))))</f>
        <v>939854.792103883</v>
      </c>
      <c r="AK126" s="85" t="n">
        <f aca="true">IF(AK$5=0,AJ126,MAX(0,(AJ126-AK$4)*(1+NORMINV(RAND(),INPUTS!$B$28,INPUTS!$B$29))))</f>
        <v>936526.523922966</v>
      </c>
      <c r="AL126" s="85" t="n">
        <f aca="true">IF(AL$5=0,AK126,MAX(0,(AK126-AL$4)*(1+NORMINV(RAND(),INPUTS!$B$28,INPUTS!$B$29))))</f>
        <v>896561.474853041</v>
      </c>
      <c r="AM126" s="85" t="n">
        <f aca="true">IF(AM$5=0,AL126,MAX(0,(AL126-AM$4)*(1+NORMINV(RAND(),INPUTS!$B$28,INPUTS!$B$29))))</f>
        <v>896561.474853041</v>
      </c>
      <c r="AN126" s="85" t="n">
        <f aca="true">IF(AN$5=0,AM126,MAX(0,(AM126-AN$4)*(1+NORMINV(RAND(),INPUTS!$B$28,INPUTS!$B$29))))</f>
        <v>896561.474853041</v>
      </c>
      <c r="AO126" s="85" t="n">
        <f aca="true">IF(AO$5=0,AN126,MAX(0,(AN126-AO$4)*(1+NORMINV(RAND(),INPUTS!$B$28,INPUTS!$B$29))))</f>
        <v>896561.474853041</v>
      </c>
      <c r="AP126" s="85" t="n">
        <f aca="true">IF(AP$5=0,AO126,MAX(0,(AO126-AP$4)*(1+NORMINV(RAND(),INPUTS!$B$28,INPUTS!$B$29))))</f>
        <v>896561.474853041</v>
      </c>
    </row>
    <row r="127" customFormat="false" ht="15" hidden="false" customHeight="true" outlineLevel="0" collapsed="false">
      <c r="A127" s="83" t="n">
        <v>120</v>
      </c>
      <c r="B127" s="84" t="n">
        <f aca="false">LOOKUP(9.99E+307,C127:AP127)</f>
        <v>0</v>
      </c>
      <c r="C127" s="85" t="n">
        <f aca="true">IF(C$5=0,INPUTS!$B$19,MAX(0,(INPUTS!$B$19-C$4)*(1+NORMINV(RAND(),INPUTS!$B$28,INPUTS!$B$29))))</f>
        <v>1248445.44247453</v>
      </c>
      <c r="D127" s="85" t="n">
        <f aca="true">IF(D$5=0,C127,MAX(0,(C127-D$4)*(1+NORMINV(RAND(),INPUTS!$B$28,INPUTS!$B$29))))</f>
        <v>1342049.38932583</v>
      </c>
      <c r="E127" s="85" t="n">
        <f aca="true">IF(E$5=0,D127,MAX(0,(D127-E$4)*(1+NORMINV(RAND(),INPUTS!$B$28,INPUTS!$B$29))))</f>
        <v>1237270.3213173</v>
      </c>
      <c r="F127" s="85" t="n">
        <f aca="true">IF(F$5=0,E127,MAX(0,(E127-F$4)*(1+NORMINV(RAND(),INPUTS!$B$28,INPUTS!$B$29))))</f>
        <v>1306327.44136722</v>
      </c>
      <c r="G127" s="85" t="n">
        <f aca="true">IF(G$5=0,F127,MAX(0,(F127-G$4)*(1+NORMINV(RAND(),INPUTS!$B$28,INPUTS!$B$29))))</f>
        <v>1211128.75459028</v>
      </c>
      <c r="H127" s="85" t="n">
        <f aca="true">IF(H$5=0,G127,MAX(0,(G127-H$4)*(1+NORMINV(RAND(),INPUTS!$B$28,INPUTS!$B$29))))</f>
        <v>1178172.24473749</v>
      </c>
      <c r="I127" s="85" t="n">
        <f aca="true">IF(I$5=0,H127,MAX(0,(H127-I$4)*(1+NORMINV(RAND(),INPUTS!$B$28,INPUTS!$B$29))))</f>
        <v>1228970.65423308</v>
      </c>
      <c r="J127" s="85" t="n">
        <f aca="true">IF(J$5=0,I127,MAX(0,(I127-J$4)*(1+NORMINV(RAND(),INPUTS!$B$28,INPUTS!$B$29))))</f>
        <v>1340987.43560029</v>
      </c>
      <c r="K127" s="85" t="n">
        <f aca="true">IF(K$5=0,J127,MAX(0,(J127-K$4)*(1+NORMINV(RAND(),INPUTS!$B$28,INPUTS!$B$29))))</f>
        <v>1446412.01618591</v>
      </c>
      <c r="L127" s="85" t="n">
        <f aca="true">IF(L$5=0,K127,MAX(0,(K127-L$4)*(1+NORMINV(RAND(),INPUTS!$B$28,INPUTS!$B$29))))</f>
        <v>1396916.79861655</v>
      </c>
      <c r="M127" s="85" t="n">
        <f aca="true">IF(M$5=0,L127,MAX(0,(L127-M$4)*(1+NORMINV(RAND(),INPUTS!$B$28,INPUTS!$B$29))))</f>
        <v>1253913.44578941</v>
      </c>
      <c r="N127" s="85" t="n">
        <f aca="true">IF(N$5=0,M127,MAX(0,(M127-N$4)*(1+NORMINV(RAND(),INPUTS!$B$28,INPUTS!$B$29))))</f>
        <v>1137483.68339737</v>
      </c>
      <c r="O127" s="85" t="n">
        <f aca="true">IF(O$5=0,N127,MAX(0,(N127-O$4)*(1+NORMINV(RAND(),INPUTS!$B$28,INPUTS!$B$29))))</f>
        <v>889095.901143621</v>
      </c>
      <c r="P127" s="85" t="n">
        <f aca="true">IF(P$5=0,O127,MAX(0,(O127-P$4)*(1+NORMINV(RAND(),INPUTS!$B$28,INPUTS!$B$29))))</f>
        <v>933783.327634615</v>
      </c>
      <c r="Q127" s="85" t="n">
        <f aca="true">IF(Q$5=0,P127,MAX(0,(P127-Q$4)*(1+NORMINV(RAND(),INPUTS!$B$28,INPUTS!$B$29))))</f>
        <v>950417.458095684</v>
      </c>
      <c r="R127" s="85" t="n">
        <f aca="true">IF(R$5=0,Q127,MAX(0,(Q127-R$4)*(1+NORMINV(RAND(),INPUTS!$B$28,INPUTS!$B$29))))</f>
        <v>1006664.18214456</v>
      </c>
      <c r="S127" s="85" t="n">
        <f aca="true">IF(S$5=0,R127,MAX(0,(R127-S$4)*(1+NORMINV(RAND(),INPUTS!$B$28,INPUTS!$B$29))))</f>
        <v>1062995.3023554</v>
      </c>
      <c r="T127" s="85" t="n">
        <f aca="true">IF(T$5=0,S127,MAX(0,(S127-T$4)*(1+NORMINV(RAND(),INPUTS!$B$28,INPUTS!$B$29))))</f>
        <v>991456.242390369</v>
      </c>
      <c r="U127" s="85" t="n">
        <f aca="true">IF(U$5=0,T127,MAX(0,(T127-U$4)*(1+NORMINV(RAND(),INPUTS!$B$28,INPUTS!$B$29))))</f>
        <v>893110.241556778</v>
      </c>
      <c r="V127" s="85" t="n">
        <f aca="true">IF(V$5=0,U127,MAX(0,(U127-V$4)*(1+NORMINV(RAND(),INPUTS!$B$28,INPUTS!$B$29))))</f>
        <v>978161.300488405</v>
      </c>
      <c r="W127" s="85" t="n">
        <f aca="true">IF(W$5=0,V127,MAX(0,(V127-W$4)*(1+NORMINV(RAND(),INPUTS!$B$28,INPUTS!$B$29))))</f>
        <v>810707.484121729</v>
      </c>
      <c r="X127" s="85" t="n">
        <f aca="true">IF(X$5=0,W127,MAX(0,(W127-X$4)*(1+NORMINV(RAND(),INPUTS!$B$28,INPUTS!$B$29))))</f>
        <v>726276.497320112</v>
      </c>
      <c r="Y127" s="85" t="n">
        <f aca="true">IF(Y$5=0,X127,MAX(0,(X127-Y$4)*(1+NORMINV(RAND(),INPUTS!$B$28,INPUTS!$B$29))))</f>
        <v>654283.703082991</v>
      </c>
      <c r="Z127" s="85" t="n">
        <f aca="true">IF(Z$5=0,Y127,MAX(0,(Y127-Z$4)*(1+NORMINV(RAND(),INPUTS!$B$28,INPUTS!$B$29))))</f>
        <v>754453.597988166</v>
      </c>
      <c r="AA127" s="85" t="n">
        <f aca="true">IF(AA$5=0,Z127,MAX(0,(Z127-AA$4)*(1+NORMINV(RAND(),INPUTS!$B$28,INPUTS!$B$29))))</f>
        <v>796655.645864702</v>
      </c>
      <c r="AB127" s="85" t="n">
        <f aca="true">IF(AB$5=0,AA127,MAX(0,(AA127-AB$4)*(1+NORMINV(RAND(),INPUTS!$B$28,INPUTS!$B$29))))</f>
        <v>742973.957089066</v>
      </c>
      <c r="AC127" s="85" t="n">
        <f aca="true">IF(AC$5=0,AB127,MAX(0,(AB127-AC$4)*(1+NORMINV(RAND(),INPUTS!$B$28,INPUTS!$B$29))))</f>
        <v>659121.611023597</v>
      </c>
      <c r="AD127" s="85" t="n">
        <f aca="true">IF(AD$5=0,AC127,MAX(0,(AC127-AD$4)*(1+NORMINV(RAND(),INPUTS!$B$28,INPUTS!$B$29))))</f>
        <v>589716.228090686</v>
      </c>
      <c r="AE127" s="85" t="n">
        <f aca="true">IF(AE$5=0,AD127,MAX(0,(AD127-AE$4)*(1+NORMINV(RAND(),INPUTS!$B$28,INPUTS!$B$29))))</f>
        <v>552075.363028205</v>
      </c>
      <c r="AF127" s="85" t="n">
        <f aca="true">IF(AF$5=0,AE127,MAX(0,(AE127-AF$4)*(1+NORMINV(RAND(),INPUTS!$B$28,INPUTS!$B$29))))</f>
        <v>513648.270442496</v>
      </c>
      <c r="AG127" s="85" t="n">
        <f aca="true">IF(AG$5=0,AF127,MAX(0,(AF127-AG$4)*(1+NORMINV(RAND(),INPUTS!$B$28,INPUTS!$B$29))))</f>
        <v>423482.029407495</v>
      </c>
      <c r="AH127" s="85" t="n">
        <f aca="true">IF(AH$5=0,AG127,MAX(0,(AG127-AH$4)*(1+NORMINV(RAND(),INPUTS!$B$28,INPUTS!$B$29))))</f>
        <v>317894.580713495</v>
      </c>
      <c r="AI127" s="85" t="n">
        <f aca="true">IF(AI$5=0,AH127,MAX(0,(AH127-AI$4)*(1+NORMINV(RAND(),INPUTS!$B$28,INPUTS!$B$29))))</f>
        <v>229673.420936725</v>
      </c>
      <c r="AJ127" s="85" t="n">
        <f aca="true">IF(AJ$5=0,AI127,MAX(0,(AI127-AJ$4)*(1+NORMINV(RAND(),INPUTS!$B$28,INPUTS!$B$29))))</f>
        <v>141307.360077761</v>
      </c>
      <c r="AK127" s="85" t="n">
        <f aca="true">IF(AK$5=0,AJ127,MAX(0,(AJ127-AK$4)*(1+NORMINV(RAND(),INPUTS!$B$28,INPUTS!$B$29))))</f>
        <v>61545.3189595664</v>
      </c>
      <c r="AL127" s="85" t="n">
        <f aca="true">IF(AL$5=0,AK127,MAX(0,(AK127-AL$4)*(1+NORMINV(RAND(),INPUTS!$B$28,INPUTS!$B$29))))</f>
        <v>0</v>
      </c>
      <c r="AM127" s="85" t="n">
        <f aca="true">IF(AM$5=0,AL127,MAX(0,(AL127-AM$4)*(1+NORMINV(RAND(),INPUTS!$B$28,INPUTS!$B$29))))</f>
        <v>0</v>
      </c>
      <c r="AN127" s="85" t="n">
        <f aca="true">IF(AN$5=0,AM127,MAX(0,(AM127-AN$4)*(1+NORMINV(RAND(),INPUTS!$B$28,INPUTS!$B$29))))</f>
        <v>0</v>
      </c>
      <c r="AO127" s="85" t="n">
        <f aca="true">IF(AO$5=0,AN127,MAX(0,(AN127-AO$4)*(1+NORMINV(RAND(),INPUTS!$B$28,INPUTS!$B$29))))</f>
        <v>0</v>
      </c>
      <c r="AP127" s="85" t="n">
        <f aca="true">IF(AP$5=0,AO127,MAX(0,(AO127-AP$4)*(1+NORMINV(RAND(),INPUTS!$B$28,INPUTS!$B$29))))</f>
        <v>0</v>
      </c>
    </row>
    <row r="128" customFormat="false" ht="15" hidden="false" customHeight="true" outlineLevel="0" collapsed="false">
      <c r="A128" s="83" t="n">
        <v>121</v>
      </c>
      <c r="B128" s="84" t="n">
        <f aca="false">LOOKUP(9.99E+307,C128:AP128)</f>
        <v>10382357.5450634</v>
      </c>
      <c r="C128" s="85" t="n">
        <f aca="true">IF(C$5=0,INPUTS!$B$19,MAX(0,(INPUTS!$B$19-C$4)*(1+NORMINV(RAND(),INPUTS!$B$28,INPUTS!$B$29))))</f>
        <v>938157.250861512</v>
      </c>
      <c r="D128" s="85" t="n">
        <f aca="true">IF(D$5=0,C128,MAX(0,(C128-D$4)*(1+NORMINV(RAND(),INPUTS!$B$28,INPUTS!$B$29))))</f>
        <v>1000952.66833064</v>
      </c>
      <c r="E128" s="85" t="n">
        <f aca="true">IF(E$5=0,D128,MAX(0,(D128-E$4)*(1+NORMINV(RAND(),INPUTS!$B$28,INPUTS!$B$29))))</f>
        <v>1170601.14534328</v>
      </c>
      <c r="F128" s="85" t="n">
        <f aca="true">IF(F$5=0,E128,MAX(0,(E128-F$4)*(1+NORMINV(RAND(),INPUTS!$B$28,INPUTS!$B$29))))</f>
        <v>1184983.74674827</v>
      </c>
      <c r="G128" s="85" t="n">
        <f aca="true">IF(G$5=0,F128,MAX(0,(F128-G$4)*(1+NORMINV(RAND(),INPUTS!$B$28,INPUTS!$B$29))))</f>
        <v>1261249.67535126</v>
      </c>
      <c r="H128" s="85" t="n">
        <f aca="true">IF(H$5=0,G128,MAX(0,(G128-H$4)*(1+NORMINV(RAND(),INPUTS!$B$28,INPUTS!$B$29))))</f>
        <v>1154257.11359812</v>
      </c>
      <c r="I128" s="85" t="n">
        <f aca="true">IF(I$5=0,H128,MAX(0,(H128-I$4)*(1+NORMINV(RAND(),INPUTS!$B$28,INPUTS!$B$29))))</f>
        <v>1211358.6532745</v>
      </c>
      <c r="J128" s="85" t="n">
        <f aca="true">IF(J$5=0,I128,MAX(0,(I128-J$4)*(1+NORMINV(RAND(),INPUTS!$B$28,INPUTS!$B$29))))</f>
        <v>1052943.21221811</v>
      </c>
      <c r="K128" s="85" t="n">
        <f aca="true">IF(K$5=0,J128,MAX(0,(J128-K$4)*(1+NORMINV(RAND(),INPUTS!$B$28,INPUTS!$B$29))))</f>
        <v>996726.559663846</v>
      </c>
      <c r="L128" s="85" t="n">
        <f aca="true">IF(L$5=0,K128,MAX(0,(K128-L$4)*(1+NORMINV(RAND(),INPUTS!$B$28,INPUTS!$B$29))))</f>
        <v>1134155.87432547</v>
      </c>
      <c r="M128" s="85" t="n">
        <f aca="true">IF(M$5=0,L128,MAX(0,(L128-M$4)*(1+NORMINV(RAND(),INPUTS!$B$28,INPUTS!$B$29))))</f>
        <v>1128925.6476794</v>
      </c>
      <c r="N128" s="85" t="n">
        <f aca="true">IF(N$5=0,M128,MAX(0,(M128-N$4)*(1+NORMINV(RAND(),INPUTS!$B$28,INPUTS!$B$29))))</f>
        <v>1231248.65155756</v>
      </c>
      <c r="O128" s="85" t="n">
        <f aca="true">IF(O$5=0,N128,MAX(0,(N128-O$4)*(1+NORMINV(RAND(),INPUTS!$B$28,INPUTS!$B$29))))</f>
        <v>1182142.17997501</v>
      </c>
      <c r="P128" s="85" t="n">
        <f aca="true">IF(P$5=0,O128,MAX(0,(O128-P$4)*(1+NORMINV(RAND(),INPUTS!$B$28,INPUTS!$B$29))))</f>
        <v>1250844.96754106</v>
      </c>
      <c r="Q128" s="85" t="n">
        <f aca="true">IF(Q$5=0,P128,MAX(0,(P128-Q$4)*(1+NORMINV(RAND(),INPUTS!$B$28,INPUTS!$B$29))))</f>
        <v>1560723.74110184</v>
      </c>
      <c r="R128" s="85" t="n">
        <f aca="true">IF(R$5=0,Q128,MAX(0,(Q128-R$4)*(1+NORMINV(RAND(),INPUTS!$B$28,INPUTS!$B$29))))</f>
        <v>1822379.62269902</v>
      </c>
      <c r="S128" s="85" t="n">
        <f aca="true">IF(S$5=0,R128,MAX(0,(R128-S$4)*(1+NORMINV(RAND(),INPUTS!$B$28,INPUTS!$B$29))))</f>
        <v>2174388.96694255</v>
      </c>
      <c r="T128" s="85" t="n">
        <f aca="true">IF(T$5=0,S128,MAX(0,(S128-T$4)*(1+NORMINV(RAND(),INPUTS!$B$28,INPUTS!$B$29))))</f>
        <v>2335189.97101305</v>
      </c>
      <c r="U128" s="85" t="n">
        <f aca="true">IF(U$5=0,T128,MAX(0,(T128-U$4)*(1+NORMINV(RAND(),INPUTS!$B$28,INPUTS!$B$29))))</f>
        <v>2722048.76628543</v>
      </c>
      <c r="V128" s="85" t="n">
        <f aca="true">IF(V$5=0,U128,MAX(0,(U128-V$4)*(1+NORMINV(RAND(),INPUTS!$B$28,INPUTS!$B$29))))</f>
        <v>3321891.2432937</v>
      </c>
      <c r="W128" s="85" t="n">
        <f aca="true">IF(W$5=0,V128,MAX(0,(V128-W$4)*(1+NORMINV(RAND(),INPUTS!$B$28,INPUTS!$B$29))))</f>
        <v>2920832.4342368</v>
      </c>
      <c r="X128" s="85" t="n">
        <f aca="true">IF(X$5=0,W128,MAX(0,(W128-X$4)*(1+NORMINV(RAND(),INPUTS!$B$28,INPUTS!$B$29))))</f>
        <v>3512432.05147324</v>
      </c>
      <c r="Y128" s="85" t="n">
        <f aca="true">IF(Y$5=0,X128,MAX(0,(X128-Y$4)*(1+NORMINV(RAND(),INPUTS!$B$28,INPUTS!$B$29))))</f>
        <v>3925445.42557976</v>
      </c>
      <c r="Z128" s="85" t="n">
        <f aca="true">IF(Z$5=0,Y128,MAX(0,(Y128-Z$4)*(1+NORMINV(RAND(),INPUTS!$B$28,INPUTS!$B$29))))</f>
        <v>5023939.95087797</v>
      </c>
      <c r="AA128" s="85" t="n">
        <f aca="true">IF(AA$5=0,Z128,MAX(0,(Z128-AA$4)*(1+NORMINV(RAND(),INPUTS!$B$28,INPUTS!$B$29))))</f>
        <v>6119092.79851745</v>
      </c>
      <c r="AB128" s="85" t="n">
        <f aca="true">IF(AB$5=0,AA128,MAX(0,(AA128-AB$4)*(1+NORMINV(RAND(),INPUTS!$B$28,INPUTS!$B$29))))</f>
        <v>6606056.364966</v>
      </c>
      <c r="AC128" s="85" t="n">
        <f aca="true">IF(AC$5=0,AB128,MAX(0,(AB128-AC$4)*(1+NORMINV(RAND(),INPUTS!$B$28,INPUTS!$B$29))))</f>
        <v>7235481.33468223</v>
      </c>
      <c r="AD128" s="85" t="n">
        <f aca="true">IF(AD$5=0,AC128,MAX(0,(AC128-AD$4)*(1+NORMINV(RAND(),INPUTS!$B$28,INPUTS!$B$29))))</f>
        <v>8052592.80772728</v>
      </c>
      <c r="AE128" s="85" t="n">
        <f aca="true">IF(AE$5=0,AD128,MAX(0,(AD128-AE$4)*(1+NORMINV(RAND(),INPUTS!$B$28,INPUTS!$B$29))))</f>
        <v>8515644.50537992</v>
      </c>
      <c r="AF128" s="85" t="n">
        <f aca="true">IF(AF$5=0,AE128,MAX(0,(AE128-AF$4)*(1+NORMINV(RAND(),INPUTS!$B$28,INPUTS!$B$29))))</f>
        <v>9665354.00620464</v>
      </c>
      <c r="AG128" s="85" t="n">
        <f aca="true">IF(AG$5=0,AF128,MAX(0,(AF128-AG$4)*(1+NORMINV(RAND(),INPUTS!$B$28,INPUTS!$B$29))))</f>
        <v>12210165.720936</v>
      </c>
      <c r="AH128" s="85" t="n">
        <f aca="true">IF(AH$5=0,AG128,MAX(0,(AG128-AH$4)*(1+NORMINV(RAND(),INPUTS!$B$28,INPUTS!$B$29))))</f>
        <v>12482480.7458338</v>
      </c>
      <c r="AI128" s="85" t="n">
        <f aca="true">IF(AI$5=0,AH128,MAX(0,(AH128-AI$4)*(1+NORMINV(RAND(),INPUTS!$B$28,INPUTS!$B$29))))</f>
        <v>15948824.292477</v>
      </c>
      <c r="AJ128" s="85" t="n">
        <f aca="true">IF(AJ$5=0,AI128,MAX(0,(AI128-AJ$4)*(1+NORMINV(RAND(),INPUTS!$B$28,INPUTS!$B$29))))</f>
        <v>14022509.2184617</v>
      </c>
      <c r="AK128" s="85" t="n">
        <f aca="true">IF(AK$5=0,AJ128,MAX(0,(AJ128-AK$4)*(1+NORMINV(RAND(),INPUTS!$B$28,INPUTS!$B$29))))</f>
        <v>12340250.2248123</v>
      </c>
      <c r="AL128" s="85" t="n">
        <f aca="true">IF(AL$5=0,AK128,MAX(0,(AK128-AL$4)*(1+NORMINV(RAND(),INPUTS!$B$28,INPUTS!$B$29))))</f>
        <v>10382357.5450634</v>
      </c>
      <c r="AM128" s="85" t="n">
        <f aca="true">IF(AM$5=0,AL128,MAX(0,(AL128-AM$4)*(1+NORMINV(RAND(),INPUTS!$B$28,INPUTS!$B$29))))</f>
        <v>10382357.5450634</v>
      </c>
      <c r="AN128" s="85" t="n">
        <f aca="true">IF(AN$5=0,AM128,MAX(0,(AM128-AN$4)*(1+NORMINV(RAND(),INPUTS!$B$28,INPUTS!$B$29))))</f>
        <v>10382357.5450634</v>
      </c>
      <c r="AO128" s="85" t="n">
        <f aca="true">IF(AO$5=0,AN128,MAX(0,(AN128-AO$4)*(1+NORMINV(RAND(),INPUTS!$B$28,INPUTS!$B$29))))</f>
        <v>10382357.5450634</v>
      </c>
      <c r="AP128" s="85" t="n">
        <f aca="true">IF(AP$5=0,AO128,MAX(0,(AO128-AP$4)*(1+NORMINV(RAND(),INPUTS!$B$28,INPUTS!$B$29))))</f>
        <v>10382357.5450634</v>
      </c>
    </row>
    <row r="129" customFormat="false" ht="15" hidden="false" customHeight="true" outlineLevel="0" collapsed="false">
      <c r="A129" s="83" t="n">
        <v>122</v>
      </c>
      <c r="B129" s="84" t="n">
        <f aca="false">LOOKUP(9.99E+307,C129:AP129)</f>
        <v>0</v>
      </c>
      <c r="C129" s="85" t="n">
        <f aca="true">IF(C$5=0,INPUTS!$B$19,MAX(0,(INPUTS!$B$19-C$4)*(1+NORMINV(RAND(),INPUTS!$B$28,INPUTS!$B$29))))</f>
        <v>1157299.37284788</v>
      </c>
      <c r="D129" s="85" t="n">
        <f aca="true">IF(D$5=0,C129,MAX(0,(C129-D$4)*(1+NORMINV(RAND(),INPUTS!$B$28,INPUTS!$B$29))))</f>
        <v>1054636.79741473</v>
      </c>
      <c r="E129" s="85" t="n">
        <f aca="true">IF(E$5=0,D129,MAX(0,(D129-E$4)*(1+NORMINV(RAND(),INPUTS!$B$28,INPUTS!$B$29))))</f>
        <v>1070045.0934818</v>
      </c>
      <c r="F129" s="85" t="n">
        <f aca="true">IF(F$5=0,E129,MAX(0,(E129-F$4)*(1+NORMINV(RAND(),INPUTS!$B$28,INPUTS!$B$29))))</f>
        <v>994143.533486217</v>
      </c>
      <c r="G129" s="85" t="n">
        <f aca="true">IF(G$5=0,F129,MAX(0,(F129-G$4)*(1+NORMINV(RAND(),INPUTS!$B$28,INPUTS!$B$29))))</f>
        <v>950131.325428438</v>
      </c>
      <c r="H129" s="85" t="n">
        <f aca="true">IF(H$5=0,G129,MAX(0,(G129-H$4)*(1+NORMINV(RAND(),INPUTS!$B$28,INPUTS!$B$29))))</f>
        <v>963407.08405959</v>
      </c>
      <c r="I129" s="85" t="n">
        <f aca="true">IF(I$5=0,H129,MAX(0,(H129-I$4)*(1+NORMINV(RAND(),INPUTS!$B$28,INPUTS!$B$29))))</f>
        <v>1062288.35174498</v>
      </c>
      <c r="J129" s="85" t="n">
        <f aca="true">IF(J$5=0,I129,MAX(0,(I129-J$4)*(1+NORMINV(RAND(),INPUTS!$B$28,INPUTS!$B$29))))</f>
        <v>1103728.82958351</v>
      </c>
      <c r="K129" s="85" t="n">
        <f aca="true">IF(K$5=0,J129,MAX(0,(J129-K$4)*(1+NORMINV(RAND(),INPUTS!$B$28,INPUTS!$B$29))))</f>
        <v>813113.703104866</v>
      </c>
      <c r="L129" s="85" t="n">
        <f aca="true">IF(L$5=0,K129,MAX(0,(K129-L$4)*(1+NORMINV(RAND(),INPUTS!$B$28,INPUTS!$B$29))))</f>
        <v>755525.403824442</v>
      </c>
      <c r="M129" s="85" t="n">
        <f aca="true">IF(M$5=0,L129,MAX(0,(L129-M$4)*(1+NORMINV(RAND(),INPUTS!$B$28,INPUTS!$B$29))))</f>
        <v>763018.60455409</v>
      </c>
      <c r="N129" s="85" t="n">
        <f aca="true">IF(N$5=0,M129,MAX(0,(M129-N$4)*(1+NORMINV(RAND(),INPUTS!$B$28,INPUTS!$B$29))))</f>
        <v>713079.282814576</v>
      </c>
      <c r="O129" s="85" t="n">
        <f aca="true">IF(O$5=0,N129,MAX(0,(N129-O$4)*(1+NORMINV(RAND(),INPUTS!$B$28,INPUTS!$B$29))))</f>
        <v>625068.816862172</v>
      </c>
      <c r="P129" s="85" t="n">
        <f aca="true">IF(P$5=0,O129,MAX(0,(O129-P$4)*(1+NORMINV(RAND(),INPUTS!$B$28,INPUTS!$B$29))))</f>
        <v>641412.167320637</v>
      </c>
      <c r="Q129" s="85" t="n">
        <f aca="true">IF(Q$5=0,P129,MAX(0,(P129-Q$4)*(1+NORMINV(RAND(),INPUTS!$B$28,INPUTS!$B$29))))</f>
        <v>515113.061033862</v>
      </c>
      <c r="R129" s="85" t="n">
        <f aca="true">IF(R$5=0,Q129,MAX(0,(Q129-R$4)*(1+NORMINV(RAND(),INPUTS!$B$28,INPUTS!$B$29))))</f>
        <v>461847.04584174</v>
      </c>
      <c r="S129" s="85" t="n">
        <f aca="true">IF(S$5=0,R129,MAX(0,(R129-S$4)*(1+NORMINV(RAND(),INPUTS!$B$28,INPUTS!$B$29))))</f>
        <v>386604.457411636</v>
      </c>
      <c r="T129" s="85" t="n">
        <f aca="true">IF(T$5=0,S129,MAX(0,(S129-T$4)*(1+NORMINV(RAND(),INPUTS!$B$28,INPUTS!$B$29))))</f>
        <v>346993.050802944</v>
      </c>
      <c r="U129" s="85" t="n">
        <f aca="true">IF(U$5=0,T129,MAX(0,(T129-U$4)*(1+NORMINV(RAND(),INPUTS!$B$28,INPUTS!$B$29))))</f>
        <v>323698.866911633</v>
      </c>
      <c r="V129" s="85" t="n">
        <f aca="true">IF(V$5=0,U129,MAX(0,(U129-V$4)*(1+NORMINV(RAND(),INPUTS!$B$28,INPUTS!$B$29))))</f>
        <v>297258.601486701</v>
      </c>
      <c r="W129" s="85" t="n">
        <f aca="true">IF(W$5=0,V129,MAX(0,(V129-W$4)*(1+NORMINV(RAND(),INPUTS!$B$28,INPUTS!$B$29))))</f>
        <v>272858.365743573</v>
      </c>
      <c r="X129" s="85" t="n">
        <f aca="true">IF(X$5=0,W129,MAX(0,(W129-X$4)*(1+NORMINV(RAND(),INPUTS!$B$28,INPUTS!$B$29))))</f>
        <v>268146.403488072</v>
      </c>
      <c r="Y129" s="85" t="n">
        <f aca="true">IF(Y$5=0,X129,MAX(0,(X129-Y$4)*(1+NORMINV(RAND(),INPUTS!$B$28,INPUTS!$B$29))))</f>
        <v>236612.760391302</v>
      </c>
      <c r="Z129" s="85" t="n">
        <f aca="true">IF(Z$5=0,Y129,MAX(0,(Y129-Z$4)*(1+NORMINV(RAND(),INPUTS!$B$28,INPUTS!$B$29))))</f>
        <v>181186.285974314</v>
      </c>
      <c r="AA129" s="85" t="n">
        <f aca="true">IF(AA$5=0,Z129,MAX(0,(Z129-AA$4)*(1+NORMINV(RAND(),INPUTS!$B$28,INPUTS!$B$29))))</f>
        <v>136977.780756152</v>
      </c>
      <c r="AB129" s="85" t="n">
        <f aca="true">IF(AB$5=0,AA129,MAX(0,(AA129-AB$4)*(1+NORMINV(RAND(),INPUTS!$B$28,INPUTS!$B$29))))</f>
        <v>76569.6107279544</v>
      </c>
      <c r="AC129" s="85" t="n">
        <f aca="true">IF(AC$5=0,AB129,MAX(0,(AB129-AC$4)*(1+NORMINV(RAND(),INPUTS!$B$28,INPUTS!$B$29))))</f>
        <v>14496.957438919</v>
      </c>
      <c r="AD129" s="85" t="n">
        <f aca="true">IF(AD$5=0,AC129,MAX(0,(AC129-AD$4)*(1+NORMINV(RAND(),INPUTS!$B$28,INPUTS!$B$29))))</f>
        <v>0</v>
      </c>
      <c r="AE129" s="85" t="n">
        <f aca="true">IF(AE$5=0,AD129,MAX(0,(AD129-AE$4)*(1+NORMINV(RAND(),INPUTS!$B$28,INPUTS!$B$29))))</f>
        <v>0</v>
      </c>
      <c r="AF129" s="85" t="n">
        <f aca="true">IF(AF$5=0,AE129,MAX(0,(AE129-AF$4)*(1+NORMINV(RAND(),INPUTS!$B$28,INPUTS!$B$29))))</f>
        <v>0</v>
      </c>
      <c r="AG129" s="85" t="n">
        <f aca="true">IF(AG$5=0,AF129,MAX(0,(AF129-AG$4)*(1+NORMINV(RAND(),INPUTS!$B$28,INPUTS!$B$29))))</f>
        <v>0</v>
      </c>
      <c r="AH129" s="85" t="n">
        <f aca="true">IF(AH$5=0,AG129,MAX(0,(AG129-AH$4)*(1+NORMINV(RAND(),INPUTS!$B$28,INPUTS!$B$29))))</f>
        <v>0</v>
      </c>
      <c r="AI129" s="85" t="n">
        <f aca="true">IF(AI$5=0,AH129,MAX(0,(AH129-AI$4)*(1+NORMINV(RAND(),INPUTS!$B$28,INPUTS!$B$29))))</f>
        <v>0</v>
      </c>
      <c r="AJ129" s="85" t="n">
        <f aca="true">IF(AJ$5=0,AI129,MAX(0,(AI129-AJ$4)*(1+NORMINV(RAND(),INPUTS!$B$28,INPUTS!$B$29))))</f>
        <v>0</v>
      </c>
      <c r="AK129" s="85" t="n">
        <f aca="true">IF(AK$5=0,AJ129,MAX(0,(AJ129-AK$4)*(1+NORMINV(RAND(),INPUTS!$B$28,INPUTS!$B$29))))</f>
        <v>0</v>
      </c>
      <c r="AL129" s="85" t="n">
        <f aca="true">IF(AL$5=0,AK129,MAX(0,(AK129-AL$4)*(1+NORMINV(RAND(),INPUTS!$B$28,INPUTS!$B$29))))</f>
        <v>0</v>
      </c>
      <c r="AM129" s="85" t="n">
        <f aca="true">IF(AM$5=0,AL129,MAX(0,(AL129-AM$4)*(1+NORMINV(RAND(),INPUTS!$B$28,INPUTS!$B$29))))</f>
        <v>0</v>
      </c>
      <c r="AN129" s="85" t="n">
        <f aca="true">IF(AN$5=0,AM129,MAX(0,(AM129-AN$4)*(1+NORMINV(RAND(),INPUTS!$B$28,INPUTS!$B$29))))</f>
        <v>0</v>
      </c>
      <c r="AO129" s="85" t="n">
        <f aca="true">IF(AO$5=0,AN129,MAX(0,(AN129-AO$4)*(1+NORMINV(RAND(),INPUTS!$B$28,INPUTS!$B$29))))</f>
        <v>0</v>
      </c>
      <c r="AP129" s="85" t="n">
        <f aca="true">IF(AP$5=0,AO129,MAX(0,(AO129-AP$4)*(1+NORMINV(RAND(),INPUTS!$B$28,INPUTS!$B$29))))</f>
        <v>0</v>
      </c>
    </row>
    <row r="130" customFormat="false" ht="15" hidden="false" customHeight="true" outlineLevel="0" collapsed="false">
      <c r="A130" s="83" t="n">
        <v>123</v>
      </c>
      <c r="B130" s="84" t="n">
        <f aca="false">LOOKUP(9.99E+307,C130:AP130)</f>
        <v>427107.32561487</v>
      </c>
      <c r="C130" s="85" t="n">
        <f aca="true">IF(C$5=0,INPUTS!$B$19,MAX(0,(INPUTS!$B$19-C$4)*(1+NORMINV(RAND(),INPUTS!$B$28,INPUTS!$B$29))))</f>
        <v>1323881.41287348</v>
      </c>
      <c r="D130" s="85" t="n">
        <f aca="true">IF(D$5=0,C130,MAX(0,(C130-D$4)*(1+NORMINV(RAND(),INPUTS!$B$28,INPUTS!$B$29))))</f>
        <v>1170672.69603819</v>
      </c>
      <c r="E130" s="85" t="n">
        <f aca="true">IF(E$5=0,D130,MAX(0,(D130-E$4)*(1+NORMINV(RAND(),INPUTS!$B$28,INPUTS!$B$29))))</f>
        <v>1132630.14452015</v>
      </c>
      <c r="F130" s="85" t="n">
        <f aca="true">IF(F$5=0,E130,MAX(0,(E130-F$4)*(1+NORMINV(RAND(),INPUTS!$B$28,INPUTS!$B$29))))</f>
        <v>1140994.82403275</v>
      </c>
      <c r="G130" s="85" t="n">
        <f aca="true">IF(G$5=0,F130,MAX(0,(F130-G$4)*(1+NORMINV(RAND(),INPUTS!$B$28,INPUTS!$B$29))))</f>
        <v>1259142.72834288</v>
      </c>
      <c r="H130" s="85" t="n">
        <f aca="true">IF(H$5=0,G130,MAX(0,(G130-H$4)*(1+NORMINV(RAND(),INPUTS!$B$28,INPUTS!$B$29))))</f>
        <v>1376303.44677918</v>
      </c>
      <c r="I130" s="85" t="n">
        <f aca="true">IF(I$5=0,H130,MAX(0,(H130-I$4)*(1+NORMINV(RAND(),INPUTS!$B$28,INPUTS!$B$29))))</f>
        <v>1330380.04883043</v>
      </c>
      <c r="J130" s="85" t="n">
        <f aca="true">IF(J$5=0,I130,MAX(0,(I130-J$4)*(1+NORMINV(RAND(),INPUTS!$B$28,INPUTS!$B$29))))</f>
        <v>1197168.41714248</v>
      </c>
      <c r="K130" s="85" t="n">
        <f aca="true">IF(K$5=0,J130,MAX(0,(J130-K$4)*(1+NORMINV(RAND(),INPUTS!$B$28,INPUTS!$B$29))))</f>
        <v>984290.923734467</v>
      </c>
      <c r="L130" s="85" t="n">
        <f aca="true">IF(L$5=0,K130,MAX(0,(K130-L$4)*(1+NORMINV(RAND(),INPUTS!$B$28,INPUTS!$B$29))))</f>
        <v>1051332.82141298</v>
      </c>
      <c r="M130" s="85" t="n">
        <f aca="true">IF(M$5=0,L130,MAX(0,(L130-M$4)*(1+NORMINV(RAND(),INPUTS!$B$28,INPUTS!$B$29))))</f>
        <v>832145.810166345</v>
      </c>
      <c r="N130" s="85" t="n">
        <f aca="true">IF(N$5=0,M130,MAX(0,(M130-N$4)*(1+NORMINV(RAND(),INPUTS!$B$28,INPUTS!$B$29))))</f>
        <v>791970.410822497</v>
      </c>
      <c r="O130" s="85" t="n">
        <f aca="true">IF(O$5=0,N130,MAX(0,(N130-O$4)*(1+NORMINV(RAND(),INPUTS!$B$28,INPUTS!$B$29))))</f>
        <v>851767.255501493</v>
      </c>
      <c r="P130" s="85" t="n">
        <f aca="true">IF(P$5=0,O130,MAX(0,(O130-P$4)*(1+NORMINV(RAND(),INPUTS!$B$28,INPUTS!$B$29))))</f>
        <v>900588.700980126</v>
      </c>
      <c r="Q130" s="85" t="n">
        <f aca="true">IF(Q$5=0,P130,MAX(0,(P130-Q$4)*(1+NORMINV(RAND(),INPUTS!$B$28,INPUTS!$B$29))))</f>
        <v>1213476.73783011</v>
      </c>
      <c r="R130" s="85" t="n">
        <f aca="true">IF(R$5=0,Q130,MAX(0,(Q130-R$4)*(1+NORMINV(RAND(),INPUTS!$B$28,INPUTS!$B$29))))</f>
        <v>1396726.70434566</v>
      </c>
      <c r="S130" s="85" t="n">
        <f aca="true">IF(S$5=0,R130,MAX(0,(R130-S$4)*(1+NORMINV(RAND(),INPUTS!$B$28,INPUTS!$B$29))))</f>
        <v>1479884.26220896</v>
      </c>
      <c r="T130" s="85" t="n">
        <f aca="true">IF(T$5=0,S130,MAX(0,(S130-T$4)*(1+NORMINV(RAND(),INPUTS!$B$28,INPUTS!$B$29))))</f>
        <v>1248570.29081485</v>
      </c>
      <c r="U130" s="85" t="n">
        <f aca="true">IF(U$5=0,T130,MAX(0,(T130-U$4)*(1+NORMINV(RAND(),INPUTS!$B$28,INPUTS!$B$29))))</f>
        <v>1256116.66350586</v>
      </c>
      <c r="V130" s="85" t="n">
        <f aca="true">IF(V$5=0,U130,MAX(0,(U130-V$4)*(1+NORMINV(RAND(),INPUTS!$B$28,INPUTS!$B$29))))</f>
        <v>1396302.43392047</v>
      </c>
      <c r="W130" s="85" t="n">
        <f aca="true">IF(W$5=0,V130,MAX(0,(V130-W$4)*(1+NORMINV(RAND(),INPUTS!$B$28,INPUTS!$B$29))))</f>
        <v>1514026.47742343</v>
      </c>
      <c r="X130" s="85" t="n">
        <f aca="true">IF(X$5=0,W130,MAX(0,(W130-X$4)*(1+NORMINV(RAND(),INPUTS!$B$28,INPUTS!$B$29))))</f>
        <v>1346267.60684457</v>
      </c>
      <c r="Y130" s="85" t="n">
        <f aca="true">IF(Y$5=0,X130,MAX(0,(X130-Y$4)*(1+NORMINV(RAND(),INPUTS!$B$28,INPUTS!$B$29))))</f>
        <v>1518718.94076145</v>
      </c>
      <c r="Z130" s="85" t="n">
        <f aca="true">IF(Z$5=0,Y130,MAX(0,(Y130-Z$4)*(1+NORMINV(RAND(),INPUTS!$B$28,INPUTS!$B$29))))</f>
        <v>1324312.24358326</v>
      </c>
      <c r="AA130" s="85" t="n">
        <f aca="true">IF(AA$5=0,Z130,MAX(0,(Z130-AA$4)*(1+NORMINV(RAND(),INPUTS!$B$28,INPUTS!$B$29))))</f>
        <v>1280324.28293339</v>
      </c>
      <c r="AB130" s="85" t="n">
        <f aca="true">IF(AB$5=0,AA130,MAX(0,(AA130-AB$4)*(1+NORMINV(RAND(),INPUTS!$B$28,INPUTS!$B$29))))</f>
        <v>1315889.69458753</v>
      </c>
      <c r="AC130" s="85" t="n">
        <f aca="true">IF(AC$5=0,AB130,MAX(0,(AB130-AC$4)*(1+NORMINV(RAND(),INPUTS!$B$28,INPUTS!$B$29))))</f>
        <v>1267827.75131512</v>
      </c>
      <c r="AD130" s="85" t="n">
        <f aca="true">IF(AD$5=0,AC130,MAX(0,(AC130-AD$4)*(1+NORMINV(RAND(),INPUTS!$B$28,INPUTS!$B$29))))</f>
        <v>1162349.44166787</v>
      </c>
      <c r="AE130" s="85" t="n">
        <f aca="true">IF(AE$5=0,AD130,MAX(0,(AD130-AE$4)*(1+NORMINV(RAND(),INPUTS!$B$28,INPUTS!$B$29))))</f>
        <v>1037003.8733286</v>
      </c>
      <c r="AF130" s="85" t="n">
        <f aca="true">IF(AF$5=0,AE130,MAX(0,(AE130-AF$4)*(1+NORMINV(RAND(),INPUTS!$B$28,INPUTS!$B$29))))</f>
        <v>911115.791045314</v>
      </c>
      <c r="AG130" s="85" t="n">
        <f aca="true">IF(AG$5=0,AF130,MAX(0,(AF130-AG$4)*(1+NORMINV(RAND(),INPUTS!$B$28,INPUTS!$B$29))))</f>
        <v>725290.462222387</v>
      </c>
      <c r="AH130" s="85" t="n">
        <f aca="true">IF(AH$5=0,AG130,MAX(0,(AG130-AH$4)*(1+NORMINV(RAND(),INPUTS!$B$28,INPUTS!$B$29))))</f>
        <v>595576.401231688</v>
      </c>
      <c r="AI130" s="85" t="n">
        <f aca="true">IF(AI$5=0,AH130,MAX(0,(AH130-AI$4)*(1+NORMINV(RAND(),INPUTS!$B$28,INPUTS!$B$29))))</f>
        <v>555806.892094869</v>
      </c>
      <c r="AJ130" s="85" t="n">
        <f aca="true">IF(AJ$5=0,AI130,MAX(0,(AI130-AJ$4)*(1+NORMINV(RAND(),INPUTS!$B$28,INPUTS!$B$29))))</f>
        <v>598313.657278246</v>
      </c>
      <c r="AK130" s="85" t="n">
        <f aca="true">IF(AK$5=0,AJ130,MAX(0,(AJ130-AK$4)*(1+NORMINV(RAND(),INPUTS!$B$28,INPUTS!$B$29))))</f>
        <v>526123.921589193</v>
      </c>
      <c r="AL130" s="85" t="n">
        <f aca="true">IF(AL$5=0,AK130,MAX(0,(AK130-AL$4)*(1+NORMINV(RAND(),INPUTS!$B$28,INPUTS!$B$29))))</f>
        <v>427107.32561487</v>
      </c>
      <c r="AM130" s="85" t="n">
        <f aca="true">IF(AM$5=0,AL130,MAX(0,(AL130-AM$4)*(1+NORMINV(RAND(),INPUTS!$B$28,INPUTS!$B$29))))</f>
        <v>427107.32561487</v>
      </c>
      <c r="AN130" s="85" t="n">
        <f aca="true">IF(AN$5=0,AM130,MAX(0,(AM130-AN$4)*(1+NORMINV(RAND(),INPUTS!$B$28,INPUTS!$B$29))))</f>
        <v>427107.32561487</v>
      </c>
      <c r="AO130" s="85" t="n">
        <f aca="true">IF(AO$5=0,AN130,MAX(0,(AN130-AO$4)*(1+NORMINV(RAND(),INPUTS!$B$28,INPUTS!$B$29))))</f>
        <v>427107.32561487</v>
      </c>
      <c r="AP130" s="85" t="n">
        <f aca="true">IF(AP$5=0,AO130,MAX(0,(AO130-AP$4)*(1+NORMINV(RAND(),INPUTS!$B$28,INPUTS!$B$29))))</f>
        <v>427107.32561487</v>
      </c>
    </row>
    <row r="131" customFormat="false" ht="15" hidden="false" customHeight="true" outlineLevel="0" collapsed="false">
      <c r="A131" s="83" t="n">
        <v>124</v>
      </c>
      <c r="B131" s="84" t="n">
        <f aca="false">LOOKUP(9.99E+307,C131:AP131)</f>
        <v>949570.880859523</v>
      </c>
      <c r="C131" s="85" t="n">
        <f aca="true">IF(C$5=0,INPUTS!$B$19,MAX(0,(INPUTS!$B$19-C$4)*(1+NORMINV(RAND(),INPUTS!$B$28,INPUTS!$B$29))))</f>
        <v>1055636.27449723</v>
      </c>
      <c r="D131" s="85" t="n">
        <f aca="true">IF(D$5=0,C131,MAX(0,(C131-D$4)*(1+NORMINV(RAND(),INPUTS!$B$28,INPUTS!$B$29))))</f>
        <v>1104239.45825358</v>
      </c>
      <c r="E131" s="85" t="n">
        <f aca="true">IF(E$5=0,D131,MAX(0,(D131-E$4)*(1+NORMINV(RAND(),INPUTS!$B$28,INPUTS!$B$29))))</f>
        <v>1297078.35467661</v>
      </c>
      <c r="F131" s="85" t="n">
        <f aca="true">IF(F$5=0,E131,MAX(0,(E131-F$4)*(1+NORMINV(RAND(),INPUTS!$B$28,INPUTS!$B$29))))</f>
        <v>1791658.90794068</v>
      </c>
      <c r="G131" s="85" t="n">
        <f aca="true">IF(G$5=0,F131,MAX(0,(F131-G$4)*(1+NORMINV(RAND(),INPUTS!$B$28,INPUTS!$B$29))))</f>
        <v>1873933.73846356</v>
      </c>
      <c r="H131" s="85" t="n">
        <f aca="true">IF(H$5=0,G131,MAX(0,(G131-H$4)*(1+NORMINV(RAND(),INPUTS!$B$28,INPUTS!$B$29))))</f>
        <v>2221995.07143195</v>
      </c>
      <c r="I131" s="85" t="n">
        <f aca="true">IF(I$5=0,H131,MAX(0,(H131-I$4)*(1+NORMINV(RAND(),INPUTS!$B$28,INPUTS!$B$29))))</f>
        <v>2473925.30230651</v>
      </c>
      <c r="J131" s="85" t="n">
        <f aca="true">IF(J$5=0,I131,MAX(0,(I131-J$4)*(1+NORMINV(RAND(),INPUTS!$B$28,INPUTS!$B$29))))</f>
        <v>2026189.13747862</v>
      </c>
      <c r="K131" s="85" t="n">
        <f aca="true">IF(K$5=0,J131,MAX(0,(J131-K$4)*(1+NORMINV(RAND(),INPUTS!$B$28,INPUTS!$B$29))))</f>
        <v>1613163.57223904</v>
      </c>
      <c r="L131" s="85" t="n">
        <f aca="true">IF(L$5=0,K131,MAX(0,(K131-L$4)*(1+NORMINV(RAND(),INPUTS!$B$28,INPUTS!$B$29))))</f>
        <v>1407164.23567373</v>
      </c>
      <c r="M131" s="85" t="n">
        <f aca="true">IF(M$5=0,L131,MAX(0,(L131-M$4)*(1+NORMINV(RAND(),INPUTS!$B$28,INPUTS!$B$29))))</f>
        <v>1106035.79963957</v>
      </c>
      <c r="N131" s="85" t="n">
        <f aca="true">IF(N$5=0,M131,MAX(0,(M131-N$4)*(1+NORMINV(RAND(),INPUTS!$B$28,INPUTS!$B$29))))</f>
        <v>858261.11111501</v>
      </c>
      <c r="O131" s="85" t="n">
        <f aca="true">IF(O$5=0,N131,MAX(0,(N131-O$4)*(1+NORMINV(RAND(),INPUTS!$B$28,INPUTS!$B$29))))</f>
        <v>842676.608705089</v>
      </c>
      <c r="P131" s="85" t="n">
        <f aca="true">IF(P$5=0,O131,MAX(0,(O131-P$4)*(1+NORMINV(RAND(),INPUTS!$B$28,INPUTS!$B$29))))</f>
        <v>871029.809155651</v>
      </c>
      <c r="Q131" s="85" t="n">
        <f aca="true">IF(Q$5=0,P131,MAX(0,(P131-Q$4)*(1+NORMINV(RAND(),INPUTS!$B$28,INPUTS!$B$29))))</f>
        <v>746129.591818404</v>
      </c>
      <c r="R131" s="85" t="n">
        <f aca="true">IF(R$5=0,Q131,MAX(0,(Q131-R$4)*(1+NORMINV(RAND(),INPUTS!$B$28,INPUTS!$B$29))))</f>
        <v>653583.946183518</v>
      </c>
      <c r="S131" s="85" t="n">
        <f aca="true">IF(S$5=0,R131,MAX(0,(R131-S$4)*(1+NORMINV(RAND(),INPUTS!$B$28,INPUTS!$B$29))))</f>
        <v>696990.652556571</v>
      </c>
      <c r="T131" s="85" t="n">
        <f aca="true">IF(T$5=0,S131,MAX(0,(S131-T$4)*(1+NORMINV(RAND(),INPUTS!$B$28,INPUTS!$B$29))))</f>
        <v>792787.817171206</v>
      </c>
      <c r="U131" s="85" t="n">
        <f aca="true">IF(U$5=0,T131,MAX(0,(T131-U$4)*(1+NORMINV(RAND(),INPUTS!$B$28,INPUTS!$B$29))))</f>
        <v>672619.057131158</v>
      </c>
      <c r="V131" s="85" t="n">
        <f aca="true">IF(V$5=0,U131,MAX(0,(U131-V$4)*(1+NORMINV(RAND(),INPUTS!$B$28,INPUTS!$B$29))))</f>
        <v>666429.407135674</v>
      </c>
      <c r="W131" s="85" t="n">
        <f aca="true">IF(W$5=0,V131,MAX(0,(V131-W$4)*(1+NORMINV(RAND(),INPUTS!$B$28,INPUTS!$B$29))))</f>
        <v>666674.224663799</v>
      </c>
      <c r="X131" s="85" t="n">
        <f aca="true">IF(X$5=0,W131,MAX(0,(W131-X$4)*(1+NORMINV(RAND(),INPUTS!$B$28,INPUTS!$B$29))))</f>
        <v>657468.296046746</v>
      </c>
      <c r="Y131" s="85" t="n">
        <f aca="true">IF(Y$5=0,X131,MAX(0,(X131-Y$4)*(1+NORMINV(RAND(),INPUTS!$B$28,INPUTS!$B$29))))</f>
        <v>713924.387018329</v>
      </c>
      <c r="Z131" s="85" t="n">
        <f aca="true">IF(Z$5=0,Y131,MAX(0,(Y131-Z$4)*(1+NORMINV(RAND(),INPUTS!$B$28,INPUTS!$B$29))))</f>
        <v>852854.165193054</v>
      </c>
      <c r="AA131" s="85" t="n">
        <f aca="true">IF(AA$5=0,Z131,MAX(0,(Z131-AA$4)*(1+NORMINV(RAND(),INPUTS!$B$28,INPUTS!$B$29))))</f>
        <v>859105.891882906</v>
      </c>
      <c r="AB131" s="85" t="n">
        <f aca="true">IF(AB$5=0,AA131,MAX(0,(AA131-AB$4)*(1+NORMINV(RAND(),INPUTS!$B$28,INPUTS!$B$29))))</f>
        <v>865730.333311301</v>
      </c>
      <c r="AC131" s="85" t="n">
        <f aca="true">IF(AC$5=0,AB131,MAX(0,(AB131-AC$4)*(1+NORMINV(RAND(),INPUTS!$B$28,INPUTS!$B$29))))</f>
        <v>905110.930147442</v>
      </c>
      <c r="AD131" s="85" t="n">
        <f aca="true">IF(AD$5=0,AC131,MAX(0,(AC131-AD$4)*(1+NORMINV(RAND(),INPUTS!$B$28,INPUTS!$B$29))))</f>
        <v>909372.419003209</v>
      </c>
      <c r="AE131" s="85" t="n">
        <f aca="true">IF(AE$5=0,AD131,MAX(0,(AD131-AE$4)*(1+NORMINV(RAND(),INPUTS!$B$28,INPUTS!$B$29))))</f>
        <v>857689.24235227</v>
      </c>
      <c r="AF131" s="85" t="n">
        <f aca="true">IF(AF$5=0,AE131,MAX(0,(AE131-AF$4)*(1+NORMINV(RAND(),INPUTS!$B$28,INPUTS!$B$29))))</f>
        <v>961341.368706977</v>
      </c>
      <c r="AG131" s="85" t="n">
        <f aca="true">IF(AG$5=0,AF131,MAX(0,(AF131-AG$4)*(1+NORMINV(RAND(),INPUTS!$B$28,INPUTS!$B$29))))</f>
        <v>957298.285382469</v>
      </c>
      <c r="AH131" s="85" t="n">
        <f aca="true">IF(AH$5=0,AG131,MAX(0,(AG131-AH$4)*(1+NORMINV(RAND(),INPUTS!$B$28,INPUTS!$B$29))))</f>
        <v>957442.828652267</v>
      </c>
      <c r="AI131" s="85" t="n">
        <f aca="true">IF(AI$5=0,AH131,MAX(0,(AH131-AI$4)*(1+NORMINV(RAND(),INPUTS!$B$28,INPUTS!$B$29))))</f>
        <v>997162.297811203</v>
      </c>
      <c r="AJ131" s="85" t="n">
        <f aca="true">IF(AJ$5=0,AI131,MAX(0,(AI131-AJ$4)*(1+NORMINV(RAND(),INPUTS!$B$28,INPUTS!$B$29))))</f>
        <v>1177521.5588863</v>
      </c>
      <c r="AK131" s="85" t="n">
        <f aca="true">IF(AK$5=0,AJ131,MAX(0,(AJ131-AK$4)*(1+NORMINV(RAND(),INPUTS!$B$28,INPUTS!$B$29))))</f>
        <v>1046620.48095078</v>
      </c>
      <c r="AL131" s="85" t="n">
        <f aca="true">IF(AL$5=0,AK131,MAX(0,(AK131-AL$4)*(1+NORMINV(RAND(),INPUTS!$B$28,INPUTS!$B$29))))</f>
        <v>949570.880859523</v>
      </c>
      <c r="AM131" s="85" t="n">
        <f aca="true">IF(AM$5=0,AL131,MAX(0,(AL131-AM$4)*(1+NORMINV(RAND(),INPUTS!$B$28,INPUTS!$B$29))))</f>
        <v>949570.880859523</v>
      </c>
      <c r="AN131" s="85" t="n">
        <f aca="true">IF(AN$5=0,AM131,MAX(0,(AM131-AN$4)*(1+NORMINV(RAND(),INPUTS!$B$28,INPUTS!$B$29))))</f>
        <v>949570.880859523</v>
      </c>
      <c r="AO131" s="85" t="n">
        <f aca="true">IF(AO$5=0,AN131,MAX(0,(AN131-AO$4)*(1+NORMINV(RAND(),INPUTS!$B$28,INPUTS!$B$29))))</f>
        <v>949570.880859523</v>
      </c>
      <c r="AP131" s="85" t="n">
        <f aca="true">IF(AP$5=0,AO131,MAX(0,(AO131-AP$4)*(1+NORMINV(RAND(),INPUTS!$B$28,INPUTS!$B$29))))</f>
        <v>949570.880859523</v>
      </c>
    </row>
    <row r="132" customFormat="false" ht="15" hidden="false" customHeight="true" outlineLevel="0" collapsed="false">
      <c r="A132" s="83" t="n">
        <v>125</v>
      </c>
      <c r="B132" s="84" t="n">
        <f aca="false">LOOKUP(9.99E+307,C132:AP132)</f>
        <v>5647327.12445802</v>
      </c>
      <c r="C132" s="85" t="n">
        <f aca="true">IF(C$5=0,INPUTS!$B$19,MAX(0,(INPUTS!$B$19-C$4)*(1+NORMINV(RAND(),INPUTS!$B$28,INPUTS!$B$29))))</f>
        <v>1318763.87229504</v>
      </c>
      <c r="D132" s="85" t="n">
        <f aca="true">IF(D$5=0,C132,MAX(0,(C132-D$4)*(1+NORMINV(RAND(),INPUTS!$B$28,INPUTS!$B$29))))</f>
        <v>1487474.99129306</v>
      </c>
      <c r="E132" s="85" t="n">
        <f aca="true">IF(E$5=0,D132,MAX(0,(D132-E$4)*(1+NORMINV(RAND(),INPUTS!$B$28,INPUTS!$B$29))))</f>
        <v>1326955.28269558</v>
      </c>
      <c r="F132" s="85" t="n">
        <f aca="true">IF(F$5=0,E132,MAX(0,(E132-F$4)*(1+NORMINV(RAND(),INPUTS!$B$28,INPUTS!$B$29))))</f>
        <v>1333998.44010176</v>
      </c>
      <c r="G132" s="85" t="n">
        <f aca="true">IF(G$5=0,F132,MAX(0,(F132-G$4)*(1+NORMINV(RAND(),INPUTS!$B$28,INPUTS!$B$29))))</f>
        <v>1529574.1220175</v>
      </c>
      <c r="H132" s="85" t="n">
        <f aca="true">IF(H$5=0,G132,MAX(0,(G132-H$4)*(1+NORMINV(RAND(),INPUTS!$B$28,INPUTS!$B$29))))</f>
        <v>1564638.75238298</v>
      </c>
      <c r="I132" s="85" t="n">
        <f aca="true">IF(I$5=0,H132,MAX(0,(H132-I$4)*(1+NORMINV(RAND(),INPUTS!$B$28,INPUTS!$B$29))))</f>
        <v>1584152.61261511</v>
      </c>
      <c r="J132" s="85" t="n">
        <f aca="true">IF(J$5=0,I132,MAX(0,(I132-J$4)*(1+NORMINV(RAND(),INPUTS!$B$28,INPUTS!$B$29))))</f>
        <v>1514107.94944965</v>
      </c>
      <c r="K132" s="85" t="n">
        <f aca="true">IF(K$5=0,J132,MAX(0,(J132-K$4)*(1+NORMINV(RAND(),INPUTS!$B$28,INPUTS!$B$29))))</f>
        <v>1545061.91414294</v>
      </c>
      <c r="L132" s="85" t="n">
        <f aca="true">IF(L$5=0,K132,MAX(0,(K132-L$4)*(1+NORMINV(RAND(),INPUTS!$B$28,INPUTS!$B$29))))</f>
        <v>1395266.06724323</v>
      </c>
      <c r="M132" s="85" t="n">
        <f aca="true">IF(M$5=0,L132,MAX(0,(L132-M$4)*(1+NORMINV(RAND(),INPUTS!$B$28,INPUTS!$B$29))))</f>
        <v>1405739.60746168</v>
      </c>
      <c r="N132" s="85" t="n">
        <f aca="true">IF(N$5=0,M132,MAX(0,(M132-N$4)*(1+NORMINV(RAND(),INPUTS!$B$28,INPUTS!$B$29))))</f>
        <v>1712564.49859372</v>
      </c>
      <c r="O132" s="85" t="n">
        <f aca="true">IF(O$5=0,N132,MAX(0,(N132-O$4)*(1+NORMINV(RAND(),INPUTS!$B$28,INPUTS!$B$29))))</f>
        <v>1973715.87460108</v>
      </c>
      <c r="P132" s="85" t="n">
        <f aca="true">IF(P$5=0,O132,MAX(0,(O132-P$4)*(1+NORMINV(RAND(),INPUTS!$B$28,INPUTS!$B$29))))</f>
        <v>2513570.55040481</v>
      </c>
      <c r="Q132" s="85" t="n">
        <f aca="true">IF(Q$5=0,P132,MAX(0,(P132-Q$4)*(1+NORMINV(RAND(),INPUTS!$B$28,INPUTS!$B$29))))</f>
        <v>2946250.03703995</v>
      </c>
      <c r="R132" s="85" t="n">
        <f aca="true">IF(R$5=0,Q132,MAX(0,(Q132-R$4)*(1+NORMINV(RAND(),INPUTS!$B$28,INPUTS!$B$29))))</f>
        <v>3128339.73180245</v>
      </c>
      <c r="S132" s="85" t="n">
        <f aca="true">IF(S$5=0,R132,MAX(0,(R132-S$4)*(1+NORMINV(RAND(),INPUTS!$B$28,INPUTS!$B$29))))</f>
        <v>3615629.35853474</v>
      </c>
      <c r="T132" s="85" t="n">
        <f aca="true">IF(T$5=0,S132,MAX(0,(S132-T$4)*(1+NORMINV(RAND(),INPUTS!$B$28,INPUTS!$B$29))))</f>
        <v>3494038.45011057</v>
      </c>
      <c r="U132" s="85" t="n">
        <f aca="true">IF(U$5=0,T132,MAX(0,(T132-U$4)*(1+NORMINV(RAND(),INPUTS!$B$28,INPUTS!$B$29))))</f>
        <v>3692811.27834777</v>
      </c>
      <c r="V132" s="85" t="n">
        <f aca="true">IF(V$5=0,U132,MAX(0,(U132-V$4)*(1+NORMINV(RAND(),INPUTS!$B$28,INPUTS!$B$29))))</f>
        <v>3818309.45865847</v>
      </c>
      <c r="W132" s="85" t="n">
        <f aca="true">IF(W$5=0,V132,MAX(0,(V132-W$4)*(1+NORMINV(RAND(),INPUTS!$B$28,INPUTS!$B$29))))</f>
        <v>4439437.30576132</v>
      </c>
      <c r="X132" s="85" t="n">
        <f aca="true">IF(X$5=0,W132,MAX(0,(W132-X$4)*(1+NORMINV(RAND(),INPUTS!$B$28,INPUTS!$B$29))))</f>
        <v>5034106.44501586</v>
      </c>
      <c r="Y132" s="85" t="n">
        <f aca="true">IF(Y$5=0,X132,MAX(0,(X132-Y$4)*(1+NORMINV(RAND(),INPUTS!$B$28,INPUTS!$B$29))))</f>
        <v>4712191.72023866</v>
      </c>
      <c r="Z132" s="85" t="n">
        <f aca="true">IF(Z$5=0,Y132,MAX(0,(Y132-Z$4)*(1+NORMINV(RAND(),INPUTS!$B$28,INPUTS!$B$29))))</f>
        <v>5029668.36561466</v>
      </c>
      <c r="AA132" s="85" t="n">
        <f aca="true">IF(AA$5=0,Z132,MAX(0,(Z132-AA$4)*(1+NORMINV(RAND(),INPUTS!$B$28,INPUTS!$B$29))))</f>
        <v>5248232.48415331</v>
      </c>
      <c r="AB132" s="85" t="n">
        <f aca="true">IF(AB$5=0,AA132,MAX(0,(AA132-AB$4)*(1+NORMINV(RAND(),INPUTS!$B$28,INPUTS!$B$29))))</f>
        <v>4382061.33961173</v>
      </c>
      <c r="AC132" s="85" t="n">
        <f aca="true">IF(AC$5=0,AB132,MAX(0,(AB132-AC$4)*(1+NORMINV(RAND(),INPUTS!$B$28,INPUTS!$B$29))))</f>
        <v>4499157.49605427</v>
      </c>
      <c r="AD132" s="85" t="n">
        <f aca="true">IF(AD$5=0,AC132,MAX(0,(AC132-AD$4)*(1+NORMINV(RAND(),INPUTS!$B$28,INPUTS!$B$29))))</f>
        <v>5135580.54100491</v>
      </c>
      <c r="AE132" s="85" t="n">
        <f aca="true">IF(AE$5=0,AD132,MAX(0,(AD132-AE$4)*(1+NORMINV(RAND(),INPUTS!$B$28,INPUTS!$B$29))))</f>
        <v>6164103.99895925</v>
      </c>
      <c r="AF132" s="85" t="n">
        <f aca="true">IF(AF$5=0,AE132,MAX(0,(AE132-AF$4)*(1+NORMINV(RAND(),INPUTS!$B$28,INPUTS!$B$29))))</f>
        <v>6414062.78717006</v>
      </c>
      <c r="AG132" s="85" t="n">
        <f aca="true">IF(AG$5=0,AF132,MAX(0,(AF132-AG$4)*(1+NORMINV(RAND(),INPUTS!$B$28,INPUTS!$B$29))))</f>
        <v>8191182.8887219</v>
      </c>
      <c r="AH132" s="85" t="n">
        <f aca="true">IF(AH$5=0,AG132,MAX(0,(AG132-AH$4)*(1+NORMINV(RAND(),INPUTS!$B$28,INPUTS!$B$29))))</f>
        <v>6840022.47799773</v>
      </c>
      <c r="AI132" s="85" t="n">
        <f aca="true">IF(AI$5=0,AH132,MAX(0,(AH132-AI$4)*(1+NORMINV(RAND(),INPUTS!$B$28,INPUTS!$B$29))))</f>
        <v>7117985.62837425</v>
      </c>
      <c r="AJ132" s="85" t="n">
        <f aca="true">IF(AJ$5=0,AI132,MAX(0,(AI132-AJ$4)*(1+NORMINV(RAND(),INPUTS!$B$28,INPUTS!$B$29))))</f>
        <v>7308086.48775084</v>
      </c>
      <c r="AK132" s="85" t="n">
        <f aca="true">IF(AK$5=0,AJ132,MAX(0,(AJ132-AK$4)*(1+NORMINV(RAND(),INPUTS!$B$28,INPUTS!$B$29))))</f>
        <v>6473056.9277011</v>
      </c>
      <c r="AL132" s="85" t="n">
        <f aca="true">IF(AL$5=0,AK132,MAX(0,(AK132-AL$4)*(1+NORMINV(RAND(),INPUTS!$B$28,INPUTS!$B$29))))</f>
        <v>5647327.12445802</v>
      </c>
      <c r="AM132" s="85" t="n">
        <f aca="true">IF(AM$5=0,AL132,MAX(0,(AL132-AM$4)*(1+NORMINV(RAND(),INPUTS!$B$28,INPUTS!$B$29))))</f>
        <v>5647327.12445802</v>
      </c>
      <c r="AN132" s="85" t="n">
        <f aca="true">IF(AN$5=0,AM132,MAX(0,(AM132-AN$4)*(1+NORMINV(RAND(),INPUTS!$B$28,INPUTS!$B$29))))</f>
        <v>5647327.12445802</v>
      </c>
      <c r="AO132" s="85" t="n">
        <f aca="true">IF(AO$5=0,AN132,MAX(0,(AN132-AO$4)*(1+NORMINV(RAND(),INPUTS!$B$28,INPUTS!$B$29))))</f>
        <v>5647327.12445802</v>
      </c>
      <c r="AP132" s="85" t="n">
        <f aca="true">IF(AP$5=0,AO132,MAX(0,(AO132-AP$4)*(1+NORMINV(RAND(),INPUTS!$B$28,INPUTS!$B$29))))</f>
        <v>5647327.12445802</v>
      </c>
    </row>
    <row r="133" customFormat="false" ht="15" hidden="false" customHeight="true" outlineLevel="0" collapsed="false">
      <c r="A133" s="83" t="n">
        <v>126</v>
      </c>
      <c r="B133" s="84" t="n">
        <f aca="false">LOOKUP(9.99E+307,C133:AP133)</f>
        <v>4132809.71400125</v>
      </c>
      <c r="C133" s="85" t="n">
        <f aca="true">IF(C$5=0,INPUTS!$B$19,MAX(0,(INPUTS!$B$19-C$4)*(1+NORMINV(RAND(),INPUTS!$B$28,INPUTS!$B$29))))</f>
        <v>1105351.36589589</v>
      </c>
      <c r="D133" s="85" t="n">
        <f aca="true">IF(D$5=0,C133,MAX(0,(C133-D$4)*(1+NORMINV(RAND(),INPUTS!$B$28,INPUTS!$B$29))))</f>
        <v>1123473.09527053</v>
      </c>
      <c r="E133" s="85" t="n">
        <f aca="true">IF(E$5=0,D133,MAX(0,(D133-E$4)*(1+NORMINV(RAND(),INPUTS!$B$28,INPUTS!$B$29))))</f>
        <v>1275137.10747566</v>
      </c>
      <c r="F133" s="85" t="n">
        <f aca="true">IF(F$5=0,E133,MAX(0,(E133-F$4)*(1+NORMINV(RAND(),INPUTS!$B$28,INPUTS!$B$29))))</f>
        <v>1210673.55415211</v>
      </c>
      <c r="G133" s="85" t="n">
        <f aca="true">IF(G$5=0,F133,MAX(0,(F133-G$4)*(1+NORMINV(RAND(),INPUTS!$B$28,INPUTS!$B$29))))</f>
        <v>1191686.73395593</v>
      </c>
      <c r="H133" s="85" t="n">
        <f aca="true">IF(H$5=0,G133,MAX(0,(G133-H$4)*(1+NORMINV(RAND(),INPUTS!$B$28,INPUTS!$B$29))))</f>
        <v>1035338.2116668</v>
      </c>
      <c r="I133" s="85" t="n">
        <f aca="true">IF(I$5=0,H133,MAX(0,(H133-I$4)*(1+NORMINV(RAND(),INPUTS!$B$28,INPUTS!$B$29))))</f>
        <v>1056188.32307405</v>
      </c>
      <c r="J133" s="85" t="n">
        <f aca="true">IF(J$5=0,I133,MAX(0,(I133-J$4)*(1+NORMINV(RAND(),INPUTS!$B$28,INPUTS!$B$29))))</f>
        <v>1035487.72745901</v>
      </c>
      <c r="K133" s="85" t="n">
        <f aca="true">IF(K$5=0,J133,MAX(0,(J133-K$4)*(1+NORMINV(RAND(),INPUTS!$B$28,INPUTS!$B$29))))</f>
        <v>1090683.68942316</v>
      </c>
      <c r="L133" s="85" t="n">
        <f aca="true">IF(L$5=0,K133,MAX(0,(K133-L$4)*(1+NORMINV(RAND(),INPUTS!$B$28,INPUTS!$B$29))))</f>
        <v>971886.549842088</v>
      </c>
      <c r="M133" s="85" t="n">
        <f aca="true">IF(M$5=0,L133,MAX(0,(L133-M$4)*(1+NORMINV(RAND(),INPUTS!$B$28,INPUTS!$B$29))))</f>
        <v>1020569.88458329</v>
      </c>
      <c r="N133" s="85" t="n">
        <f aca="true">IF(N$5=0,M133,MAX(0,(M133-N$4)*(1+NORMINV(RAND(),INPUTS!$B$28,INPUTS!$B$29))))</f>
        <v>1167068.18131921</v>
      </c>
      <c r="O133" s="85" t="n">
        <f aca="true">IF(O$5=0,N133,MAX(0,(N133-O$4)*(1+NORMINV(RAND(),INPUTS!$B$28,INPUTS!$B$29))))</f>
        <v>1173609.74243848</v>
      </c>
      <c r="P133" s="85" t="n">
        <f aca="true">IF(P$5=0,O133,MAX(0,(O133-P$4)*(1+NORMINV(RAND(),INPUTS!$B$28,INPUTS!$B$29))))</f>
        <v>1310287.81742924</v>
      </c>
      <c r="Q133" s="85" t="n">
        <f aca="true">IF(Q$5=0,P133,MAX(0,(P133-Q$4)*(1+NORMINV(RAND(),INPUTS!$B$28,INPUTS!$B$29))))</f>
        <v>1273155.36188238</v>
      </c>
      <c r="R133" s="85" t="n">
        <f aca="true">IF(R$5=0,Q133,MAX(0,(Q133-R$4)*(1+NORMINV(RAND(),INPUTS!$B$28,INPUTS!$B$29))))</f>
        <v>1270951.80208784</v>
      </c>
      <c r="S133" s="85" t="n">
        <f aca="true">IF(S$5=0,R133,MAX(0,(R133-S$4)*(1+NORMINV(RAND(),INPUTS!$B$28,INPUTS!$B$29))))</f>
        <v>1278341.7787838</v>
      </c>
      <c r="T133" s="85" t="n">
        <f aca="true">IF(T$5=0,S133,MAX(0,(S133-T$4)*(1+NORMINV(RAND(),INPUTS!$B$28,INPUTS!$B$29))))</f>
        <v>1611187.83543686</v>
      </c>
      <c r="U133" s="85" t="n">
        <f aca="true">IF(U$5=0,T133,MAX(0,(T133-U$4)*(1+NORMINV(RAND(),INPUTS!$B$28,INPUTS!$B$29))))</f>
        <v>1590434.65781478</v>
      </c>
      <c r="V133" s="85" t="n">
        <f aca="true">IF(V$5=0,U133,MAX(0,(U133-V$4)*(1+NORMINV(RAND(),INPUTS!$B$28,INPUTS!$B$29))))</f>
        <v>1910261.69987296</v>
      </c>
      <c r="W133" s="85" t="n">
        <f aca="true">IF(W$5=0,V133,MAX(0,(V133-W$4)*(1+NORMINV(RAND(),INPUTS!$B$28,INPUTS!$B$29))))</f>
        <v>2215512.18755111</v>
      </c>
      <c r="X133" s="85" t="n">
        <f aca="true">IF(X$5=0,W133,MAX(0,(W133-X$4)*(1+NORMINV(RAND(),INPUTS!$B$28,INPUTS!$B$29))))</f>
        <v>2472471.29369538</v>
      </c>
      <c r="Y133" s="85" t="n">
        <f aca="true">IF(Y$5=0,X133,MAX(0,(X133-Y$4)*(1+NORMINV(RAND(),INPUTS!$B$28,INPUTS!$B$29))))</f>
        <v>3522214.59512039</v>
      </c>
      <c r="Z133" s="85" t="n">
        <f aca="true">IF(Z$5=0,Y133,MAX(0,(Y133-Z$4)*(1+NORMINV(RAND(),INPUTS!$B$28,INPUTS!$B$29))))</f>
        <v>3685534.84601333</v>
      </c>
      <c r="AA133" s="85" t="n">
        <f aca="true">IF(AA$5=0,Z133,MAX(0,(Z133-AA$4)*(1+NORMINV(RAND(),INPUTS!$B$28,INPUTS!$B$29))))</f>
        <v>3990022.79981666</v>
      </c>
      <c r="AB133" s="85" t="n">
        <f aca="true">IF(AB$5=0,AA133,MAX(0,(AA133-AB$4)*(1+NORMINV(RAND(),INPUTS!$B$28,INPUTS!$B$29))))</f>
        <v>3522513.1846438</v>
      </c>
      <c r="AC133" s="85" t="n">
        <f aca="true">IF(AC$5=0,AB133,MAX(0,(AB133-AC$4)*(1+NORMINV(RAND(),INPUTS!$B$28,INPUTS!$B$29))))</f>
        <v>3893573.38753396</v>
      </c>
      <c r="AD133" s="85" t="n">
        <f aca="true">IF(AD$5=0,AC133,MAX(0,(AC133-AD$4)*(1+NORMINV(RAND(),INPUTS!$B$28,INPUTS!$B$29))))</f>
        <v>4030668.89230135</v>
      </c>
      <c r="AE133" s="85" t="n">
        <f aca="true">IF(AE$5=0,AD133,MAX(0,(AD133-AE$4)*(1+NORMINV(RAND(),INPUTS!$B$28,INPUTS!$B$29))))</f>
        <v>4222023.87008345</v>
      </c>
      <c r="AF133" s="85" t="n">
        <f aca="true">IF(AF$5=0,AE133,MAX(0,(AE133-AF$4)*(1+NORMINV(RAND(),INPUTS!$B$28,INPUTS!$B$29))))</f>
        <v>4386910.2836693</v>
      </c>
      <c r="AG133" s="85" t="n">
        <f aca="true">IF(AG$5=0,AF133,MAX(0,(AF133-AG$4)*(1+NORMINV(RAND(),INPUTS!$B$28,INPUTS!$B$29))))</f>
        <v>4650302.56682353</v>
      </c>
      <c r="AH133" s="85" t="n">
        <f aca="true">IF(AH$5=0,AG133,MAX(0,(AG133-AH$4)*(1+NORMINV(RAND(),INPUTS!$B$28,INPUTS!$B$29))))</f>
        <v>4386496.70318409</v>
      </c>
      <c r="AI133" s="85" t="n">
        <f aca="true">IF(AI$5=0,AH133,MAX(0,(AH133-AI$4)*(1+NORMINV(RAND(),INPUTS!$B$28,INPUTS!$B$29))))</f>
        <v>4288626.22091767</v>
      </c>
      <c r="AJ133" s="85" t="n">
        <f aca="true">IF(AJ$5=0,AI133,MAX(0,(AI133-AJ$4)*(1+NORMINV(RAND(),INPUTS!$B$28,INPUTS!$B$29))))</f>
        <v>3631527.59725074</v>
      </c>
      <c r="AK133" s="85" t="n">
        <f aca="true">IF(AK$5=0,AJ133,MAX(0,(AJ133-AK$4)*(1+NORMINV(RAND(),INPUTS!$B$28,INPUTS!$B$29))))</f>
        <v>3420735.40305221</v>
      </c>
      <c r="AL133" s="85" t="n">
        <f aca="true">IF(AL$5=0,AK133,MAX(0,(AK133-AL$4)*(1+NORMINV(RAND(),INPUTS!$B$28,INPUTS!$B$29))))</f>
        <v>4132809.71400125</v>
      </c>
      <c r="AM133" s="85" t="n">
        <f aca="true">IF(AM$5=0,AL133,MAX(0,(AL133-AM$4)*(1+NORMINV(RAND(),INPUTS!$B$28,INPUTS!$B$29))))</f>
        <v>4132809.71400125</v>
      </c>
      <c r="AN133" s="85" t="n">
        <f aca="true">IF(AN$5=0,AM133,MAX(0,(AM133-AN$4)*(1+NORMINV(RAND(),INPUTS!$B$28,INPUTS!$B$29))))</f>
        <v>4132809.71400125</v>
      </c>
      <c r="AO133" s="85" t="n">
        <f aca="true">IF(AO$5=0,AN133,MAX(0,(AN133-AO$4)*(1+NORMINV(RAND(),INPUTS!$B$28,INPUTS!$B$29))))</f>
        <v>4132809.71400125</v>
      </c>
      <c r="AP133" s="85" t="n">
        <f aca="true">IF(AP$5=0,AO133,MAX(0,(AO133-AP$4)*(1+NORMINV(RAND(),INPUTS!$B$28,INPUTS!$B$29))))</f>
        <v>4132809.71400125</v>
      </c>
    </row>
    <row r="134" customFormat="false" ht="15" hidden="false" customHeight="true" outlineLevel="0" collapsed="false">
      <c r="A134" s="83" t="n">
        <v>127</v>
      </c>
      <c r="B134" s="84" t="n">
        <f aca="false">LOOKUP(9.99E+307,C134:AP134)</f>
        <v>3215319.88369843</v>
      </c>
      <c r="C134" s="85" t="n">
        <f aca="true">IF(C$5=0,INPUTS!$B$19,MAX(0,(INPUTS!$B$19-C$4)*(1+NORMINV(RAND(),INPUTS!$B$28,INPUTS!$B$29))))</f>
        <v>1280728.69081987</v>
      </c>
      <c r="D134" s="85" t="n">
        <f aca="true">IF(D$5=0,C134,MAX(0,(C134-D$4)*(1+NORMINV(RAND(),INPUTS!$B$28,INPUTS!$B$29))))</f>
        <v>1345292.0475477</v>
      </c>
      <c r="E134" s="85" t="n">
        <f aca="true">IF(E$5=0,D134,MAX(0,(D134-E$4)*(1+NORMINV(RAND(),INPUTS!$B$28,INPUTS!$B$29))))</f>
        <v>1421394.74069866</v>
      </c>
      <c r="F134" s="85" t="n">
        <f aca="true">IF(F$5=0,E134,MAX(0,(E134-F$4)*(1+NORMINV(RAND(),INPUTS!$B$28,INPUTS!$B$29))))</f>
        <v>1442787.06025894</v>
      </c>
      <c r="G134" s="85" t="n">
        <f aca="true">IF(G$5=0,F134,MAX(0,(F134-G$4)*(1+NORMINV(RAND(),INPUTS!$B$28,INPUTS!$B$29))))</f>
        <v>1364679.06485668</v>
      </c>
      <c r="H134" s="85" t="n">
        <f aca="true">IF(H$5=0,G134,MAX(0,(G134-H$4)*(1+NORMINV(RAND(),INPUTS!$B$28,INPUTS!$B$29))))</f>
        <v>1453581.77433982</v>
      </c>
      <c r="I134" s="85" t="n">
        <f aca="true">IF(I$5=0,H134,MAX(0,(H134-I$4)*(1+NORMINV(RAND(),INPUTS!$B$28,INPUTS!$B$29))))</f>
        <v>1730391.34217893</v>
      </c>
      <c r="J134" s="85" t="n">
        <f aca="true">IF(J$5=0,I134,MAX(0,(I134-J$4)*(1+NORMINV(RAND(),INPUTS!$B$28,INPUTS!$B$29))))</f>
        <v>1720099.31788739</v>
      </c>
      <c r="K134" s="85" t="n">
        <f aca="true">IF(K$5=0,J134,MAX(0,(J134-K$4)*(1+NORMINV(RAND(),INPUTS!$B$28,INPUTS!$B$29))))</f>
        <v>1880286.3614454</v>
      </c>
      <c r="L134" s="85" t="n">
        <f aca="true">IF(L$5=0,K134,MAX(0,(K134-L$4)*(1+NORMINV(RAND(),INPUTS!$B$28,INPUTS!$B$29))))</f>
        <v>2065940.33963576</v>
      </c>
      <c r="M134" s="85" t="n">
        <f aca="true">IF(M$5=0,L134,MAX(0,(L134-M$4)*(1+NORMINV(RAND(),INPUTS!$B$28,INPUTS!$B$29))))</f>
        <v>1892603.18918457</v>
      </c>
      <c r="N134" s="85" t="n">
        <f aca="true">IF(N$5=0,M134,MAX(0,(M134-N$4)*(1+NORMINV(RAND(),INPUTS!$B$28,INPUTS!$B$29))))</f>
        <v>2215140.92762449</v>
      </c>
      <c r="O134" s="85" t="n">
        <f aca="true">IF(O$5=0,N134,MAX(0,(N134-O$4)*(1+NORMINV(RAND(),INPUTS!$B$28,INPUTS!$B$29))))</f>
        <v>2439493.63288012</v>
      </c>
      <c r="P134" s="85" t="n">
        <f aca="true">IF(P$5=0,O134,MAX(0,(O134-P$4)*(1+NORMINV(RAND(),INPUTS!$B$28,INPUTS!$B$29))))</f>
        <v>2624160.82697835</v>
      </c>
      <c r="Q134" s="85" t="n">
        <f aca="true">IF(Q$5=0,P134,MAX(0,(P134-Q$4)*(1+NORMINV(RAND(),INPUTS!$B$28,INPUTS!$B$29))))</f>
        <v>2793575.04848274</v>
      </c>
      <c r="R134" s="85" t="n">
        <f aca="true">IF(R$5=0,Q134,MAX(0,(Q134-R$4)*(1+NORMINV(RAND(),INPUTS!$B$28,INPUTS!$B$29))))</f>
        <v>2626269.53982514</v>
      </c>
      <c r="S134" s="85" t="n">
        <f aca="true">IF(S$5=0,R134,MAX(0,(R134-S$4)*(1+NORMINV(RAND(),INPUTS!$B$28,INPUTS!$B$29))))</f>
        <v>2649275.71204066</v>
      </c>
      <c r="T134" s="85" t="n">
        <f aca="true">IF(T$5=0,S134,MAX(0,(S134-T$4)*(1+NORMINV(RAND(),INPUTS!$B$28,INPUTS!$B$29))))</f>
        <v>3089896.51791436</v>
      </c>
      <c r="U134" s="85" t="n">
        <f aca="true">IF(U$5=0,T134,MAX(0,(T134-U$4)*(1+NORMINV(RAND(),INPUTS!$B$28,INPUTS!$B$29))))</f>
        <v>2559879.9453309</v>
      </c>
      <c r="V134" s="85" t="n">
        <f aca="true">IF(V$5=0,U134,MAX(0,(U134-V$4)*(1+NORMINV(RAND(),INPUTS!$B$28,INPUTS!$B$29))))</f>
        <v>2595955.01643012</v>
      </c>
      <c r="W134" s="85" t="n">
        <f aca="true">IF(W$5=0,V134,MAX(0,(V134-W$4)*(1+NORMINV(RAND(),INPUTS!$B$28,INPUTS!$B$29))))</f>
        <v>2195380.74996078</v>
      </c>
      <c r="X134" s="85" t="n">
        <f aca="true">IF(X$5=0,W134,MAX(0,(W134-X$4)*(1+NORMINV(RAND(),INPUTS!$B$28,INPUTS!$B$29))))</f>
        <v>2307378.88348465</v>
      </c>
      <c r="Y134" s="85" t="n">
        <f aca="true">IF(Y$5=0,X134,MAX(0,(X134-Y$4)*(1+NORMINV(RAND(),INPUTS!$B$28,INPUTS!$B$29))))</f>
        <v>2502022.08119109</v>
      </c>
      <c r="Z134" s="85" t="n">
        <f aca="true">IF(Z$5=0,Y134,MAX(0,(Y134-Z$4)*(1+NORMINV(RAND(),INPUTS!$B$28,INPUTS!$B$29))))</f>
        <v>2756648.73169267</v>
      </c>
      <c r="AA134" s="85" t="n">
        <f aca="true">IF(AA$5=0,Z134,MAX(0,(Z134-AA$4)*(1+NORMINV(RAND(),INPUTS!$B$28,INPUTS!$B$29))))</f>
        <v>2845008.75004307</v>
      </c>
      <c r="AB134" s="85" t="n">
        <f aca="true">IF(AB$5=0,AA134,MAX(0,(AA134-AB$4)*(1+NORMINV(RAND(),INPUTS!$B$28,INPUTS!$B$29))))</f>
        <v>3103967.00060963</v>
      </c>
      <c r="AC134" s="85" t="n">
        <f aca="true">IF(AC$5=0,AB134,MAX(0,(AB134-AC$4)*(1+NORMINV(RAND(),INPUTS!$B$28,INPUTS!$B$29))))</f>
        <v>2589153.39584533</v>
      </c>
      <c r="AD134" s="85" t="n">
        <f aca="true">IF(AD$5=0,AC134,MAX(0,(AC134-AD$4)*(1+NORMINV(RAND(),INPUTS!$B$28,INPUTS!$B$29))))</f>
        <v>2703093.97380253</v>
      </c>
      <c r="AE134" s="85" t="n">
        <f aca="true">IF(AE$5=0,AD134,MAX(0,(AD134-AE$4)*(1+NORMINV(RAND(),INPUTS!$B$28,INPUTS!$B$29))))</f>
        <v>3030311.64686215</v>
      </c>
      <c r="AF134" s="85" t="n">
        <f aca="true">IF(AF$5=0,AE134,MAX(0,(AE134-AF$4)*(1+NORMINV(RAND(),INPUTS!$B$28,INPUTS!$B$29))))</f>
        <v>3211074.93565677</v>
      </c>
      <c r="AG134" s="85" t="n">
        <f aca="true">IF(AG$5=0,AF134,MAX(0,(AF134-AG$4)*(1+NORMINV(RAND(),INPUTS!$B$28,INPUTS!$B$29))))</f>
        <v>3075463.58797713</v>
      </c>
      <c r="AH134" s="85" t="n">
        <f aca="true">IF(AH$5=0,AG134,MAX(0,(AG134-AH$4)*(1+NORMINV(RAND(),INPUTS!$B$28,INPUTS!$B$29))))</f>
        <v>3213184.66880951</v>
      </c>
      <c r="AI134" s="85" t="n">
        <f aca="true">IF(AI$5=0,AH134,MAX(0,(AH134-AI$4)*(1+NORMINV(RAND(),INPUTS!$B$28,INPUTS!$B$29))))</f>
        <v>3135043.00420818</v>
      </c>
      <c r="AJ134" s="85" t="n">
        <f aca="true">IF(AJ$5=0,AI134,MAX(0,(AI134-AJ$4)*(1+NORMINV(RAND(),INPUTS!$B$28,INPUTS!$B$29))))</f>
        <v>3517819.06229057</v>
      </c>
      <c r="AK134" s="85" t="n">
        <f aca="true">IF(AK$5=0,AJ134,MAX(0,(AJ134-AK$4)*(1+NORMINV(RAND(),INPUTS!$B$28,INPUTS!$B$29))))</f>
        <v>3441770.40234741</v>
      </c>
      <c r="AL134" s="85" t="n">
        <f aca="true">IF(AL$5=0,AK134,MAX(0,(AK134-AL$4)*(1+NORMINV(RAND(),INPUTS!$B$28,INPUTS!$B$29))))</f>
        <v>3215319.88369843</v>
      </c>
      <c r="AM134" s="85" t="n">
        <f aca="true">IF(AM$5=0,AL134,MAX(0,(AL134-AM$4)*(1+NORMINV(RAND(),INPUTS!$B$28,INPUTS!$B$29))))</f>
        <v>3215319.88369843</v>
      </c>
      <c r="AN134" s="85" t="n">
        <f aca="true">IF(AN$5=0,AM134,MAX(0,(AM134-AN$4)*(1+NORMINV(RAND(),INPUTS!$B$28,INPUTS!$B$29))))</f>
        <v>3215319.88369843</v>
      </c>
      <c r="AO134" s="85" t="n">
        <f aca="true">IF(AO$5=0,AN134,MAX(0,(AN134-AO$4)*(1+NORMINV(RAND(),INPUTS!$B$28,INPUTS!$B$29))))</f>
        <v>3215319.88369843</v>
      </c>
      <c r="AP134" s="85" t="n">
        <f aca="true">IF(AP$5=0,AO134,MAX(0,(AO134-AP$4)*(1+NORMINV(RAND(),INPUTS!$B$28,INPUTS!$B$29))))</f>
        <v>3215319.88369843</v>
      </c>
    </row>
    <row r="135" customFormat="false" ht="15" hidden="false" customHeight="true" outlineLevel="0" collapsed="false">
      <c r="A135" s="83" t="n">
        <v>128</v>
      </c>
      <c r="B135" s="84" t="n">
        <f aca="false">LOOKUP(9.99E+307,C135:AP135)</f>
        <v>853645.435144236</v>
      </c>
      <c r="C135" s="85" t="n">
        <f aca="true">IF(C$5=0,INPUTS!$B$19,MAX(0,(INPUTS!$B$19-C$4)*(1+NORMINV(RAND(),INPUTS!$B$28,INPUTS!$B$29))))</f>
        <v>1294631.56174075</v>
      </c>
      <c r="D135" s="85" t="n">
        <f aca="true">IF(D$5=0,C135,MAX(0,(C135-D$4)*(1+NORMINV(RAND(),INPUTS!$B$28,INPUTS!$B$29))))</f>
        <v>1332374.94217231</v>
      </c>
      <c r="E135" s="85" t="n">
        <f aca="true">IF(E$5=0,D135,MAX(0,(D135-E$4)*(1+NORMINV(RAND(),INPUTS!$B$28,INPUTS!$B$29))))</f>
        <v>1425849.1836714</v>
      </c>
      <c r="F135" s="85" t="n">
        <f aca="true">IF(F$5=0,E135,MAX(0,(E135-F$4)*(1+NORMINV(RAND(),INPUTS!$B$28,INPUTS!$B$29))))</f>
        <v>1257418.20594565</v>
      </c>
      <c r="G135" s="85" t="n">
        <f aca="true">IF(G$5=0,F135,MAX(0,(F135-G$4)*(1+NORMINV(RAND(),INPUTS!$B$28,INPUTS!$B$29))))</f>
        <v>1396184.25945289</v>
      </c>
      <c r="H135" s="85" t="n">
        <f aca="true">IF(H$5=0,G135,MAX(0,(G135-H$4)*(1+NORMINV(RAND(),INPUTS!$B$28,INPUTS!$B$29))))</f>
        <v>1530538.76309715</v>
      </c>
      <c r="I135" s="85" t="n">
        <f aca="true">IF(I$5=0,H135,MAX(0,(H135-I$4)*(1+NORMINV(RAND(),INPUTS!$B$28,INPUTS!$B$29))))</f>
        <v>1368008.14743937</v>
      </c>
      <c r="J135" s="85" t="n">
        <f aca="true">IF(J$5=0,I135,MAX(0,(I135-J$4)*(1+NORMINV(RAND(),INPUTS!$B$28,INPUTS!$B$29))))</f>
        <v>1466795.83552546</v>
      </c>
      <c r="K135" s="85" t="n">
        <f aca="true">IF(K$5=0,J135,MAX(0,(J135-K$4)*(1+NORMINV(RAND(),INPUTS!$B$28,INPUTS!$B$29))))</f>
        <v>1327010.54020588</v>
      </c>
      <c r="L135" s="85" t="n">
        <f aca="true">IF(L$5=0,K135,MAX(0,(K135-L$4)*(1+NORMINV(RAND(),INPUTS!$B$28,INPUTS!$B$29))))</f>
        <v>1426993.98300859</v>
      </c>
      <c r="M135" s="85" t="n">
        <f aca="true">IF(M$5=0,L135,MAX(0,(L135-M$4)*(1+NORMINV(RAND(),INPUTS!$B$28,INPUTS!$B$29))))</f>
        <v>1397493.32957167</v>
      </c>
      <c r="N135" s="85" t="n">
        <f aca="true">IF(N$5=0,M135,MAX(0,(M135-N$4)*(1+NORMINV(RAND(),INPUTS!$B$28,INPUTS!$B$29))))</f>
        <v>1651508.36449067</v>
      </c>
      <c r="O135" s="85" t="n">
        <f aca="true">IF(O$5=0,N135,MAX(0,(N135-O$4)*(1+NORMINV(RAND(),INPUTS!$B$28,INPUTS!$B$29))))</f>
        <v>1541419.01826044</v>
      </c>
      <c r="P135" s="85" t="n">
        <f aca="true">IF(P$5=0,O135,MAX(0,(O135-P$4)*(1+NORMINV(RAND(),INPUTS!$B$28,INPUTS!$B$29))))</f>
        <v>1630869.2415892</v>
      </c>
      <c r="Q135" s="85" t="n">
        <f aca="true">IF(Q$5=0,P135,MAX(0,(P135-Q$4)*(1+NORMINV(RAND(),INPUTS!$B$28,INPUTS!$B$29))))</f>
        <v>1472060.4242754</v>
      </c>
      <c r="R135" s="85" t="n">
        <f aca="true">IF(R$5=0,Q135,MAX(0,(Q135-R$4)*(1+NORMINV(RAND(),INPUTS!$B$28,INPUTS!$B$29))))</f>
        <v>1858418.03010196</v>
      </c>
      <c r="S135" s="85" t="n">
        <f aca="true">IF(S$5=0,R135,MAX(0,(R135-S$4)*(1+NORMINV(RAND(),INPUTS!$B$28,INPUTS!$B$29))))</f>
        <v>1365973.79733141</v>
      </c>
      <c r="T135" s="85" t="n">
        <f aca="true">IF(T$5=0,S135,MAX(0,(S135-T$4)*(1+NORMINV(RAND(),INPUTS!$B$28,INPUTS!$B$29))))</f>
        <v>1529636.52061982</v>
      </c>
      <c r="U135" s="85" t="n">
        <f aca="true">IF(U$5=0,T135,MAX(0,(T135-U$4)*(1+NORMINV(RAND(),INPUTS!$B$28,INPUTS!$B$29))))</f>
        <v>1564462.94762465</v>
      </c>
      <c r="V135" s="85" t="n">
        <f aca="true">IF(V$5=0,U135,MAX(0,(U135-V$4)*(1+NORMINV(RAND(),INPUTS!$B$28,INPUTS!$B$29))))</f>
        <v>1704617.10115011</v>
      </c>
      <c r="W135" s="85" t="n">
        <f aca="true">IF(W$5=0,V135,MAX(0,(V135-W$4)*(1+NORMINV(RAND(),INPUTS!$B$28,INPUTS!$B$29))))</f>
        <v>1271403.28469706</v>
      </c>
      <c r="X135" s="85" t="n">
        <f aca="true">IF(X$5=0,W135,MAX(0,(W135-X$4)*(1+NORMINV(RAND(),INPUTS!$B$28,INPUTS!$B$29))))</f>
        <v>1272597.78854248</v>
      </c>
      <c r="Y135" s="85" t="n">
        <f aca="true">IF(Y$5=0,X135,MAX(0,(X135-Y$4)*(1+NORMINV(RAND(),INPUTS!$B$28,INPUTS!$B$29))))</f>
        <v>1277470.8288636</v>
      </c>
      <c r="Z135" s="85" t="n">
        <f aca="true">IF(Z$5=0,Y135,MAX(0,(Y135-Z$4)*(1+NORMINV(RAND(),INPUTS!$B$28,INPUTS!$B$29))))</f>
        <v>1297755.27262878</v>
      </c>
      <c r="AA135" s="85" t="n">
        <f aca="true">IF(AA$5=0,Z135,MAX(0,(Z135-AA$4)*(1+NORMINV(RAND(),INPUTS!$B$28,INPUTS!$B$29))))</f>
        <v>1401039.06710926</v>
      </c>
      <c r="AB135" s="85" t="n">
        <f aca="true">IF(AB$5=0,AA135,MAX(0,(AA135-AB$4)*(1+NORMINV(RAND(),INPUTS!$B$28,INPUTS!$B$29))))</f>
        <v>1206758.58580181</v>
      </c>
      <c r="AC135" s="85" t="n">
        <f aca="true">IF(AC$5=0,AB135,MAX(0,(AB135-AC$4)*(1+NORMINV(RAND(),INPUTS!$B$28,INPUTS!$B$29))))</f>
        <v>1286511.0890307</v>
      </c>
      <c r="AD135" s="85" t="n">
        <f aca="true">IF(AD$5=0,AC135,MAX(0,(AC135-AD$4)*(1+NORMINV(RAND(),INPUTS!$B$28,INPUTS!$B$29))))</f>
        <v>1176754.71113317</v>
      </c>
      <c r="AE135" s="85" t="n">
        <f aca="true">IF(AE$5=0,AD135,MAX(0,(AD135-AE$4)*(1+NORMINV(RAND(),INPUTS!$B$28,INPUTS!$B$29))))</f>
        <v>1043469.80762741</v>
      </c>
      <c r="AF135" s="85" t="n">
        <f aca="true">IF(AF$5=0,AE135,MAX(0,(AE135-AF$4)*(1+NORMINV(RAND(),INPUTS!$B$28,INPUTS!$B$29))))</f>
        <v>1077040.53628919</v>
      </c>
      <c r="AG135" s="85" t="n">
        <f aca="true">IF(AG$5=0,AF135,MAX(0,(AF135-AG$4)*(1+NORMINV(RAND(),INPUTS!$B$28,INPUTS!$B$29))))</f>
        <v>919282.045313421</v>
      </c>
      <c r="AH135" s="85" t="n">
        <f aca="true">IF(AH$5=0,AG135,MAX(0,(AG135-AH$4)*(1+NORMINV(RAND(),INPUTS!$B$28,INPUTS!$B$29))))</f>
        <v>864284.86153296</v>
      </c>
      <c r="AI135" s="85" t="n">
        <f aca="true">IF(AI$5=0,AH135,MAX(0,(AH135-AI$4)*(1+NORMINV(RAND(),INPUTS!$B$28,INPUTS!$B$29))))</f>
        <v>769271.235529844</v>
      </c>
      <c r="AJ135" s="85" t="n">
        <f aca="true">IF(AJ$5=0,AI135,MAX(0,(AI135-AJ$4)*(1+NORMINV(RAND(),INPUTS!$B$28,INPUTS!$B$29))))</f>
        <v>768065.166702621</v>
      </c>
      <c r="AK135" s="85" t="n">
        <f aca="true">IF(AK$5=0,AJ135,MAX(0,(AJ135-AK$4)*(1+NORMINV(RAND(),INPUTS!$B$28,INPUTS!$B$29))))</f>
        <v>846569.210282936</v>
      </c>
      <c r="AL135" s="85" t="n">
        <f aca="true">IF(AL$5=0,AK135,MAX(0,(AK135-AL$4)*(1+NORMINV(RAND(),INPUTS!$B$28,INPUTS!$B$29))))</f>
        <v>853645.435144236</v>
      </c>
      <c r="AM135" s="85" t="n">
        <f aca="true">IF(AM$5=0,AL135,MAX(0,(AL135-AM$4)*(1+NORMINV(RAND(),INPUTS!$B$28,INPUTS!$B$29))))</f>
        <v>853645.435144236</v>
      </c>
      <c r="AN135" s="85" t="n">
        <f aca="true">IF(AN$5=0,AM135,MAX(0,(AM135-AN$4)*(1+NORMINV(RAND(),INPUTS!$B$28,INPUTS!$B$29))))</f>
        <v>853645.435144236</v>
      </c>
      <c r="AO135" s="85" t="n">
        <f aca="true">IF(AO$5=0,AN135,MAX(0,(AN135-AO$4)*(1+NORMINV(RAND(),INPUTS!$B$28,INPUTS!$B$29))))</f>
        <v>853645.435144236</v>
      </c>
      <c r="AP135" s="85" t="n">
        <f aca="true">IF(AP$5=0,AO135,MAX(0,(AO135-AP$4)*(1+NORMINV(RAND(),INPUTS!$B$28,INPUTS!$B$29))))</f>
        <v>853645.435144236</v>
      </c>
    </row>
    <row r="136" customFormat="false" ht="15" hidden="false" customHeight="true" outlineLevel="0" collapsed="false">
      <c r="A136" s="83" t="n">
        <v>129</v>
      </c>
      <c r="B136" s="84" t="n">
        <f aca="false">LOOKUP(9.99E+307,C136:AP136)</f>
        <v>0</v>
      </c>
      <c r="C136" s="85" t="n">
        <f aca="true">IF(C$5=0,INPUTS!$B$19,MAX(0,(INPUTS!$B$19-C$4)*(1+NORMINV(RAND(),INPUTS!$B$28,INPUTS!$B$29))))</f>
        <v>1178404.97001127</v>
      </c>
      <c r="D136" s="85" t="n">
        <f aca="true">IF(D$5=0,C136,MAX(0,(C136-D$4)*(1+NORMINV(RAND(),INPUTS!$B$28,INPUTS!$B$29))))</f>
        <v>1132815.41949178</v>
      </c>
      <c r="E136" s="85" t="n">
        <f aca="true">IF(E$5=0,D136,MAX(0,(D136-E$4)*(1+NORMINV(RAND(),INPUTS!$B$28,INPUTS!$B$29))))</f>
        <v>1187142.48126025</v>
      </c>
      <c r="F136" s="85" t="n">
        <f aca="true">IF(F$5=0,E136,MAX(0,(E136-F$4)*(1+NORMINV(RAND(),INPUTS!$B$28,INPUTS!$B$29))))</f>
        <v>1093823.49402808</v>
      </c>
      <c r="G136" s="85" t="n">
        <f aca="true">IF(G$5=0,F136,MAX(0,(F136-G$4)*(1+NORMINV(RAND(),INPUTS!$B$28,INPUTS!$B$29))))</f>
        <v>1191555.12223331</v>
      </c>
      <c r="H136" s="85" t="n">
        <f aca="true">IF(H$5=0,G136,MAX(0,(G136-H$4)*(1+NORMINV(RAND(),INPUTS!$B$28,INPUTS!$B$29))))</f>
        <v>1164618.75761573</v>
      </c>
      <c r="I136" s="85" t="n">
        <f aca="true">IF(I$5=0,H136,MAX(0,(H136-I$4)*(1+NORMINV(RAND(),INPUTS!$B$28,INPUTS!$B$29))))</f>
        <v>1077437.26375364</v>
      </c>
      <c r="J136" s="85" t="n">
        <f aca="true">IF(J$5=0,I136,MAX(0,(I136-J$4)*(1+NORMINV(RAND(),INPUTS!$B$28,INPUTS!$B$29))))</f>
        <v>985113.53778296</v>
      </c>
      <c r="K136" s="85" t="n">
        <f aca="true">IF(K$5=0,J136,MAX(0,(J136-K$4)*(1+NORMINV(RAND(),INPUTS!$B$28,INPUTS!$B$29))))</f>
        <v>811568.51298568</v>
      </c>
      <c r="L136" s="85" t="n">
        <f aca="true">IF(L$5=0,K136,MAX(0,(K136-L$4)*(1+NORMINV(RAND(),INPUTS!$B$28,INPUTS!$B$29))))</f>
        <v>865554.464901926</v>
      </c>
      <c r="M136" s="85" t="n">
        <f aca="true">IF(M$5=0,L136,MAX(0,(L136-M$4)*(1+NORMINV(RAND(),INPUTS!$B$28,INPUTS!$B$29))))</f>
        <v>842480.660395149</v>
      </c>
      <c r="N136" s="85" t="n">
        <f aca="true">IF(N$5=0,M136,MAX(0,(M136-N$4)*(1+NORMINV(RAND(),INPUTS!$B$28,INPUTS!$B$29))))</f>
        <v>930518.321611645</v>
      </c>
      <c r="O136" s="85" t="n">
        <f aca="true">IF(O$5=0,N136,MAX(0,(N136-O$4)*(1+NORMINV(RAND(),INPUTS!$B$28,INPUTS!$B$29))))</f>
        <v>942057.102154906</v>
      </c>
      <c r="P136" s="85" t="n">
        <f aca="true">IF(P$5=0,O136,MAX(0,(O136-P$4)*(1+NORMINV(RAND(),INPUTS!$B$28,INPUTS!$B$29))))</f>
        <v>897249.187512331</v>
      </c>
      <c r="Q136" s="85" t="n">
        <f aca="true">IF(Q$5=0,P136,MAX(0,(P136-Q$4)*(1+NORMINV(RAND(),INPUTS!$B$28,INPUTS!$B$29))))</f>
        <v>1062178.93355188</v>
      </c>
      <c r="R136" s="85" t="n">
        <f aca="true">IF(R$5=0,Q136,MAX(0,(Q136-R$4)*(1+NORMINV(RAND(),INPUTS!$B$28,INPUTS!$B$29))))</f>
        <v>1043925.96881129</v>
      </c>
      <c r="S136" s="85" t="n">
        <f aca="true">IF(S$5=0,R136,MAX(0,(R136-S$4)*(1+NORMINV(RAND(),INPUTS!$B$28,INPUTS!$B$29))))</f>
        <v>711597.172814141</v>
      </c>
      <c r="T136" s="85" t="n">
        <f aca="true">IF(T$5=0,S136,MAX(0,(S136-T$4)*(1+NORMINV(RAND(),INPUTS!$B$28,INPUTS!$B$29))))</f>
        <v>770817.797571932</v>
      </c>
      <c r="U136" s="85" t="n">
        <f aca="true">IF(U$5=0,T136,MAX(0,(T136-U$4)*(1+NORMINV(RAND(),INPUTS!$B$28,INPUTS!$B$29))))</f>
        <v>739384.920467398</v>
      </c>
      <c r="V136" s="85" t="n">
        <f aca="true">IF(V$5=0,U136,MAX(0,(U136-V$4)*(1+NORMINV(RAND(),INPUTS!$B$28,INPUTS!$B$29))))</f>
        <v>642857.247430614</v>
      </c>
      <c r="W136" s="85" t="n">
        <f aca="true">IF(W$5=0,V136,MAX(0,(V136-W$4)*(1+NORMINV(RAND(),INPUTS!$B$28,INPUTS!$B$29))))</f>
        <v>617344.547279339</v>
      </c>
      <c r="X136" s="85" t="n">
        <f aca="true">IF(X$5=0,W136,MAX(0,(W136-X$4)*(1+NORMINV(RAND(),INPUTS!$B$28,INPUTS!$B$29))))</f>
        <v>626796.188891499</v>
      </c>
      <c r="Y136" s="85" t="n">
        <f aca="true">IF(Y$5=0,X136,MAX(0,(X136-Y$4)*(1+NORMINV(RAND(),INPUTS!$B$28,INPUTS!$B$29))))</f>
        <v>594666.929407567</v>
      </c>
      <c r="Z136" s="85" t="n">
        <f aca="true">IF(Z$5=0,Y136,MAX(0,(Y136-Z$4)*(1+NORMINV(RAND(),INPUTS!$B$28,INPUTS!$B$29))))</f>
        <v>617835.445911654</v>
      </c>
      <c r="AA136" s="85" t="n">
        <f aca="true">IF(AA$5=0,Z136,MAX(0,(Z136-AA$4)*(1+NORMINV(RAND(),INPUTS!$B$28,INPUTS!$B$29))))</f>
        <v>495410.998405478</v>
      </c>
      <c r="AB136" s="85" t="n">
        <f aca="true">IF(AB$5=0,AA136,MAX(0,(AA136-AB$4)*(1+NORMINV(RAND(),INPUTS!$B$28,INPUTS!$B$29))))</f>
        <v>527017.463193013</v>
      </c>
      <c r="AC136" s="85" t="n">
        <f aca="true">IF(AC$5=0,AB136,MAX(0,(AB136-AC$4)*(1+NORMINV(RAND(),INPUTS!$B$28,INPUTS!$B$29))))</f>
        <v>535398.804134053</v>
      </c>
      <c r="AD136" s="85" t="n">
        <f aca="true">IF(AD$5=0,AC136,MAX(0,(AC136-AD$4)*(1+NORMINV(RAND(),INPUTS!$B$28,INPUTS!$B$29))))</f>
        <v>446954.563414117</v>
      </c>
      <c r="AE136" s="85" t="n">
        <f aca="true">IF(AE$5=0,AD136,MAX(0,(AD136-AE$4)*(1+NORMINV(RAND(),INPUTS!$B$28,INPUTS!$B$29))))</f>
        <v>455490.745699941</v>
      </c>
      <c r="AF136" s="85" t="n">
        <f aca="true">IF(AF$5=0,AE136,MAX(0,(AE136-AF$4)*(1+NORMINV(RAND(),INPUTS!$B$28,INPUTS!$B$29))))</f>
        <v>343813.024959113</v>
      </c>
      <c r="AG136" s="85" t="n">
        <f aca="true">IF(AG$5=0,AF136,MAX(0,(AF136-AG$4)*(1+NORMINV(RAND(),INPUTS!$B$28,INPUTS!$B$29))))</f>
        <v>299340.741207449</v>
      </c>
      <c r="AH136" s="85" t="n">
        <f aca="true">IF(AH$5=0,AG136,MAX(0,(AG136-AH$4)*(1+NORMINV(RAND(),INPUTS!$B$28,INPUTS!$B$29))))</f>
        <v>223286.423285095</v>
      </c>
      <c r="AI136" s="85" t="n">
        <f aca="true">IF(AI$5=0,AH136,MAX(0,(AH136-AI$4)*(1+NORMINV(RAND(),INPUTS!$B$28,INPUTS!$B$29))))</f>
        <v>160146.54362497</v>
      </c>
      <c r="AJ136" s="85" t="n">
        <f aca="true">IF(AJ$5=0,AI136,MAX(0,(AI136-AJ$4)*(1+NORMINV(RAND(),INPUTS!$B$28,INPUTS!$B$29))))</f>
        <v>98725.468256833</v>
      </c>
      <c r="AK136" s="85" t="n">
        <f aca="true">IF(AK$5=0,AJ136,MAX(0,(AJ136-AK$4)*(1+NORMINV(RAND(),INPUTS!$B$28,INPUTS!$B$29))))</f>
        <v>20376.2867108339</v>
      </c>
      <c r="AL136" s="85" t="n">
        <f aca="true">IF(AL$5=0,AK136,MAX(0,(AK136-AL$4)*(1+NORMINV(RAND(),INPUTS!$B$28,INPUTS!$B$29))))</f>
        <v>0</v>
      </c>
      <c r="AM136" s="85" t="n">
        <f aca="true">IF(AM$5=0,AL136,MAX(0,(AL136-AM$4)*(1+NORMINV(RAND(),INPUTS!$B$28,INPUTS!$B$29))))</f>
        <v>0</v>
      </c>
      <c r="AN136" s="85" t="n">
        <f aca="true">IF(AN$5=0,AM136,MAX(0,(AM136-AN$4)*(1+NORMINV(RAND(),INPUTS!$B$28,INPUTS!$B$29))))</f>
        <v>0</v>
      </c>
      <c r="AO136" s="85" t="n">
        <f aca="true">IF(AO$5=0,AN136,MAX(0,(AN136-AO$4)*(1+NORMINV(RAND(),INPUTS!$B$28,INPUTS!$B$29))))</f>
        <v>0</v>
      </c>
      <c r="AP136" s="85" t="n">
        <f aca="true">IF(AP$5=0,AO136,MAX(0,(AO136-AP$4)*(1+NORMINV(RAND(),INPUTS!$B$28,INPUTS!$B$29))))</f>
        <v>0</v>
      </c>
    </row>
    <row r="137" customFormat="false" ht="15" hidden="false" customHeight="true" outlineLevel="0" collapsed="false">
      <c r="A137" s="83" t="n">
        <v>130</v>
      </c>
      <c r="B137" s="84" t="n">
        <f aca="false">LOOKUP(9.99E+307,C137:AP137)</f>
        <v>7333770.93819271</v>
      </c>
      <c r="C137" s="85" t="n">
        <f aca="true">IF(C$5=0,INPUTS!$B$19,MAX(0,(INPUTS!$B$19-C$4)*(1+NORMINV(RAND(),INPUTS!$B$28,INPUTS!$B$29))))</f>
        <v>1180013.42602177</v>
      </c>
      <c r="D137" s="85" t="n">
        <f aca="true">IF(D$5=0,C137,MAX(0,(C137-D$4)*(1+NORMINV(RAND(),INPUTS!$B$28,INPUTS!$B$29))))</f>
        <v>1410047.71368985</v>
      </c>
      <c r="E137" s="85" t="n">
        <f aca="true">IF(E$5=0,D137,MAX(0,(D137-E$4)*(1+NORMINV(RAND(),INPUTS!$B$28,INPUTS!$B$29))))</f>
        <v>1487391.14766352</v>
      </c>
      <c r="F137" s="85" t="n">
        <f aca="true">IF(F$5=0,E137,MAX(0,(E137-F$4)*(1+NORMINV(RAND(),INPUTS!$B$28,INPUTS!$B$29))))</f>
        <v>1446500.5443133</v>
      </c>
      <c r="G137" s="85" t="n">
        <f aca="true">IF(G$5=0,F137,MAX(0,(F137-G$4)*(1+NORMINV(RAND(),INPUTS!$B$28,INPUTS!$B$29))))</f>
        <v>1708319.88087267</v>
      </c>
      <c r="H137" s="85" t="n">
        <f aca="true">IF(H$5=0,G137,MAX(0,(G137-H$4)*(1+NORMINV(RAND(),INPUTS!$B$28,INPUTS!$B$29))))</f>
        <v>1774109.82893896</v>
      </c>
      <c r="I137" s="85" t="n">
        <f aca="true">IF(I$5=0,H137,MAX(0,(H137-I$4)*(1+NORMINV(RAND(),INPUTS!$B$28,INPUTS!$B$29))))</f>
        <v>1656533.30124459</v>
      </c>
      <c r="J137" s="85" t="n">
        <f aca="true">IF(J$5=0,I137,MAX(0,(I137-J$4)*(1+NORMINV(RAND(),INPUTS!$B$28,INPUTS!$B$29))))</f>
        <v>1814516.68782485</v>
      </c>
      <c r="K137" s="85" t="n">
        <f aca="true">IF(K$5=0,J137,MAX(0,(J137-K$4)*(1+NORMINV(RAND(),INPUTS!$B$28,INPUTS!$B$29))))</f>
        <v>2282413.13116067</v>
      </c>
      <c r="L137" s="85" t="n">
        <f aca="true">IF(L$5=0,K137,MAX(0,(K137-L$4)*(1+NORMINV(RAND(),INPUTS!$B$28,INPUTS!$B$29))))</f>
        <v>2213673.25417461</v>
      </c>
      <c r="M137" s="85" t="n">
        <f aca="true">IF(M$5=0,L137,MAX(0,(L137-M$4)*(1+NORMINV(RAND(),INPUTS!$B$28,INPUTS!$B$29))))</f>
        <v>2014223.98862182</v>
      </c>
      <c r="N137" s="85" t="n">
        <f aca="true">IF(N$5=0,M137,MAX(0,(M137-N$4)*(1+NORMINV(RAND(),INPUTS!$B$28,INPUTS!$B$29))))</f>
        <v>2234750.55144339</v>
      </c>
      <c r="O137" s="85" t="n">
        <f aca="true">IF(O$5=0,N137,MAX(0,(N137-O$4)*(1+NORMINV(RAND(),INPUTS!$B$28,INPUTS!$B$29))))</f>
        <v>2448781.68936837</v>
      </c>
      <c r="P137" s="85" t="n">
        <f aca="true">IF(P$5=0,O137,MAX(0,(O137-P$4)*(1+NORMINV(RAND(),INPUTS!$B$28,INPUTS!$B$29))))</f>
        <v>2616476.83135126</v>
      </c>
      <c r="Q137" s="85" t="n">
        <f aca="true">IF(Q$5=0,P137,MAX(0,(P137-Q$4)*(1+NORMINV(RAND(),INPUTS!$B$28,INPUTS!$B$29))))</f>
        <v>3002946.73945743</v>
      </c>
      <c r="R137" s="85" t="n">
        <f aca="true">IF(R$5=0,Q137,MAX(0,(Q137-R$4)*(1+NORMINV(RAND(),INPUTS!$B$28,INPUTS!$B$29))))</f>
        <v>3487693.30667534</v>
      </c>
      <c r="S137" s="85" t="n">
        <f aca="true">IF(S$5=0,R137,MAX(0,(R137-S$4)*(1+NORMINV(RAND(),INPUTS!$B$28,INPUTS!$B$29))))</f>
        <v>3315551.65231654</v>
      </c>
      <c r="T137" s="85" t="n">
        <f aca="true">IF(T$5=0,S137,MAX(0,(S137-T$4)*(1+NORMINV(RAND(),INPUTS!$B$28,INPUTS!$B$29))))</f>
        <v>3141771.12901733</v>
      </c>
      <c r="U137" s="85" t="n">
        <f aca="true">IF(U$5=0,T137,MAX(0,(T137-U$4)*(1+NORMINV(RAND(),INPUTS!$B$28,INPUTS!$B$29))))</f>
        <v>3171190.69476405</v>
      </c>
      <c r="V137" s="85" t="n">
        <f aca="true">IF(V$5=0,U137,MAX(0,(U137-V$4)*(1+NORMINV(RAND(),INPUTS!$B$28,INPUTS!$B$29))))</f>
        <v>3348749.94418106</v>
      </c>
      <c r="W137" s="85" t="n">
        <f aca="true">IF(W$5=0,V137,MAX(0,(V137-W$4)*(1+NORMINV(RAND(),INPUTS!$B$28,INPUTS!$B$29))))</f>
        <v>3840224.85569239</v>
      </c>
      <c r="X137" s="85" t="n">
        <f aca="true">IF(X$5=0,W137,MAX(0,(W137-X$4)*(1+NORMINV(RAND(),INPUTS!$B$28,INPUTS!$B$29))))</f>
        <v>3861262.80416553</v>
      </c>
      <c r="Y137" s="85" t="n">
        <f aca="true">IF(Y$5=0,X137,MAX(0,(X137-Y$4)*(1+NORMINV(RAND(),INPUTS!$B$28,INPUTS!$B$29))))</f>
        <v>3735685.07622297</v>
      </c>
      <c r="Z137" s="85" t="n">
        <f aca="true">IF(Z$5=0,Y137,MAX(0,(Y137-Z$4)*(1+NORMINV(RAND(),INPUTS!$B$28,INPUTS!$B$29))))</f>
        <v>3511232.35688171</v>
      </c>
      <c r="AA137" s="85" t="n">
        <f aca="true">IF(AA$5=0,Z137,MAX(0,(Z137-AA$4)*(1+NORMINV(RAND(),INPUTS!$B$28,INPUTS!$B$29))))</f>
        <v>4117154.31448476</v>
      </c>
      <c r="AB137" s="85" t="n">
        <f aca="true">IF(AB$5=0,AA137,MAX(0,(AA137-AB$4)*(1+NORMINV(RAND(),INPUTS!$B$28,INPUTS!$B$29))))</f>
        <v>3448428.84740837</v>
      </c>
      <c r="AC137" s="85" t="n">
        <f aca="true">IF(AC$5=0,AB137,MAX(0,(AB137-AC$4)*(1+NORMINV(RAND(),INPUTS!$B$28,INPUTS!$B$29))))</f>
        <v>3349026.85575079</v>
      </c>
      <c r="AD137" s="85" t="n">
        <f aca="true">IF(AD$5=0,AC137,MAX(0,(AC137-AD$4)*(1+NORMINV(RAND(),INPUTS!$B$28,INPUTS!$B$29))))</f>
        <v>3339703.74977193</v>
      </c>
      <c r="AE137" s="85" t="n">
        <f aca="true">IF(AE$5=0,AD137,MAX(0,(AD137-AE$4)*(1+NORMINV(RAND(),INPUTS!$B$28,INPUTS!$B$29))))</f>
        <v>3197108.72034882</v>
      </c>
      <c r="AF137" s="85" t="n">
        <f aca="true">IF(AF$5=0,AE137,MAX(0,(AE137-AF$4)*(1+NORMINV(RAND(),INPUTS!$B$28,INPUTS!$B$29))))</f>
        <v>4333387.77633801</v>
      </c>
      <c r="AG137" s="85" t="n">
        <f aca="true">IF(AG$5=0,AF137,MAX(0,(AF137-AG$4)*(1+NORMINV(RAND(),INPUTS!$B$28,INPUTS!$B$29))))</f>
        <v>4513673.4340132</v>
      </c>
      <c r="AH137" s="85" t="n">
        <f aca="true">IF(AH$5=0,AG137,MAX(0,(AG137-AH$4)*(1+NORMINV(RAND(),INPUTS!$B$28,INPUTS!$B$29))))</f>
        <v>4328125.53909568</v>
      </c>
      <c r="AI137" s="85" t="n">
        <f aca="true">IF(AI$5=0,AH137,MAX(0,(AH137-AI$4)*(1+NORMINV(RAND(),INPUTS!$B$28,INPUTS!$B$29))))</f>
        <v>5604501.50791674</v>
      </c>
      <c r="AJ137" s="85" t="n">
        <f aca="true">IF(AJ$5=0,AI137,MAX(0,(AI137-AJ$4)*(1+NORMINV(RAND(),INPUTS!$B$28,INPUTS!$B$29))))</f>
        <v>6133263.03434185</v>
      </c>
      <c r="AK137" s="85" t="n">
        <f aca="true">IF(AK$5=0,AJ137,MAX(0,(AJ137-AK$4)*(1+NORMINV(RAND(),INPUTS!$B$28,INPUTS!$B$29))))</f>
        <v>6207907.62578974</v>
      </c>
      <c r="AL137" s="85" t="n">
        <f aca="true">IF(AL$5=0,AK137,MAX(0,(AK137-AL$4)*(1+NORMINV(RAND(),INPUTS!$B$28,INPUTS!$B$29))))</f>
        <v>7333770.93819271</v>
      </c>
      <c r="AM137" s="85" t="n">
        <f aca="true">IF(AM$5=0,AL137,MAX(0,(AL137-AM$4)*(1+NORMINV(RAND(),INPUTS!$B$28,INPUTS!$B$29))))</f>
        <v>7333770.93819271</v>
      </c>
      <c r="AN137" s="85" t="n">
        <f aca="true">IF(AN$5=0,AM137,MAX(0,(AM137-AN$4)*(1+NORMINV(RAND(),INPUTS!$B$28,INPUTS!$B$29))))</f>
        <v>7333770.93819271</v>
      </c>
      <c r="AO137" s="85" t="n">
        <f aca="true">IF(AO$5=0,AN137,MAX(0,(AN137-AO$4)*(1+NORMINV(RAND(),INPUTS!$B$28,INPUTS!$B$29))))</f>
        <v>7333770.93819271</v>
      </c>
      <c r="AP137" s="85" t="n">
        <f aca="true">IF(AP$5=0,AO137,MAX(0,(AO137-AP$4)*(1+NORMINV(RAND(),INPUTS!$B$28,INPUTS!$B$29))))</f>
        <v>7333770.93819271</v>
      </c>
    </row>
    <row r="138" customFormat="false" ht="15" hidden="false" customHeight="true" outlineLevel="0" collapsed="false">
      <c r="A138" s="83" t="n">
        <v>131</v>
      </c>
      <c r="B138" s="84" t="n">
        <f aca="false">LOOKUP(9.99E+307,C138:AP138)</f>
        <v>12758747.4829553</v>
      </c>
      <c r="C138" s="85" t="n">
        <f aca="true">IF(C$5=0,INPUTS!$B$19,MAX(0,(INPUTS!$B$19-C$4)*(1+NORMINV(RAND(),INPUTS!$B$28,INPUTS!$B$29))))</f>
        <v>1597002.44725604</v>
      </c>
      <c r="D138" s="85" t="n">
        <f aca="true">IF(D$5=0,C138,MAX(0,(C138-D$4)*(1+NORMINV(RAND(),INPUTS!$B$28,INPUTS!$B$29))))</f>
        <v>1627494.20403225</v>
      </c>
      <c r="E138" s="85" t="n">
        <f aca="true">IF(E$5=0,D138,MAX(0,(D138-E$4)*(1+NORMINV(RAND(),INPUTS!$B$28,INPUTS!$B$29))))</f>
        <v>1921973.10149541</v>
      </c>
      <c r="F138" s="85" t="n">
        <f aca="true">IF(F$5=0,E138,MAX(0,(E138-F$4)*(1+NORMINV(RAND(),INPUTS!$B$28,INPUTS!$B$29))))</f>
        <v>1996364.43714235</v>
      </c>
      <c r="G138" s="85" t="n">
        <f aca="true">IF(G$5=0,F138,MAX(0,(F138-G$4)*(1+NORMINV(RAND(),INPUTS!$B$28,INPUTS!$B$29))))</f>
        <v>1894286.88718301</v>
      </c>
      <c r="H138" s="85" t="n">
        <f aca="true">IF(H$5=0,G138,MAX(0,(G138-H$4)*(1+NORMINV(RAND(),INPUTS!$B$28,INPUTS!$B$29))))</f>
        <v>1647214.64871814</v>
      </c>
      <c r="I138" s="85" t="n">
        <f aca="true">IF(I$5=0,H138,MAX(0,(H138-I$4)*(1+NORMINV(RAND(),INPUTS!$B$28,INPUTS!$B$29))))</f>
        <v>1530384.2737486</v>
      </c>
      <c r="J138" s="85" t="n">
        <f aca="true">IF(J$5=0,I138,MAX(0,(I138-J$4)*(1+NORMINV(RAND(),INPUTS!$B$28,INPUTS!$B$29))))</f>
        <v>1701709.79888783</v>
      </c>
      <c r="K138" s="85" t="n">
        <f aca="true">IF(K$5=0,J138,MAX(0,(J138-K$4)*(1+NORMINV(RAND(),INPUTS!$B$28,INPUTS!$B$29))))</f>
        <v>1740577.20353302</v>
      </c>
      <c r="L138" s="85" t="n">
        <f aca="true">IF(L$5=0,K138,MAX(0,(K138-L$4)*(1+NORMINV(RAND(),INPUTS!$B$28,INPUTS!$B$29))))</f>
        <v>1756207.63097263</v>
      </c>
      <c r="M138" s="85" t="n">
        <f aca="true">IF(M$5=0,L138,MAX(0,(L138-M$4)*(1+NORMINV(RAND(),INPUTS!$B$28,INPUTS!$B$29))))</f>
        <v>2080221.62289406</v>
      </c>
      <c r="N138" s="85" t="n">
        <f aca="true">IF(N$5=0,M138,MAX(0,(M138-N$4)*(1+NORMINV(RAND(),INPUTS!$B$28,INPUTS!$B$29))))</f>
        <v>2026565.03053499</v>
      </c>
      <c r="O138" s="85" t="n">
        <f aca="true">IF(O$5=0,N138,MAX(0,(N138-O$4)*(1+NORMINV(RAND(),INPUTS!$B$28,INPUTS!$B$29))))</f>
        <v>2198830.39354035</v>
      </c>
      <c r="P138" s="85" t="n">
        <f aca="true">IF(P$5=0,O138,MAX(0,(O138-P$4)*(1+NORMINV(RAND(),INPUTS!$B$28,INPUTS!$B$29))))</f>
        <v>2677621.2897447</v>
      </c>
      <c r="Q138" s="85" t="n">
        <f aca="true">IF(Q$5=0,P138,MAX(0,(P138-Q$4)*(1+NORMINV(RAND(),INPUTS!$B$28,INPUTS!$B$29))))</f>
        <v>2950224.25610513</v>
      </c>
      <c r="R138" s="85" t="n">
        <f aca="true">IF(R$5=0,Q138,MAX(0,(Q138-R$4)*(1+NORMINV(RAND(),INPUTS!$B$28,INPUTS!$B$29))))</f>
        <v>3009428.91088368</v>
      </c>
      <c r="S138" s="85" t="n">
        <f aca="true">IF(S$5=0,R138,MAX(0,(R138-S$4)*(1+NORMINV(RAND(),INPUTS!$B$28,INPUTS!$B$29))))</f>
        <v>3362671.17237176</v>
      </c>
      <c r="T138" s="85" t="n">
        <f aca="true">IF(T$5=0,S138,MAX(0,(S138-T$4)*(1+NORMINV(RAND(),INPUTS!$B$28,INPUTS!$B$29))))</f>
        <v>3753585.84270878</v>
      </c>
      <c r="U138" s="85" t="n">
        <f aca="true">IF(U$5=0,T138,MAX(0,(T138-U$4)*(1+NORMINV(RAND(),INPUTS!$B$28,INPUTS!$B$29))))</f>
        <v>4189962.77083481</v>
      </c>
      <c r="V138" s="85" t="n">
        <f aca="true">IF(V$5=0,U138,MAX(0,(U138-V$4)*(1+NORMINV(RAND(),INPUTS!$B$28,INPUTS!$B$29))))</f>
        <v>3918685.3233981</v>
      </c>
      <c r="W138" s="85" t="n">
        <f aca="true">IF(W$5=0,V138,MAX(0,(V138-W$4)*(1+NORMINV(RAND(),INPUTS!$B$28,INPUTS!$B$29))))</f>
        <v>4354551.31573352</v>
      </c>
      <c r="X138" s="85" t="n">
        <f aca="true">IF(X$5=0,W138,MAX(0,(W138-X$4)*(1+NORMINV(RAND(),INPUTS!$B$28,INPUTS!$B$29))))</f>
        <v>4492364.3896027</v>
      </c>
      <c r="Y138" s="85" t="n">
        <f aca="true">IF(Y$5=0,X138,MAX(0,(X138-Y$4)*(1+NORMINV(RAND(),INPUTS!$B$28,INPUTS!$B$29))))</f>
        <v>4807705.67179378</v>
      </c>
      <c r="Z138" s="85" t="n">
        <f aca="true">IF(Z$5=0,Y138,MAX(0,(Y138-Z$4)*(1+NORMINV(RAND(),INPUTS!$B$28,INPUTS!$B$29))))</f>
        <v>5799360.39217421</v>
      </c>
      <c r="AA138" s="85" t="n">
        <f aca="true">IF(AA$5=0,Z138,MAX(0,(Z138-AA$4)*(1+NORMINV(RAND(),INPUTS!$B$28,INPUTS!$B$29))))</f>
        <v>5230600.80390942</v>
      </c>
      <c r="AB138" s="85" t="n">
        <f aca="true">IF(AB$5=0,AA138,MAX(0,(AA138-AB$4)*(1+NORMINV(RAND(),INPUTS!$B$28,INPUTS!$B$29))))</f>
        <v>5679502.62574143</v>
      </c>
      <c r="AC138" s="85" t="n">
        <f aca="true">IF(AC$5=0,AB138,MAX(0,(AB138-AC$4)*(1+NORMINV(RAND(),INPUTS!$B$28,INPUTS!$B$29))))</f>
        <v>6191086.92978407</v>
      </c>
      <c r="AD138" s="85" t="n">
        <f aca="true">IF(AD$5=0,AC138,MAX(0,(AC138-AD$4)*(1+NORMINV(RAND(),INPUTS!$B$28,INPUTS!$B$29))))</f>
        <v>6676589.04243953</v>
      </c>
      <c r="AE138" s="85" t="n">
        <f aca="true">IF(AE$5=0,AD138,MAX(0,(AD138-AE$4)*(1+NORMINV(RAND(),INPUTS!$B$28,INPUTS!$B$29))))</f>
        <v>6541968.36010171</v>
      </c>
      <c r="AF138" s="85" t="n">
        <f aca="true">IF(AF$5=0,AE138,MAX(0,(AE138-AF$4)*(1+NORMINV(RAND(),INPUTS!$B$28,INPUTS!$B$29))))</f>
        <v>7565204.57050468</v>
      </c>
      <c r="AG138" s="85" t="n">
        <f aca="true">IF(AG$5=0,AF138,MAX(0,(AF138-AG$4)*(1+NORMINV(RAND(),INPUTS!$B$28,INPUTS!$B$29))))</f>
        <v>10372684.6820447</v>
      </c>
      <c r="AH138" s="85" t="n">
        <f aca="true">IF(AH$5=0,AG138,MAX(0,(AG138-AH$4)*(1+NORMINV(RAND(),INPUTS!$B$28,INPUTS!$B$29))))</f>
        <v>12399004.8091634</v>
      </c>
      <c r="AI138" s="85" t="n">
        <f aca="true">IF(AI$5=0,AH138,MAX(0,(AH138-AI$4)*(1+NORMINV(RAND(),INPUTS!$B$28,INPUTS!$B$29))))</f>
        <v>11895013.855136</v>
      </c>
      <c r="AJ138" s="85" t="n">
        <f aca="true">IF(AJ$5=0,AI138,MAX(0,(AI138-AJ$4)*(1+NORMINV(RAND(),INPUTS!$B$28,INPUTS!$B$29))))</f>
        <v>14254554.5195073</v>
      </c>
      <c r="AK138" s="85" t="n">
        <f aca="true">IF(AK$5=0,AJ138,MAX(0,(AJ138-AK$4)*(1+NORMINV(RAND(),INPUTS!$B$28,INPUTS!$B$29))))</f>
        <v>13969366.1780279</v>
      </c>
      <c r="AL138" s="85" t="n">
        <f aca="true">IF(AL$5=0,AK138,MAX(0,(AK138-AL$4)*(1+NORMINV(RAND(),INPUTS!$B$28,INPUTS!$B$29))))</f>
        <v>12758747.4829553</v>
      </c>
      <c r="AM138" s="85" t="n">
        <f aca="true">IF(AM$5=0,AL138,MAX(0,(AL138-AM$4)*(1+NORMINV(RAND(),INPUTS!$B$28,INPUTS!$B$29))))</f>
        <v>12758747.4829553</v>
      </c>
      <c r="AN138" s="85" t="n">
        <f aca="true">IF(AN$5=0,AM138,MAX(0,(AM138-AN$4)*(1+NORMINV(RAND(),INPUTS!$B$28,INPUTS!$B$29))))</f>
        <v>12758747.4829553</v>
      </c>
      <c r="AO138" s="85" t="n">
        <f aca="true">IF(AO$5=0,AN138,MAX(0,(AN138-AO$4)*(1+NORMINV(RAND(),INPUTS!$B$28,INPUTS!$B$29))))</f>
        <v>12758747.4829553</v>
      </c>
      <c r="AP138" s="85" t="n">
        <f aca="true">IF(AP$5=0,AO138,MAX(0,(AO138-AP$4)*(1+NORMINV(RAND(),INPUTS!$B$28,INPUTS!$B$29))))</f>
        <v>12758747.4829553</v>
      </c>
    </row>
    <row r="139" customFormat="false" ht="15" hidden="false" customHeight="true" outlineLevel="0" collapsed="false">
      <c r="A139" s="83" t="n">
        <v>132</v>
      </c>
      <c r="B139" s="84" t="n">
        <f aca="false">LOOKUP(9.99E+307,C139:AP139)</f>
        <v>1908862.20856746</v>
      </c>
      <c r="C139" s="85" t="n">
        <f aca="true">IF(C$5=0,INPUTS!$B$19,MAX(0,(INPUTS!$B$19-C$4)*(1+NORMINV(RAND(),INPUTS!$B$28,INPUTS!$B$29))))</f>
        <v>1385385.24410285</v>
      </c>
      <c r="D139" s="85" t="n">
        <f aca="true">IF(D$5=0,C139,MAX(0,(C139-D$4)*(1+NORMINV(RAND(),INPUTS!$B$28,INPUTS!$B$29))))</f>
        <v>1470170.09422386</v>
      </c>
      <c r="E139" s="85" t="n">
        <f aca="true">IF(E$5=0,D139,MAX(0,(D139-E$4)*(1+NORMINV(RAND(),INPUTS!$B$28,INPUTS!$B$29))))</f>
        <v>1787671.29057696</v>
      </c>
      <c r="F139" s="85" t="n">
        <f aca="true">IF(F$5=0,E139,MAX(0,(E139-F$4)*(1+NORMINV(RAND(),INPUTS!$B$28,INPUTS!$B$29))))</f>
        <v>1776972.09880716</v>
      </c>
      <c r="G139" s="85" t="n">
        <f aca="true">IF(G$5=0,F139,MAX(0,(F139-G$4)*(1+NORMINV(RAND(),INPUTS!$B$28,INPUTS!$B$29))))</f>
        <v>1763642.99798182</v>
      </c>
      <c r="H139" s="85" t="n">
        <f aca="true">IF(H$5=0,G139,MAX(0,(G139-H$4)*(1+NORMINV(RAND(),INPUTS!$B$28,INPUTS!$B$29))))</f>
        <v>2136937.43056209</v>
      </c>
      <c r="I139" s="85" t="n">
        <f aca="true">IF(I$5=0,H139,MAX(0,(H139-I$4)*(1+NORMINV(RAND(),INPUTS!$B$28,INPUTS!$B$29))))</f>
        <v>2230784.36142691</v>
      </c>
      <c r="J139" s="85" t="n">
        <f aca="true">IF(J$5=0,I139,MAX(0,(I139-J$4)*(1+NORMINV(RAND(),INPUTS!$B$28,INPUTS!$B$29))))</f>
        <v>1698996.39927466</v>
      </c>
      <c r="K139" s="85" t="n">
        <f aca="true">IF(K$5=0,J139,MAX(0,(J139-K$4)*(1+NORMINV(RAND(),INPUTS!$B$28,INPUTS!$B$29))))</f>
        <v>1819792.00586726</v>
      </c>
      <c r="L139" s="85" t="n">
        <f aca="true">IF(L$5=0,K139,MAX(0,(K139-L$4)*(1+NORMINV(RAND(),INPUTS!$B$28,INPUTS!$B$29))))</f>
        <v>2060830.10927459</v>
      </c>
      <c r="M139" s="85" t="n">
        <f aca="true">IF(M$5=0,L139,MAX(0,(L139-M$4)*(1+NORMINV(RAND(),INPUTS!$B$28,INPUTS!$B$29))))</f>
        <v>2433550.06545233</v>
      </c>
      <c r="N139" s="85" t="n">
        <f aca="true">IF(N$5=0,M139,MAX(0,(M139-N$4)*(1+NORMINV(RAND(),INPUTS!$B$28,INPUTS!$B$29))))</f>
        <v>2748574.09553797</v>
      </c>
      <c r="O139" s="85" t="n">
        <f aca="true">IF(O$5=0,N139,MAX(0,(N139-O$4)*(1+NORMINV(RAND(),INPUTS!$B$28,INPUTS!$B$29))))</f>
        <v>2078144.99795685</v>
      </c>
      <c r="P139" s="85" t="n">
        <f aca="true">IF(P$5=0,O139,MAX(0,(O139-P$4)*(1+NORMINV(RAND(),INPUTS!$B$28,INPUTS!$B$29))))</f>
        <v>1995471.32834253</v>
      </c>
      <c r="Q139" s="85" t="n">
        <f aca="true">IF(Q$5=0,P139,MAX(0,(P139-Q$4)*(1+NORMINV(RAND(),INPUTS!$B$28,INPUTS!$B$29))))</f>
        <v>1990223.70918591</v>
      </c>
      <c r="R139" s="85" t="n">
        <f aca="true">IF(R$5=0,Q139,MAX(0,(Q139-R$4)*(1+NORMINV(RAND(),INPUTS!$B$28,INPUTS!$B$29))))</f>
        <v>1707201.30532368</v>
      </c>
      <c r="S139" s="85" t="n">
        <f aca="true">IF(S$5=0,R139,MAX(0,(R139-S$4)*(1+NORMINV(RAND(),INPUTS!$B$28,INPUTS!$B$29))))</f>
        <v>1592086.81625018</v>
      </c>
      <c r="T139" s="85" t="n">
        <f aca="true">IF(T$5=0,S139,MAX(0,(S139-T$4)*(1+NORMINV(RAND(),INPUTS!$B$28,INPUTS!$B$29))))</f>
        <v>1571380.54997105</v>
      </c>
      <c r="U139" s="85" t="n">
        <f aca="true">IF(U$5=0,T139,MAX(0,(T139-U$4)*(1+NORMINV(RAND(),INPUTS!$B$28,INPUTS!$B$29))))</f>
        <v>1530098.72269955</v>
      </c>
      <c r="V139" s="85" t="n">
        <f aca="true">IF(V$5=0,U139,MAX(0,(U139-V$4)*(1+NORMINV(RAND(),INPUTS!$B$28,INPUTS!$B$29))))</f>
        <v>1523862.32820548</v>
      </c>
      <c r="W139" s="85" t="n">
        <f aca="true">IF(W$5=0,V139,MAX(0,(V139-W$4)*(1+NORMINV(RAND(),INPUTS!$B$28,INPUTS!$B$29))))</f>
        <v>1671619.57959361</v>
      </c>
      <c r="X139" s="85" t="n">
        <f aca="true">IF(X$5=0,W139,MAX(0,(W139-X$4)*(1+NORMINV(RAND(),INPUTS!$B$28,INPUTS!$B$29))))</f>
        <v>1432879.97068729</v>
      </c>
      <c r="Y139" s="85" t="n">
        <f aca="true">IF(Y$5=0,X139,MAX(0,(X139-Y$4)*(1+NORMINV(RAND(),INPUTS!$B$28,INPUTS!$B$29))))</f>
        <v>1456779.77533034</v>
      </c>
      <c r="Z139" s="85" t="n">
        <f aca="true">IF(Z$5=0,Y139,MAX(0,(Y139-Z$4)*(1+NORMINV(RAND(),INPUTS!$B$28,INPUTS!$B$29))))</f>
        <v>1734069.40330574</v>
      </c>
      <c r="AA139" s="85" t="n">
        <f aca="true">IF(AA$5=0,Z139,MAX(0,(Z139-AA$4)*(1+NORMINV(RAND(),INPUTS!$B$28,INPUTS!$B$29))))</f>
        <v>1687401.2099235</v>
      </c>
      <c r="AB139" s="85" t="n">
        <f aca="true">IF(AB$5=0,AA139,MAX(0,(AA139-AB$4)*(1+NORMINV(RAND(),INPUTS!$B$28,INPUTS!$B$29))))</f>
        <v>2007362.46927709</v>
      </c>
      <c r="AC139" s="85" t="n">
        <f aca="true">IF(AC$5=0,AB139,MAX(0,(AB139-AC$4)*(1+NORMINV(RAND(),INPUTS!$B$28,INPUTS!$B$29))))</f>
        <v>2301835.70503881</v>
      </c>
      <c r="AD139" s="85" t="n">
        <f aca="true">IF(AD$5=0,AC139,MAX(0,(AC139-AD$4)*(1+NORMINV(RAND(),INPUTS!$B$28,INPUTS!$B$29))))</f>
        <v>2007768.43756353</v>
      </c>
      <c r="AE139" s="85" t="n">
        <f aca="true">IF(AE$5=0,AD139,MAX(0,(AD139-AE$4)*(1+NORMINV(RAND(),INPUTS!$B$28,INPUTS!$B$29))))</f>
        <v>2723509.06305615</v>
      </c>
      <c r="AF139" s="85" t="n">
        <f aca="true">IF(AF$5=0,AE139,MAX(0,(AE139-AF$4)*(1+NORMINV(RAND(),INPUTS!$B$28,INPUTS!$B$29))))</f>
        <v>2956467.03425683</v>
      </c>
      <c r="AG139" s="85" t="n">
        <f aca="true">IF(AG$5=0,AF139,MAX(0,(AF139-AG$4)*(1+NORMINV(RAND(),INPUTS!$B$28,INPUTS!$B$29))))</f>
        <v>3136139.19576152</v>
      </c>
      <c r="AH139" s="85" t="n">
        <f aca="true">IF(AH$5=0,AG139,MAX(0,(AG139-AH$4)*(1+NORMINV(RAND(),INPUTS!$B$28,INPUTS!$B$29))))</f>
        <v>2879934.55916737</v>
      </c>
      <c r="AI139" s="85" t="n">
        <f aca="true">IF(AI$5=0,AH139,MAX(0,(AH139-AI$4)*(1+NORMINV(RAND(),INPUTS!$B$28,INPUTS!$B$29))))</f>
        <v>2644559.96105854</v>
      </c>
      <c r="AJ139" s="85" t="n">
        <f aca="true">IF(AJ$5=0,AI139,MAX(0,(AI139-AJ$4)*(1+NORMINV(RAND(),INPUTS!$B$28,INPUTS!$B$29))))</f>
        <v>2371528.72629973</v>
      </c>
      <c r="AK139" s="85" t="n">
        <f aca="true">IF(AK$5=0,AJ139,MAX(0,(AJ139-AK$4)*(1+NORMINV(RAND(),INPUTS!$B$28,INPUTS!$B$29))))</f>
        <v>2146755.79649735</v>
      </c>
      <c r="AL139" s="85" t="n">
        <f aca="true">IF(AL$5=0,AK139,MAX(0,(AK139-AL$4)*(1+NORMINV(RAND(),INPUTS!$B$28,INPUTS!$B$29))))</f>
        <v>1908862.20856746</v>
      </c>
      <c r="AM139" s="85" t="n">
        <f aca="true">IF(AM$5=0,AL139,MAX(0,(AL139-AM$4)*(1+NORMINV(RAND(),INPUTS!$B$28,INPUTS!$B$29))))</f>
        <v>1908862.20856746</v>
      </c>
      <c r="AN139" s="85" t="n">
        <f aca="true">IF(AN$5=0,AM139,MAX(0,(AM139-AN$4)*(1+NORMINV(RAND(),INPUTS!$B$28,INPUTS!$B$29))))</f>
        <v>1908862.20856746</v>
      </c>
      <c r="AO139" s="85" t="n">
        <f aca="true">IF(AO$5=0,AN139,MAX(0,(AN139-AO$4)*(1+NORMINV(RAND(),INPUTS!$B$28,INPUTS!$B$29))))</f>
        <v>1908862.20856746</v>
      </c>
      <c r="AP139" s="85" t="n">
        <f aca="true">IF(AP$5=0,AO139,MAX(0,(AO139-AP$4)*(1+NORMINV(RAND(),INPUTS!$B$28,INPUTS!$B$29))))</f>
        <v>1908862.20856746</v>
      </c>
    </row>
    <row r="140" customFormat="false" ht="15" hidden="false" customHeight="true" outlineLevel="0" collapsed="false">
      <c r="A140" s="83" t="n">
        <v>133</v>
      </c>
      <c r="B140" s="84" t="n">
        <f aca="false">LOOKUP(9.99E+307,C140:AP140)</f>
        <v>18115.9698994123</v>
      </c>
      <c r="C140" s="85" t="n">
        <f aca="true">IF(C$5=0,INPUTS!$B$19,MAX(0,(INPUTS!$B$19-C$4)*(1+NORMINV(RAND(),INPUTS!$B$28,INPUTS!$B$29))))</f>
        <v>884015.760370323</v>
      </c>
      <c r="D140" s="85" t="n">
        <f aca="true">IF(D$5=0,C140,MAX(0,(C140-D$4)*(1+NORMINV(RAND(),INPUTS!$B$28,INPUTS!$B$29))))</f>
        <v>1056313.51246153</v>
      </c>
      <c r="E140" s="85" t="n">
        <f aca="true">IF(E$5=0,D140,MAX(0,(D140-E$4)*(1+NORMINV(RAND(),INPUTS!$B$28,INPUTS!$B$29))))</f>
        <v>959434.339889203</v>
      </c>
      <c r="F140" s="85" t="n">
        <f aca="true">IF(F$5=0,E140,MAX(0,(E140-F$4)*(1+NORMINV(RAND(),INPUTS!$B$28,INPUTS!$B$29))))</f>
        <v>1026530.30779557</v>
      </c>
      <c r="G140" s="85" t="n">
        <f aca="true">IF(G$5=0,F140,MAX(0,(F140-G$4)*(1+NORMINV(RAND(),INPUTS!$B$28,INPUTS!$B$29))))</f>
        <v>1243724.74093086</v>
      </c>
      <c r="H140" s="85" t="n">
        <f aca="true">IF(H$5=0,G140,MAX(0,(G140-H$4)*(1+NORMINV(RAND(),INPUTS!$B$28,INPUTS!$B$29))))</f>
        <v>1364109.47207793</v>
      </c>
      <c r="I140" s="85" t="n">
        <f aca="true">IF(I$5=0,H140,MAX(0,(H140-I$4)*(1+NORMINV(RAND(),INPUTS!$B$28,INPUTS!$B$29))))</f>
        <v>1124575.85784869</v>
      </c>
      <c r="J140" s="85" t="n">
        <f aca="true">IF(J$5=0,I140,MAX(0,(I140-J$4)*(1+NORMINV(RAND(),INPUTS!$B$28,INPUTS!$B$29))))</f>
        <v>1117494.58785881</v>
      </c>
      <c r="K140" s="85" t="n">
        <f aca="true">IF(K$5=0,J140,MAX(0,(J140-K$4)*(1+NORMINV(RAND(),INPUTS!$B$28,INPUTS!$B$29))))</f>
        <v>961148.851059174</v>
      </c>
      <c r="L140" s="85" t="n">
        <f aca="true">IF(L$5=0,K140,MAX(0,(K140-L$4)*(1+NORMINV(RAND(),INPUTS!$B$28,INPUTS!$B$29))))</f>
        <v>822305.448975023</v>
      </c>
      <c r="M140" s="85" t="n">
        <f aca="true">IF(M$5=0,L140,MAX(0,(L140-M$4)*(1+NORMINV(RAND(),INPUTS!$B$28,INPUTS!$B$29))))</f>
        <v>746514.520543648</v>
      </c>
      <c r="N140" s="85" t="n">
        <f aca="true">IF(N$5=0,M140,MAX(0,(M140-N$4)*(1+NORMINV(RAND(),INPUTS!$B$28,INPUTS!$B$29))))</f>
        <v>828205.0333745</v>
      </c>
      <c r="O140" s="85" t="n">
        <f aca="true">IF(O$5=0,N140,MAX(0,(N140-O$4)*(1+NORMINV(RAND(),INPUTS!$B$28,INPUTS!$B$29))))</f>
        <v>717501.616617147</v>
      </c>
      <c r="P140" s="85" t="n">
        <f aca="true">IF(P$5=0,O140,MAX(0,(O140-P$4)*(1+NORMINV(RAND(),INPUTS!$B$28,INPUTS!$B$29))))</f>
        <v>627690.576272794</v>
      </c>
      <c r="Q140" s="85" t="n">
        <f aca="true">IF(Q$5=0,P140,MAX(0,(P140-Q$4)*(1+NORMINV(RAND(),INPUTS!$B$28,INPUTS!$B$29))))</f>
        <v>746636.363584847</v>
      </c>
      <c r="R140" s="85" t="n">
        <f aca="true">IF(R$5=0,Q140,MAX(0,(Q140-R$4)*(1+NORMINV(RAND(),INPUTS!$B$28,INPUTS!$B$29))))</f>
        <v>759853.592833663</v>
      </c>
      <c r="S140" s="85" t="n">
        <f aca="true">IF(S$5=0,R140,MAX(0,(R140-S$4)*(1+NORMINV(RAND(),INPUTS!$B$28,INPUTS!$B$29))))</f>
        <v>822612.208096613</v>
      </c>
      <c r="T140" s="85" t="n">
        <f aca="true">IF(T$5=0,S140,MAX(0,(S140-T$4)*(1+NORMINV(RAND(),INPUTS!$B$28,INPUTS!$B$29))))</f>
        <v>1016276.63915903</v>
      </c>
      <c r="U140" s="85" t="n">
        <f aca="true">IF(U$5=0,T140,MAX(0,(T140-U$4)*(1+NORMINV(RAND(),INPUTS!$B$28,INPUTS!$B$29))))</f>
        <v>995245.569008793</v>
      </c>
      <c r="V140" s="85" t="n">
        <f aca="true">IF(V$5=0,U140,MAX(0,(U140-V$4)*(1+NORMINV(RAND(),INPUTS!$B$28,INPUTS!$B$29))))</f>
        <v>1004591.09288729</v>
      </c>
      <c r="W140" s="85" t="n">
        <f aca="true">IF(W$5=0,V140,MAX(0,(V140-W$4)*(1+NORMINV(RAND(),INPUTS!$B$28,INPUTS!$B$29))))</f>
        <v>831707.224722802</v>
      </c>
      <c r="X140" s="85" t="n">
        <f aca="true">IF(X$5=0,W140,MAX(0,(W140-X$4)*(1+NORMINV(RAND(),INPUTS!$B$28,INPUTS!$B$29))))</f>
        <v>817946.678605431</v>
      </c>
      <c r="Y140" s="85" t="n">
        <f aca="true">IF(Y$5=0,X140,MAX(0,(X140-Y$4)*(1+NORMINV(RAND(),INPUTS!$B$28,INPUTS!$B$29))))</f>
        <v>822224.978184111</v>
      </c>
      <c r="Z140" s="85" t="n">
        <f aca="true">IF(Z$5=0,Y140,MAX(0,(Y140-Z$4)*(1+NORMINV(RAND(),INPUTS!$B$28,INPUTS!$B$29))))</f>
        <v>928203.957296676</v>
      </c>
      <c r="AA140" s="85" t="n">
        <f aca="true">IF(AA$5=0,Z140,MAX(0,(Z140-AA$4)*(1+NORMINV(RAND(),INPUTS!$B$28,INPUTS!$B$29))))</f>
        <v>722046.565962018</v>
      </c>
      <c r="AB140" s="85" t="n">
        <f aca="true">IF(AB$5=0,AA140,MAX(0,(AA140-AB$4)*(1+NORMINV(RAND(),INPUTS!$B$28,INPUTS!$B$29))))</f>
        <v>640127.79657711</v>
      </c>
      <c r="AC140" s="85" t="n">
        <f aca="true">IF(AC$5=0,AB140,MAX(0,(AB140-AC$4)*(1+NORMINV(RAND(),INPUTS!$B$28,INPUTS!$B$29))))</f>
        <v>647546.385682649</v>
      </c>
      <c r="AD140" s="85" t="n">
        <f aca="true">IF(AD$5=0,AC140,MAX(0,(AC140-AD$4)*(1+NORMINV(RAND(),INPUTS!$B$28,INPUTS!$B$29))))</f>
        <v>702717.0716833</v>
      </c>
      <c r="AE140" s="85" t="n">
        <f aca="true">IF(AE$5=0,AD140,MAX(0,(AD140-AE$4)*(1+NORMINV(RAND(),INPUTS!$B$28,INPUTS!$B$29))))</f>
        <v>487015.065033947</v>
      </c>
      <c r="AF140" s="85" t="n">
        <f aca="true">IF(AF$5=0,AE140,MAX(0,(AE140-AF$4)*(1+NORMINV(RAND(),INPUTS!$B$28,INPUTS!$B$29))))</f>
        <v>395672.112472415</v>
      </c>
      <c r="AG140" s="85" t="n">
        <f aca="true">IF(AG$5=0,AF140,MAX(0,(AF140-AG$4)*(1+NORMINV(RAND(),INPUTS!$B$28,INPUTS!$B$29))))</f>
        <v>301148.860233019</v>
      </c>
      <c r="AH140" s="85" t="n">
        <f aca="true">IF(AH$5=0,AG140,MAX(0,(AG140-AH$4)*(1+NORMINV(RAND(),INPUTS!$B$28,INPUTS!$B$29))))</f>
        <v>261397.770376101</v>
      </c>
      <c r="AI140" s="85" t="n">
        <f aca="true">IF(AI$5=0,AH140,MAX(0,(AH140-AI$4)*(1+NORMINV(RAND(),INPUTS!$B$28,INPUTS!$B$29))))</f>
        <v>207214.704160836</v>
      </c>
      <c r="AJ140" s="85" t="n">
        <f aca="true">IF(AJ$5=0,AI140,MAX(0,(AI140-AJ$4)*(1+NORMINV(RAND(),INPUTS!$B$28,INPUTS!$B$29))))</f>
        <v>165431.793442527</v>
      </c>
      <c r="AK140" s="85" t="n">
        <f aca="true">IF(AK$5=0,AJ140,MAX(0,(AJ140-AK$4)*(1+NORMINV(RAND(),INPUTS!$B$28,INPUTS!$B$29))))</f>
        <v>95703.5938713832</v>
      </c>
      <c r="AL140" s="85" t="n">
        <f aca="true">IF(AL$5=0,AK140,MAX(0,(AK140-AL$4)*(1+NORMINV(RAND(),INPUTS!$B$28,INPUTS!$B$29))))</f>
        <v>18115.9698994123</v>
      </c>
      <c r="AM140" s="85" t="n">
        <f aca="true">IF(AM$5=0,AL140,MAX(0,(AL140-AM$4)*(1+NORMINV(RAND(),INPUTS!$B$28,INPUTS!$B$29))))</f>
        <v>18115.9698994123</v>
      </c>
      <c r="AN140" s="85" t="n">
        <f aca="true">IF(AN$5=0,AM140,MAX(0,(AM140-AN$4)*(1+NORMINV(RAND(),INPUTS!$B$28,INPUTS!$B$29))))</f>
        <v>18115.9698994123</v>
      </c>
      <c r="AO140" s="85" t="n">
        <f aca="true">IF(AO$5=0,AN140,MAX(0,(AN140-AO$4)*(1+NORMINV(RAND(),INPUTS!$B$28,INPUTS!$B$29))))</f>
        <v>18115.9698994123</v>
      </c>
      <c r="AP140" s="85" t="n">
        <f aca="true">IF(AP$5=0,AO140,MAX(0,(AO140-AP$4)*(1+NORMINV(RAND(),INPUTS!$B$28,INPUTS!$B$29))))</f>
        <v>18115.9698994123</v>
      </c>
    </row>
    <row r="141" customFormat="false" ht="15" hidden="false" customHeight="true" outlineLevel="0" collapsed="false">
      <c r="A141" s="83" t="n">
        <v>134</v>
      </c>
      <c r="B141" s="84" t="n">
        <f aca="false">LOOKUP(9.99E+307,C141:AP141)</f>
        <v>611129.195433815</v>
      </c>
      <c r="C141" s="85" t="n">
        <f aca="true">IF(C$5=0,INPUTS!$B$19,MAX(0,(INPUTS!$B$19-C$4)*(1+NORMINV(RAND(),INPUTS!$B$28,INPUTS!$B$29))))</f>
        <v>1171667.64644289</v>
      </c>
      <c r="D141" s="85" t="n">
        <f aca="true">IF(D$5=0,C141,MAX(0,(C141-D$4)*(1+NORMINV(RAND(),INPUTS!$B$28,INPUTS!$B$29))))</f>
        <v>1162628.71325463</v>
      </c>
      <c r="E141" s="85" t="n">
        <f aca="true">IF(E$5=0,D141,MAX(0,(D141-E$4)*(1+NORMINV(RAND(),INPUTS!$B$28,INPUTS!$B$29))))</f>
        <v>1323033.05747248</v>
      </c>
      <c r="F141" s="85" t="n">
        <f aca="true">IF(F$5=0,E141,MAX(0,(E141-F$4)*(1+NORMINV(RAND(),INPUTS!$B$28,INPUTS!$B$29))))</f>
        <v>1191504.10023389</v>
      </c>
      <c r="G141" s="85" t="n">
        <f aca="true">IF(G$5=0,F141,MAX(0,(F141-G$4)*(1+NORMINV(RAND(),INPUTS!$B$28,INPUTS!$B$29))))</f>
        <v>1166461.57779276</v>
      </c>
      <c r="H141" s="85" t="n">
        <f aca="true">IF(H$5=0,G141,MAX(0,(G141-H$4)*(1+NORMINV(RAND(),INPUTS!$B$28,INPUTS!$B$29))))</f>
        <v>1190693.9406505</v>
      </c>
      <c r="I141" s="85" t="n">
        <f aca="true">IF(I$5=0,H141,MAX(0,(H141-I$4)*(1+NORMINV(RAND(),INPUTS!$B$28,INPUTS!$B$29))))</f>
        <v>1275223.43789994</v>
      </c>
      <c r="J141" s="85" t="n">
        <f aca="true">IF(J$5=0,I141,MAX(0,(I141-J$4)*(1+NORMINV(RAND(),INPUTS!$B$28,INPUTS!$B$29))))</f>
        <v>1416735.76617508</v>
      </c>
      <c r="K141" s="85" t="n">
        <f aca="true">IF(K$5=0,J141,MAX(0,(J141-K$4)*(1+NORMINV(RAND(),INPUTS!$B$28,INPUTS!$B$29))))</f>
        <v>1171944.9104731</v>
      </c>
      <c r="L141" s="85" t="n">
        <f aca="true">IF(L$5=0,K141,MAX(0,(K141-L$4)*(1+NORMINV(RAND(),INPUTS!$B$28,INPUTS!$B$29))))</f>
        <v>1062514.3915398</v>
      </c>
      <c r="M141" s="85" t="n">
        <f aca="true">IF(M$5=0,L141,MAX(0,(L141-M$4)*(1+NORMINV(RAND(),INPUTS!$B$28,INPUTS!$B$29))))</f>
        <v>940222.798702685</v>
      </c>
      <c r="N141" s="85" t="n">
        <f aca="true">IF(N$5=0,M141,MAX(0,(M141-N$4)*(1+NORMINV(RAND(),INPUTS!$B$28,INPUTS!$B$29))))</f>
        <v>1057938.44002836</v>
      </c>
      <c r="O141" s="85" t="n">
        <f aca="true">IF(O$5=0,N141,MAX(0,(N141-O$4)*(1+NORMINV(RAND(),INPUTS!$B$28,INPUTS!$B$29))))</f>
        <v>1315357.89230962</v>
      </c>
      <c r="P141" s="85" t="n">
        <f aca="true">IF(P$5=0,O141,MAX(0,(O141-P$4)*(1+NORMINV(RAND(),INPUTS!$B$28,INPUTS!$B$29))))</f>
        <v>1417462.5445181</v>
      </c>
      <c r="Q141" s="85" t="n">
        <f aca="true">IF(Q$5=0,P141,MAX(0,(P141-Q$4)*(1+NORMINV(RAND(),INPUTS!$B$28,INPUTS!$B$29))))</f>
        <v>1379964.49385071</v>
      </c>
      <c r="R141" s="85" t="n">
        <f aca="true">IF(R$5=0,Q141,MAX(0,(Q141-R$4)*(1+NORMINV(RAND(),INPUTS!$B$28,INPUTS!$B$29))))</f>
        <v>1635552.12726244</v>
      </c>
      <c r="S141" s="85" t="n">
        <f aca="true">IF(S$5=0,R141,MAX(0,(R141-S$4)*(1+NORMINV(RAND(),INPUTS!$B$28,INPUTS!$B$29))))</f>
        <v>1860811.22234909</v>
      </c>
      <c r="T141" s="85" t="n">
        <f aca="true">IF(T$5=0,S141,MAX(0,(S141-T$4)*(1+NORMINV(RAND(),INPUTS!$B$28,INPUTS!$B$29))))</f>
        <v>1516253.83530602</v>
      </c>
      <c r="U141" s="85" t="n">
        <f aca="true">IF(U$5=0,T141,MAX(0,(T141-U$4)*(1+NORMINV(RAND(),INPUTS!$B$28,INPUTS!$B$29))))</f>
        <v>1617735.32817686</v>
      </c>
      <c r="V141" s="85" t="n">
        <f aca="true">IF(V$5=0,U141,MAX(0,(U141-V$4)*(1+NORMINV(RAND(),INPUTS!$B$28,INPUTS!$B$29))))</f>
        <v>1852035.90093126</v>
      </c>
      <c r="W141" s="85" t="n">
        <f aca="true">IF(W$5=0,V141,MAX(0,(V141-W$4)*(1+NORMINV(RAND(),INPUTS!$B$28,INPUTS!$B$29))))</f>
        <v>2136754.95318873</v>
      </c>
      <c r="X141" s="85" t="n">
        <f aca="true">IF(X$5=0,W141,MAX(0,(W141-X$4)*(1+NORMINV(RAND(),INPUTS!$B$28,INPUTS!$B$29))))</f>
        <v>1963461.60380566</v>
      </c>
      <c r="Y141" s="85" t="n">
        <f aca="true">IF(Y$5=0,X141,MAX(0,(X141-Y$4)*(1+NORMINV(RAND(),INPUTS!$B$28,INPUTS!$B$29))))</f>
        <v>1451951.78334275</v>
      </c>
      <c r="Z141" s="85" t="n">
        <f aca="true">IF(Z$5=0,Y141,MAX(0,(Y141-Z$4)*(1+NORMINV(RAND(),INPUTS!$B$28,INPUTS!$B$29))))</f>
        <v>1244329.77803218</v>
      </c>
      <c r="AA141" s="85" t="n">
        <f aca="true">IF(AA$5=0,Z141,MAX(0,(Z141-AA$4)*(1+NORMINV(RAND(),INPUTS!$B$28,INPUTS!$B$29))))</f>
        <v>1416474.57857414</v>
      </c>
      <c r="AB141" s="85" t="n">
        <f aca="true">IF(AB$5=0,AA141,MAX(0,(AA141-AB$4)*(1+NORMINV(RAND(),INPUTS!$B$28,INPUTS!$B$29))))</f>
        <v>1346084.28738611</v>
      </c>
      <c r="AC141" s="85" t="n">
        <f aca="true">IF(AC$5=0,AB141,MAX(0,(AB141-AC$4)*(1+NORMINV(RAND(),INPUTS!$B$28,INPUTS!$B$29))))</f>
        <v>1113248.22764712</v>
      </c>
      <c r="AD141" s="85" t="n">
        <f aca="true">IF(AD$5=0,AC141,MAX(0,(AC141-AD$4)*(1+NORMINV(RAND(),INPUTS!$B$28,INPUTS!$B$29))))</f>
        <v>1179345.73220441</v>
      </c>
      <c r="AE141" s="85" t="n">
        <f aca="true">IF(AE$5=0,AD141,MAX(0,(AD141-AE$4)*(1+NORMINV(RAND(),INPUTS!$B$28,INPUTS!$B$29))))</f>
        <v>1054432.56428656</v>
      </c>
      <c r="AF141" s="85" t="n">
        <f aca="true">IF(AF$5=0,AE141,MAX(0,(AE141-AF$4)*(1+NORMINV(RAND(),INPUTS!$B$28,INPUTS!$B$29))))</f>
        <v>1229534.16756903</v>
      </c>
      <c r="AG141" s="85" t="n">
        <f aca="true">IF(AG$5=0,AF141,MAX(0,(AF141-AG$4)*(1+NORMINV(RAND(),INPUTS!$B$28,INPUTS!$B$29))))</f>
        <v>1137430.6970574</v>
      </c>
      <c r="AH141" s="85" t="n">
        <f aca="true">IF(AH$5=0,AG141,MAX(0,(AG141-AH$4)*(1+NORMINV(RAND(),INPUTS!$B$28,INPUTS!$B$29))))</f>
        <v>1089175.32537032</v>
      </c>
      <c r="AI141" s="85" t="n">
        <f aca="true">IF(AI$5=0,AH141,MAX(0,(AH141-AI$4)*(1+NORMINV(RAND(),INPUTS!$B$28,INPUTS!$B$29))))</f>
        <v>935880.134204057</v>
      </c>
      <c r="AJ141" s="85" t="n">
        <f aca="true">IF(AJ$5=0,AI141,MAX(0,(AI141-AJ$4)*(1+NORMINV(RAND(),INPUTS!$B$28,INPUTS!$B$29))))</f>
        <v>761128.318074712</v>
      </c>
      <c r="AK141" s="85" t="n">
        <f aca="true">IF(AK$5=0,AJ141,MAX(0,(AJ141-AK$4)*(1+NORMINV(RAND(),INPUTS!$B$28,INPUTS!$B$29))))</f>
        <v>791041.492693387</v>
      </c>
      <c r="AL141" s="85" t="n">
        <f aca="true">IF(AL$5=0,AK141,MAX(0,(AK141-AL$4)*(1+NORMINV(RAND(),INPUTS!$B$28,INPUTS!$B$29))))</f>
        <v>611129.195433815</v>
      </c>
      <c r="AM141" s="85" t="n">
        <f aca="true">IF(AM$5=0,AL141,MAX(0,(AL141-AM$4)*(1+NORMINV(RAND(),INPUTS!$B$28,INPUTS!$B$29))))</f>
        <v>611129.195433815</v>
      </c>
      <c r="AN141" s="85" t="n">
        <f aca="true">IF(AN$5=0,AM141,MAX(0,(AM141-AN$4)*(1+NORMINV(RAND(),INPUTS!$B$28,INPUTS!$B$29))))</f>
        <v>611129.195433815</v>
      </c>
      <c r="AO141" s="85" t="n">
        <f aca="true">IF(AO$5=0,AN141,MAX(0,(AN141-AO$4)*(1+NORMINV(RAND(),INPUTS!$B$28,INPUTS!$B$29))))</f>
        <v>611129.195433815</v>
      </c>
      <c r="AP141" s="85" t="n">
        <f aca="true">IF(AP$5=0,AO141,MAX(0,(AO141-AP$4)*(1+NORMINV(RAND(),INPUTS!$B$28,INPUTS!$B$29))))</f>
        <v>611129.195433815</v>
      </c>
    </row>
    <row r="142" customFormat="false" ht="15" hidden="false" customHeight="true" outlineLevel="0" collapsed="false">
      <c r="A142" s="83" t="n">
        <v>135</v>
      </c>
      <c r="B142" s="84" t="n">
        <f aca="false">LOOKUP(9.99E+307,C142:AP142)</f>
        <v>0</v>
      </c>
      <c r="C142" s="85" t="n">
        <f aca="true">IF(C$5=0,INPUTS!$B$19,MAX(0,(INPUTS!$B$19-C$4)*(1+NORMINV(RAND(),INPUTS!$B$28,INPUTS!$B$29))))</f>
        <v>1130876.62636824</v>
      </c>
      <c r="D142" s="85" t="n">
        <f aca="true">IF(D$5=0,C142,MAX(0,(C142-D$4)*(1+NORMINV(RAND(),INPUTS!$B$28,INPUTS!$B$29))))</f>
        <v>1035064.45671804</v>
      </c>
      <c r="E142" s="85" t="n">
        <f aca="true">IF(E$5=0,D142,MAX(0,(D142-E$4)*(1+NORMINV(RAND(),INPUTS!$B$28,INPUTS!$B$29))))</f>
        <v>1122801.23613326</v>
      </c>
      <c r="F142" s="85" t="n">
        <f aca="true">IF(F$5=0,E142,MAX(0,(E142-F$4)*(1+NORMINV(RAND(),INPUTS!$B$28,INPUTS!$B$29))))</f>
        <v>1086301.19776014</v>
      </c>
      <c r="G142" s="85" t="n">
        <f aca="true">IF(G$5=0,F142,MAX(0,(F142-G$4)*(1+NORMINV(RAND(),INPUTS!$B$28,INPUTS!$B$29))))</f>
        <v>1013320.0781588</v>
      </c>
      <c r="H142" s="85" t="n">
        <f aca="true">IF(H$5=0,G142,MAX(0,(G142-H$4)*(1+NORMINV(RAND(),INPUTS!$B$28,INPUTS!$B$29))))</f>
        <v>919997.218767027</v>
      </c>
      <c r="I142" s="85" t="n">
        <f aca="true">IF(I$5=0,H142,MAX(0,(H142-I$4)*(1+NORMINV(RAND(),INPUTS!$B$28,INPUTS!$B$29))))</f>
        <v>770387.683074525</v>
      </c>
      <c r="J142" s="85" t="n">
        <f aca="true">IF(J$5=0,I142,MAX(0,(I142-J$4)*(1+NORMINV(RAND(),INPUTS!$B$28,INPUTS!$B$29))))</f>
        <v>771831.019345774</v>
      </c>
      <c r="K142" s="85" t="n">
        <f aca="true">IF(K$5=0,J142,MAX(0,(J142-K$4)*(1+NORMINV(RAND(),INPUTS!$B$28,INPUTS!$B$29))))</f>
        <v>753264.779435409</v>
      </c>
      <c r="L142" s="85" t="n">
        <f aca="true">IF(L$5=0,K142,MAX(0,(K142-L$4)*(1+NORMINV(RAND(),INPUTS!$B$28,INPUTS!$B$29))))</f>
        <v>733036.396292829</v>
      </c>
      <c r="M142" s="85" t="n">
        <f aca="true">IF(M$5=0,L142,MAX(0,(L142-M$4)*(1+NORMINV(RAND(),INPUTS!$B$28,INPUTS!$B$29))))</f>
        <v>783067.807678424</v>
      </c>
      <c r="N142" s="85" t="n">
        <f aca="true">IF(N$5=0,M142,MAX(0,(M142-N$4)*(1+NORMINV(RAND(),INPUTS!$B$28,INPUTS!$B$29))))</f>
        <v>730934.808720067</v>
      </c>
      <c r="O142" s="85" t="n">
        <f aca="true">IF(O$5=0,N142,MAX(0,(N142-O$4)*(1+NORMINV(RAND(),INPUTS!$B$28,INPUTS!$B$29))))</f>
        <v>835661.395352909</v>
      </c>
      <c r="P142" s="85" t="n">
        <f aca="true">IF(P$5=0,O142,MAX(0,(O142-P$4)*(1+NORMINV(RAND(),INPUTS!$B$28,INPUTS!$B$29))))</f>
        <v>899820.092256162</v>
      </c>
      <c r="Q142" s="85" t="n">
        <f aca="true">IF(Q$5=0,P142,MAX(0,(P142-Q$4)*(1+NORMINV(RAND(),INPUTS!$B$28,INPUTS!$B$29))))</f>
        <v>977432.595957203</v>
      </c>
      <c r="R142" s="85" t="n">
        <f aca="true">IF(R$5=0,Q142,MAX(0,(Q142-R$4)*(1+NORMINV(RAND(),INPUTS!$B$28,INPUTS!$B$29))))</f>
        <v>880861.600516697</v>
      </c>
      <c r="S142" s="85" t="n">
        <f aca="true">IF(S$5=0,R142,MAX(0,(R142-S$4)*(1+NORMINV(RAND(),INPUTS!$B$28,INPUTS!$B$29))))</f>
        <v>813488.029276331</v>
      </c>
      <c r="T142" s="85" t="n">
        <f aca="true">IF(T$5=0,S142,MAX(0,(S142-T$4)*(1+NORMINV(RAND(),INPUTS!$B$28,INPUTS!$B$29))))</f>
        <v>687729.997344485</v>
      </c>
      <c r="U142" s="85" t="n">
        <f aca="true">IF(U$5=0,T142,MAX(0,(T142-U$4)*(1+NORMINV(RAND(),INPUTS!$B$28,INPUTS!$B$29))))</f>
        <v>688958.995845289</v>
      </c>
      <c r="V142" s="85" t="n">
        <f aca="true">IF(V$5=0,U142,MAX(0,(U142-V$4)*(1+NORMINV(RAND(),INPUTS!$B$28,INPUTS!$B$29))))</f>
        <v>646165.809822089</v>
      </c>
      <c r="W142" s="85" t="n">
        <f aca="true">IF(W$5=0,V142,MAX(0,(V142-W$4)*(1+NORMINV(RAND(),INPUTS!$B$28,INPUTS!$B$29))))</f>
        <v>602948.006238093</v>
      </c>
      <c r="X142" s="85" t="n">
        <f aca="true">IF(X$5=0,W142,MAX(0,(W142-X$4)*(1+NORMINV(RAND(),INPUTS!$B$28,INPUTS!$B$29))))</f>
        <v>555400.316310095</v>
      </c>
      <c r="Y142" s="85" t="n">
        <f aca="true">IF(Y$5=0,X142,MAX(0,(X142-Y$4)*(1+NORMINV(RAND(),INPUTS!$B$28,INPUTS!$B$29))))</f>
        <v>624949.889339991</v>
      </c>
      <c r="Z142" s="85" t="n">
        <f aca="true">IF(Z$5=0,Y142,MAX(0,(Y142-Z$4)*(1+NORMINV(RAND(),INPUTS!$B$28,INPUTS!$B$29))))</f>
        <v>582128.189206636</v>
      </c>
      <c r="AA142" s="85" t="n">
        <f aca="true">IF(AA$5=0,Z142,MAX(0,(Z142-AA$4)*(1+NORMINV(RAND(),INPUTS!$B$28,INPUTS!$B$29))))</f>
        <v>564605.608175309</v>
      </c>
      <c r="AB142" s="85" t="n">
        <f aca="true">IF(AB$5=0,AA142,MAX(0,(AA142-AB$4)*(1+NORMINV(RAND(),INPUTS!$B$28,INPUTS!$B$29))))</f>
        <v>503771.113104207</v>
      </c>
      <c r="AC142" s="85" t="n">
        <f aca="true">IF(AC$5=0,AB142,MAX(0,(AB142-AC$4)*(1+NORMINV(RAND(),INPUTS!$B$28,INPUTS!$B$29))))</f>
        <v>484615.423971976</v>
      </c>
      <c r="AD142" s="85" t="n">
        <f aca="true">IF(AD$5=0,AC142,MAX(0,(AC142-AD$4)*(1+NORMINV(RAND(),INPUTS!$B$28,INPUTS!$B$29))))</f>
        <v>481963.698287659</v>
      </c>
      <c r="AE142" s="85" t="n">
        <f aca="true">IF(AE$5=0,AD142,MAX(0,(AD142-AE$4)*(1+NORMINV(RAND(),INPUTS!$B$28,INPUTS!$B$29))))</f>
        <v>449802.237528108</v>
      </c>
      <c r="AF142" s="85" t="n">
        <f aca="true">IF(AF$5=0,AE142,MAX(0,(AE142-AF$4)*(1+NORMINV(RAND(),INPUTS!$B$28,INPUTS!$B$29))))</f>
        <v>430018.128053795</v>
      </c>
      <c r="AG142" s="85" t="n">
        <f aca="true">IF(AG$5=0,AF142,MAX(0,(AF142-AG$4)*(1+NORMINV(RAND(),INPUTS!$B$28,INPUTS!$B$29))))</f>
        <v>362590.921661166</v>
      </c>
      <c r="AH142" s="85" t="n">
        <f aca="true">IF(AH$5=0,AG142,MAX(0,(AG142-AH$4)*(1+NORMINV(RAND(),INPUTS!$B$28,INPUTS!$B$29))))</f>
        <v>286847.307485575</v>
      </c>
      <c r="AI142" s="85" t="n">
        <f aca="true">IF(AI$5=0,AH142,MAX(0,(AH142-AI$4)*(1+NORMINV(RAND(),INPUTS!$B$28,INPUTS!$B$29))))</f>
        <v>209552.408598277</v>
      </c>
      <c r="AJ142" s="85" t="n">
        <f aca="true">IF(AJ$5=0,AI142,MAX(0,(AI142-AJ$4)*(1+NORMINV(RAND(),INPUTS!$B$28,INPUTS!$B$29))))</f>
        <v>151907.390352806</v>
      </c>
      <c r="AK142" s="85" t="n">
        <f aca="true">IF(AK$5=0,AJ142,MAX(0,(AJ142-AK$4)*(1+NORMINV(RAND(),INPUTS!$B$28,INPUTS!$B$29))))</f>
        <v>77135.5123576916</v>
      </c>
      <c r="AL142" s="85" t="n">
        <f aca="true">IF(AL$5=0,AK142,MAX(0,(AK142-AL$4)*(1+NORMINV(RAND(),INPUTS!$B$28,INPUTS!$B$29))))</f>
        <v>0</v>
      </c>
      <c r="AM142" s="85" t="n">
        <f aca="true">IF(AM$5=0,AL142,MAX(0,(AL142-AM$4)*(1+NORMINV(RAND(),INPUTS!$B$28,INPUTS!$B$29))))</f>
        <v>0</v>
      </c>
      <c r="AN142" s="85" t="n">
        <f aca="true">IF(AN$5=0,AM142,MAX(0,(AM142-AN$4)*(1+NORMINV(RAND(),INPUTS!$B$28,INPUTS!$B$29))))</f>
        <v>0</v>
      </c>
      <c r="AO142" s="85" t="n">
        <f aca="true">IF(AO$5=0,AN142,MAX(0,(AN142-AO$4)*(1+NORMINV(RAND(),INPUTS!$B$28,INPUTS!$B$29))))</f>
        <v>0</v>
      </c>
      <c r="AP142" s="85" t="n">
        <f aca="true">IF(AP$5=0,AO142,MAX(0,(AO142-AP$4)*(1+NORMINV(RAND(),INPUTS!$B$28,INPUTS!$B$29))))</f>
        <v>0</v>
      </c>
    </row>
    <row r="143" customFormat="false" ht="15" hidden="false" customHeight="true" outlineLevel="0" collapsed="false">
      <c r="A143" s="83" t="n">
        <v>136</v>
      </c>
      <c r="B143" s="84" t="n">
        <f aca="false">LOOKUP(9.99E+307,C143:AP143)</f>
        <v>14386764.6768766</v>
      </c>
      <c r="C143" s="85" t="n">
        <f aca="true">IF(C$5=0,INPUTS!$B$19,MAX(0,(INPUTS!$B$19-C$4)*(1+NORMINV(RAND(),INPUTS!$B$28,INPUTS!$B$29))))</f>
        <v>1254380.99799136</v>
      </c>
      <c r="D143" s="85" t="n">
        <f aca="true">IF(D$5=0,C143,MAX(0,(C143-D$4)*(1+NORMINV(RAND(),INPUTS!$B$28,INPUTS!$B$29))))</f>
        <v>1587505.61948617</v>
      </c>
      <c r="E143" s="85" t="n">
        <f aca="true">IF(E$5=0,D143,MAX(0,(D143-E$4)*(1+NORMINV(RAND(),INPUTS!$B$28,INPUTS!$B$29))))</f>
        <v>1677406.11583794</v>
      </c>
      <c r="F143" s="85" t="n">
        <f aca="true">IF(F$5=0,E143,MAX(0,(E143-F$4)*(1+NORMINV(RAND(),INPUTS!$B$28,INPUTS!$B$29))))</f>
        <v>1843210.66208068</v>
      </c>
      <c r="G143" s="85" t="n">
        <f aca="true">IF(G$5=0,F143,MAX(0,(F143-G$4)*(1+NORMINV(RAND(),INPUTS!$B$28,INPUTS!$B$29))))</f>
        <v>1743516.25639539</v>
      </c>
      <c r="H143" s="85" t="n">
        <f aca="true">IF(H$5=0,G143,MAX(0,(G143-H$4)*(1+NORMINV(RAND(),INPUTS!$B$28,INPUTS!$B$29))))</f>
        <v>1757925.10701826</v>
      </c>
      <c r="I143" s="85" t="n">
        <f aca="true">IF(I$5=0,H143,MAX(0,(H143-I$4)*(1+NORMINV(RAND(),INPUTS!$B$28,INPUTS!$B$29))))</f>
        <v>1892049.26126639</v>
      </c>
      <c r="J143" s="85" t="n">
        <f aca="true">IF(J$5=0,I143,MAX(0,(I143-J$4)*(1+NORMINV(RAND(),INPUTS!$B$28,INPUTS!$B$29))))</f>
        <v>1920045.13728872</v>
      </c>
      <c r="K143" s="85" t="n">
        <f aca="true">IF(K$5=0,J143,MAX(0,(J143-K$4)*(1+NORMINV(RAND(),INPUTS!$B$28,INPUTS!$B$29))))</f>
        <v>2059447.34711517</v>
      </c>
      <c r="L143" s="85" t="n">
        <f aca="true">IF(L$5=0,K143,MAX(0,(K143-L$4)*(1+NORMINV(RAND(),INPUTS!$B$28,INPUTS!$B$29))))</f>
        <v>2221289.67919428</v>
      </c>
      <c r="M143" s="85" t="n">
        <f aca="true">IF(M$5=0,L143,MAX(0,(L143-M$4)*(1+NORMINV(RAND(),INPUTS!$B$28,INPUTS!$B$29))))</f>
        <v>1989159.19957815</v>
      </c>
      <c r="N143" s="85" t="n">
        <f aca="true">IF(N$5=0,M143,MAX(0,(M143-N$4)*(1+NORMINV(RAND(),INPUTS!$B$28,INPUTS!$B$29))))</f>
        <v>2511994.48869466</v>
      </c>
      <c r="O143" s="85" t="n">
        <f aca="true">IF(O$5=0,N143,MAX(0,(N143-O$4)*(1+NORMINV(RAND(),INPUTS!$B$28,INPUTS!$B$29))))</f>
        <v>2552557.11304853</v>
      </c>
      <c r="P143" s="85" t="n">
        <f aca="true">IF(P$5=0,O143,MAX(0,(O143-P$4)*(1+NORMINV(RAND(),INPUTS!$B$28,INPUTS!$B$29))))</f>
        <v>3084695.08428564</v>
      </c>
      <c r="Q143" s="85" t="n">
        <f aca="true">IF(Q$5=0,P143,MAX(0,(P143-Q$4)*(1+NORMINV(RAND(),INPUTS!$B$28,INPUTS!$B$29))))</f>
        <v>2759045.08987436</v>
      </c>
      <c r="R143" s="85" t="n">
        <f aca="true">IF(R$5=0,Q143,MAX(0,(Q143-R$4)*(1+NORMINV(RAND(),INPUTS!$B$28,INPUTS!$B$29))))</f>
        <v>2387350.49488053</v>
      </c>
      <c r="S143" s="85" t="n">
        <f aca="true">IF(S$5=0,R143,MAX(0,(R143-S$4)*(1+NORMINV(RAND(),INPUTS!$B$28,INPUTS!$B$29))))</f>
        <v>3178293.34891238</v>
      </c>
      <c r="T143" s="85" t="n">
        <f aca="true">IF(T$5=0,S143,MAX(0,(S143-T$4)*(1+NORMINV(RAND(),INPUTS!$B$28,INPUTS!$B$29))))</f>
        <v>3413194.96345763</v>
      </c>
      <c r="U143" s="85" t="n">
        <f aca="true">IF(U$5=0,T143,MAX(0,(T143-U$4)*(1+NORMINV(RAND(),INPUTS!$B$28,INPUTS!$B$29))))</f>
        <v>3672176.4984442</v>
      </c>
      <c r="V143" s="85" t="n">
        <f aca="true">IF(V$5=0,U143,MAX(0,(U143-V$4)*(1+NORMINV(RAND(),INPUTS!$B$28,INPUTS!$B$29))))</f>
        <v>3842950.70595542</v>
      </c>
      <c r="W143" s="85" t="n">
        <f aca="true">IF(W$5=0,V143,MAX(0,(V143-W$4)*(1+NORMINV(RAND(),INPUTS!$B$28,INPUTS!$B$29))))</f>
        <v>3695982.20340141</v>
      </c>
      <c r="X143" s="85" t="n">
        <f aca="true">IF(X$5=0,W143,MAX(0,(W143-X$4)*(1+NORMINV(RAND(),INPUTS!$B$28,INPUTS!$B$29))))</f>
        <v>3836990.60161612</v>
      </c>
      <c r="Y143" s="85" t="n">
        <f aca="true">IF(Y$5=0,X143,MAX(0,(X143-Y$4)*(1+NORMINV(RAND(),INPUTS!$B$28,INPUTS!$B$29))))</f>
        <v>4047157.37673858</v>
      </c>
      <c r="Z143" s="85" t="n">
        <f aca="true">IF(Z$5=0,Y143,MAX(0,(Y143-Z$4)*(1+NORMINV(RAND(),INPUTS!$B$28,INPUTS!$B$29))))</f>
        <v>4772569.06957245</v>
      </c>
      <c r="AA143" s="85" t="n">
        <f aca="true">IF(AA$5=0,Z143,MAX(0,(Z143-AA$4)*(1+NORMINV(RAND(),INPUTS!$B$28,INPUTS!$B$29))))</f>
        <v>5177163.77193723</v>
      </c>
      <c r="AB143" s="85" t="n">
        <f aca="true">IF(AB$5=0,AA143,MAX(0,(AA143-AB$4)*(1+NORMINV(RAND(),INPUTS!$B$28,INPUTS!$B$29))))</f>
        <v>5563353.5933309</v>
      </c>
      <c r="AC143" s="85" t="n">
        <f aca="true">IF(AC$5=0,AB143,MAX(0,(AB143-AC$4)*(1+NORMINV(RAND(),INPUTS!$B$28,INPUTS!$B$29))))</f>
        <v>6613313.97681918</v>
      </c>
      <c r="AD143" s="85" t="n">
        <f aca="true">IF(AD$5=0,AC143,MAX(0,(AC143-AD$4)*(1+NORMINV(RAND(),INPUTS!$B$28,INPUTS!$B$29))))</f>
        <v>6809955.38651553</v>
      </c>
      <c r="AE143" s="85" t="n">
        <f aca="true">IF(AE$5=0,AD143,MAX(0,(AD143-AE$4)*(1+NORMINV(RAND(),INPUTS!$B$28,INPUTS!$B$29))))</f>
        <v>8022480.15520865</v>
      </c>
      <c r="AF143" s="85" t="n">
        <f aca="true">IF(AF$5=0,AE143,MAX(0,(AE143-AF$4)*(1+NORMINV(RAND(),INPUTS!$B$28,INPUTS!$B$29))))</f>
        <v>9663978.46863615</v>
      </c>
      <c r="AG143" s="85" t="n">
        <f aca="true">IF(AG$5=0,AF143,MAX(0,(AF143-AG$4)*(1+NORMINV(RAND(),INPUTS!$B$28,INPUTS!$B$29))))</f>
        <v>11168150.7747016</v>
      </c>
      <c r="AH143" s="85" t="n">
        <f aca="true">IF(AH$5=0,AG143,MAX(0,(AG143-AH$4)*(1+NORMINV(RAND(),INPUTS!$B$28,INPUTS!$B$29))))</f>
        <v>13443957.7807354</v>
      </c>
      <c r="AI143" s="85" t="n">
        <f aca="true">IF(AI$5=0,AH143,MAX(0,(AH143-AI$4)*(1+NORMINV(RAND(),INPUTS!$B$28,INPUTS!$B$29))))</f>
        <v>12458086.5979396</v>
      </c>
      <c r="AJ143" s="85" t="n">
        <f aca="true">IF(AJ$5=0,AI143,MAX(0,(AI143-AJ$4)*(1+NORMINV(RAND(),INPUTS!$B$28,INPUTS!$B$29))))</f>
        <v>12613566.8732596</v>
      </c>
      <c r="AK143" s="85" t="n">
        <f aca="true">IF(AK$5=0,AJ143,MAX(0,(AJ143-AK$4)*(1+NORMINV(RAND(),INPUTS!$B$28,INPUTS!$B$29))))</f>
        <v>12708133.8424073</v>
      </c>
      <c r="AL143" s="85" t="n">
        <f aca="true">IF(AL$5=0,AK143,MAX(0,(AK143-AL$4)*(1+NORMINV(RAND(),INPUTS!$B$28,INPUTS!$B$29))))</f>
        <v>14386764.6768766</v>
      </c>
      <c r="AM143" s="85" t="n">
        <f aca="true">IF(AM$5=0,AL143,MAX(0,(AL143-AM$4)*(1+NORMINV(RAND(),INPUTS!$B$28,INPUTS!$B$29))))</f>
        <v>14386764.6768766</v>
      </c>
      <c r="AN143" s="85" t="n">
        <f aca="true">IF(AN$5=0,AM143,MAX(0,(AM143-AN$4)*(1+NORMINV(RAND(),INPUTS!$B$28,INPUTS!$B$29))))</f>
        <v>14386764.6768766</v>
      </c>
      <c r="AO143" s="85" t="n">
        <f aca="true">IF(AO$5=0,AN143,MAX(0,(AN143-AO$4)*(1+NORMINV(RAND(),INPUTS!$B$28,INPUTS!$B$29))))</f>
        <v>14386764.6768766</v>
      </c>
      <c r="AP143" s="85" t="n">
        <f aca="true">IF(AP$5=0,AO143,MAX(0,(AO143-AP$4)*(1+NORMINV(RAND(),INPUTS!$B$28,INPUTS!$B$29))))</f>
        <v>14386764.6768766</v>
      </c>
    </row>
    <row r="144" customFormat="false" ht="15" hidden="false" customHeight="true" outlineLevel="0" collapsed="false">
      <c r="A144" s="83" t="n">
        <v>137</v>
      </c>
      <c r="B144" s="84" t="n">
        <f aca="false">LOOKUP(9.99E+307,C144:AP144)</f>
        <v>0</v>
      </c>
      <c r="C144" s="85" t="n">
        <f aca="true">IF(C$5=0,INPUTS!$B$19,MAX(0,(INPUTS!$B$19-C$4)*(1+NORMINV(RAND(),INPUTS!$B$28,INPUTS!$B$29))))</f>
        <v>989963.352308216</v>
      </c>
      <c r="D144" s="85" t="n">
        <f aca="true">IF(D$5=0,C144,MAX(0,(C144-D$4)*(1+NORMINV(RAND(),INPUTS!$B$28,INPUTS!$B$29))))</f>
        <v>1000494.59662773</v>
      </c>
      <c r="E144" s="85" t="n">
        <f aca="true">IF(E$5=0,D144,MAX(0,(D144-E$4)*(1+NORMINV(RAND(),INPUTS!$B$28,INPUTS!$B$29))))</f>
        <v>1075786.5986716</v>
      </c>
      <c r="F144" s="85" t="n">
        <f aca="true">IF(F$5=0,E144,MAX(0,(E144-F$4)*(1+NORMINV(RAND(),INPUTS!$B$28,INPUTS!$B$29))))</f>
        <v>1145445.28069196</v>
      </c>
      <c r="G144" s="85" t="n">
        <f aca="true">IF(G$5=0,F144,MAX(0,(F144-G$4)*(1+NORMINV(RAND(),INPUTS!$B$28,INPUTS!$B$29))))</f>
        <v>860792.916667991</v>
      </c>
      <c r="H144" s="85" t="n">
        <f aca="true">IF(H$5=0,G144,MAX(0,(G144-H$4)*(1+NORMINV(RAND(),INPUTS!$B$28,INPUTS!$B$29))))</f>
        <v>826028.266025033</v>
      </c>
      <c r="I144" s="85" t="n">
        <f aca="true">IF(I$5=0,H144,MAX(0,(H144-I$4)*(1+NORMINV(RAND(),INPUTS!$B$28,INPUTS!$B$29))))</f>
        <v>902726.480809536</v>
      </c>
      <c r="J144" s="85" t="n">
        <f aca="true">IF(J$5=0,I144,MAX(0,(I144-J$4)*(1+NORMINV(RAND(),INPUTS!$B$28,INPUTS!$B$29))))</f>
        <v>756048.823410823</v>
      </c>
      <c r="K144" s="85" t="n">
        <f aca="true">IF(K$5=0,J144,MAX(0,(J144-K$4)*(1+NORMINV(RAND(),INPUTS!$B$28,INPUTS!$B$29))))</f>
        <v>747819.666801952</v>
      </c>
      <c r="L144" s="85" t="n">
        <f aca="true">IF(L$5=0,K144,MAX(0,(K144-L$4)*(1+NORMINV(RAND(),INPUTS!$B$28,INPUTS!$B$29))))</f>
        <v>757044.811667616</v>
      </c>
      <c r="M144" s="85" t="n">
        <f aca="true">IF(M$5=0,L144,MAX(0,(L144-M$4)*(1+NORMINV(RAND(),INPUTS!$B$28,INPUTS!$B$29))))</f>
        <v>604894.896000678</v>
      </c>
      <c r="N144" s="85" t="n">
        <f aca="true">IF(N$5=0,M144,MAX(0,(M144-N$4)*(1+NORMINV(RAND(),INPUTS!$B$28,INPUTS!$B$29))))</f>
        <v>444081.73574355</v>
      </c>
      <c r="O144" s="85" t="n">
        <f aca="true">IF(O$5=0,N144,MAX(0,(N144-O$4)*(1+NORMINV(RAND(),INPUTS!$B$28,INPUTS!$B$29))))</f>
        <v>386088.199359921</v>
      </c>
      <c r="P144" s="85" t="n">
        <f aca="true">IF(P$5=0,O144,MAX(0,(O144-P$4)*(1+NORMINV(RAND(),INPUTS!$B$28,INPUTS!$B$29))))</f>
        <v>320831.203680743</v>
      </c>
      <c r="Q144" s="85" t="n">
        <f aca="true">IF(Q$5=0,P144,MAX(0,(P144-Q$4)*(1+NORMINV(RAND(),INPUTS!$B$28,INPUTS!$B$29))))</f>
        <v>219556.199774803</v>
      </c>
      <c r="R144" s="85" t="n">
        <f aca="true">IF(R$5=0,Q144,MAX(0,(Q144-R$4)*(1+NORMINV(RAND(),INPUTS!$B$28,INPUTS!$B$29))))</f>
        <v>187309.213996511</v>
      </c>
      <c r="S144" s="85" t="n">
        <f aca="true">IF(S$5=0,R144,MAX(0,(R144-S$4)*(1+NORMINV(RAND(),INPUTS!$B$28,INPUTS!$B$29))))</f>
        <v>133175.181956942</v>
      </c>
      <c r="T144" s="85" t="n">
        <f aca="true">IF(T$5=0,S144,MAX(0,(S144-T$4)*(1+NORMINV(RAND(),INPUTS!$B$28,INPUTS!$B$29))))</f>
        <v>76777.2112633422</v>
      </c>
      <c r="U144" s="85" t="n">
        <f aca="true">IF(U$5=0,T144,MAX(0,(T144-U$4)*(1+NORMINV(RAND(),INPUTS!$B$28,INPUTS!$B$29))))</f>
        <v>25306.3663165055</v>
      </c>
      <c r="V144" s="85" t="n">
        <f aca="true">IF(V$5=0,U144,MAX(0,(U144-V$4)*(1+NORMINV(RAND(),INPUTS!$B$28,INPUTS!$B$29))))</f>
        <v>0</v>
      </c>
      <c r="W144" s="85" t="n">
        <f aca="true">IF(W$5=0,V144,MAX(0,(V144-W$4)*(1+NORMINV(RAND(),INPUTS!$B$28,INPUTS!$B$29))))</f>
        <v>0</v>
      </c>
      <c r="X144" s="85" t="n">
        <f aca="true">IF(X$5=0,W144,MAX(0,(W144-X$4)*(1+NORMINV(RAND(),INPUTS!$B$28,INPUTS!$B$29))))</f>
        <v>0</v>
      </c>
      <c r="Y144" s="85" t="n">
        <f aca="true">IF(Y$5=0,X144,MAX(0,(X144-Y$4)*(1+NORMINV(RAND(),INPUTS!$B$28,INPUTS!$B$29))))</f>
        <v>0</v>
      </c>
      <c r="Z144" s="85" t="n">
        <f aca="true">IF(Z$5=0,Y144,MAX(0,(Y144-Z$4)*(1+NORMINV(RAND(),INPUTS!$B$28,INPUTS!$B$29))))</f>
        <v>0</v>
      </c>
      <c r="AA144" s="85" t="n">
        <f aca="true">IF(AA$5=0,Z144,MAX(0,(Z144-AA$4)*(1+NORMINV(RAND(),INPUTS!$B$28,INPUTS!$B$29))))</f>
        <v>0</v>
      </c>
      <c r="AB144" s="85" t="n">
        <f aca="true">IF(AB$5=0,AA144,MAX(0,(AA144-AB$4)*(1+NORMINV(RAND(),INPUTS!$B$28,INPUTS!$B$29))))</f>
        <v>0</v>
      </c>
      <c r="AC144" s="85" t="n">
        <f aca="true">IF(AC$5=0,AB144,MAX(0,(AB144-AC$4)*(1+NORMINV(RAND(),INPUTS!$B$28,INPUTS!$B$29))))</f>
        <v>0</v>
      </c>
      <c r="AD144" s="85" t="n">
        <f aca="true">IF(AD$5=0,AC144,MAX(0,(AC144-AD$4)*(1+NORMINV(RAND(),INPUTS!$B$28,INPUTS!$B$29))))</f>
        <v>0</v>
      </c>
      <c r="AE144" s="85" t="n">
        <f aca="true">IF(AE$5=0,AD144,MAX(0,(AD144-AE$4)*(1+NORMINV(RAND(),INPUTS!$B$28,INPUTS!$B$29))))</f>
        <v>0</v>
      </c>
      <c r="AF144" s="85" t="n">
        <f aca="true">IF(AF$5=0,AE144,MAX(0,(AE144-AF$4)*(1+NORMINV(RAND(),INPUTS!$B$28,INPUTS!$B$29))))</f>
        <v>0</v>
      </c>
      <c r="AG144" s="85" t="n">
        <f aca="true">IF(AG$5=0,AF144,MAX(0,(AF144-AG$4)*(1+NORMINV(RAND(),INPUTS!$B$28,INPUTS!$B$29))))</f>
        <v>0</v>
      </c>
      <c r="AH144" s="85" t="n">
        <f aca="true">IF(AH$5=0,AG144,MAX(0,(AG144-AH$4)*(1+NORMINV(RAND(),INPUTS!$B$28,INPUTS!$B$29))))</f>
        <v>0</v>
      </c>
      <c r="AI144" s="85" t="n">
        <f aca="true">IF(AI$5=0,AH144,MAX(0,(AH144-AI$4)*(1+NORMINV(RAND(),INPUTS!$B$28,INPUTS!$B$29))))</f>
        <v>0</v>
      </c>
      <c r="AJ144" s="85" t="n">
        <f aca="true">IF(AJ$5=0,AI144,MAX(0,(AI144-AJ$4)*(1+NORMINV(RAND(),INPUTS!$B$28,INPUTS!$B$29))))</f>
        <v>0</v>
      </c>
      <c r="AK144" s="85" t="n">
        <f aca="true">IF(AK$5=0,AJ144,MAX(0,(AJ144-AK$4)*(1+NORMINV(RAND(),INPUTS!$B$28,INPUTS!$B$29))))</f>
        <v>0</v>
      </c>
      <c r="AL144" s="85" t="n">
        <f aca="true">IF(AL$5=0,AK144,MAX(0,(AK144-AL$4)*(1+NORMINV(RAND(),INPUTS!$B$28,INPUTS!$B$29))))</f>
        <v>0</v>
      </c>
      <c r="AM144" s="85" t="n">
        <f aca="true">IF(AM$5=0,AL144,MAX(0,(AL144-AM$4)*(1+NORMINV(RAND(),INPUTS!$B$28,INPUTS!$B$29))))</f>
        <v>0</v>
      </c>
      <c r="AN144" s="85" t="n">
        <f aca="true">IF(AN$5=0,AM144,MAX(0,(AM144-AN$4)*(1+NORMINV(RAND(),INPUTS!$B$28,INPUTS!$B$29))))</f>
        <v>0</v>
      </c>
      <c r="AO144" s="85" t="n">
        <f aca="true">IF(AO$5=0,AN144,MAX(0,(AN144-AO$4)*(1+NORMINV(RAND(),INPUTS!$B$28,INPUTS!$B$29))))</f>
        <v>0</v>
      </c>
      <c r="AP144" s="85" t="n">
        <f aca="true">IF(AP$5=0,AO144,MAX(0,(AO144-AP$4)*(1+NORMINV(RAND(),INPUTS!$B$28,INPUTS!$B$29))))</f>
        <v>0</v>
      </c>
    </row>
    <row r="145" customFormat="false" ht="15" hidden="false" customHeight="true" outlineLevel="0" collapsed="false">
      <c r="A145" s="83" t="n">
        <v>138</v>
      </c>
      <c r="B145" s="84" t="n">
        <f aca="false">LOOKUP(9.99E+307,C145:AP145)</f>
        <v>29698.2106162197</v>
      </c>
      <c r="C145" s="85" t="n">
        <f aca="true">IF(C$5=0,INPUTS!$B$19,MAX(0,(INPUTS!$B$19-C$4)*(1+NORMINV(RAND(),INPUTS!$B$28,INPUTS!$B$29))))</f>
        <v>1462541.64829459</v>
      </c>
      <c r="D145" s="85" t="n">
        <f aca="true">IF(D$5=0,C145,MAX(0,(C145-D$4)*(1+NORMINV(RAND(),INPUTS!$B$28,INPUTS!$B$29))))</f>
        <v>1212485.17023997</v>
      </c>
      <c r="E145" s="85" t="n">
        <f aca="true">IF(E$5=0,D145,MAX(0,(D145-E$4)*(1+NORMINV(RAND(),INPUTS!$B$28,INPUTS!$B$29))))</f>
        <v>1446143.48883132</v>
      </c>
      <c r="F145" s="85" t="n">
        <f aca="true">IF(F$5=0,E145,MAX(0,(E145-F$4)*(1+NORMINV(RAND(),INPUTS!$B$28,INPUTS!$B$29))))</f>
        <v>1016644.74060183</v>
      </c>
      <c r="G145" s="85" t="n">
        <f aca="true">IF(G$5=0,F145,MAX(0,(F145-G$4)*(1+NORMINV(RAND(),INPUTS!$B$28,INPUTS!$B$29))))</f>
        <v>955761.358942799</v>
      </c>
      <c r="H145" s="85" t="n">
        <f aca="true">IF(H$5=0,G145,MAX(0,(G145-H$4)*(1+NORMINV(RAND(),INPUTS!$B$28,INPUTS!$B$29))))</f>
        <v>953580.635109566</v>
      </c>
      <c r="I145" s="85" t="n">
        <f aca="true">IF(I$5=0,H145,MAX(0,(H145-I$4)*(1+NORMINV(RAND(),INPUTS!$B$28,INPUTS!$B$29))))</f>
        <v>986559.000340914</v>
      </c>
      <c r="J145" s="85" t="n">
        <f aca="true">IF(J$5=0,I145,MAX(0,(I145-J$4)*(1+NORMINV(RAND(),INPUTS!$B$28,INPUTS!$B$29))))</f>
        <v>1047303.33323413</v>
      </c>
      <c r="K145" s="85" t="n">
        <f aca="true">IF(K$5=0,J145,MAX(0,(J145-K$4)*(1+NORMINV(RAND(),INPUTS!$B$28,INPUTS!$B$29))))</f>
        <v>1114149.32515419</v>
      </c>
      <c r="L145" s="85" t="n">
        <f aca="true">IF(L$5=0,K145,MAX(0,(K145-L$4)*(1+NORMINV(RAND(),INPUTS!$B$28,INPUTS!$B$29))))</f>
        <v>1068243.46839388</v>
      </c>
      <c r="M145" s="85" t="n">
        <f aca="true">IF(M$5=0,L145,MAX(0,(L145-M$4)*(1+NORMINV(RAND(),INPUTS!$B$28,INPUTS!$B$29))))</f>
        <v>1006257.96595741</v>
      </c>
      <c r="N145" s="85" t="n">
        <f aca="true">IF(N$5=0,M145,MAX(0,(M145-N$4)*(1+NORMINV(RAND(),INPUTS!$B$28,INPUTS!$B$29))))</f>
        <v>1069537.6394036</v>
      </c>
      <c r="O145" s="85" t="n">
        <f aca="true">IF(O$5=0,N145,MAX(0,(N145-O$4)*(1+NORMINV(RAND(),INPUTS!$B$28,INPUTS!$B$29))))</f>
        <v>1025150.83670165</v>
      </c>
      <c r="P145" s="85" t="n">
        <f aca="true">IF(P$5=0,O145,MAX(0,(O145-P$4)*(1+NORMINV(RAND(),INPUTS!$B$28,INPUTS!$B$29))))</f>
        <v>958107.95402608</v>
      </c>
      <c r="Q145" s="85" t="n">
        <f aca="true">IF(Q$5=0,P145,MAX(0,(P145-Q$4)*(1+NORMINV(RAND(),INPUTS!$B$28,INPUTS!$B$29))))</f>
        <v>1025504.29695406</v>
      </c>
      <c r="R145" s="85" t="n">
        <f aca="true">IF(R$5=0,Q145,MAX(0,(Q145-R$4)*(1+NORMINV(RAND(),INPUTS!$B$28,INPUTS!$B$29))))</f>
        <v>996227.383891192</v>
      </c>
      <c r="S145" s="85" t="n">
        <f aca="true">IF(S$5=0,R145,MAX(0,(R145-S$4)*(1+NORMINV(RAND(),INPUTS!$B$28,INPUTS!$B$29))))</f>
        <v>969650.745589209</v>
      </c>
      <c r="T145" s="85" t="n">
        <f aca="true">IF(T$5=0,S145,MAX(0,(S145-T$4)*(1+NORMINV(RAND(),INPUTS!$B$28,INPUTS!$B$29))))</f>
        <v>1012296.61405322</v>
      </c>
      <c r="U145" s="85" t="n">
        <f aca="true">IF(U$5=0,T145,MAX(0,(T145-U$4)*(1+NORMINV(RAND(),INPUTS!$B$28,INPUTS!$B$29))))</f>
        <v>958762.961624858</v>
      </c>
      <c r="V145" s="85" t="n">
        <f aca="true">IF(V$5=0,U145,MAX(0,(U145-V$4)*(1+NORMINV(RAND(),INPUTS!$B$28,INPUTS!$B$29))))</f>
        <v>850853.759311945</v>
      </c>
      <c r="W145" s="85" t="n">
        <f aca="true">IF(W$5=0,V145,MAX(0,(V145-W$4)*(1+NORMINV(RAND(),INPUTS!$B$28,INPUTS!$B$29))))</f>
        <v>602690.130333845</v>
      </c>
      <c r="X145" s="85" t="n">
        <f aca="true">IF(X$5=0,W145,MAX(0,(W145-X$4)*(1+NORMINV(RAND(),INPUTS!$B$28,INPUTS!$B$29))))</f>
        <v>584209.491994187</v>
      </c>
      <c r="Y145" s="85" t="n">
        <f aca="true">IF(Y$5=0,X145,MAX(0,(X145-Y$4)*(1+NORMINV(RAND(),INPUTS!$B$28,INPUTS!$B$29))))</f>
        <v>621428.234795394</v>
      </c>
      <c r="Z145" s="85" t="n">
        <f aca="true">IF(Z$5=0,Y145,MAX(0,(Y145-Z$4)*(1+NORMINV(RAND(),INPUTS!$B$28,INPUTS!$B$29))))</f>
        <v>570878.991200047</v>
      </c>
      <c r="AA145" s="85" t="n">
        <f aca="true">IF(AA$5=0,Z145,MAX(0,(Z145-AA$4)*(1+NORMINV(RAND(),INPUTS!$B$28,INPUTS!$B$29))))</f>
        <v>550519.063294257</v>
      </c>
      <c r="AB145" s="85" t="n">
        <f aca="true">IF(AB$5=0,AA145,MAX(0,(AA145-AB$4)*(1+NORMINV(RAND(),INPUTS!$B$28,INPUTS!$B$29))))</f>
        <v>457300.881273282</v>
      </c>
      <c r="AC145" s="85" t="n">
        <f aca="true">IF(AC$5=0,AB145,MAX(0,(AB145-AC$4)*(1+NORMINV(RAND(),INPUTS!$B$28,INPUTS!$B$29))))</f>
        <v>413249.561920259</v>
      </c>
      <c r="AD145" s="85" t="n">
        <f aca="true">IF(AD$5=0,AC145,MAX(0,(AC145-AD$4)*(1+NORMINV(RAND(),INPUTS!$B$28,INPUTS!$B$29))))</f>
        <v>377546.379201834</v>
      </c>
      <c r="AE145" s="85" t="n">
        <f aca="true">IF(AE$5=0,AD145,MAX(0,(AD145-AE$4)*(1+NORMINV(RAND(),INPUTS!$B$28,INPUTS!$B$29))))</f>
        <v>379612.88599783</v>
      </c>
      <c r="AF145" s="85" t="n">
        <f aca="true">IF(AF$5=0,AE145,MAX(0,(AE145-AF$4)*(1+NORMINV(RAND(),INPUTS!$B$28,INPUTS!$B$29))))</f>
        <v>331410.522704508</v>
      </c>
      <c r="AG145" s="85" t="n">
        <f aca="true">IF(AG$5=0,AF145,MAX(0,(AF145-AG$4)*(1+NORMINV(RAND(),INPUTS!$B$28,INPUTS!$B$29))))</f>
        <v>329006.033263108</v>
      </c>
      <c r="AH145" s="85" t="n">
        <f aca="true">IF(AH$5=0,AG145,MAX(0,(AG145-AH$4)*(1+NORMINV(RAND(),INPUTS!$B$28,INPUTS!$B$29))))</f>
        <v>274243.147625561</v>
      </c>
      <c r="AI145" s="85" t="n">
        <f aca="true">IF(AI$5=0,AH145,MAX(0,(AH145-AI$4)*(1+NORMINV(RAND(),INPUTS!$B$28,INPUTS!$B$29))))</f>
        <v>246174.171093833</v>
      </c>
      <c r="AJ145" s="85" t="n">
        <f aca="true">IF(AJ$5=0,AI145,MAX(0,(AI145-AJ$4)*(1+NORMINV(RAND(),INPUTS!$B$28,INPUTS!$B$29))))</f>
        <v>170498.248117172</v>
      </c>
      <c r="AK145" s="85" t="n">
        <f aca="true">IF(AK$5=0,AJ145,MAX(0,(AJ145-AK$4)*(1+NORMINV(RAND(),INPUTS!$B$28,INPUTS!$B$29))))</f>
        <v>105344.296188591</v>
      </c>
      <c r="AL145" s="85" t="n">
        <f aca="true">IF(AL$5=0,AK145,MAX(0,(AK145-AL$4)*(1+NORMINV(RAND(),INPUTS!$B$28,INPUTS!$B$29))))</f>
        <v>29698.2106162197</v>
      </c>
      <c r="AM145" s="85" t="n">
        <f aca="true">IF(AM$5=0,AL145,MAX(0,(AL145-AM$4)*(1+NORMINV(RAND(),INPUTS!$B$28,INPUTS!$B$29))))</f>
        <v>29698.2106162197</v>
      </c>
      <c r="AN145" s="85" t="n">
        <f aca="true">IF(AN$5=0,AM145,MAX(0,(AM145-AN$4)*(1+NORMINV(RAND(),INPUTS!$B$28,INPUTS!$B$29))))</f>
        <v>29698.2106162197</v>
      </c>
      <c r="AO145" s="85" t="n">
        <f aca="true">IF(AO$5=0,AN145,MAX(0,(AN145-AO$4)*(1+NORMINV(RAND(),INPUTS!$B$28,INPUTS!$B$29))))</f>
        <v>29698.2106162197</v>
      </c>
      <c r="AP145" s="85" t="n">
        <f aca="true">IF(AP$5=0,AO145,MAX(0,(AO145-AP$4)*(1+NORMINV(RAND(),INPUTS!$B$28,INPUTS!$B$29))))</f>
        <v>29698.2106162197</v>
      </c>
    </row>
    <row r="146" customFormat="false" ht="15" hidden="false" customHeight="true" outlineLevel="0" collapsed="false">
      <c r="A146" s="83" t="n">
        <v>139</v>
      </c>
      <c r="B146" s="84" t="n">
        <f aca="false">LOOKUP(9.99E+307,C146:AP146)</f>
        <v>3533248.49216593</v>
      </c>
      <c r="C146" s="85" t="n">
        <f aca="true">IF(C$5=0,INPUTS!$B$19,MAX(0,(INPUTS!$B$19-C$4)*(1+NORMINV(RAND(),INPUTS!$B$28,INPUTS!$B$29))))</f>
        <v>1262578.06117641</v>
      </c>
      <c r="D146" s="85" t="n">
        <f aca="true">IF(D$5=0,C146,MAX(0,(C146-D$4)*(1+NORMINV(RAND(),INPUTS!$B$28,INPUTS!$B$29))))</f>
        <v>1213253.31264441</v>
      </c>
      <c r="E146" s="85" t="n">
        <f aca="true">IF(E$5=0,D146,MAX(0,(D146-E$4)*(1+NORMINV(RAND(),INPUTS!$B$28,INPUTS!$B$29))))</f>
        <v>1248541.43151736</v>
      </c>
      <c r="F146" s="85" t="n">
        <f aca="true">IF(F$5=0,E146,MAX(0,(E146-F$4)*(1+NORMINV(RAND(),INPUTS!$B$28,INPUTS!$B$29))))</f>
        <v>1360648.69216621</v>
      </c>
      <c r="G146" s="85" t="n">
        <f aca="true">IF(G$5=0,F146,MAX(0,(F146-G$4)*(1+NORMINV(RAND(),INPUTS!$B$28,INPUTS!$B$29))))</f>
        <v>1437843.5840698</v>
      </c>
      <c r="H146" s="85" t="n">
        <f aca="true">IF(H$5=0,G146,MAX(0,(G146-H$4)*(1+NORMINV(RAND(),INPUTS!$B$28,INPUTS!$B$29))))</f>
        <v>1721707.42627155</v>
      </c>
      <c r="I146" s="85" t="n">
        <f aca="true">IF(I$5=0,H146,MAX(0,(H146-I$4)*(1+NORMINV(RAND(),INPUTS!$B$28,INPUTS!$B$29))))</f>
        <v>1881564.94510868</v>
      </c>
      <c r="J146" s="85" t="n">
        <f aca="true">IF(J$5=0,I146,MAX(0,(I146-J$4)*(1+NORMINV(RAND(),INPUTS!$B$28,INPUTS!$B$29))))</f>
        <v>1925563.34324655</v>
      </c>
      <c r="K146" s="85" t="n">
        <f aca="true">IF(K$5=0,J146,MAX(0,(J146-K$4)*(1+NORMINV(RAND(),INPUTS!$B$28,INPUTS!$B$29))))</f>
        <v>1977046.08038629</v>
      </c>
      <c r="L146" s="85" t="n">
        <f aca="true">IF(L$5=0,K146,MAX(0,(K146-L$4)*(1+NORMINV(RAND(),INPUTS!$B$28,INPUTS!$B$29))))</f>
        <v>1813157.99858425</v>
      </c>
      <c r="M146" s="85" t="n">
        <f aca="true">IF(M$5=0,L146,MAX(0,(L146-M$4)*(1+NORMINV(RAND(),INPUTS!$B$28,INPUTS!$B$29))))</f>
        <v>1531551.07894039</v>
      </c>
      <c r="N146" s="85" t="n">
        <f aca="true">IF(N$5=0,M146,MAX(0,(M146-N$4)*(1+NORMINV(RAND(),INPUTS!$B$28,INPUTS!$B$29))))</f>
        <v>1342979.10226967</v>
      </c>
      <c r="O146" s="85" t="n">
        <f aca="true">IF(O$5=0,N146,MAX(0,(N146-O$4)*(1+NORMINV(RAND(),INPUTS!$B$28,INPUTS!$B$29))))</f>
        <v>1378721.19058077</v>
      </c>
      <c r="P146" s="85" t="n">
        <f aca="true">IF(P$5=0,O146,MAX(0,(O146-P$4)*(1+NORMINV(RAND(),INPUTS!$B$28,INPUTS!$B$29))))</f>
        <v>1286433.49448575</v>
      </c>
      <c r="Q146" s="85" t="n">
        <f aca="true">IF(Q$5=0,P146,MAX(0,(P146-Q$4)*(1+NORMINV(RAND(),INPUTS!$B$28,INPUTS!$B$29))))</f>
        <v>1377757.93782223</v>
      </c>
      <c r="R146" s="85" t="n">
        <f aca="true">IF(R$5=0,Q146,MAX(0,(Q146-R$4)*(1+NORMINV(RAND(),INPUTS!$B$28,INPUTS!$B$29))))</f>
        <v>1368751.15966965</v>
      </c>
      <c r="S146" s="85" t="n">
        <f aca="true">IF(S$5=0,R146,MAX(0,(R146-S$4)*(1+NORMINV(RAND(),INPUTS!$B$28,INPUTS!$B$29))))</f>
        <v>1414469.88225267</v>
      </c>
      <c r="T146" s="85" t="n">
        <f aca="true">IF(T$5=0,S146,MAX(0,(S146-T$4)*(1+NORMINV(RAND(),INPUTS!$B$28,INPUTS!$B$29))))</f>
        <v>1732804.83281111</v>
      </c>
      <c r="U146" s="85" t="n">
        <f aca="true">IF(U$5=0,T146,MAX(0,(T146-U$4)*(1+NORMINV(RAND(),INPUTS!$B$28,INPUTS!$B$29))))</f>
        <v>1608341.89055358</v>
      </c>
      <c r="V146" s="85" t="n">
        <f aca="true">IF(V$5=0,U146,MAX(0,(U146-V$4)*(1+NORMINV(RAND(),INPUTS!$B$28,INPUTS!$B$29))))</f>
        <v>1742826.8352146</v>
      </c>
      <c r="W146" s="85" t="n">
        <f aca="true">IF(W$5=0,V146,MAX(0,(V146-W$4)*(1+NORMINV(RAND(),INPUTS!$B$28,INPUTS!$B$29))))</f>
        <v>1899134.34889026</v>
      </c>
      <c r="X146" s="85" t="n">
        <f aca="true">IF(X$5=0,W146,MAX(0,(W146-X$4)*(1+NORMINV(RAND(),INPUTS!$B$28,INPUTS!$B$29))))</f>
        <v>1958315.09022762</v>
      </c>
      <c r="Y146" s="85" t="n">
        <f aca="true">IF(Y$5=0,X146,MAX(0,(X146-Y$4)*(1+NORMINV(RAND(),INPUTS!$B$28,INPUTS!$B$29))))</f>
        <v>1736261.68047975</v>
      </c>
      <c r="Z146" s="85" t="n">
        <f aca="true">IF(Z$5=0,Y146,MAX(0,(Y146-Z$4)*(1+NORMINV(RAND(),INPUTS!$B$28,INPUTS!$B$29))))</f>
        <v>1664635.30881495</v>
      </c>
      <c r="AA146" s="85" t="n">
        <f aca="true">IF(AA$5=0,Z146,MAX(0,(Z146-AA$4)*(1+NORMINV(RAND(),INPUTS!$B$28,INPUTS!$B$29))))</f>
        <v>1511035.74416342</v>
      </c>
      <c r="AB146" s="85" t="n">
        <f aca="true">IF(AB$5=0,AA146,MAX(0,(AA146-AB$4)*(1+NORMINV(RAND(),INPUTS!$B$28,INPUTS!$B$29))))</f>
        <v>1533936.38675048</v>
      </c>
      <c r="AC146" s="85" t="n">
        <f aca="true">IF(AC$5=0,AB146,MAX(0,(AB146-AC$4)*(1+NORMINV(RAND(),INPUTS!$B$28,INPUTS!$B$29))))</f>
        <v>1526289.88191749</v>
      </c>
      <c r="AD146" s="85" t="n">
        <f aca="true">IF(AD$5=0,AC146,MAX(0,(AC146-AD$4)*(1+NORMINV(RAND(),INPUTS!$B$28,INPUTS!$B$29))))</f>
        <v>1552888.46036422</v>
      </c>
      <c r="AE146" s="85" t="n">
        <f aca="true">IF(AE$5=0,AD146,MAX(0,(AD146-AE$4)*(1+NORMINV(RAND(),INPUTS!$B$28,INPUTS!$B$29))))</f>
        <v>1563188.26861983</v>
      </c>
      <c r="AF146" s="85" t="n">
        <f aca="true">IF(AF$5=0,AE146,MAX(0,(AE146-AF$4)*(1+NORMINV(RAND(),INPUTS!$B$28,INPUTS!$B$29))))</f>
        <v>1715736.35993809</v>
      </c>
      <c r="AG146" s="85" t="n">
        <f aca="true">IF(AG$5=0,AF146,MAX(0,(AF146-AG$4)*(1+NORMINV(RAND(),INPUTS!$B$28,INPUTS!$B$29))))</f>
        <v>1760651.21925928</v>
      </c>
      <c r="AH146" s="85" t="n">
        <f aca="true">IF(AH$5=0,AG146,MAX(0,(AG146-AH$4)*(1+NORMINV(RAND(),INPUTS!$B$28,INPUTS!$B$29))))</f>
        <v>2029761.44809524</v>
      </c>
      <c r="AI146" s="85" t="n">
        <f aca="true">IF(AI$5=0,AH146,MAX(0,(AH146-AI$4)*(1+NORMINV(RAND(),INPUTS!$B$28,INPUTS!$B$29))))</f>
        <v>2218692.57228775</v>
      </c>
      <c r="AJ146" s="85" t="n">
        <f aca="true">IF(AJ$5=0,AI146,MAX(0,(AI146-AJ$4)*(1+NORMINV(RAND(),INPUTS!$B$28,INPUTS!$B$29))))</f>
        <v>2635607.2016823</v>
      </c>
      <c r="AK146" s="85" t="n">
        <f aca="true">IF(AK$5=0,AJ146,MAX(0,(AJ146-AK$4)*(1+NORMINV(RAND(),INPUTS!$B$28,INPUTS!$B$29))))</f>
        <v>3080624.10916948</v>
      </c>
      <c r="AL146" s="85" t="n">
        <f aca="true">IF(AL$5=0,AK146,MAX(0,(AK146-AL$4)*(1+NORMINV(RAND(),INPUTS!$B$28,INPUTS!$B$29))))</f>
        <v>3533248.49216593</v>
      </c>
      <c r="AM146" s="85" t="n">
        <f aca="true">IF(AM$5=0,AL146,MAX(0,(AL146-AM$4)*(1+NORMINV(RAND(),INPUTS!$B$28,INPUTS!$B$29))))</f>
        <v>3533248.49216593</v>
      </c>
      <c r="AN146" s="85" t="n">
        <f aca="true">IF(AN$5=0,AM146,MAX(0,(AM146-AN$4)*(1+NORMINV(RAND(),INPUTS!$B$28,INPUTS!$B$29))))</f>
        <v>3533248.49216593</v>
      </c>
      <c r="AO146" s="85" t="n">
        <f aca="true">IF(AO$5=0,AN146,MAX(0,(AN146-AO$4)*(1+NORMINV(RAND(),INPUTS!$B$28,INPUTS!$B$29))))</f>
        <v>3533248.49216593</v>
      </c>
      <c r="AP146" s="85" t="n">
        <f aca="true">IF(AP$5=0,AO146,MAX(0,(AO146-AP$4)*(1+NORMINV(RAND(),INPUTS!$B$28,INPUTS!$B$29))))</f>
        <v>3533248.49216593</v>
      </c>
    </row>
    <row r="147" customFormat="false" ht="15" hidden="false" customHeight="true" outlineLevel="0" collapsed="false">
      <c r="A147" s="83" t="n">
        <v>140</v>
      </c>
      <c r="B147" s="84" t="n">
        <f aca="false">LOOKUP(9.99E+307,C147:AP147)</f>
        <v>0</v>
      </c>
      <c r="C147" s="85" t="n">
        <f aca="true">IF(C$5=0,INPUTS!$B$19,MAX(0,(INPUTS!$B$19-C$4)*(1+NORMINV(RAND(),INPUTS!$B$28,INPUTS!$B$29))))</f>
        <v>1071609.57716234</v>
      </c>
      <c r="D147" s="85" t="n">
        <f aca="true">IF(D$5=0,C147,MAX(0,(C147-D$4)*(1+NORMINV(RAND(),INPUTS!$B$28,INPUTS!$B$29))))</f>
        <v>1185837.50745539</v>
      </c>
      <c r="E147" s="85" t="n">
        <f aca="true">IF(E$5=0,D147,MAX(0,(D147-E$4)*(1+NORMINV(RAND(),INPUTS!$B$28,INPUTS!$B$29))))</f>
        <v>1183944.0346641</v>
      </c>
      <c r="F147" s="85" t="n">
        <f aca="true">IF(F$5=0,E147,MAX(0,(E147-F$4)*(1+NORMINV(RAND(),INPUTS!$B$28,INPUTS!$B$29))))</f>
        <v>1292886.45855909</v>
      </c>
      <c r="G147" s="85" t="n">
        <f aca="true">IF(G$5=0,F147,MAX(0,(F147-G$4)*(1+NORMINV(RAND(),INPUTS!$B$28,INPUTS!$B$29))))</f>
        <v>1201688.20412419</v>
      </c>
      <c r="H147" s="85" t="n">
        <f aca="true">IF(H$5=0,G147,MAX(0,(G147-H$4)*(1+NORMINV(RAND(),INPUTS!$B$28,INPUTS!$B$29))))</f>
        <v>866439.179561266</v>
      </c>
      <c r="I147" s="85" t="n">
        <f aca="true">IF(I$5=0,H147,MAX(0,(H147-I$4)*(1+NORMINV(RAND(),INPUTS!$B$28,INPUTS!$B$29))))</f>
        <v>875200.891468069</v>
      </c>
      <c r="J147" s="85" t="n">
        <f aca="true">IF(J$5=0,I147,MAX(0,(I147-J$4)*(1+NORMINV(RAND(),INPUTS!$B$28,INPUTS!$B$29))))</f>
        <v>779847.262003796</v>
      </c>
      <c r="K147" s="85" t="n">
        <f aca="true">IF(K$5=0,J147,MAX(0,(J147-K$4)*(1+NORMINV(RAND(),INPUTS!$B$28,INPUTS!$B$29))))</f>
        <v>741358.385528281</v>
      </c>
      <c r="L147" s="85" t="n">
        <f aca="true">IF(L$5=0,K147,MAX(0,(K147-L$4)*(1+NORMINV(RAND(),INPUTS!$B$28,INPUTS!$B$29))))</f>
        <v>732153.814234236</v>
      </c>
      <c r="M147" s="85" t="n">
        <f aca="true">IF(M$5=0,L147,MAX(0,(L147-M$4)*(1+NORMINV(RAND(),INPUTS!$B$28,INPUTS!$B$29))))</f>
        <v>810526.972366065</v>
      </c>
      <c r="N147" s="85" t="n">
        <f aca="true">IF(N$5=0,M147,MAX(0,(M147-N$4)*(1+NORMINV(RAND(),INPUTS!$B$28,INPUTS!$B$29))))</f>
        <v>800060.305523004</v>
      </c>
      <c r="O147" s="85" t="n">
        <f aca="true">IF(O$5=0,N147,MAX(0,(N147-O$4)*(1+NORMINV(RAND(),INPUTS!$B$28,INPUTS!$B$29))))</f>
        <v>685095.297220216</v>
      </c>
      <c r="P147" s="85" t="n">
        <f aca="true">IF(P$5=0,O147,MAX(0,(O147-P$4)*(1+NORMINV(RAND(),INPUTS!$B$28,INPUTS!$B$29))))</f>
        <v>631127.505405544</v>
      </c>
      <c r="Q147" s="85" t="n">
        <f aca="true">IF(Q$5=0,P147,MAX(0,(P147-Q$4)*(1+NORMINV(RAND(),INPUTS!$B$28,INPUTS!$B$29))))</f>
        <v>564417.830687233</v>
      </c>
      <c r="R147" s="85" t="n">
        <f aca="true">IF(R$5=0,Q147,MAX(0,(Q147-R$4)*(1+NORMINV(RAND(),INPUTS!$B$28,INPUTS!$B$29))))</f>
        <v>587001.946435205</v>
      </c>
      <c r="S147" s="85" t="n">
        <f aca="true">IF(S$5=0,R147,MAX(0,(R147-S$4)*(1+NORMINV(RAND(),INPUTS!$B$28,INPUTS!$B$29))))</f>
        <v>593489.839047961</v>
      </c>
      <c r="T147" s="85" t="n">
        <f aca="true">IF(T$5=0,S147,MAX(0,(S147-T$4)*(1+NORMINV(RAND(),INPUTS!$B$28,INPUTS!$B$29))))</f>
        <v>525541.448587093</v>
      </c>
      <c r="U147" s="85" t="n">
        <f aca="true">IF(U$5=0,T147,MAX(0,(T147-U$4)*(1+NORMINV(RAND(),INPUTS!$B$28,INPUTS!$B$29))))</f>
        <v>565964.223129745</v>
      </c>
      <c r="V147" s="85" t="n">
        <f aca="true">IF(V$5=0,U147,MAX(0,(U147-V$4)*(1+NORMINV(RAND(),INPUTS!$B$28,INPUTS!$B$29))))</f>
        <v>498313.276056768</v>
      </c>
      <c r="W147" s="85" t="n">
        <f aca="true">IF(W$5=0,V147,MAX(0,(V147-W$4)*(1+NORMINV(RAND(),INPUTS!$B$28,INPUTS!$B$29))))</f>
        <v>454126.184689587</v>
      </c>
      <c r="X147" s="85" t="n">
        <f aca="true">IF(X$5=0,W147,MAX(0,(W147-X$4)*(1+NORMINV(RAND(),INPUTS!$B$28,INPUTS!$B$29))))</f>
        <v>347030.699306919</v>
      </c>
      <c r="Y147" s="85" t="n">
        <f aca="true">IF(Y$5=0,X147,MAX(0,(X147-Y$4)*(1+NORMINV(RAND(),INPUTS!$B$28,INPUTS!$B$29))))</f>
        <v>316161.692584098</v>
      </c>
      <c r="Z147" s="85" t="n">
        <f aca="true">IF(Z$5=0,Y147,MAX(0,(Y147-Z$4)*(1+NORMINV(RAND(),INPUTS!$B$28,INPUTS!$B$29))))</f>
        <v>316886.198435297</v>
      </c>
      <c r="AA147" s="85" t="n">
        <f aca="true">IF(AA$5=0,Z147,MAX(0,(Z147-AA$4)*(1+NORMINV(RAND(),INPUTS!$B$28,INPUTS!$B$29))))</f>
        <v>250504.890338129</v>
      </c>
      <c r="AB147" s="85" t="n">
        <f aca="true">IF(AB$5=0,AA147,MAX(0,(AA147-AB$4)*(1+NORMINV(RAND(),INPUTS!$B$28,INPUTS!$B$29))))</f>
        <v>206802.080016138</v>
      </c>
      <c r="AC147" s="85" t="n">
        <f aca="true">IF(AC$5=0,AB147,MAX(0,(AB147-AC$4)*(1+NORMINV(RAND(),INPUTS!$B$28,INPUTS!$B$29))))</f>
        <v>160882.13636772</v>
      </c>
      <c r="AD147" s="85" t="n">
        <f aca="true">IF(AD$5=0,AC147,MAX(0,(AC147-AD$4)*(1+NORMINV(RAND(),INPUTS!$B$28,INPUTS!$B$29))))</f>
        <v>97905.4074828485</v>
      </c>
      <c r="AE147" s="85" t="n">
        <f aca="true">IF(AE$5=0,AD147,MAX(0,(AD147-AE$4)*(1+NORMINV(RAND(),INPUTS!$B$28,INPUTS!$B$29))))</f>
        <v>30335.5328785715</v>
      </c>
      <c r="AF147" s="85" t="n">
        <f aca="true">IF(AF$5=0,AE147,MAX(0,(AE147-AF$4)*(1+NORMINV(RAND(),INPUTS!$B$28,INPUTS!$B$29))))</f>
        <v>0</v>
      </c>
      <c r="AG147" s="85" t="n">
        <f aca="true">IF(AG$5=0,AF147,MAX(0,(AF147-AG$4)*(1+NORMINV(RAND(),INPUTS!$B$28,INPUTS!$B$29))))</f>
        <v>0</v>
      </c>
      <c r="AH147" s="85" t="n">
        <f aca="true">IF(AH$5=0,AG147,MAX(0,(AG147-AH$4)*(1+NORMINV(RAND(),INPUTS!$B$28,INPUTS!$B$29))))</f>
        <v>0</v>
      </c>
      <c r="AI147" s="85" t="n">
        <f aca="true">IF(AI$5=0,AH147,MAX(0,(AH147-AI$4)*(1+NORMINV(RAND(),INPUTS!$B$28,INPUTS!$B$29))))</f>
        <v>0</v>
      </c>
      <c r="AJ147" s="85" t="n">
        <f aca="true">IF(AJ$5=0,AI147,MAX(0,(AI147-AJ$4)*(1+NORMINV(RAND(),INPUTS!$B$28,INPUTS!$B$29))))</f>
        <v>0</v>
      </c>
      <c r="AK147" s="85" t="n">
        <f aca="true">IF(AK$5=0,AJ147,MAX(0,(AJ147-AK$4)*(1+NORMINV(RAND(),INPUTS!$B$28,INPUTS!$B$29))))</f>
        <v>0</v>
      </c>
      <c r="AL147" s="85" t="n">
        <f aca="true">IF(AL$5=0,AK147,MAX(0,(AK147-AL$4)*(1+NORMINV(RAND(),INPUTS!$B$28,INPUTS!$B$29))))</f>
        <v>0</v>
      </c>
      <c r="AM147" s="85" t="n">
        <f aca="true">IF(AM$5=0,AL147,MAX(0,(AL147-AM$4)*(1+NORMINV(RAND(),INPUTS!$B$28,INPUTS!$B$29))))</f>
        <v>0</v>
      </c>
      <c r="AN147" s="85" t="n">
        <f aca="true">IF(AN$5=0,AM147,MAX(0,(AM147-AN$4)*(1+NORMINV(RAND(),INPUTS!$B$28,INPUTS!$B$29))))</f>
        <v>0</v>
      </c>
      <c r="AO147" s="85" t="n">
        <f aca="true">IF(AO$5=0,AN147,MAX(0,(AN147-AO$4)*(1+NORMINV(RAND(),INPUTS!$B$28,INPUTS!$B$29))))</f>
        <v>0</v>
      </c>
      <c r="AP147" s="85" t="n">
        <f aca="true">IF(AP$5=0,AO147,MAX(0,(AO147-AP$4)*(1+NORMINV(RAND(),INPUTS!$B$28,INPUTS!$B$29))))</f>
        <v>0</v>
      </c>
    </row>
    <row r="148" customFormat="false" ht="15" hidden="false" customHeight="true" outlineLevel="0" collapsed="false">
      <c r="A148" s="83" t="n">
        <v>141</v>
      </c>
      <c r="B148" s="84" t="n">
        <f aca="false">LOOKUP(9.99E+307,C148:AP148)</f>
        <v>0</v>
      </c>
      <c r="C148" s="85" t="n">
        <f aca="true">IF(C$5=0,INPUTS!$B$19,MAX(0,(INPUTS!$B$19-C$4)*(1+NORMINV(RAND(),INPUTS!$B$28,INPUTS!$B$29))))</f>
        <v>1325382.82484593</v>
      </c>
      <c r="D148" s="85" t="n">
        <f aca="true">IF(D$5=0,C148,MAX(0,(C148-D$4)*(1+NORMINV(RAND(),INPUTS!$B$28,INPUTS!$B$29))))</f>
        <v>1305211.1775712</v>
      </c>
      <c r="E148" s="85" t="n">
        <f aca="true">IF(E$5=0,D148,MAX(0,(D148-E$4)*(1+NORMINV(RAND(),INPUTS!$B$28,INPUTS!$B$29))))</f>
        <v>1268760.39407199</v>
      </c>
      <c r="F148" s="85" t="n">
        <f aca="true">IF(F$5=0,E148,MAX(0,(E148-F$4)*(1+NORMINV(RAND(),INPUTS!$B$28,INPUTS!$B$29))))</f>
        <v>1093937.29439011</v>
      </c>
      <c r="G148" s="85" t="n">
        <f aca="true">IF(G$5=0,F148,MAX(0,(F148-G$4)*(1+NORMINV(RAND(),INPUTS!$B$28,INPUTS!$B$29))))</f>
        <v>1129628.22378263</v>
      </c>
      <c r="H148" s="85" t="n">
        <f aca="true">IF(H$5=0,G148,MAX(0,(G148-H$4)*(1+NORMINV(RAND(),INPUTS!$B$28,INPUTS!$B$29))))</f>
        <v>1145040.34407849</v>
      </c>
      <c r="I148" s="85" t="n">
        <f aca="true">IF(I$5=0,H148,MAX(0,(H148-I$4)*(1+NORMINV(RAND(),INPUTS!$B$28,INPUTS!$B$29))))</f>
        <v>1255281.38678826</v>
      </c>
      <c r="J148" s="85" t="n">
        <f aca="true">IF(J$5=0,I148,MAX(0,(I148-J$4)*(1+NORMINV(RAND(),INPUTS!$B$28,INPUTS!$B$29))))</f>
        <v>1271979.49041824</v>
      </c>
      <c r="K148" s="85" t="n">
        <f aca="true">IF(K$5=0,J148,MAX(0,(J148-K$4)*(1+NORMINV(RAND(),INPUTS!$B$28,INPUTS!$B$29))))</f>
        <v>1154456.01476365</v>
      </c>
      <c r="L148" s="85" t="n">
        <f aca="true">IF(L$5=0,K148,MAX(0,(K148-L$4)*(1+NORMINV(RAND(),INPUTS!$B$28,INPUTS!$B$29))))</f>
        <v>1081392.86142467</v>
      </c>
      <c r="M148" s="85" t="n">
        <f aca="true">IF(M$5=0,L148,MAX(0,(L148-M$4)*(1+NORMINV(RAND(),INPUTS!$B$28,INPUTS!$B$29))))</f>
        <v>1072115.25449172</v>
      </c>
      <c r="N148" s="85" t="n">
        <f aca="true">IF(N$5=0,M148,MAX(0,(M148-N$4)*(1+NORMINV(RAND(),INPUTS!$B$28,INPUTS!$B$29))))</f>
        <v>1101172.70079679</v>
      </c>
      <c r="O148" s="85" t="n">
        <f aca="true">IF(O$5=0,N148,MAX(0,(N148-O$4)*(1+NORMINV(RAND(),INPUTS!$B$28,INPUTS!$B$29))))</f>
        <v>965865.801454496</v>
      </c>
      <c r="P148" s="85" t="n">
        <f aca="true">IF(P$5=0,O148,MAX(0,(O148-P$4)*(1+NORMINV(RAND(),INPUTS!$B$28,INPUTS!$B$29))))</f>
        <v>1043708.52091771</v>
      </c>
      <c r="Q148" s="85" t="n">
        <f aca="true">IF(Q$5=0,P148,MAX(0,(P148-Q$4)*(1+NORMINV(RAND(),INPUTS!$B$28,INPUTS!$B$29))))</f>
        <v>1146281.90443739</v>
      </c>
      <c r="R148" s="85" t="n">
        <f aca="true">IF(R$5=0,Q148,MAX(0,(Q148-R$4)*(1+NORMINV(RAND(),INPUTS!$B$28,INPUTS!$B$29))))</f>
        <v>1026410.43973686</v>
      </c>
      <c r="S148" s="85" t="n">
        <f aca="true">IF(S$5=0,R148,MAX(0,(R148-S$4)*(1+NORMINV(RAND(),INPUTS!$B$28,INPUTS!$B$29))))</f>
        <v>745775.779434205</v>
      </c>
      <c r="T148" s="85" t="n">
        <f aca="true">IF(T$5=0,S148,MAX(0,(S148-T$4)*(1+NORMINV(RAND(),INPUTS!$B$28,INPUTS!$B$29))))</f>
        <v>550594.743230105</v>
      </c>
      <c r="U148" s="85" t="n">
        <f aca="true">IF(U$5=0,T148,MAX(0,(T148-U$4)*(1+NORMINV(RAND(),INPUTS!$B$28,INPUTS!$B$29))))</f>
        <v>495674.932103935</v>
      </c>
      <c r="V148" s="85" t="n">
        <f aca="true">IF(V$5=0,U148,MAX(0,(U148-V$4)*(1+NORMINV(RAND(),INPUTS!$B$28,INPUTS!$B$29))))</f>
        <v>441844.969676064</v>
      </c>
      <c r="W148" s="85" t="n">
        <f aca="true">IF(W$5=0,V148,MAX(0,(V148-W$4)*(1+NORMINV(RAND(),INPUTS!$B$28,INPUTS!$B$29))))</f>
        <v>434136.639619607</v>
      </c>
      <c r="X148" s="85" t="n">
        <f aca="true">IF(X$5=0,W148,MAX(0,(W148-X$4)*(1+NORMINV(RAND(),INPUTS!$B$28,INPUTS!$B$29))))</f>
        <v>473649.226338052</v>
      </c>
      <c r="Y148" s="85" t="n">
        <f aca="true">IF(Y$5=0,X148,MAX(0,(X148-Y$4)*(1+NORMINV(RAND(),INPUTS!$B$28,INPUTS!$B$29))))</f>
        <v>399404.342473811</v>
      </c>
      <c r="Z148" s="85" t="n">
        <f aca="true">IF(Z$5=0,Y148,MAX(0,(Y148-Z$4)*(1+NORMINV(RAND(),INPUTS!$B$28,INPUTS!$B$29))))</f>
        <v>393642.258141448</v>
      </c>
      <c r="AA148" s="85" t="n">
        <f aca="true">IF(AA$5=0,Z148,MAX(0,(Z148-AA$4)*(1+NORMINV(RAND(),INPUTS!$B$28,INPUTS!$B$29))))</f>
        <v>284242.050563014</v>
      </c>
      <c r="AB148" s="85" t="n">
        <f aca="true">IF(AB$5=0,AA148,MAX(0,(AA148-AB$4)*(1+NORMINV(RAND(),INPUTS!$B$28,INPUTS!$B$29))))</f>
        <v>275164.611744892</v>
      </c>
      <c r="AC148" s="85" t="n">
        <f aca="true">IF(AC$5=0,AB148,MAX(0,(AB148-AC$4)*(1+NORMINV(RAND(),INPUTS!$B$28,INPUTS!$B$29))))</f>
        <v>226065.763805387</v>
      </c>
      <c r="AD148" s="85" t="n">
        <f aca="true">IF(AD$5=0,AC148,MAX(0,(AC148-AD$4)*(1+NORMINV(RAND(),INPUTS!$B$28,INPUTS!$B$29))))</f>
        <v>184430.489837186</v>
      </c>
      <c r="AE148" s="85" t="n">
        <f aca="true">IF(AE$5=0,AD148,MAX(0,(AD148-AE$4)*(1+NORMINV(RAND(),INPUTS!$B$28,INPUTS!$B$29))))</f>
        <v>147054.920809789</v>
      </c>
      <c r="AF148" s="85" t="n">
        <f aca="true">IF(AF$5=0,AE148,MAX(0,(AE148-AF$4)*(1+NORMINV(RAND(),INPUTS!$B$28,INPUTS!$B$29))))</f>
        <v>82279.7792171573</v>
      </c>
      <c r="AG148" s="85" t="n">
        <f aca="true">IF(AG$5=0,AF148,MAX(0,(AF148-AG$4)*(1+NORMINV(RAND(),INPUTS!$B$28,INPUTS!$B$29))))</f>
        <v>13060.4250571664</v>
      </c>
      <c r="AH148" s="85" t="n">
        <f aca="true">IF(AH$5=0,AG148,MAX(0,(AG148-AH$4)*(1+NORMINV(RAND(),INPUTS!$B$28,INPUTS!$B$29))))</f>
        <v>0</v>
      </c>
      <c r="AI148" s="85" t="n">
        <f aca="true">IF(AI$5=0,AH148,MAX(0,(AH148-AI$4)*(1+NORMINV(RAND(),INPUTS!$B$28,INPUTS!$B$29))))</f>
        <v>0</v>
      </c>
      <c r="AJ148" s="85" t="n">
        <f aca="true">IF(AJ$5=0,AI148,MAX(0,(AI148-AJ$4)*(1+NORMINV(RAND(),INPUTS!$B$28,INPUTS!$B$29))))</f>
        <v>0</v>
      </c>
      <c r="AK148" s="85" t="n">
        <f aca="true">IF(AK$5=0,AJ148,MAX(0,(AJ148-AK$4)*(1+NORMINV(RAND(),INPUTS!$B$28,INPUTS!$B$29))))</f>
        <v>0</v>
      </c>
      <c r="AL148" s="85" t="n">
        <f aca="true">IF(AL$5=0,AK148,MAX(0,(AK148-AL$4)*(1+NORMINV(RAND(),INPUTS!$B$28,INPUTS!$B$29))))</f>
        <v>0</v>
      </c>
      <c r="AM148" s="85" t="n">
        <f aca="true">IF(AM$5=0,AL148,MAX(0,(AL148-AM$4)*(1+NORMINV(RAND(),INPUTS!$B$28,INPUTS!$B$29))))</f>
        <v>0</v>
      </c>
      <c r="AN148" s="85" t="n">
        <f aca="true">IF(AN$5=0,AM148,MAX(0,(AM148-AN$4)*(1+NORMINV(RAND(),INPUTS!$B$28,INPUTS!$B$29))))</f>
        <v>0</v>
      </c>
      <c r="AO148" s="85" t="n">
        <f aca="true">IF(AO$5=0,AN148,MAX(0,(AN148-AO$4)*(1+NORMINV(RAND(),INPUTS!$B$28,INPUTS!$B$29))))</f>
        <v>0</v>
      </c>
      <c r="AP148" s="85" t="n">
        <f aca="true">IF(AP$5=0,AO148,MAX(0,(AO148-AP$4)*(1+NORMINV(RAND(),INPUTS!$B$28,INPUTS!$B$29))))</f>
        <v>0</v>
      </c>
    </row>
    <row r="149" customFormat="false" ht="15" hidden="false" customHeight="true" outlineLevel="0" collapsed="false">
      <c r="A149" s="83" t="n">
        <v>142</v>
      </c>
      <c r="B149" s="84" t="n">
        <f aca="false">LOOKUP(9.99E+307,C149:AP149)</f>
        <v>4214654.97065088</v>
      </c>
      <c r="C149" s="85" t="n">
        <f aca="true">IF(C$5=0,INPUTS!$B$19,MAX(0,(INPUTS!$B$19-C$4)*(1+NORMINV(RAND(),INPUTS!$B$28,INPUTS!$B$29))))</f>
        <v>1121441.06940552</v>
      </c>
      <c r="D149" s="85" t="n">
        <f aca="true">IF(D$5=0,C149,MAX(0,(C149-D$4)*(1+NORMINV(RAND(),INPUTS!$B$28,INPUTS!$B$29))))</f>
        <v>1223221.32524592</v>
      </c>
      <c r="E149" s="85" t="n">
        <f aca="true">IF(E$5=0,D149,MAX(0,(D149-E$4)*(1+NORMINV(RAND(),INPUTS!$B$28,INPUTS!$B$29))))</f>
        <v>1367884.67484478</v>
      </c>
      <c r="F149" s="85" t="n">
        <f aca="true">IF(F$5=0,E149,MAX(0,(E149-F$4)*(1+NORMINV(RAND(),INPUTS!$B$28,INPUTS!$B$29))))</f>
        <v>1278834.39510849</v>
      </c>
      <c r="G149" s="85" t="n">
        <f aca="true">IF(G$5=0,F149,MAX(0,(F149-G$4)*(1+NORMINV(RAND(),INPUTS!$B$28,INPUTS!$B$29))))</f>
        <v>1507650.28746691</v>
      </c>
      <c r="H149" s="85" t="n">
        <f aca="true">IF(H$5=0,G149,MAX(0,(G149-H$4)*(1+NORMINV(RAND(),INPUTS!$B$28,INPUTS!$B$29))))</f>
        <v>1762550.38972211</v>
      </c>
      <c r="I149" s="85" t="n">
        <f aca="true">IF(I$5=0,H149,MAX(0,(H149-I$4)*(1+NORMINV(RAND(),INPUTS!$B$28,INPUTS!$B$29))))</f>
        <v>1692316.3720117</v>
      </c>
      <c r="J149" s="85" t="n">
        <f aca="true">IF(J$5=0,I149,MAX(0,(I149-J$4)*(1+NORMINV(RAND(),INPUTS!$B$28,INPUTS!$B$29))))</f>
        <v>2016762.28210436</v>
      </c>
      <c r="K149" s="85" t="n">
        <f aca="true">IF(K$5=0,J149,MAX(0,(J149-K$4)*(1+NORMINV(RAND(),INPUTS!$B$28,INPUTS!$B$29))))</f>
        <v>2069368.08357669</v>
      </c>
      <c r="L149" s="85" t="n">
        <f aca="true">IF(L$5=0,K149,MAX(0,(K149-L$4)*(1+NORMINV(RAND(),INPUTS!$B$28,INPUTS!$B$29))))</f>
        <v>2092337.14577709</v>
      </c>
      <c r="M149" s="85" t="n">
        <f aca="true">IF(M$5=0,L149,MAX(0,(L149-M$4)*(1+NORMINV(RAND(),INPUTS!$B$28,INPUTS!$B$29))))</f>
        <v>2161294.89541418</v>
      </c>
      <c r="N149" s="85" t="n">
        <f aca="true">IF(N$5=0,M149,MAX(0,(M149-N$4)*(1+NORMINV(RAND(),INPUTS!$B$28,INPUTS!$B$29))))</f>
        <v>2308385.74008004</v>
      </c>
      <c r="O149" s="85" t="n">
        <f aca="true">IF(O$5=0,N149,MAX(0,(N149-O$4)*(1+NORMINV(RAND(),INPUTS!$B$28,INPUTS!$B$29))))</f>
        <v>2527884.89907538</v>
      </c>
      <c r="P149" s="85" t="n">
        <f aca="true">IF(P$5=0,O149,MAX(0,(O149-P$4)*(1+NORMINV(RAND(),INPUTS!$B$28,INPUTS!$B$29))))</f>
        <v>2274457.87849398</v>
      </c>
      <c r="Q149" s="85" t="n">
        <f aca="true">IF(Q$5=0,P149,MAX(0,(P149-Q$4)*(1+NORMINV(RAND(),INPUTS!$B$28,INPUTS!$B$29))))</f>
        <v>2412654.19165412</v>
      </c>
      <c r="R149" s="85" t="n">
        <f aca="true">IF(R$5=0,Q149,MAX(0,(Q149-R$4)*(1+NORMINV(RAND(),INPUTS!$B$28,INPUTS!$B$29))))</f>
        <v>2235722.35335377</v>
      </c>
      <c r="S149" s="85" t="n">
        <f aca="true">IF(S$5=0,R149,MAX(0,(R149-S$4)*(1+NORMINV(RAND(),INPUTS!$B$28,INPUTS!$B$29))))</f>
        <v>2500969.02382174</v>
      </c>
      <c r="T149" s="85" t="n">
        <f aca="true">IF(T$5=0,S149,MAX(0,(S149-T$4)*(1+NORMINV(RAND(),INPUTS!$B$28,INPUTS!$B$29))))</f>
        <v>3010130.42603676</v>
      </c>
      <c r="U149" s="85" t="n">
        <f aca="true">IF(U$5=0,T149,MAX(0,(T149-U$4)*(1+NORMINV(RAND(),INPUTS!$B$28,INPUTS!$B$29))))</f>
        <v>2963248.86381561</v>
      </c>
      <c r="V149" s="85" t="n">
        <f aca="true">IF(V$5=0,U149,MAX(0,(U149-V$4)*(1+NORMINV(RAND(),INPUTS!$B$28,INPUTS!$B$29))))</f>
        <v>2877220.73396544</v>
      </c>
      <c r="W149" s="85" t="n">
        <f aca="true">IF(W$5=0,V149,MAX(0,(V149-W$4)*(1+NORMINV(RAND(),INPUTS!$B$28,INPUTS!$B$29))))</f>
        <v>2840070.66278811</v>
      </c>
      <c r="X149" s="85" t="n">
        <f aca="true">IF(X$5=0,W149,MAX(0,(W149-X$4)*(1+NORMINV(RAND(),INPUTS!$B$28,INPUTS!$B$29))))</f>
        <v>3331598.57383663</v>
      </c>
      <c r="Y149" s="85" t="n">
        <f aca="true">IF(Y$5=0,X149,MAX(0,(X149-Y$4)*(1+NORMINV(RAND(),INPUTS!$B$28,INPUTS!$B$29))))</f>
        <v>3011167.59925003</v>
      </c>
      <c r="Z149" s="85" t="n">
        <f aca="true">IF(Z$5=0,Y149,MAX(0,(Y149-Z$4)*(1+NORMINV(RAND(),INPUTS!$B$28,INPUTS!$B$29))))</f>
        <v>2587681.10966916</v>
      </c>
      <c r="AA149" s="85" t="n">
        <f aca="true">IF(AA$5=0,Z149,MAX(0,(Z149-AA$4)*(1+NORMINV(RAND(),INPUTS!$B$28,INPUTS!$B$29))))</f>
        <v>2819899.39966926</v>
      </c>
      <c r="AB149" s="85" t="n">
        <f aca="true">IF(AB$5=0,AA149,MAX(0,(AA149-AB$4)*(1+NORMINV(RAND(),INPUTS!$B$28,INPUTS!$B$29))))</f>
        <v>3362141.82871291</v>
      </c>
      <c r="AC149" s="85" t="n">
        <f aca="true">IF(AC$5=0,AB149,MAX(0,(AB149-AC$4)*(1+NORMINV(RAND(),INPUTS!$B$28,INPUTS!$B$29))))</f>
        <v>2636664.26239648</v>
      </c>
      <c r="AD149" s="85" t="n">
        <f aca="true">IF(AD$5=0,AC149,MAX(0,(AC149-AD$4)*(1+NORMINV(RAND(),INPUTS!$B$28,INPUTS!$B$29))))</f>
        <v>2603711.47594875</v>
      </c>
      <c r="AE149" s="85" t="n">
        <f aca="true">IF(AE$5=0,AD149,MAX(0,(AD149-AE$4)*(1+NORMINV(RAND(),INPUTS!$B$28,INPUTS!$B$29))))</f>
        <v>3040891.68719846</v>
      </c>
      <c r="AF149" s="85" t="n">
        <f aca="true">IF(AF$5=0,AE149,MAX(0,(AE149-AF$4)*(1+NORMINV(RAND(),INPUTS!$B$28,INPUTS!$B$29))))</f>
        <v>2879788.86381449</v>
      </c>
      <c r="AG149" s="85" t="n">
        <f aca="true">IF(AG$5=0,AF149,MAX(0,(AF149-AG$4)*(1+NORMINV(RAND(),INPUTS!$B$28,INPUTS!$B$29))))</f>
        <v>2869781.76506231</v>
      </c>
      <c r="AH149" s="85" t="n">
        <f aca="true">IF(AH$5=0,AG149,MAX(0,(AG149-AH$4)*(1+NORMINV(RAND(),INPUTS!$B$28,INPUTS!$B$29))))</f>
        <v>2836907.13905393</v>
      </c>
      <c r="AI149" s="85" t="n">
        <f aca="true">IF(AI$5=0,AH149,MAX(0,(AH149-AI$4)*(1+NORMINV(RAND(),INPUTS!$B$28,INPUTS!$B$29))))</f>
        <v>3062899.88462343</v>
      </c>
      <c r="AJ149" s="85" t="n">
        <f aca="true">IF(AJ$5=0,AI149,MAX(0,(AI149-AJ$4)*(1+NORMINV(RAND(),INPUTS!$B$28,INPUTS!$B$29))))</f>
        <v>3017551.51514041</v>
      </c>
      <c r="AK149" s="85" t="n">
        <f aca="true">IF(AK$5=0,AJ149,MAX(0,(AJ149-AK$4)*(1+NORMINV(RAND(),INPUTS!$B$28,INPUTS!$B$29))))</f>
        <v>3954257.51962462</v>
      </c>
      <c r="AL149" s="85" t="n">
        <f aca="true">IF(AL$5=0,AK149,MAX(0,(AK149-AL$4)*(1+NORMINV(RAND(),INPUTS!$B$28,INPUTS!$B$29))))</f>
        <v>4214654.97065088</v>
      </c>
      <c r="AM149" s="85" t="n">
        <f aca="true">IF(AM$5=0,AL149,MAX(0,(AL149-AM$4)*(1+NORMINV(RAND(),INPUTS!$B$28,INPUTS!$B$29))))</f>
        <v>4214654.97065088</v>
      </c>
      <c r="AN149" s="85" t="n">
        <f aca="true">IF(AN$5=0,AM149,MAX(0,(AM149-AN$4)*(1+NORMINV(RAND(),INPUTS!$B$28,INPUTS!$B$29))))</f>
        <v>4214654.97065088</v>
      </c>
      <c r="AO149" s="85" t="n">
        <f aca="true">IF(AO$5=0,AN149,MAX(0,(AN149-AO$4)*(1+NORMINV(RAND(),INPUTS!$B$28,INPUTS!$B$29))))</f>
        <v>4214654.97065088</v>
      </c>
      <c r="AP149" s="85" t="n">
        <f aca="true">IF(AP$5=0,AO149,MAX(0,(AO149-AP$4)*(1+NORMINV(RAND(),INPUTS!$B$28,INPUTS!$B$29))))</f>
        <v>4214654.97065088</v>
      </c>
    </row>
    <row r="150" customFormat="false" ht="15" hidden="false" customHeight="true" outlineLevel="0" collapsed="false">
      <c r="A150" s="83" t="n">
        <v>143</v>
      </c>
      <c r="B150" s="84" t="n">
        <f aca="false">LOOKUP(9.99E+307,C150:AP150)</f>
        <v>2129752.05030711</v>
      </c>
      <c r="C150" s="85" t="n">
        <f aca="true">IF(C$5=0,INPUTS!$B$19,MAX(0,(INPUTS!$B$19-C$4)*(1+NORMINV(RAND(),INPUTS!$B$28,INPUTS!$B$29))))</f>
        <v>1399915.92234256</v>
      </c>
      <c r="D150" s="85" t="n">
        <f aca="true">IF(D$5=0,C150,MAX(0,(C150-D$4)*(1+NORMINV(RAND(),INPUTS!$B$28,INPUTS!$B$29))))</f>
        <v>1120692.12486643</v>
      </c>
      <c r="E150" s="85" t="n">
        <f aca="true">IF(E$5=0,D150,MAX(0,(D150-E$4)*(1+NORMINV(RAND(),INPUTS!$B$28,INPUTS!$B$29))))</f>
        <v>1152438.07557285</v>
      </c>
      <c r="F150" s="85" t="n">
        <f aca="true">IF(F$5=0,E150,MAX(0,(E150-F$4)*(1+NORMINV(RAND(),INPUTS!$B$28,INPUTS!$B$29))))</f>
        <v>1041642.1292894</v>
      </c>
      <c r="G150" s="85" t="n">
        <f aca="true">IF(G$5=0,F150,MAX(0,(F150-G$4)*(1+NORMINV(RAND(),INPUTS!$B$28,INPUTS!$B$29))))</f>
        <v>1108035.24240719</v>
      </c>
      <c r="H150" s="85" t="n">
        <f aca="true">IF(H$5=0,G150,MAX(0,(G150-H$4)*(1+NORMINV(RAND(),INPUTS!$B$28,INPUTS!$B$29))))</f>
        <v>1245408.07340525</v>
      </c>
      <c r="I150" s="85" t="n">
        <f aca="true">IF(I$5=0,H150,MAX(0,(H150-I$4)*(1+NORMINV(RAND(),INPUTS!$B$28,INPUTS!$B$29))))</f>
        <v>1165552.16770699</v>
      </c>
      <c r="J150" s="85" t="n">
        <f aca="true">IF(J$5=0,I150,MAX(0,(I150-J$4)*(1+NORMINV(RAND(),INPUTS!$B$28,INPUTS!$B$29))))</f>
        <v>1164162.72549872</v>
      </c>
      <c r="K150" s="85" t="n">
        <f aca="true">IF(K$5=0,J150,MAX(0,(J150-K$4)*(1+NORMINV(RAND(),INPUTS!$B$28,INPUTS!$B$29))))</f>
        <v>1193832.33934594</v>
      </c>
      <c r="L150" s="85" t="n">
        <f aca="true">IF(L$5=0,K150,MAX(0,(K150-L$4)*(1+NORMINV(RAND(),INPUTS!$B$28,INPUTS!$B$29))))</f>
        <v>1082932.60542905</v>
      </c>
      <c r="M150" s="85" t="n">
        <f aca="true">IF(M$5=0,L150,MAX(0,(L150-M$4)*(1+NORMINV(RAND(),INPUTS!$B$28,INPUTS!$B$29))))</f>
        <v>1298853.49912895</v>
      </c>
      <c r="N150" s="85" t="n">
        <f aca="true">IF(N$5=0,M150,MAX(0,(M150-N$4)*(1+NORMINV(RAND(),INPUTS!$B$28,INPUTS!$B$29))))</f>
        <v>1383075.87865902</v>
      </c>
      <c r="O150" s="85" t="n">
        <f aca="true">IF(O$5=0,N150,MAX(0,(N150-O$4)*(1+NORMINV(RAND(),INPUTS!$B$28,INPUTS!$B$29))))</f>
        <v>1368834.50374663</v>
      </c>
      <c r="P150" s="85" t="n">
        <f aca="true">IF(P$5=0,O150,MAX(0,(O150-P$4)*(1+NORMINV(RAND(),INPUTS!$B$28,INPUTS!$B$29))))</f>
        <v>1226794.7602394</v>
      </c>
      <c r="Q150" s="85" t="n">
        <f aca="true">IF(Q$5=0,P150,MAX(0,(P150-Q$4)*(1+NORMINV(RAND(),INPUTS!$B$28,INPUTS!$B$29))))</f>
        <v>1176874.08656748</v>
      </c>
      <c r="R150" s="85" t="n">
        <f aca="true">IF(R$5=0,Q150,MAX(0,(Q150-R$4)*(1+NORMINV(RAND(),INPUTS!$B$28,INPUTS!$B$29))))</f>
        <v>1228794.26639836</v>
      </c>
      <c r="S150" s="85" t="n">
        <f aca="true">IF(S$5=0,R150,MAX(0,(R150-S$4)*(1+NORMINV(RAND(),INPUTS!$B$28,INPUTS!$B$29))))</f>
        <v>1222931.72247572</v>
      </c>
      <c r="T150" s="85" t="n">
        <f aca="true">IF(T$5=0,S150,MAX(0,(S150-T$4)*(1+NORMINV(RAND(),INPUTS!$B$28,INPUTS!$B$29))))</f>
        <v>1293608.42182649</v>
      </c>
      <c r="U150" s="85" t="n">
        <f aca="true">IF(U$5=0,T150,MAX(0,(T150-U$4)*(1+NORMINV(RAND(),INPUTS!$B$28,INPUTS!$B$29))))</f>
        <v>1050733.97311847</v>
      </c>
      <c r="V150" s="85" t="n">
        <f aca="true">IF(V$5=0,U150,MAX(0,(U150-V$4)*(1+NORMINV(RAND(),INPUTS!$B$28,INPUTS!$B$29))))</f>
        <v>1141823.56408713</v>
      </c>
      <c r="W150" s="85" t="n">
        <f aca="true">IF(W$5=0,V150,MAX(0,(V150-W$4)*(1+NORMINV(RAND(),INPUTS!$B$28,INPUTS!$B$29))))</f>
        <v>1277092.54741181</v>
      </c>
      <c r="X150" s="85" t="n">
        <f aca="true">IF(X$5=0,W150,MAX(0,(W150-X$4)*(1+NORMINV(RAND(),INPUTS!$B$28,INPUTS!$B$29))))</f>
        <v>1404250.56609452</v>
      </c>
      <c r="Y150" s="85" t="n">
        <f aca="true">IF(Y$5=0,X150,MAX(0,(X150-Y$4)*(1+NORMINV(RAND(),INPUTS!$B$28,INPUTS!$B$29))))</f>
        <v>1520918.23940663</v>
      </c>
      <c r="Z150" s="85" t="n">
        <f aca="true">IF(Z$5=0,Y150,MAX(0,(Y150-Z$4)*(1+NORMINV(RAND(),INPUTS!$B$28,INPUTS!$B$29))))</f>
        <v>1476664.90960578</v>
      </c>
      <c r="AA150" s="85" t="n">
        <f aca="true">IF(AA$5=0,Z150,MAX(0,(Z150-AA$4)*(1+NORMINV(RAND(),INPUTS!$B$28,INPUTS!$B$29))))</f>
        <v>1483007.59496632</v>
      </c>
      <c r="AB150" s="85" t="n">
        <f aca="true">IF(AB$5=0,AA150,MAX(0,(AA150-AB$4)*(1+NORMINV(RAND(),INPUTS!$B$28,INPUTS!$B$29))))</f>
        <v>1918862.89152936</v>
      </c>
      <c r="AC150" s="85" t="n">
        <f aca="true">IF(AC$5=0,AB150,MAX(0,(AB150-AC$4)*(1+NORMINV(RAND(),INPUTS!$B$28,INPUTS!$B$29))))</f>
        <v>1901079.1118008</v>
      </c>
      <c r="AD150" s="85" t="n">
        <f aca="true">IF(AD$5=0,AC150,MAX(0,(AC150-AD$4)*(1+NORMINV(RAND(),INPUTS!$B$28,INPUTS!$B$29))))</f>
        <v>2135034.211427</v>
      </c>
      <c r="AE150" s="85" t="n">
        <f aca="true">IF(AE$5=0,AD150,MAX(0,(AD150-AE$4)*(1+NORMINV(RAND(),INPUTS!$B$28,INPUTS!$B$29))))</f>
        <v>2560789.5742736</v>
      </c>
      <c r="AF150" s="85" t="n">
        <f aca="true">IF(AF$5=0,AE150,MAX(0,(AE150-AF$4)*(1+NORMINV(RAND(),INPUTS!$B$28,INPUTS!$B$29))))</f>
        <v>2549213.44448234</v>
      </c>
      <c r="AG150" s="85" t="n">
        <f aca="true">IF(AG$5=0,AF150,MAX(0,(AF150-AG$4)*(1+NORMINV(RAND(),INPUTS!$B$28,INPUTS!$B$29))))</f>
        <v>2590076.25359825</v>
      </c>
      <c r="AH150" s="85" t="n">
        <f aca="true">IF(AH$5=0,AG150,MAX(0,(AG150-AH$4)*(1+NORMINV(RAND(),INPUTS!$B$28,INPUTS!$B$29))))</f>
        <v>2389800.09458598</v>
      </c>
      <c r="AI150" s="85" t="n">
        <f aca="true">IF(AI$5=0,AH150,MAX(0,(AH150-AI$4)*(1+NORMINV(RAND(),INPUTS!$B$28,INPUTS!$B$29))))</f>
        <v>2727870.82164921</v>
      </c>
      <c r="AJ150" s="85" t="n">
        <f aca="true">IF(AJ$5=0,AI150,MAX(0,(AI150-AJ$4)*(1+NORMINV(RAND(),INPUTS!$B$28,INPUTS!$B$29))))</f>
        <v>2726957.66805996</v>
      </c>
      <c r="AK150" s="85" t="n">
        <f aca="true">IF(AK$5=0,AJ150,MAX(0,(AJ150-AK$4)*(1+NORMINV(RAND(),INPUTS!$B$28,INPUTS!$B$29))))</f>
        <v>2319643.59314779</v>
      </c>
      <c r="AL150" s="85" t="n">
        <f aca="true">IF(AL$5=0,AK150,MAX(0,(AK150-AL$4)*(1+NORMINV(RAND(),INPUTS!$B$28,INPUTS!$B$29))))</f>
        <v>2129752.05030711</v>
      </c>
      <c r="AM150" s="85" t="n">
        <f aca="true">IF(AM$5=0,AL150,MAX(0,(AL150-AM$4)*(1+NORMINV(RAND(),INPUTS!$B$28,INPUTS!$B$29))))</f>
        <v>2129752.05030711</v>
      </c>
      <c r="AN150" s="85" t="n">
        <f aca="true">IF(AN$5=0,AM150,MAX(0,(AM150-AN$4)*(1+NORMINV(RAND(),INPUTS!$B$28,INPUTS!$B$29))))</f>
        <v>2129752.05030711</v>
      </c>
      <c r="AO150" s="85" t="n">
        <f aca="true">IF(AO$5=0,AN150,MAX(0,(AN150-AO$4)*(1+NORMINV(RAND(),INPUTS!$B$28,INPUTS!$B$29))))</f>
        <v>2129752.05030711</v>
      </c>
      <c r="AP150" s="85" t="n">
        <f aca="true">IF(AP$5=0,AO150,MAX(0,(AO150-AP$4)*(1+NORMINV(RAND(),INPUTS!$B$28,INPUTS!$B$29))))</f>
        <v>2129752.05030711</v>
      </c>
    </row>
    <row r="151" customFormat="false" ht="15" hidden="false" customHeight="true" outlineLevel="0" collapsed="false">
      <c r="A151" s="83" t="n">
        <v>144</v>
      </c>
      <c r="B151" s="84" t="n">
        <f aca="false">LOOKUP(9.99E+307,C151:AP151)</f>
        <v>0</v>
      </c>
      <c r="C151" s="85" t="n">
        <f aca="true">IF(C$5=0,INPUTS!$B$19,MAX(0,(INPUTS!$B$19-C$4)*(1+NORMINV(RAND(),INPUTS!$B$28,INPUTS!$B$29))))</f>
        <v>1448970.58626115</v>
      </c>
      <c r="D151" s="85" t="n">
        <f aca="true">IF(D$5=0,C151,MAX(0,(C151-D$4)*(1+NORMINV(RAND(),INPUTS!$B$28,INPUTS!$B$29))))</f>
        <v>1316912.32196906</v>
      </c>
      <c r="E151" s="85" t="n">
        <f aca="true">IF(E$5=0,D151,MAX(0,(D151-E$4)*(1+NORMINV(RAND(),INPUTS!$B$28,INPUTS!$B$29))))</f>
        <v>1481220.62382448</v>
      </c>
      <c r="F151" s="85" t="n">
        <f aca="true">IF(F$5=0,E151,MAX(0,(E151-F$4)*(1+NORMINV(RAND(),INPUTS!$B$28,INPUTS!$B$29))))</f>
        <v>1226938.06513846</v>
      </c>
      <c r="G151" s="85" t="n">
        <f aca="true">IF(G$5=0,F151,MAX(0,(F151-G$4)*(1+NORMINV(RAND(),INPUTS!$B$28,INPUTS!$B$29))))</f>
        <v>1186896.33115799</v>
      </c>
      <c r="H151" s="85" t="n">
        <f aca="true">IF(H$5=0,G151,MAX(0,(G151-H$4)*(1+NORMINV(RAND(),INPUTS!$B$28,INPUTS!$B$29))))</f>
        <v>1195244.46734029</v>
      </c>
      <c r="I151" s="85" t="n">
        <f aca="true">IF(I$5=0,H151,MAX(0,(H151-I$4)*(1+NORMINV(RAND(),INPUTS!$B$28,INPUTS!$B$29))))</f>
        <v>1228437.42662713</v>
      </c>
      <c r="J151" s="85" t="n">
        <f aca="true">IF(J$5=0,I151,MAX(0,(I151-J$4)*(1+NORMINV(RAND(),INPUTS!$B$28,INPUTS!$B$29))))</f>
        <v>1025482.59014611</v>
      </c>
      <c r="K151" s="85" t="n">
        <f aca="true">IF(K$5=0,J151,MAX(0,(J151-K$4)*(1+NORMINV(RAND(),INPUTS!$B$28,INPUTS!$B$29))))</f>
        <v>1039514.85455251</v>
      </c>
      <c r="L151" s="85" t="n">
        <f aca="true">IF(L$5=0,K151,MAX(0,(K151-L$4)*(1+NORMINV(RAND(),INPUTS!$B$28,INPUTS!$B$29))))</f>
        <v>1147678.33489115</v>
      </c>
      <c r="M151" s="85" t="n">
        <f aca="true">IF(M$5=0,L151,MAX(0,(L151-M$4)*(1+NORMINV(RAND(),INPUTS!$B$28,INPUTS!$B$29))))</f>
        <v>1055812.72629612</v>
      </c>
      <c r="N151" s="85" t="n">
        <f aca="true">IF(N$5=0,M151,MAX(0,(M151-N$4)*(1+NORMINV(RAND(),INPUTS!$B$28,INPUTS!$B$29))))</f>
        <v>966779.453591339</v>
      </c>
      <c r="O151" s="85" t="n">
        <f aca="true">IF(O$5=0,N151,MAX(0,(N151-O$4)*(1+NORMINV(RAND(),INPUTS!$B$28,INPUTS!$B$29))))</f>
        <v>785394.204144903</v>
      </c>
      <c r="P151" s="85" t="n">
        <f aca="true">IF(P$5=0,O151,MAX(0,(O151-P$4)*(1+NORMINV(RAND(),INPUTS!$B$28,INPUTS!$B$29))))</f>
        <v>842190.15133711</v>
      </c>
      <c r="Q151" s="85" t="n">
        <f aca="true">IF(Q$5=0,P151,MAX(0,(P151-Q$4)*(1+NORMINV(RAND(),INPUTS!$B$28,INPUTS!$B$29))))</f>
        <v>858298.260644149</v>
      </c>
      <c r="R151" s="85" t="n">
        <f aca="true">IF(R$5=0,Q151,MAX(0,(Q151-R$4)*(1+NORMINV(RAND(),INPUTS!$B$28,INPUTS!$B$29))))</f>
        <v>847191.875411859</v>
      </c>
      <c r="S151" s="85" t="n">
        <f aca="true">IF(S$5=0,R151,MAX(0,(R151-S$4)*(1+NORMINV(RAND(),INPUTS!$B$28,INPUTS!$B$29))))</f>
        <v>932247.427792002</v>
      </c>
      <c r="T151" s="85" t="n">
        <f aca="true">IF(T$5=0,S151,MAX(0,(S151-T$4)*(1+NORMINV(RAND(),INPUTS!$B$28,INPUTS!$B$29))))</f>
        <v>919548.757144137</v>
      </c>
      <c r="U151" s="85" t="n">
        <f aca="true">IF(U$5=0,T151,MAX(0,(T151-U$4)*(1+NORMINV(RAND(),INPUTS!$B$28,INPUTS!$B$29))))</f>
        <v>718525.735900755</v>
      </c>
      <c r="V151" s="85" t="n">
        <f aca="true">IF(V$5=0,U151,MAX(0,(U151-V$4)*(1+NORMINV(RAND(),INPUTS!$B$28,INPUTS!$B$29))))</f>
        <v>648077.916644345</v>
      </c>
      <c r="W151" s="85" t="n">
        <f aca="true">IF(W$5=0,V151,MAX(0,(V151-W$4)*(1+NORMINV(RAND(),INPUTS!$B$28,INPUTS!$B$29))))</f>
        <v>602099.561540881</v>
      </c>
      <c r="X151" s="85" t="n">
        <f aca="true">IF(X$5=0,W151,MAX(0,(W151-X$4)*(1+NORMINV(RAND(),INPUTS!$B$28,INPUTS!$B$29))))</f>
        <v>566359.977399703</v>
      </c>
      <c r="Y151" s="85" t="n">
        <f aca="true">IF(Y$5=0,X151,MAX(0,(X151-Y$4)*(1+NORMINV(RAND(),INPUTS!$B$28,INPUTS!$B$29))))</f>
        <v>469899.050316053</v>
      </c>
      <c r="Z151" s="85" t="n">
        <f aca="true">IF(Z$5=0,Y151,MAX(0,(Y151-Z$4)*(1+NORMINV(RAND(),INPUTS!$B$28,INPUTS!$B$29))))</f>
        <v>444889.481665937</v>
      </c>
      <c r="AA151" s="85" t="n">
        <f aca="true">IF(AA$5=0,Z151,MAX(0,(Z151-AA$4)*(1+NORMINV(RAND(),INPUTS!$B$28,INPUTS!$B$29))))</f>
        <v>439004.705937168</v>
      </c>
      <c r="AB151" s="85" t="n">
        <f aca="true">IF(AB$5=0,AA151,MAX(0,(AA151-AB$4)*(1+NORMINV(RAND(),INPUTS!$B$28,INPUTS!$B$29))))</f>
        <v>382573.879782997</v>
      </c>
      <c r="AC151" s="85" t="n">
        <f aca="true">IF(AC$5=0,AB151,MAX(0,(AB151-AC$4)*(1+NORMINV(RAND(),INPUTS!$B$28,INPUTS!$B$29))))</f>
        <v>317026.107550611</v>
      </c>
      <c r="AD151" s="85" t="n">
        <f aca="true">IF(AD$5=0,AC151,MAX(0,(AC151-AD$4)*(1+NORMINV(RAND(),INPUTS!$B$28,INPUTS!$B$29))))</f>
        <v>281282.08391179</v>
      </c>
      <c r="AE151" s="85" t="n">
        <f aca="true">IF(AE$5=0,AD151,MAX(0,(AD151-AE$4)*(1+NORMINV(RAND(),INPUTS!$B$28,INPUTS!$B$29))))</f>
        <v>217656.293602657</v>
      </c>
      <c r="AF151" s="85" t="n">
        <f aca="true">IF(AF$5=0,AE151,MAX(0,(AE151-AF$4)*(1+NORMINV(RAND(),INPUTS!$B$28,INPUTS!$B$29))))</f>
        <v>150371.434961477</v>
      </c>
      <c r="AG151" s="85" t="n">
        <f aca="true">IF(AG$5=0,AF151,MAX(0,(AF151-AG$4)*(1+NORMINV(RAND(),INPUTS!$B$28,INPUTS!$B$29))))</f>
        <v>80928.3386677187</v>
      </c>
      <c r="AH151" s="85" t="n">
        <f aca="true">IF(AH$5=0,AG151,MAX(0,(AG151-AH$4)*(1+NORMINV(RAND(),INPUTS!$B$28,INPUTS!$B$29))))</f>
        <v>12660.3662805013</v>
      </c>
      <c r="AI151" s="85" t="n">
        <f aca="true">IF(AI$5=0,AH151,MAX(0,(AH151-AI$4)*(1+NORMINV(RAND(),INPUTS!$B$28,INPUTS!$B$29))))</f>
        <v>0</v>
      </c>
      <c r="AJ151" s="85" t="n">
        <f aca="true">IF(AJ$5=0,AI151,MAX(0,(AI151-AJ$4)*(1+NORMINV(RAND(),INPUTS!$B$28,INPUTS!$B$29))))</f>
        <v>0</v>
      </c>
      <c r="AK151" s="85" t="n">
        <f aca="true">IF(AK$5=0,AJ151,MAX(0,(AJ151-AK$4)*(1+NORMINV(RAND(),INPUTS!$B$28,INPUTS!$B$29))))</f>
        <v>0</v>
      </c>
      <c r="AL151" s="85" t="n">
        <f aca="true">IF(AL$5=0,AK151,MAX(0,(AK151-AL$4)*(1+NORMINV(RAND(),INPUTS!$B$28,INPUTS!$B$29))))</f>
        <v>0</v>
      </c>
      <c r="AM151" s="85" t="n">
        <f aca="true">IF(AM$5=0,AL151,MAX(0,(AL151-AM$4)*(1+NORMINV(RAND(),INPUTS!$B$28,INPUTS!$B$29))))</f>
        <v>0</v>
      </c>
      <c r="AN151" s="85" t="n">
        <f aca="true">IF(AN$5=0,AM151,MAX(0,(AM151-AN$4)*(1+NORMINV(RAND(),INPUTS!$B$28,INPUTS!$B$29))))</f>
        <v>0</v>
      </c>
      <c r="AO151" s="85" t="n">
        <f aca="true">IF(AO$5=0,AN151,MAX(0,(AN151-AO$4)*(1+NORMINV(RAND(),INPUTS!$B$28,INPUTS!$B$29))))</f>
        <v>0</v>
      </c>
      <c r="AP151" s="85" t="n">
        <f aca="true">IF(AP$5=0,AO151,MAX(0,(AO151-AP$4)*(1+NORMINV(RAND(),INPUTS!$B$28,INPUTS!$B$29))))</f>
        <v>0</v>
      </c>
    </row>
    <row r="152" customFormat="false" ht="15" hidden="false" customHeight="true" outlineLevel="0" collapsed="false">
      <c r="A152" s="83" t="n">
        <v>145</v>
      </c>
      <c r="B152" s="84" t="n">
        <f aca="false">LOOKUP(9.99E+307,C152:AP152)</f>
        <v>1591772.19200164</v>
      </c>
      <c r="C152" s="85" t="n">
        <f aca="true">IF(C$5=0,INPUTS!$B$19,MAX(0,(INPUTS!$B$19-C$4)*(1+NORMINV(RAND(),INPUTS!$B$28,INPUTS!$B$29))))</f>
        <v>1094462.59079755</v>
      </c>
      <c r="D152" s="85" t="n">
        <f aca="true">IF(D$5=0,C152,MAX(0,(C152-D$4)*(1+NORMINV(RAND(),INPUTS!$B$28,INPUTS!$B$29))))</f>
        <v>1046620.43953171</v>
      </c>
      <c r="E152" s="85" t="n">
        <f aca="true">IF(E$5=0,D152,MAX(0,(D152-E$4)*(1+NORMINV(RAND(),INPUTS!$B$28,INPUTS!$B$29))))</f>
        <v>1088696.89219891</v>
      </c>
      <c r="F152" s="85" t="n">
        <f aca="true">IF(F$5=0,E152,MAX(0,(E152-F$4)*(1+NORMINV(RAND(),INPUTS!$B$28,INPUTS!$B$29))))</f>
        <v>1211635.95813304</v>
      </c>
      <c r="G152" s="85" t="n">
        <f aca="true">IF(G$5=0,F152,MAX(0,(F152-G$4)*(1+NORMINV(RAND(),INPUTS!$B$28,INPUTS!$B$29))))</f>
        <v>1128003.7289045</v>
      </c>
      <c r="H152" s="85" t="n">
        <f aca="true">IF(H$5=0,G152,MAX(0,(G152-H$4)*(1+NORMINV(RAND(),INPUTS!$B$28,INPUTS!$B$29))))</f>
        <v>1186306.97171166</v>
      </c>
      <c r="I152" s="85" t="n">
        <f aca="true">IF(I$5=0,H152,MAX(0,(H152-I$4)*(1+NORMINV(RAND(),INPUTS!$B$28,INPUTS!$B$29))))</f>
        <v>1071383.95607132</v>
      </c>
      <c r="J152" s="85" t="n">
        <f aca="true">IF(J$5=0,I152,MAX(0,(I152-J$4)*(1+NORMINV(RAND(),INPUTS!$B$28,INPUTS!$B$29))))</f>
        <v>1005191.92458246</v>
      </c>
      <c r="K152" s="85" t="n">
        <f aca="true">IF(K$5=0,J152,MAX(0,(J152-K$4)*(1+NORMINV(RAND(),INPUTS!$B$28,INPUTS!$B$29))))</f>
        <v>1025507.18121475</v>
      </c>
      <c r="L152" s="85" t="n">
        <f aca="true">IF(L$5=0,K152,MAX(0,(K152-L$4)*(1+NORMINV(RAND(),INPUTS!$B$28,INPUTS!$B$29))))</f>
        <v>973031.842904856</v>
      </c>
      <c r="M152" s="85" t="n">
        <f aca="true">IF(M$5=0,L152,MAX(0,(L152-M$4)*(1+NORMINV(RAND(),INPUTS!$B$28,INPUTS!$B$29))))</f>
        <v>976886.266476086</v>
      </c>
      <c r="N152" s="85" t="n">
        <f aca="true">IF(N$5=0,M152,MAX(0,(M152-N$4)*(1+NORMINV(RAND(),INPUTS!$B$28,INPUTS!$B$29))))</f>
        <v>1031360.65680976</v>
      </c>
      <c r="O152" s="85" t="n">
        <f aca="true">IF(O$5=0,N152,MAX(0,(N152-O$4)*(1+NORMINV(RAND(),INPUTS!$B$28,INPUTS!$B$29))))</f>
        <v>1050696.89033076</v>
      </c>
      <c r="P152" s="85" t="n">
        <f aca="true">IF(P$5=0,O152,MAX(0,(O152-P$4)*(1+NORMINV(RAND(),INPUTS!$B$28,INPUTS!$B$29))))</f>
        <v>1071440.12856354</v>
      </c>
      <c r="Q152" s="85" t="n">
        <f aca="true">IF(Q$5=0,P152,MAX(0,(P152-Q$4)*(1+NORMINV(RAND(),INPUTS!$B$28,INPUTS!$B$29))))</f>
        <v>1068952.04655975</v>
      </c>
      <c r="R152" s="85" t="n">
        <f aca="true">IF(R$5=0,Q152,MAX(0,(Q152-R$4)*(1+NORMINV(RAND(),INPUTS!$B$28,INPUTS!$B$29))))</f>
        <v>1058930.20630333</v>
      </c>
      <c r="S152" s="85" t="n">
        <f aca="true">IF(S$5=0,R152,MAX(0,(R152-S$4)*(1+NORMINV(RAND(),INPUTS!$B$28,INPUTS!$B$29))))</f>
        <v>1147980.51375697</v>
      </c>
      <c r="T152" s="85" t="n">
        <f aca="true">IF(T$5=0,S152,MAX(0,(S152-T$4)*(1+NORMINV(RAND(),INPUTS!$B$28,INPUTS!$B$29))))</f>
        <v>1234205.99920312</v>
      </c>
      <c r="U152" s="85" t="n">
        <f aca="true">IF(U$5=0,T152,MAX(0,(T152-U$4)*(1+NORMINV(RAND(),INPUTS!$B$28,INPUTS!$B$29))))</f>
        <v>1387707.45614486</v>
      </c>
      <c r="V152" s="85" t="n">
        <f aca="true">IF(V$5=0,U152,MAX(0,(U152-V$4)*(1+NORMINV(RAND(),INPUTS!$B$28,INPUTS!$B$29))))</f>
        <v>1440082.62460278</v>
      </c>
      <c r="W152" s="85" t="n">
        <f aca="true">IF(W$5=0,V152,MAX(0,(V152-W$4)*(1+NORMINV(RAND(),INPUTS!$B$28,INPUTS!$B$29))))</f>
        <v>1303105.49084995</v>
      </c>
      <c r="X152" s="85" t="n">
        <f aca="true">IF(X$5=0,W152,MAX(0,(W152-X$4)*(1+NORMINV(RAND(),INPUTS!$B$28,INPUTS!$B$29))))</f>
        <v>1217575.10173793</v>
      </c>
      <c r="Y152" s="85" t="n">
        <f aca="true">IF(Y$5=0,X152,MAX(0,(X152-Y$4)*(1+NORMINV(RAND(),INPUTS!$B$28,INPUTS!$B$29))))</f>
        <v>986679.597984822</v>
      </c>
      <c r="Z152" s="85" t="n">
        <f aca="true">IF(Z$5=0,Y152,MAX(0,(Y152-Z$4)*(1+NORMINV(RAND(),INPUTS!$B$28,INPUTS!$B$29))))</f>
        <v>1059952.55126156</v>
      </c>
      <c r="AA152" s="85" t="n">
        <f aca="true">IF(AA$5=0,Z152,MAX(0,(Z152-AA$4)*(1+NORMINV(RAND(),INPUTS!$B$28,INPUTS!$B$29))))</f>
        <v>1129209.46921427</v>
      </c>
      <c r="AB152" s="85" t="n">
        <f aca="true">IF(AB$5=0,AA152,MAX(0,(AA152-AB$4)*(1+NORMINV(RAND(),INPUTS!$B$28,INPUTS!$B$29))))</f>
        <v>1133186.10827503</v>
      </c>
      <c r="AC152" s="85" t="n">
        <f aca="true">IF(AC$5=0,AB152,MAX(0,(AB152-AC$4)*(1+NORMINV(RAND(),INPUTS!$B$28,INPUTS!$B$29))))</f>
        <v>1046102.01363319</v>
      </c>
      <c r="AD152" s="85" t="n">
        <f aca="true">IF(AD$5=0,AC152,MAX(0,(AC152-AD$4)*(1+NORMINV(RAND(),INPUTS!$B$28,INPUTS!$B$29))))</f>
        <v>1282574.82516637</v>
      </c>
      <c r="AE152" s="85" t="n">
        <f aca="true">IF(AE$5=0,AD152,MAX(0,(AD152-AE$4)*(1+NORMINV(RAND(),INPUTS!$B$28,INPUTS!$B$29))))</f>
        <v>1273366.20534185</v>
      </c>
      <c r="AF152" s="85" t="n">
        <f aca="true">IF(AF$5=0,AE152,MAX(0,(AE152-AF$4)*(1+NORMINV(RAND(),INPUTS!$B$28,INPUTS!$B$29))))</f>
        <v>1253863.07716643</v>
      </c>
      <c r="AG152" s="85" t="n">
        <f aca="true">IF(AG$5=0,AF152,MAX(0,(AF152-AG$4)*(1+NORMINV(RAND(),INPUTS!$B$28,INPUTS!$B$29))))</f>
        <v>1260128.07709801</v>
      </c>
      <c r="AH152" s="85" t="n">
        <f aca="true">IF(AH$5=0,AG152,MAX(0,(AG152-AH$4)*(1+NORMINV(RAND(),INPUTS!$B$28,INPUTS!$B$29))))</f>
        <v>1228788.88311274</v>
      </c>
      <c r="AI152" s="85" t="n">
        <f aca="true">IF(AI$5=0,AH152,MAX(0,(AH152-AI$4)*(1+NORMINV(RAND(),INPUTS!$B$28,INPUTS!$B$29))))</f>
        <v>1355580.51256907</v>
      </c>
      <c r="AJ152" s="85" t="n">
        <f aca="true">IF(AJ$5=0,AI152,MAX(0,(AI152-AJ$4)*(1+NORMINV(RAND(),INPUTS!$B$28,INPUTS!$B$29))))</f>
        <v>1381368.28668783</v>
      </c>
      <c r="AK152" s="85" t="n">
        <f aca="true">IF(AK$5=0,AJ152,MAX(0,(AJ152-AK$4)*(1+NORMINV(RAND(),INPUTS!$B$28,INPUTS!$B$29))))</f>
        <v>1260526.41064716</v>
      </c>
      <c r="AL152" s="85" t="n">
        <f aca="true">IF(AL$5=0,AK152,MAX(0,(AK152-AL$4)*(1+NORMINV(RAND(),INPUTS!$B$28,INPUTS!$B$29))))</f>
        <v>1591772.19200164</v>
      </c>
      <c r="AM152" s="85" t="n">
        <f aca="true">IF(AM$5=0,AL152,MAX(0,(AL152-AM$4)*(1+NORMINV(RAND(),INPUTS!$B$28,INPUTS!$B$29))))</f>
        <v>1591772.19200164</v>
      </c>
      <c r="AN152" s="85" t="n">
        <f aca="true">IF(AN$5=0,AM152,MAX(0,(AM152-AN$4)*(1+NORMINV(RAND(),INPUTS!$B$28,INPUTS!$B$29))))</f>
        <v>1591772.19200164</v>
      </c>
      <c r="AO152" s="85" t="n">
        <f aca="true">IF(AO$5=0,AN152,MAX(0,(AN152-AO$4)*(1+NORMINV(RAND(),INPUTS!$B$28,INPUTS!$B$29))))</f>
        <v>1591772.19200164</v>
      </c>
      <c r="AP152" s="85" t="n">
        <f aca="true">IF(AP$5=0,AO152,MAX(0,(AO152-AP$4)*(1+NORMINV(RAND(),INPUTS!$B$28,INPUTS!$B$29))))</f>
        <v>1591772.19200164</v>
      </c>
    </row>
    <row r="153" customFormat="false" ht="15" hidden="false" customHeight="true" outlineLevel="0" collapsed="false">
      <c r="A153" s="83" t="n">
        <v>146</v>
      </c>
      <c r="B153" s="84" t="n">
        <f aca="false">LOOKUP(9.99E+307,C153:AP153)</f>
        <v>3978592.23180438</v>
      </c>
      <c r="C153" s="85" t="n">
        <f aca="true">IF(C$5=0,INPUTS!$B$19,MAX(0,(INPUTS!$B$19-C$4)*(1+NORMINV(RAND(),INPUTS!$B$28,INPUTS!$B$29))))</f>
        <v>972739.881352101</v>
      </c>
      <c r="D153" s="85" t="n">
        <f aca="true">IF(D$5=0,C153,MAX(0,(C153-D$4)*(1+NORMINV(RAND(),INPUTS!$B$28,INPUTS!$B$29))))</f>
        <v>1193311.76106186</v>
      </c>
      <c r="E153" s="85" t="n">
        <f aca="true">IF(E$5=0,D153,MAX(0,(D153-E$4)*(1+NORMINV(RAND(),INPUTS!$B$28,INPUTS!$B$29))))</f>
        <v>1306288.8129885</v>
      </c>
      <c r="F153" s="85" t="n">
        <f aca="true">IF(F$5=0,E153,MAX(0,(E153-F$4)*(1+NORMINV(RAND(),INPUTS!$B$28,INPUTS!$B$29))))</f>
        <v>1489040.58923981</v>
      </c>
      <c r="G153" s="85" t="n">
        <f aca="true">IF(G$5=0,F153,MAX(0,(F153-G$4)*(1+NORMINV(RAND(),INPUTS!$B$28,INPUTS!$B$29))))</f>
        <v>1591489.01154183</v>
      </c>
      <c r="H153" s="85" t="n">
        <f aca="true">IF(H$5=0,G153,MAX(0,(G153-H$4)*(1+NORMINV(RAND(),INPUTS!$B$28,INPUTS!$B$29))))</f>
        <v>1329956.32141115</v>
      </c>
      <c r="I153" s="85" t="n">
        <f aca="true">IF(I$5=0,H153,MAX(0,(H153-I$4)*(1+NORMINV(RAND(),INPUTS!$B$28,INPUTS!$B$29))))</f>
        <v>1342712.57275527</v>
      </c>
      <c r="J153" s="85" t="n">
        <f aca="true">IF(J$5=0,I153,MAX(0,(I153-J$4)*(1+NORMINV(RAND(),INPUTS!$B$28,INPUTS!$B$29))))</f>
        <v>1321511.2186657</v>
      </c>
      <c r="K153" s="85" t="n">
        <f aca="true">IF(K$5=0,J153,MAX(0,(J153-K$4)*(1+NORMINV(RAND(),INPUTS!$B$28,INPUTS!$B$29))))</f>
        <v>1355572.86224071</v>
      </c>
      <c r="L153" s="85" t="n">
        <f aca="true">IF(L$5=0,K153,MAX(0,(K153-L$4)*(1+NORMINV(RAND(),INPUTS!$B$28,INPUTS!$B$29))))</f>
        <v>1118218.89875252</v>
      </c>
      <c r="M153" s="85" t="n">
        <f aca="true">IF(M$5=0,L153,MAX(0,(L153-M$4)*(1+NORMINV(RAND(),INPUTS!$B$28,INPUTS!$B$29))))</f>
        <v>1143733.74806479</v>
      </c>
      <c r="N153" s="85" t="n">
        <f aca="true">IF(N$5=0,M153,MAX(0,(M153-N$4)*(1+NORMINV(RAND(),INPUTS!$B$28,INPUTS!$B$29))))</f>
        <v>1337663.26137286</v>
      </c>
      <c r="O153" s="85" t="n">
        <f aca="true">IF(O$5=0,N153,MAX(0,(N153-O$4)*(1+NORMINV(RAND(),INPUTS!$B$28,INPUTS!$B$29))))</f>
        <v>1695835.36185962</v>
      </c>
      <c r="P153" s="85" t="n">
        <f aca="true">IF(P$5=0,O153,MAX(0,(O153-P$4)*(1+NORMINV(RAND(),INPUTS!$B$28,INPUTS!$B$29))))</f>
        <v>1904721.25406355</v>
      </c>
      <c r="Q153" s="85" t="n">
        <f aca="true">IF(Q$5=0,P153,MAX(0,(P153-Q$4)*(1+NORMINV(RAND(),INPUTS!$B$28,INPUTS!$B$29))))</f>
        <v>2022311.85064739</v>
      </c>
      <c r="R153" s="85" t="n">
        <f aca="true">IF(R$5=0,Q153,MAX(0,(Q153-R$4)*(1+NORMINV(RAND(),INPUTS!$B$28,INPUTS!$B$29))))</f>
        <v>2086121.52707444</v>
      </c>
      <c r="S153" s="85" t="n">
        <f aca="true">IF(S$5=0,R153,MAX(0,(R153-S$4)*(1+NORMINV(RAND(),INPUTS!$B$28,INPUTS!$B$29))))</f>
        <v>2256744.59680144</v>
      </c>
      <c r="T153" s="85" t="n">
        <f aca="true">IF(T$5=0,S153,MAX(0,(S153-T$4)*(1+NORMINV(RAND(),INPUTS!$B$28,INPUTS!$B$29))))</f>
        <v>2372182.11185196</v>
      </c>
      <c r="U153" s="85" t="n">
        <f aca="true">IF(U$5=0,T153,MAX(0,(T153-U$4)*(1+NORMINV(RAND(),INPUTS!$B$28,INPUTS!$B$29))))</f>
        <v>2800070.26810818</v>
      </c>
      <c r="V153" s="85" t="n">
        <f aca="true">IF(V$5=0,U153,MAX(0,(U153-V$4)*(1+NORMINV(RAND(),INPUTS!$B$28,INPUTS!$B$29))))</f>
        <v>2389075.52271037</v>
      </c>
      <c r="W153" s="85" t="n">
        <f aca="true">IF(W$5=0,V153,MAX(0,(V153-W$4)*(1+NORMINV(RAND(),INPUTS!$B$28,INPUTS!$B$29))))</f>
        <v>2673123.28642078</v>
      </c>
      <c r="X153" s="85" t="n">
        <f aca="true">IF(X$5=0,W153,MAX(0,(W153-X$4)*(1+NORMINV(RAND(),INPUTS!$B$28,INPUTS!$B$29))))</f>
        <v>2823282.1247278</v>
      </c>
      <c r="Y153" s="85" t="n">
        <f aca="true">IF(Y$5=0,X153,MAX(0,(X153-Y$4)*(1+NORMINV(RAND(),INPUTS!$B$28,INPUTS!$B$29))))</f>
        <v>2736210.67504509</v>
      </c>
      <c r="Z153" s="85" t="n">
        <f aca="true">IF(Z$5=0,Y153,MAX(0,(Y153-Z$4)*(1+NORMINV(RAND(),INPUTS!$B$28,INPUTS!$B$29))))</f>
        <v>2927337.28214236</v>
      </c>
      <c r="AA153" s="85" t="n">
        <f aca="true">IF(AA$5=0,Z153,MAX(0,(Z153-AA$4)*(1+NORMINV(RAND(),INPUTS!$B$28,INPUTS!$B$29))))</f>
        <v>3498815.86516028</v>
      </c>
      <c r="AB153" s="85" t="n">
        <f aca="true">IF(AB$5=0,AA153,MAX(0,(AA153-AB$4)*(1+NORMINV(RAND(),INPUTS!$B$28,INPUTS!$B$29))))</f>
        <v>3839487.63083795</v>
      </c>
      <c r="AC153" s="85" t="n">
        <f aca="true">IF(AC$5=0,AB153,MAX(0,(AB153-AC$4)*(1+NORMINV(RAND(),INPUTS!$B$28,INPUTS!$B$29))))</f>
        <v>4765365.10942616</v>
      </c>
      <c r="AD153" s="85" t="n">
        <f aca="true">IF(AD$5=0,AC153,MAX(0,(AC153-AD$4)*(1+NORMINV(RAND(),INPUTS!$B$28,INPUTS!$B$29))))</f>
        <v>4805917.13652752</v>
      </c>
      <c r="AE153" s="85" t="n">
        <f aca="true">IF(AE$5=0,AD153,MAX(0,(AD153-AE$4)*(1+NORMINV(RAND(),INPUTS!$B$28,INPUTS!$B$29))))</f>
        <v>4126178.40538365</v>
      </c>
      <c r="AF153" s="85" t="n">
        <f aca="true">IF(AF$5=0,AE153,MAX(0,(AE153-AF$4)*(1+NORMINV(RAND(),INPUTS!$B$28,INPUTS!$B$29))))</f>
        <v>4709581.05103881</v>
      </c>
      <c r="AG153" s="85" t="n">
        <f aca="true">IF(AG$5=0,AF153,MAX(0,(AF153-AG$4)*(1+NORMINV(RAND(),INPUTS!$B$28,INPUTS!$B$29))))</f>
        <v>4722137.63280814</v>
      </c>
      <c r="AH153" s="85" t="n">
        <f aca="true">IF(AH$5=0,AG153,MAX(0,(AG153-AH$4)*(1+NORMINV(RAND(),INPUTS!$B$28,INPUTS!$B$29))))</f>
        <v>4014262.75663499</v>
      </c>
      <c r="AI153" s="85" t="n">
        <f aca="true">IF(AI$5=0,AH153,MAX(0,(AH153-AI$4)*(1+NORMINV(RAND(),INPUTS!$B$28,INPUTS!$B$29))))</f>
        <v>4219473.43710704</v>
      </c>
      <c r="AJ153" s="85" t="n">
        <f aca="true">IF(AJ$5=0,AI153,MAX(0,(AI153-AJ$4)*(1+NORMINV(RAND(),INPUTS!$B$28,INPUTS!$B$29))))</f>
        <v>4424555.39072033</v>
      </c>
      <c r="AK153" s="85" t="n">
        <f aca="true">IF(AK$5=0,AJ153,MAX(0,(AJ153-AK$4)*(1+NORMINV(RAND(),INPUTS!$B$28,INPUTS!$B$29))))</f>
        <v>4164184.40952353</v>
      </c>
      <c r="AL153" s="85" t="n">
        <f aca="true">IF(AL$5=0,AK153,MAX(0,(AK153-AL$4)*(1+NORMINV(RAND(),INPUTS!$B$28,INPUTS!$B$29))))</f>
        <v>3978592.23180438</v>
      </c>
      <c r="AM153" s="85" t="n">
        <f aca="true">IF(AM$5=0,AL153,MAX(0,(AL153-AM$4)*(1+NORMINV(RAND(),INPUTS!$B$28,INPUTS!$B$29))))</f>
        <v>3978592.23180438</v>
      </c>
      <c r="AN153" s="85" t="n">
        <f aca="true">IF(AN$5=0,AM153,MAX(0,(AM153-AN$4)*(1+NORMINV(RAND(),INPUTS!$B$28,INPUTS!$B$29))))</f>
        <v>3978592.23180438</v>
      </c>
      <c r="AO153" s="85" t="n">
        <f aca="true">IF(AO$5=0,AN153,MAX(0,(AN153-AO$4)*(1+NORMINV(RAND(),INPUTS!$B$28,INPUTS!$B$29))))</f>
        <v>3978592.23180438</v>
      </c>
      <c r="AP153" s="85" t="n">
        <f aca="true">IF(AP$5=0,AO153,MAX(0,(AO153-AP$4)*(1+NORMINV(RAND(),INPUTS!$B$28,INPUTS!$B$29))))</f>
        <v>3978592.23180438</v>
      </c>
    </row>
    <row r="154" customFormat="false" ht="15" hidden="false" customHeight="true" outlineLevel="0" collapsed="false">
      <c r="A154" s="83" t="n">
        <v>147</v>
      </c>
      <c r="B154" s="84" t="n">
        <f aca="false">LOOKUP(9.99E+307,C154:AP154)</f>
        <v>1348950.07451251</v>
      </c>
      <c r="C154" s="85" t="n">
        <f aca="true">IF(C$5=0,INPUTS!$B$19,MAX(0,(INPUTS!$B$19-C$4)*(1+NORMINV(RAND(),INPUTS!$B$28,INPUTS!$B$29))))</f>
        <v>1381350.57699665</v>
      </c>
      <c r="D154" s="85" t="n">
        <f aca="true">IF(D$5=0,C154,MAX(0,(C154-D$4)*(1+NORMINV(RAND(),INPUTS!$B$28,INPUTS!$B$29))))</f>
        <v>1307382.44725783</v>
      </c>
      <c r="E154" s="85" t="n">
        <f aca="true">IF(E$5=0,D154,MAX(0,(D154-E$4)*(1+NORMINV(RAND(),INPUTS!$B$28,INPUTS!$B$29))))</f>
        <v>1239368.0566007</v>
      </c>
      <c r="F154" s="85" t="n">
        <f aca="true">IF(F$5=0,E154,MAX(0,(E154-F$4)*(1+NORMINV(RAND(),INPUTS!$B$28,INPUTS!$B$29))))</f>
        <v>1249142.1601163</v>
      </c>
      <c r="G154" s="85" t="n">
        <f aca="true">IF(G$5=0,F154,MAX(0,(F154-G$4)*(1+NORMINV(RAND(),INPUTS!$B$28,INPUTS!$B$29))))</f>
        <v>1239432.61155974</v>
      </c>
      <c r="H154" s="85" t="n">
        <f aca="true">IF(H$5=0,G154,MAX(0,(G154-H$4)*(1+NORMINV(RAND(),INPUTS!$B$28,INPUTS!$B$29))))</f>
        <v>1160013.39620467</v>
      </c>
      <c r="I154" s="85" t="n">
        <f aca="true">IF(I$5=0,H154,MAX(0,(H154-I$4)*(1+NORMINV(RAND(),INPUTS!$B$28,INPUTS!$B$29))))</f>
        <v>1223565.55402624</v>
      </c>
      <c r="J154" s="85" t="n">
        <f aca="true">IF(J$5=0,I154,MAX(0,(I154-J$4)*(1+NORMINV(RAND(),INPUTS!$B$28,INPUTS!$B$29))))</f>
        <v>1262410.00336347</v>
      </c>
      <c r="K154" s="85" t="n">
        <f aca="true">IF(K$5=0,J154,MAX(0,(J154-K$4)*(1+NORMINV(RAND(),INPUTS!$B$28,INPUTS!$B$29))))</f>
        <v>1396649.38873398</v>
      </c>
      <c r="L154" s="85" t="n">
        <f aca="true">IF(L$5=0,K154,MAX(0,(K154-L$4)*(1+NORMINV(RAND(),INPUTS!$B$28,INPUTS!$B$29))))</f>
        <v>1368528.29592811</v>
      </c>
      <c r="M154" s="85" t="n">
        <f aca="true">IF(M$5=0,L154,MAX(0,(L154-M$4)*(1+NORMINV(RAND(),INPUTS!$B$28,INPUTS!$B$29))))</f>
        <v>1521910.41205028</v>
      </c>
      <c r="N154" s="85" t="n">
        <f aca="true">IF(N$5=0,M154,MAX(0,(M154-N$4)*(1+NORMINV(RAND(),INPUTS!$B$28,INPUTS!$B$29))))</f>
        <v>1564998.6341671</v>
      </c>
      <c r="O154" s="85" t="n">
        <f aca="true">IF(O$5=0,N154,MAX(0,(N154-O$4)*(1+NORMINV(RAND(),INPUTS!$B$28,INPUTS!$B$29))))</f>
        <v>1384212.68677772</v>
      </c>
      <c r="P154" s="85" t="n">
        <f aca="true">IF(P$5=0,O154,MAX(0,(O154-P$4)*(1+NORMINV(RAND(),INPUTS!$B$28,INPUTS!$B$29))))</f>
        <v>1575075.46318878</v>
      </c>
      <c r="Q154" s="85" t="n">
        <f aca="true">IF(Q$5=0,P154,MAX(0,(P154-Q$4)*(1+NORMINV(RAND(),INPUTS!$B$28,INPUTS!$B$29))))</f>
        <v>1578885.24472127</v>
      </c>
      <c r="R154" s="85" t="n">
        <f aca="true">IF(R$5=0,Q154,MAX(0,(Q154-R$4)*(1+NORMINV(RAND(),INPUTS!$B$28,INPUTS!$B$29))))</f>
        <v>1503990.86981279</v>
      </c>
      <c r="S154" s="85" t="n">
        <f aca="true">IF(S$5=0,R154,MAX(0,(R154-S$4)*(1+NORMINV(RAND(),INPUTS!$B$28,INPUTS!$B$29))))</f>
        <v>1455272.25830539</v>
      </c>
      <c r="T154" s="85" t="n">
        <f aca="true">IF(T$5=0,S154,MAX(0,(S154-T$4)*(1+NORMINV(RAND(),INPUTS!$B$28,INPUTS!$B$29))))</f>
        <v>1427858.42020078</v>
      </c>
      <c r="U154" s="85" t="n">
        <f aca="true">IF(U$5=0,T154,MAX(0,(T154-U$4)*(1+NORMINV(RAND(),INPUTS!$B$28,INPUTS!$B$29))))</f>
        <v>1316406.56350885</v>
      </c>
      <c r="V154" s="85" t="n">
        <f aca="true">IF(V$5=0,U154,MAX(0,(U154-V$4)*(1+NORMINV(RAND(),INPUTS!$B$28,INPUTS!$B$29))))</f>
        <v>1473649.80917111</v>
      </c>
      <c r="W154" s="85" t="n">
        <f aca="true">IF(W$5=0,V154,MAX(0,(V154-W$4)*(1+NORMINV(RAND(),INPUTS!$B$28,INPUTS!$B$29))))</f>
        <v>1243869.00271454</v>
      </c>
      <c r="X154" s="85" t="n">
        <f aca="true">IF(X$5=0,W154,MAX(0,(W154-X$4)*(1+NORMINV(RAND(),INPUTS!$B$28,INPUTS!$B$29))))</f>
        <v>1222774.14625168</v>
      </c>
      <c r="Y154" s="85" t="n">
        <f aca="true">IF(Y$5=0,X154,MAX(0,(X154-Y$4)*(1+NORMINV(RAND(),INPUTS!$B$28,INPUTS!$B$29))))</f>
        <v>1393550.59096573</v>
      </c>
      <c r="Z154" s="85" t="n">
        <f aca="true">IF(Z$5=0,Y154,MAX(0,(Y154-Z$4)*(1+NORMINV(RAND(),INPUTS!$B$28,INPUTS!$B$29))))</f>
        <v>1546601.57215692</v>
      </c>
      <c r="AA154" s="85" t="n">
        <f aca="true">IF(AA$5=0,Z154,MAX(0,(Z154-AA$4)*(1+NORMINV(RAND(),INPUTS!$B$28,INPUTS!$B$29))))</f>
        <v>1319330.39940091</v>
      </c>
      <c r="AB154" s="85" t="n">
        <f aca="true">IF(AB$5=0,AA154,MAX(0,(AA154-AB$4)*(1+NORMINV(RAND(),INPUTS!$B$28,INPUTS!$B$29))))</f>
        <v>1379848.87439138</v>
      </c>
      <c r="AC154" s="85" t="n">
        <f aca="true">IF(AC$5=0,AB154,MAX(0,(AB154-AC$4)*(1+NORMINV(RAND(),INPUTS!$B$28,INPUTS!$B$29))))</f>
        <v>1303908.24572023</v>
      </c>
      <c r="AD154" s="85" t="n">
        <f aca="true">IF(AD$5=0,AC154,MAX(0,(AC154-AD$4)*(1+NORMINV(RAND(),INPUTS!$B$28,INPUTS!$B$29))))</f>
        <v>1135021.25002099</v>
      </c>
      <c r="AE154" s="85" t="n">
        <f aca="true">IF(AE$5=0,AD154,MAX(0,(AD154-AE$4)*(1+NORMINV(RAND(),INPUTS!$B$28,INPUTS!$B$29))))</f>
        <v>1290264.59310301</v>
      </c>
      <c r="AF154" s="85" t="n">
        <f aca="true">IF(AF$5=0,AE154,MAX(0,(AE154-AF$4)*(1+NORMINV(RAND(),INPUTS!$B$28,INPUTS!$B$29))))</f>
        <v>1376913.33361678</v>
      </c>
      <c r="AG154" s="85" t="n">
        <f aca="true">IF(AG$5=0,AF154,MAX(0,(AF154-AG$4)*(1+NORMINV(RAND(),INPUTS!$B$28,INPUTS!$B$29))))</f>
        <v>1261465.09699199</v>
      </c>
      <c r="AH154" s="85" t="n">
        <f aca="true">IF(AH$5=0,AG154,MAX(0,(AG154-AH$4)*(1+NORMINV(RAND(),INPUTS!$B$28,INPUTS!$B$29))))</f>
        <v>1303836.23713496</v>
      </c>
      <c r="AI154" s="85" t="n">
        <f aca="true">IF(AI$5=0,AH154,MAX(0,(AH154-AI$4)*(1+NORMINV(RAND(),INPUTS!$B$28,INPUTS!$B$29))))</f>
        <v>1263796.92126563</v>
      </c>
      <c r="AJ154" s="85" t="n">
        <f aca="true">IF(AJ$5=0,AI154,MAX(0,(AI154-AJ$4)*(1+NORMINV(RAND(),INPUTS!$B$28,INPUTS!$B$29))))</f>
        <v>1398914.60538963</v>
      </c>
      <c r="AK154" s="85" t="n">
        <f aca="true">IF(AK$5=0,AJ154,MAX(0,(AJ154-AK$4)*(1+NORMINV(RAND(),INPUTS!$B$28,INPUTS!$B$29))))</f>
        <v>1483716.08108008</v>
      </c>
      <c r="AL154" s="85" t="n">
        <f aca="true">IF(AL$5=0,AK154,MAX(0,(AK154-AL$4)*(1+NORMINV(RAND(),INPUTS!$B$28,INPUTS!$B$29))))</f>
        <v>1348950.07451251</v>
      </c>
      <c r="AM154" s="85" t="n">
        <f aca="true">IF(AM$5=0,AL154,MAX(0,(AL154-AM$4)*(1+NORMINV(RAND(),INPUTS!$B$28,INPUTS!$B$29))))</f>
        <v>1348950.07451251</v>
      </c>
      <c r="AN154" s="85" t="n">
        <f aca="true">IF(AN$5=0,AM154,MAX(0,(AM154-AN$4)*(1+NORMINV(RAND(),INPUTS!$B$28,INPUTS!$B$29))))</f>
        <v>1348950.07451251</v>
      </c>
      <c r="AO154" s="85" t="n">
        <f aca="true">IF(AO$5=0,AN154,MAX(0,(AN154-AO$4)*(1+NORMINV(RAND(),INPUTS!$B$28,INPUTS!$B$29))))</f>
        <v>1348950.07451251</v>
      </c>
      <c r="AP154" s="85" t="n">
        <f aca="true">IF(AP$5=0,AO154,MAX(0,(AO154-AP$4)*(1+NORMINV(RAND(),INPUTS!$B$28,INPUTS!$B$29))))</f>
        <v>1348950.07451251</v>
      </c>
    </row>
    <row r="155" customFormat="false" ht="15" hidden="false" customHeight="true" outlineLevel="0" collapsed="false">
      <c r="A155" s="83" t="n">
        <v>148</v>
      </c>
      <c r="B155" s="84" t="n">
        <f aca="false">LOOKUP(9.99E+307,C155:AP155)</f>
        <v>0</v>
      </c>
      <c r="C155" s="85" t="n">
        <f aca="true">IF(C$5=0,INPUTS!$B$19,MAX(0,(INPUTS!$B$19-C$4)*(1+NORMINV(RAND(),INPUTS!$B$28,INPUTS!$B$29))))</f>
        <v>1381946.38394127</v>
      </c>
      <c r="D155" s="85" t="n">
        <f aca="true">IF(D$5=0,C155,MAX(0,(C155-D$4)*(1+NORMINV(RAND(),INPUTS!$B$28,INPUTS!$B$29))))</f>
        <v>1247385.17767401</v>
      </c>
      <c r="E155" s="85" t="n">
        <f aca="true">IF(E$5=0,D155,MAX(0,(D155-E$4)*(1+NORMINV(RAND(),INPUTS!$B$28,INPUTS!$B$29))))</f>
        <v>1027209.51418659</v>
      </c>
      <c r="F155" s="85" t="n">
        <f aca="true">IF(F$5=0,E155,MAX(0,(E155-F$4)*(1+NORMINV(RAND(),INPUTS!$B$28,INPUTS!$B$29))))</f>
        <v>892599.163664569</v>
      </c>
      <c r="G155" s="85" t="n">
        <f aca="true">IF(G$5=0,F155,MAX(0,(F155-G$4)*(1+NORMINV(RAND(),INPUTS!$B$28,INPUTS!$B$29))))</f>
        <v>760365.781202723</v>
      </c>
      <c r="H155" s="85" t="n">
        <f aca="true">IF(H$5=0,G155,MAX(0,(G155-H$4)*(1+NORMINV(RAND(),INPUTS!$B$28,INPUTS!$B$29))))</f>
        <v>644945.010349559</v>
      </c>
      <c r="I155" s="85" t="n">
        <f aca="true">IF(I$5=0,H155,MAX(0,(H155-I$4)*(1+NORMINV(RAND(),INPUTS!$B$28,INPUTS!$B$29))))</f>
        <v>697540.009094126</v>
      </c>
      <c r="J155" s="85" t="n">
        <f aca="true">IF(J$5=0,I155,MAX(0,(I155-J$4)*(1+NORMINV(RAND(),INPUTS!$B$28,INPUTS!$B$29))))</f>
        <v>623120.579460256</v>
      </c>
      <c r="K155" s="85" t="n">
        <f aca="true">IF(K$5=0,J155,MAX(0,(J155-K$4)*(1+NORMINV(RAND(),INPUTS!$B$28,INPUTS!$B$29))))</f>
        <v>579647.23537952</v>
      </c>
      <c r="L155" s="85" t="n">
        <f aca="true">IF(L$5=0,K155,MAX(0,(K155-L$4)*(1+NORMINV(RAND(),INPUTS!$B$28,INPUTS!$B$29))))</f>
        <v>557056.53406629</v>
      </c>
      <c r="M155" s="85" t="n">
        <f aca="true">IF(M$5=0,L155,MAX(0,(L155-M$4)*(1+NORMINV(RAND(),INPUTS!$B$28,INPUTS!$B$29))))</f>
        <v>561116.286942562</v>
      </c>
      <c r="N155" s="85" t="n">
        <f aca="true">IF(N$5=0,M155,MAX(0,(M155-N$4)*(1+NORMINV(RAND(),INPUTS!$B$28,INPUTS!$B$29))))</f>
        <v>577129.83136386</v>
      </c>
      <c r="O155" s="85" t="n">
        <f aca="true">IF(O$5=0,N155,MAX(0,(N155-O$4)*(1+NORMINV(RAND(),INPUTS!$B$28,INPUTS!$B$29))))</f>
        <v>710462.72079403</v>
      </c>
      <c r="P155" s="85" t="n">
        <f aca="true">IF(P$5=0,O155,MAX(0,(O155-P$4)*(1+NORMINV(RAND(),INPUTS!$B$28,INPUTS!$B$29))))</f>
        <v>708984.994292893</v>
      </c>
      <c r="Q155" s="85" t="n">
        <f aca="true">IF(Q$5=0,P155,MAX(0,(P155-Q$4)*(1+NORMINV(RAND(),INPUTS!$B$28,INPUTS!$B$29))))</f>
        <v>662679.203274203</v>
      </c>
      <c r="R155" s="85" t="n">
        <f aca="true">IF(R$5=0,Q155,MAX(0,(Q155-R$4)*(1+NORMINV(RAND(),INPUTS!$B$28,INPUTS!$B$29))))</f>
        <v>554373.553831657</v>
      </c>
      <c r="S155" s="85" t="n">
        <f aca="true">IF(S$5=0,R155,MAX(0,(R155-S$4)*(1+NORMINV(RAND(),INPUTS!$B$28,INPUTS!$B$29))))</f>
        <v>629825.261261112</v>
      </c>
      <c r="T155" s="85" t="n">
        <f aca="true">IF(T$5=0,S155,MAX(0,(S155-T$4)*(1+NORMINV(RAND(),INPUTS!$B$28,INPUTS!$B$29))))</f>
        <v>560093.473210622</v>
      </c>
      <c r="U155" s="85" t="n">
        <f aca="true">IF(U$5=0,T155,MAX(0,(T155-U$4)*(1+NORMINV(RAND(),INPUTS!$B$28,INPUTS!$B$29))))</f>
        <v>522673.35923242</v>
      </c>
      <c r="V155" s="85" t="n">
        <f aca="true">IF(V$5=0,U155,MAX(0,(U155-V$4)*(1+NORMINV(RAND(),INPUTS!$B$28,INPUTS!$B$29))))</f>
        <v>514620.562500914</v>
      </c>
      <c r="W155" s="85" t="n">
        <f aca="true">IF(W$5=0,V155,MAX(0,(V155-W$4)*(1+NORMINV(RAND(),INPUTS!$B$28,INPUTS!$B$29))))</f>
        <v>558544.782381171</v>
      </c>
      <c r="X155" s="85" t="n">
        <f aca="true">IF(X$5=0,W155,MAX(0,(W155-X$4)*(1+NORMINV(RAND(),INPUTS!$B$28,INPUTS!$B$29))))</f>
        <v>558030.584467251</v>
      </c>
      <c r="Y155" s="85" t="n">
        <f aca="true">IF(Y$5=0,X155,MAX(0,(X155-Y$4)*(1+NORMINV(RAND(),INPUTS!$B$28,INPUTS!$B$29))))</f>
        <v>465416.427820436</v>
      </c>
      <c r="Z155" s="85" t="n">
        <f aca="true">IF(Z$5=0,Y155,MAX(0,(Y155-Z$4)*(1+NORMINV(RAND(),INPUTS!$B$28,INPUTS!$B$29))))</f>
        <v>390810.047277265</v>
      </c>
      <c r="AA155" s="85" t="n">
        <f aca="true">IF(AA$5=0,Z155,MAX(0,(Z155-AA$4)*(1+NORMINV(RAND(),INPUTS!$B$28,INPUTS!$B$29))))</f>
        <v>386277.046370508</v>
      </c>
      <c r="AB155" s="85" t="n">
        <f aca="true">IF(AB$5=0,AA155,MAX(0,(AA155-AB$4)*(1+NORMINV(RAND(),INPUTS!$B$28,INPUTS!$B$29))))</f>
        <v>344496.118529287</v>
      </c>
      <c r="AC155" s="85" t="n">
        <f aca="true">IF(AC$5=0,AB155,MAX(0,(AB155-AC$4)*(1+NORMINV(RAND(),INPUTS!$B$28,INPUTS!$B$29))))</f>
        <v>261726.494506752</v>
      </c>
      <c r="AD155" s="85" t="n">
        <f aca="true">IF(AD$5=0,AC155,MAX(0,(AC155-AD$4)*(1+NORMINV(RAND(),INPUTS!$B$28,INPUTS!$B$29))))</f>
        <v>172641.935821609</v>
      </c>
      <c r="AE155" s="85" t="n">
        <f aca="true">IF(AE$5=0,AD155,MAX(0,(AD155-AE$4)*(1+NORMINV(RAND(),INPUTS!$B$28,INPUTS!$B$29))))</f>
        <v>122501.515469371</v>
      </c>
      <c r="AF155" s="85" t="n">
        <f aca="true">IF(AF$5=0,AE155,MAX(0,(AE155-AF$4)*(1+NORMINV(RAND(),INPUTS!$B$28,INPUTS!$B$29))))</f>
        <v>66197.8787365363</v>
      </c>
      <c r="AG155" s="85" t="n">
        <f aca="true">IF(AG$5=0,AF155,MAX(0,(AF155-AG$4)*(1+NORMINV(RAND(),INPUTS!$B$28,INPUTS!$B$29))))</f>
        <v>0</v>
      </c>
      <c r="AH155" s="85" t="n">
        <f aca="true">IF(AH$5=0,AG155,MAX(0,(AG155-AH$4)*(1+NORMINV(RAND(),INPUTS!$B$28,INPUTS!$B$29))))</f>
        <v>0</v>
      </c>
      <c r="AI155" s="85" t="n">
        <f aca="true">IF(AI$5=0,AH155,MAX(0,(AH155-AI$4)*(1+NORMINV(RAND(),INPUTS!$B$28,INPUTS!$B$29))))</f>
        <v>0</v>
      </c>
      <c r="AJ155" s="85" t="n">
        <f aca="true">IF(AJ$5=0,AI155,MAX(0,(AI155-AJ$4)*(1+NORMINV(RAND(),INPUTS!$B$28,INPUTS!$B$29))))</f>
        <v>0</v>
      </c>
      <c r="AK155" s="85" t="n">
        <f aca="true">IF(AK$5=0,AJ155,MAX(0,(AJ155-AK$4)*(1+NORMINV(RAND(),INPUTS!$B$28,INPUTS!$B$29))))</f>
        <v>0</v>
      </c>
      <c r="AL155" s="85" t="n">
        <f aca="true">IF(AL$5=0,AK155,MAX(0,(AK155-AL$4)*(1+NORMINV(RAND(),INPUTS!$B$28,INPUTS!$B$29))))</f>
        <v>0</v>
      </c>
      <c r="AM155" s="85" t="n">
        <f aca="true">IF(AM$5=0,AL155,MAX(0,(AL155-AM$4)*(1+NORMINV(RAND(),INPUTS!$B$28,INPUTS!$B$29))))</f>
        <v>0</v>
      </c>
      <c r="AN155" s="85" t="n">
        <f aca="true">IF(AN$5=0,AM155,MAX(0,(AM155-AN$4)*(1+NORMINV(RAND(),INPUTS!$B$28,INPUTS!$B$29))))</f>
        <v>0</v>
      </c>
      <c r="AO155" s="85" t="n">
        <f aca="true">IF(AO$5=0,AN155,MAX(0,(AN155-AO$4)*(1+NORMINV(RAND(),INPUTS!$B$28,INPUTS!$B$29))))</f>
        <v>0</v>
      </c>
      <c r="AP155" s="85" t="n">
        <f aca="true">IF(AP$5=0,AO155,MAX(0,(AO155-AP$4)*(1+NORMINV(RAND(),INPUTS!$B$28,INPUTS!$B$29))))</f>
        <v>0</v>
      </c>
    </row>
    <row r="156" customFormat="false" ht="15" hidden="false" customHeight="true" outlineLevel="0" collapsed="false">
      <c r="A156" s="83" t="n">
        <v>149</v>
      </c>
      <c r="B156" s="84" t="n">
        <f aca="false">LOOKUP(9.99E+307,C156:AP156)</f>
        <v>0</v>
      </c>
      <c r="C156" s="85" t="n">
        <f aca="true">IF(C$5=0,INPUTS!$B$19,MAX(0,(INPUTS!$B$19-C$4)*(1+NORMINV(RAND(),INPUTS!$B$28,INPUTS!$B$29))))</f>
        <v>1179279.89620515</v>
      </c>
      <c r="D156" s="85" t="n">
        <f aca="true">IF(D$5=0,C156,MAX(0,(C156-D$4)*(1+NORMINV(RAND(),INPUTS!$B$28,INPUTS!$B$29))))</f>
        <v>1090744.4086187</v>
      </c>
      <c r="E156" s="85" t="n">
        <f aca="true">IF(E$5=0,D156,MAX(0,(D156-E$4)*(1+NORMINV(RAND(),INPUTS!$B$28,INPUTS!$B$29))))</f>
        <v>917847.574301601</v>
      </c>
      <c r="F156" s="85" t="n">
        <f aca="true">IF(F$5=0,E156,MAX(0,(E156-F$4)*(1+NORMINV(RAND(),INPUTS!$B$28,INPUTS!$B$29))))</f>
        <v>644292.984811902</v>
      </c>
      <c r="G156" s="85" t="n">
        <f aca="true">IF(G$5=0,F156,MAX(0,(F156-G$4)*(1+NORMINV(RAND(),INPUTS!$B$28,INPUTS!$B$29))))</f>
        <v>697994.713993621</v>
      </c>
      <c r="H156" s="85" t="n">
        <f aca="true">IF(H$5=0,G156,MAX(0,(G156-H$4)*(1+NORMINV(RAND(),INPUTS!$B$28,INPUTS!$B$29))))</f>
        <v>592112.666235716</v>
      </c>
      <c r="I156" s="85" t="n">
        <f aca="true">IF(I$5=0,H156,MAX(0,(H156-I$4)*(1+NORMINV(RAND(),INPUTS!$B$28,INPUTS!$B$29))))</f>
        <v>545030.239306474</v>
      </c>
      <c r="J156" s="85" t="n">
        <f aca="true">IF(J$5=0,I156,MAX(0,(I156-J$4)*(1+NORMINV(RAND(),INPUTS!$B$28,INPUTS!$B$29))))</f>
        <v>469673.459422799</v>
      </c>
      <c r="K156" s="85" t="n">
        <f aca="true">IF(K$5=0,J156,MAX(0,(J156-K$4)*(1+NORMINV(RAND(),INPUTS!$B$28,INPUTS!$B$29))))</f>
        <v>365473.911137244</v>
      </c>
      <c r="L156" s="85" t="n">
        <f aca="true">IF(L$5=0,K156,MAX(0,(K156-L$4)*(1+NORMINV(RAND(),INPUTS!$B$28,INPUTS!$B$29))))</f>
        <v>340498.56805619</v>
      </c>
      <c r="M156" s="85" t="n">
        <f aca="true">IF(M$5=0,L156,MAX(0,(L156-M$4)*(1+NORMINV(RAND(),INPUTS!$B$28,INPUTS!$B$29))))</f>
        <v>276397.573305097</v>
      </c>
      <c r="N156" s="85" t="n">
        <f aca="true">IF(N$5=0,M156,MAX(0,(M156-N$4)*(1+NORMINV(RAND(),INPUTS!$B$28,INPUTS!$B$29))))</f>
        <v>215647.612293957</v>
      </c>
      <c r="O156" s="85" t="n">
        <f aca="true">IF(O$5=0,N156,MAX(0,(N156-O$4)*(1+NORMINV(RAND(),INPUTS!$B$28,INPUTS!$B$29))))</f>
        <v>187307.604893742</v>
      </c>
      <c r="P156" s="85" t="n">
        <f aca="true">IF(P$5=0,O156,MAX(0,(O156-P$4)*(1+NORMINV(RAND(),INPUTS!$B$28,INPUTS!$B$29))))</f>
        <v>160441.006996647</v>
      </c>
      <c r="Q156" s="85" t="n">
        <f aca="true">IF(Q$5=0,P156,MAX(0,(P156-Q$4)*(1+NORMINV(RAND(),INPUTS!$B$28,INPUTS!$B$29))))</f>
        <v>119391.803477655</v>
      </c>
      <c r="R156" s="85" t="n">
        <f aca="true">IF(R$5=0,Q156,MAX(0,(Q156-R$4)*(1+NORMINV(RAND(),INPUTS!$B$28,INPUTS!$B$29))))</f>
        <v>93043.0523404032</v>
      </c>
      <c r="S156" s="85" t="n">
        <f aca="true">IF(S$5=0,R156,MAX(0,(R156-S$4)*(1+NORMINV(RAND(),INPUTS!$B$28,INPUTS!$B$29))))</f>
        <v>46597.7788818639</v>
      </c>
      <c r="T156" s="85" t="n">
        <f aca="true">IF(T$5=0,S156,MAX(0,(S156-T$4)*(1+NORMINV(RAND(),INPUTS!$B$28,INPUTS!$B$29))))</f>
        <v>0</v>
      </c>
      <c r="U156" s="85" t="n">
        <f aca="true">IF(U$5=0,T156,MAX(0,(T156-U$4)*(1+NORMINV(RAND(),INPUTS!$B$28,INPUTS!$B$29))))</f>
        <v>0</v>
      </c>
      <c r="V156" s="85" t="n">
        <f aca="true">IF(V$5=0,U156,MAX(0,(U156-V$4)*(1+NORMINV(RAND(),INPUTS!$B$28,INPUTS!$B$29))))</f>
        <v>0</v>
      </c>
      <c r="W156" s="85" t="n">
        <f aca="true">IF(W$5=0,V156,MAX(0,(V156-W$4)*(1+NORMINV(RAND(),INPUTS!$B$28,INPUTS!$B$29))))</f>
        <v>0</v>
      </c>
      <c r="X156" s="85" t="n">
        <f aca="true">IF(X$5=0,W156,MAX(0,(W156-X$4)*(1+NORMINV(RAND(),INPUTS!$B$28,INPUTS!$B$29))))</f>
        <v>0</v>
      </c>
      <c r="Y156" s="85" t="n">
        <f aca="true">IF(Y$5=0,X156,MAX(0,(X156-Y$4)*(1+NORMINV(RAND(),INPUTS!$B$28,INPUTS!$B$29))))</f>
        <v>0</v>
      </c>
      <c r="Z156" s="85" t="n">
        <f aca="true">IF(Z$5=0,Y156,MAX(0,(Y156-Z$4)*(1+NORMINV(RAND(),INPUTS!$B$28,INPUTS!$B$29))))</f>
        <v>0</v>
      </c>
      <c r="AA156" s="85" t="n">
        <f aca="true">IF(AA$5=0,Z156,MAX(0,(Z156-AA$4)*(1+NORMINV(RAND(),INPUTS!$B$28,INPUTS!$B$29))))</f>
        <v>0</v>
      </c>
      <c r="AB156" s="85" t="n">
        <f aca="true">IF(AB$5=0,AA156,MAX(0,(AA156-AB$4)*(1+NORMINV(RAND(),INPUTS!$B$28,INPUTS!$B$29))))</f>
        <v>0</v>
      </c>
      <c r="AC156" s="85" t="n">
        <f aca="true">IF(AC$5=0,AB156,MAX(0,(AB156-AC$4)*(1+NORMINV(RAND(),INPUTS!$B$28,INPUTS!$B$29))))</f>
        <v>0</v>
      </c>
      <c r="AD156" s="85" t="n">
        <f aca="true">IF(AD$5=0,AC156,MAX(0,(AC156-AD$4)*(1+NORMINV(RAND(),INPUTS!$B$28,INPUTS!$B$29))))</f>
        <v>0</v>
      </c>
      <c r="AE156" s="85" t="n">
        <f aca="true">IF(AE$5=0,AD156,MAX(0,(AD156-AE$4)*(1+NORMINV(RAND(),INPUTS!$B$28,INPUTS!$B$29))))</f>
        <v>0</v>
      </c>
      <c r="AF156" s="85" t="n">
        <f aca="true">IF(AF$5=0,AE156,MAX(0,(AE156-AF$4)*(1+NORMINV(RAND(),INPUTS!$B$28,INPUTS!$B$29))))</f>
        <v>0</v>
      </c>
      <c r="AG156" s="85" t="n">
        <f aca="true">IF(AG$5=0,AF156,MAX(0,(AF156-AG$4)*(1+NORMINV(RAND(),INPUTS!$B$28,INPUTS!$B$29))))</f>
        <v>0</v>
      </c>
      <c r="AH156" s="85" t="n">
        <f aca="true">IF(AH$5=0,AG156,MAX(0,(AG156-AH$4)*(1+NORMINV(RAND(),INPUTS!$B$28,INPUTS!$B$29))))</f>
        <v>0</v>
      </c>
      <c r="AI156" s="85" t="n">
        <f aca="true">IF(AI$5=0,AH156,MAX(0,(AH156-AI$4)*(1+NORMINV(RAND(),INPUTS!$B$28,INPUTS!$B$29))))</f>
        <v>0</v>
      </c>
      <c r="AJ156" s="85" t="n">
        <f aca="true">IF(AJ$5=0,AI156,MAX(0,(AI156-AJ$4)*(1+NORMINV(RAND(),INPUTS!$B$28,INPUTS!$B$29))))</f>
        <v>0</v>
      </c>
      <c r="AK156" s="85" t="n">
        <f aca="true">IF(AK$5=0,AJ156,MAX(0,(AJ156-AK$4)*(1+NORMINV(RAND(),INPUTS!$B$28,INPUTS!$B$29))))</f>
        <v>0</v>
      </c>
      <c r="AL156" s="85" t="n">
        <f aca="true">IF(AL$5=0,AK156,MAX(0,(AK156-AL$4)*(1+NORMINV(RAND(),INPUTS!$B$28,INPUTS!$B$29))))</f>
        <v>0</v>
      </c>
      <c r="AM156" s="85" t="n">
        <f aca="true">IF(AM$5=0,AL156,MAX(0,(AL156-AM$4)*(1+NORMINV(RAND(),INPUTS!$B$28,INPUTS!$B$29))))</f>
        <v>0</v>
      </c>
      <c r="AN156" s="85" t="n">
        <f aca="true">IF(AN$5=0,AM156,MAX(0,(AM156-AN$4)*(1+NORMINV(RAND(),INPUTS!$B$28,INPUTS!$B$29))))</f>
        <v>0</v>
      </c>
      <c r="AO156" s="85" t="n">
        <f aca="true">IF(AO$5=0,AN156,MAX(0,(AN156-AO$4)*(1+NORMINV(RAND(),INPUTS!$B$28,INPUTS!$B$29))))</f>
        <v>0</v>
      </c>
      <c r="AP156" s="85" t="n">
        <f aca="true">IF(AP$5=0,AO156,MAX(0,(AO156-AP$4)*(1+NORMINV(RAND(),INPUTS!$B$28,INPUTS!$B$29))))</f>
        <v>0</v>
      </c>
    </row>
    <row r="157" customFormat="false" ht="15" hidden="false" customHeight="true" outlineLevel="0" collapsed="false">
      <c r="A157" s="83" t="n">
        <v>150</v>
      </c>
      <c r="B157" s="84" t="n">
        <f aca="false">LOOKUP(9.99E+307,C157:AP157)</f>
        <v>0</v>
      </c>
      <c r="C157" s="85" t="n">
        <f aca="true">IF(C$5=0,INPUTS!$B$19,MAX(0,(INPUTS!$B$19-C$4)*(1+NORMINV(RAND(),INPUTS!$B$28,INPUTS!$B$29))))</f>
        <v>1171026.59383175</v>
      </c>
      <c r="D157" s="85" t="n">
        <f aca="true">IF(D$5=0,C157,MAX(0,(C157-D$4)*(1+NORMINV(RAND(),INPUTS!$B$28,INPUTS!$B$29))))</f>
        <v>1157162.97352072</v>
      </c>
      <c r="E157" s="85" t="n">
        <f aca="true">IF(E$5=0,D157,MAX(0,(D157-E$4)*(1+NORMINV(RAND(),INPUTS!$B$28,INPUTS!$B$29))))</f>
        <v>886950.53871633</v>
      </c>
      <c r="F157" s="85" t="n">
        <f aca="true">IF(F$5=0,E157,MAX(0,(E157-F$4)*(1+NORMINV(RAND(),INPUTS!$B$28,INPUTS!$B$29))))</f>
        <v>563011.794628202</v>
      </c>
      <c r="G157" s="85" t="n">
        <f aca="true">IF(G$5=0,F157,MAX(0,(F157-G$4)*(1+NORMINV(RAND(),INPUTS!$B$28,INPUTS!$B$29))))</f>
        <v>579730.901895454</v>
      </c>
      <c r="H157" s="85" t="n">
        <f aca="true">IF(H$5=0,G157,MAX(0,(G157-H$4)*(1+NORMINV(RAND(),INPUTS!$B$28,INPUTS!$B$29))))</f>
        <v>436448.2369094</v>
      </c>
      <c r="I157" s="85" t="n">
        <f aca="true">IF(I$5=0,H157,MAX(0,(H157-I$4)*(1+NORMINV(RAND(),INPUTS!$B$28,INPUTS!$B$29))))</f>
        <v>391311.504437408</v>
      </c>
      <c r="J157" s="85" t="n">
        <f aca="true">IF(J$5=0,I157,MAX(0,(I157-J$4)*(1+NORMINV(RAND(),INPUTS!$B$28,INPUTS!$B$29))))</f>
        <v>266507.906465713</v>
      </c>
      <c r="K157" s="85" t="n">
        <f aca="true">IF(K$5=0,J157,MAX(0,(J157-K$4)*(1+NORMINV(RAND(),INPUTS!$B$28,INPUTS!$B$29))))</f>
        <v>204826.391054607</v>
      </c>
      <c r="L157" s="85" t="n">
        <f aca="true">IF(L$5=0,K157,MAX(0,(K157-L$4)*(1+NORMINV(RAND(),INPUTS!$B$28,INPUTS!$B$29))))</f>
        <v>156333.703772214</v>
      </c>
      <c r="M157" s="85" t="n">
        <f aca="true">IF(M$5=0,L157,MAX(0,(L157-M$4)*(1+NORMINV(RAND(),INPUTS!$B$28,INPUTS!$B$29))))</f>
        <v>109111.141128464</v>
      </c>
      <c r="N157" s="85" t="n">
        <f aca="true">IF(N$5=0,M157,MAX(0,(M157-N$4)*(1+NORMINV(RAND(),INPUTS!$B$28,INPUTS!$B$29))))</f>
        <v>36930.4340742284</v>
      </c>
      <c r="O157" s="85" t="n">
        <f aca="true">IF(O$5=0,N157,MAX(0,(N157-O$4)*(1+NORMINV(RAND(),INPUTS!$B$28,INPUTS!$B$29))))</f>
        <v>0</v>
      </c>
      <c r="P157" s="85" t="n">
        <f aca="true">IF(P$5=0,O157,MAX(0,(O157-P$4)*(1+NORMINV(RAND(),INPUTS!$B$28,INPUTS!$B$29))))</f>
        <v>0</v>
      </c>
      <c r="Q157" s="85" t="n">
        <f aca="true">IF(Q$5=0,P157,MAX(0,(P157-Q$4)*(1+NORMINV(RAND(),INPUTS!$B$28,INPUTS!$B$29))))</f>
        <v>0</v>
      </c>
      <c r="R157" s="85" t="n">
        <f aca="true">IF(R$5=0,Q157,MAX(0,(Q157-R$4)*(1+NORMINV(RAND(),INPUTS!$B$28,INPUTS!$B$29))))</f>
        <v>0</v>
      </c>
      <c r="S157" s="85" t="n">
        <f aca="true">IF(S$5=0,R157,MAX(0,(R157-S$4)*(1+NORMINV(RAND(),INPUTS!$B$28,INPUTS!$B$29))))</f>
        <v>0</v>
      </c>
      <c r="T157" s="85" t="n">
        <f aca="true">IF(T$5=0,S157,MAX(0,(S157-T$4)*(1+NORMINV(RAND(),INPUTS!$B$28,INPUTS!$B$29))))</f>
        <v>0</v>
      </c>
      <c r="U157" s="85" t="n">
        <f aca="true">IF(U$5=0,T157,MAX(0,(T157-U$4)*(1+NORMINV(RAND(),INPUTS!$B$28,INPUTS!$B$29))))</f>
        <v>0</v>
      </c>
      <c r="V157" s="85" t="n">
        <f aca="true">IF(V$5=0,U157,MAX(0,(U157-V$4)*(1+NORMINV(RAND(),INPUTS!$B$28,INPUTS!$B$29))))</f>
        <v>0</v>
      </c>
      <c r="W157" s="85" t="n">
        <f aca="true">IF(W$5=0,V157,MAX(0,(V157-W$4)*(1+NORMINV(RAND(),INPUTS!$B$28,INPUTS!$B$29))))</f>
        <v>0</v>
      </c>
      <c r="X157" s="85" t="n">
        <f aca="true">IF(X$5=0,W157,MAX(0,(W157-X$4)*(1+NORMINV(RAND(),INPUTS!$B$28,INPUTS!$B$29))))</f>
        <v>0</v>
      </c>
      <c r="Y157" s="85" t="n">
        <f aca="true">IF(Y$5=0,X157,MAX(0,(X157-Y$4)*(1+NORMINV(RAND(),INPUTS!$B$28,INPUTS!$B$29))))</f>
        <v>0</v>
      </c>
      <c r="Z157" s="85" t="n">
        <f aca="true">IF(Z$5=0,Y157,MAX(0,(Y157-Z$4)*(1+NORMINV(RAND(),INPUTS!$B$28,INPUTS!$B$29))))</f>
        <v>0</v>
      </c>
      <c r="AA157" s="85" t="n">
        <f aca="true">IF(AA$5=0,Z157,MAX(0,(Z157-AA$4)*(1+NORMINV(RAND(),INPUTS!$B$28,INPUTS!$B$29))))</f>
        <v>0</v>
      </c>
      <c r="AB157" s="85" t="n">
        <f aca="true">IF(AB$5=0,AA157,MAX(0,(AA157-AB$4)*(1+NORMINV(RAND(),INPUTS!$B$28,INPUTS!$B$29))))</f>
        <v>0</v>
      </c>
      <c r="AC157" s="85" t="n">
        <f aca="true">IF(AC$5=0,AB157,MAX(0,(AB157-AC$4)*(1+NORMINV(RAND(),INPUTS!$B$28,INPUTS!$B$29))))</f>
        <v>0</v>
      </c>
      <c r="AD157" s="85" t="n">
        <f aca="true">IF(AD$5=0,AC157,MAX(0,(AC157-AD$4)*(1+NORMINV(RAND(),INPUTS!$B$28,INPUTS!$B$29))))</f>
        <v>0</v>
      </c>
      <c r="AE157" s="85" t="n">
        <f aca="true">IF(AE$5=0,AD157,MAX(0,(AD157-AE$4)*(1+NORMINV(RAND(),INPUTS!$B$28,INPUTS!$B$29))))</f>
        <v>0</v>
      </c>
      <c r="AF157" s="85" t="n">
        <f aca="true">IF(AF$5=0,AE157,MAX(0,(AE157-AF$4)*(1+NORMINV(RAND(),INPUTS!$B$28,INPUTS!$B$29))))</f>
        <v>0</v>
      </c>
      <c r="AG157" s="85" t="n">
        <f aca="true">IF(AG$5=0,AF157,MAX(0,(AF157-AG$4)*(1+NORMINV(RAND(),INPUTS!$B$28,INPUTS!$B$29))))</f>
        <v>0</v>
      </c>
      <c r="AH157" s="85" t="n">
        <f aca="true">IF(AH$5=0,AG157,MAX(0,(AG157-AH$4)*(1+NORMINV(RAND(),INPUTS!$B$28,INPUTS!$B$29))))</f>
        <v>0</v>
      </c>
      <c r="AI157" s="85" t="n">
        <f aca="true">IF(AI$5=0,AH157,MAX(0,(AH157-AI$4)*(1+NORMINV(RAND(),INPUTS!$B$28,INPUTS!$B$29))))</f>
        <v>0</v>
      </c>
      <c r="AJ157" s="85" t="n">
        <f aca="true">IF(AJ$5=0,AI157,MAX(0,(AI157-AJ$4)*(1+NORMINV(RAND(),INPUTS!$B$28,INPUTS!$B$29))))</f>
        <v>0</v>
      </c>
      <c r="AK157" s="85" t="n">
        <f aca="true">IF(AK$5=0,AJ157,MAX(0,(AJ157-AK$4)*(1+NORMINV(RAND(),INPUTS!$B$28,INPUTS!$B$29))))</f>
        <v>0</v>
      </c>
      <c r="AL157" s="85" t="n">
        <f aca="true">IF(AL$5=0,AK157,MAX(0,(AK157-AL$4)*(1+NORMINV(RAND(),INPUTS!$B$28,INPUTS!$B$29))))</f>
        <v>0</v>
      </c>
      <c r="AM157" s="85" t="n">
        <f aca="true">IF(AM$5=0,AL157,MAX(0,(AL157-AM$4)*(1+NORMINV(RAND(),INPUTS!$B$28,INPUTS!$B$29))))</f>
        <v>0</v>
      </c>
      <c r="AN157" s="85" t="n">
        <f aca="true">IF(AN$5=0,AM157,MAX(0,(AM157-AN$4)*(1+NORMINV(RAND(),INPUTS!$B$28,INPUTS!$B$29))))</f>
        <v>0</v>
      </c>
      <c r="AO157" s="85" t="n">
        <f aca="true">IF(AO$5=0,AN157,MAX(0,(AN157-AO$4)*(1+NORMINV(RAND(),INPUTS!$B$28,INPUTS!$B$29))))</f>
        <v>0</v>
      </c>
      <c r="AP157" s="85" t="n">
        <f aca="true">IF(AP$5=0,AO157,MAX(0,(AO157-AP$4)*(1+NORMINV(RAND(),INPUTS!$B$28,INPUTS!$B$29))))</f>
        <v>0</v>
      </c>
    </row>
    <row r="158" customFormat="false" ht="15" hidden="false" customHeight="true" outlineLevel="0" collapsed="false">
      <c r="A158" s="83" t="n">
        <v>151</v>
      </c>
      <c r="B158" s="84" t="n">
        <f aca="false">LOOKUP(9.99E+307,C158:AP158)</f>
        <v>170522.076782472</v>
      </c>
      <c r="C158" s="85" t="n">
        <f aca="true">IF(C$5=0,INPUTS!$B$19,MAX(0,(INPUTS!$B$19-C$4)*(1+NORMINV(RAND(),INPUTS!$B$28,INPUTS!$B$29))))</f>
        <v>1361645.13019123</v>
      </c>
      <c r="D158" s="85" t="n">
        <f aca="true">IF(D$5=0,C158,MAX(0,(C158-D$4)*(1+NORMINV(RAND(),INPUTS!$B$28,INPUTS!$B$29))))</f>
        <v>1326228.36378698</v>
      </c>
      <c r="E158" s="85" t="n">
        <f aca="true">IF(E$5=0,D158,MAX(0,(D158-E$4)*(1+NORMINV(RAND(),INPUTS!$B$28,INPUTS!$B$29))))</f>
        <v>1199111.76142598</v>
      </c>
      <c r="F158" s="85" t="n">
        <f aca="true">IF(F$5=0,E158,MAX(0,(E158-F$4)*(1+NORMINV(RAND(),INPUTS!$B$28,INPUTS!$B$29))))</f>
        <v>1084299.04868534</v>
      </c>
      <c r="G158" s="85" t="n">
        <f aca="true">IF(G$5=0,F158,MAX(0,(F158-G$4)*(1+NORMINV(RAND(),INPUTS!$B$28,INPUTS!$B$29))))</f>
        <v>1170160.26433724</v>
      </c>
      <c r="H158" s="85" t="n">
        <f aca="true">IF(H$5=0,G158,MAX(0,(G158-H$4)*(1+NORMINV(RAND(),INPUTS!$B$28,INPUTS!$B$29))))</f>
        <v>1202021.41300351</v>
      </c>
      <c r="I158" s="85" t="n">
        <f aca="true">IF(I$5=0,H158,MAX(0,(H158-I$4)*(1+NORMINV(RAND(),INPUTS!$B$28,INPUTS!$B$29))))</f>
        <v>1056526.56681306</v>
      </c>
      <c r="J158" s="85" t="n">
        <f aca="true">IF(J$5=0,I158,MAX(0,(I158-J$4)*(1+NORMINV(RAND(),INPUTS!$B$28,INPUTS!$B$29))))</f>
        <v>939598.865648547</v>
      </c>
      <c r="K158" s="85" t="n">
        <f aca="true">IF(K$5=0,J158,MAX(0,(J158-K$4)*(1+NORMINV(RAND(),INPUTS!$B$28,INPUTS!$B$29))))</f>
        <v>1073436.87651824</v>
      </c>
      <c r="L158" s="85" t="n">
        <f aca="true">IF(L$5=0,K158,MAX(0,(K158-L$4)*(1+NORMINV(RAND(),INPUTS!$B$28,INPUTS!$B$29))))</f>
        <v>915707.625047842</v>
      </c>
      <c r="M158" s="85" t="n">
        <f aca="true">IF(M$5=0,L158,MAX(0,(L158-M$4)*(1+NORMINV(RAND(),INPUTS!$B$28,INPUTS!$B$29))))</f>
        <v>950231.821356672</v>
      </c>
      <c r="N158" s="85" t="n">
        <f aca="true">IF(N$5=0,M158,MAX(0,(M158-N$4)*(1+NORMINV(RAND(),INPUTS!$B$28,INPUTS!$B$29))))</f>
        <v>853444.735291553</v>
      </c>
      <c r="O158" s="85" t="n">
        <f aca="true">IF(O$5=0,N158,MAX(0,(N158-O$4)*(1+NORMINV(RAND(),INPUTS!$B$28,INPUTS!$B$29))))</f>
        <v>821423.735567427</v>
      </c>
      <c r="P158" s="85" t="n">
        <f aca="true">IF(P$5=0,O158,MAX(0,(O158-P$4)*(1+NORMINV(RAND(),INPUTS!$B$28,INPUTS!$B$29))))</f>
        <v>908929.119950521</v>
      </c>
      <c r="Q158" s="85" t="n">
        <f aca="true">IF(Q$5=0,P158,MAX(0,(P158-Q$4)*(1+NORMINV(RAND(),INPUTS!$B$28,INPUTS!$B$29))))</f>
        <v>834886.683435831</v>
      </c>
      <c r="R158" s="85" t="n">
        <f aca="true">IF(R$5=0,Q158,MAX(0,(Q158-R$4)*(1+NORMINV(RAND(),INPUTS!$B$28,INPUTS!$B$29))))</f>
        <v>720748.23994651</v>
      </c>
      <c r="S158" s="85" t="n">
        <f aca="true">IF(S$5=0,R158,MAX(0,(R158-S$4)*(1+NORMINV(RAND(),INPUTS!$B$28,INPUTS!$B$29))))</f>
        <v>711071.012183407</v>
      </c>
      <c r="T158" s="85" t="n">
        <f aca="true">IF(T$5=0,S158,MAX(0,(S158-T$4)*(1+NORMINV(RAND(),INPUTS!$B$28,INPUTS!$B$29))))</f>
        <v>679368.053767613</v>
      </c>
      <c r="U158" s="85" t="n">
        <f aca="true">IF(U$5=0,T158,MAX(0,(T158-U$4)*(1+NORMINV(RAND(),INPUTS!$B$28,INPUTS!$B$29))))</f>
        <v>658791.358502166</v>
      </c>
      <c r="V158" s="85" t="n">
        <f aca="true">IF(V$5=0,U158,MAX(0,(U158-V$4)*(1+NORMINV(RAND(),INPUTS!$B$28,INPUTS!$B$29))))</f>
        <v>642816.616454237</v>
      </c>
      <c r="W158" s="85" t="n">
        <f aca="true">IF(W$5=0,V158,MAX(0,(V158-W$4)*(1+NORMINV(RAND(),INPUTS!$B$28,INPUTS!$B$29))))</f>
        <v>656276.923630208</v>
      </c>
      <c r="X158" s="85" t="n">
        <f aca="true">IF(X$5=0,W158,MAX(0,(W158-X$4)*(1+NORMINV(RAND(),INPUTS!$B$28,INPUTS!$B$29))))</f>
        <v>561831.79532541</v>
      </c>
      <c r="Y158" s="85" t="n">
        <f aca="true">IF(Y$5=0,X158,MAX(0,(X158-Y$4)*(1+NORMINV(RAND(),INPUTS!$B$28,INPUTS!$B$29))))</f>
        <v>520772.337595703</v>
      </c>
      <c r="Z158" s="85" t="n">
        <f aca="true">IF(Z$5=0,Y158,MAX(0,(Y158-Z$4)*(1+NORMINV(RAND(),INPUTS!$B$28,INPUTS!$B$29))))</f>
        <v>491118.928760798</v>
      </c>
      <c r="AA158" s="85" t="n">
        <f aca="true">IF(AA$5=0,Z158,MAX(0,(Z158-AA$4)*(1+NORMINV(RAND(),INPUTS!$B$28,INPUTS!$B$29))))</f>
        <v>505241.443373519</v>
      </c>
      <c r="AB158" s="85" t="n">
        <f aca="true">IF(AB$5=0,AA158,MAX(0,(AA158-AB$4)*(1+NORMINV(RAND(),INPUTS!$B$28,INPUTS!$B$29))))</f>
        <v>561321.689093248</v>
      </c>
      <c r="AC158" s="85" t="n">
        <f aca="true">IF(AC$5=0,AB158,MAX(0,(AB158-AC$4)*(1+NORMINV(RAND(),INPUTS!$B$28,INPUTS!$B$29))))</f>
        <v>611228.696664939</v>
      </c>
      <c r="AD158" s="85" t="n">
        <f aca="true">IF(AD$5=0,AC158,MAX(0,(AC158-AD$4)*(1+NORMINV(RAND(),INPUTS!$B$28,INPUTS!$B$29))))</f>
        <v>577742.24742431</v>
      </c>
      <c r="AE158" s="85" t="n">
        <f aca="true">IF(AE$5=0,AD158,MAX(0,(AD158-AE$4)*(1+NORMINV(RAND(),INPUTS!$B$28,INPUTS!$B$29))))</f>
        <v>542050.764641242</v>
      </c>
      <c r="AF158" s="85" t="n">
        <f aca="true">IF(AF$5=0,AE158,MAX(0,(AE158-AF$4)*(1+NORMINV(RAND(),INPUTS!$B$28,INPUTS!$B$29))))</f>
        <v>538344.32609077</v>
      </c>
      <c r="AG158" s="85" t="n">
        <f aca="true">IF(AG$5=0,AF158,MAX(0,(AF158-AG$4)*(1+NORMINV(RAND(),INPUTS!$B$28,INPUTS!$B$29))))</f>
        <v>529686.78495857</v>
      </c>
      <c r="AH158" s="85" t="n">
        <f aca="true">IF(AH$5=0,AG158,MAX(0,(AG158-AH$4)*(1+NORMINV(RAND(),INPUTS!$B$28,INPUTS!$B$29))))</f>
        <v>430696.788661437</v>
      </c>
      <c r="AI158" s="85" t="n">
        <f aca="true">IF(AI$5=0,AH158,MAX(0,(AH158-AI$4)*(1+NORMINV(RAND(),INPUTS!$B$28,INPUTS!$B$29))))</f>
        <v>426759.310809033</v>
      </c>
      <c r="AJ158" s="85" t="n">
        <f aca="true">IF(AJ$5=0,AI158,MAX(0,(AI158-AJ$4)*(1+NORMINV(RAND(),INPUTS!$B$28,INPUTS!$B$29))))</f>
        <v>353885.205720911</v>
      </c>
      <c r="AK158" s="85" t="n">
        <f aca="true">IF(AK$5=0,AJ158,MAX(0,(AJ158-AK$4)*(1+NORMINV(RAND(),INPUTS!$B$28,INPUTS!$B$29))))</f>
        <v>251816.597470539</v>
      </c>
      <c r="AL158" s="85" t="n">
        <f aca="true">IF(AL$5=0,AK158,MAX(0,(AK158-AL$4)*(1+NORMINV(RAND(),INPUTS!$B$28,INPUTS!$B$29))))</f>
        <v>170522.076782472</v>
      </c>
      <c r="AM158" s="85" t="n">
        <f aca="true">IF(AM$5=0,AL158,MAX(0,(AL158-AM$4)*(1+NORMINV(RAND(),INPUTS!$B$28,INPUTS!$B$29))))</f>
        <v>170522.076782472</v>
      </c>
      <c r="AN158" s="85" t="n">
        <f aca="true">IF(AN$5=0,AM158,MAX(0,(AM158-AN$4)*(1+NORMINV(RAND(),INPUTS!$B$28,INPUTS!$B$29))))</f>
        <v>170522.076782472</v>
      </c>
      <c r="AO158" s="85" t="n">
        <f aca="true">IF(AO$5=0,AN158,MAX(0,(AN158-AO$4)*(1+NORMINV(RAND(),INPUTS!$B$28,INPUTS!$B$29))))</f>
        <v>170522.076782472</v>
      </c>
      <c r="AP158" s="85" t="n">
        <f aca="true">IF(AP$5=0,AO158,MAX(0,(AO158-AP$4)*(1+NORMINV(RAND(),INPUTS!$B$28,INPUTS!$B$29))))</f>
        <v>170522.076782472</v>
      </c>
    </row>
    <row r="159" customFormat="false" ht="15" hidden="false" customHeight="true" outlineLevel="0" collapsed="false">
      <c r="A159" s="83" t="n">
        <v>152</v>
      </c>
      <c r="B159" s="84" t="n">
        <f aca="false">LOOKUP(9.99E+307,C159:AP159)</f>
        <v>11848484.1218101</v>
      </c>
      <c r="C159" s="85" t="n">
        <f aca="true">IF(C$5=0,INPUTS!$B$19,MAX(0,(INPUTS!$B$19-C$4)*(1+NORMINV(RAND(),INPUTS!$B$28,INPUTS!$B$29))))</f>
        <v>1375709.62877553</v>
      </c>
      <c r="D159" s="85" t="n">
        <f aca="true">IF(D$5=0,C159,MAX(0,(C159-D$4)*(1+NORMINV(RAND(),INPUTS!$B$28,INPUTS!$B$29))))</f>
        <v>1206028.43878548</v>
      </c>
      <c r="E159" s="85" t="n">
        <f aca="true">IF(E$5=0,D159,MAX(0,(D159-E$4)*(1+NORMINV(RAND(),INPUTS!$B$28,INPUTS!$B$29))))</f>
        <v>1318618.926091</v>
      </c>
      <c r="F159" s="85" t="n">
        <f aca="true">IF(F$5=0,E159,MAX(0,(E159-F$4)*(1+NORMINV(RAND(),INPUTS!$B$28,INPUTS!$B$29))))</f>
        <v>1583582.40054122</v>
      </c>
      <c r="G159" s="85" t="n">
        <f aca="true">IF(G$5=0,F159,MAX(0,(F159-G$4)*(1+NORMINV(RAND(),INPUTS!$B$28,INPUTS!$B$29))))</f>
        <v>1883570.68718398</v>
      </c>
      <c r="H159" s="85" t="n">
        <f aca="true">IF(H$5=0,G159,MAX(0,(G159-H$4)*(1+NORMINV(RAND(),INPUTS!$B$28,INPUTS!$B$29))))</f>
        <v>2038813.98375735</v>
      </c>
      <c r="I159" s="85" t="n">
        <f aca="true">IF(I$5=0,H159,MAX(0,(H159-I$4)*(1+NORMINV(RAND(),INPUTS!$B$28,INPUTS!$B$29))))</f>
        <v>1808399.6097637</v>
      </c>
      <c r="J159" s="85" t="n">
        <f aca="true">IF(J$5=0,I159,MAX(0,(I159-J$4)*(1+NORMINV(RAND(),INPUTS!$B$28,INPUTS!$B$29))))</f>
        <v>1956982.75685881</v>
      </c>
      <c r="K159" s="85" t="n">
        <f aca="true">IF(K$5=0,J159,MAX(0,(J159-K$4)*(1+NORMINV(RAND(),INPUTS!$B$28,INPUTS!$B$29))))</f>
        <v>1626033.8932324</v>
      </c>
      <c r="L159" s="85" t="n">
        <f aca="true">IF(L$5=0,K159,MAX(0,(K159-L$4)*(1+NORMINV(RAND(),INPUTS!$B$28,INPUTS!$B$29))))</f>
        <v>1783101.05934216</v>
      </c>
      <c r="M159" s="85" t="n">
        <f aca="true">IF(M$5=0,L159,MAX(0,(L159-M$4)*(1+NORMINV(RAND(),INPUTS!$B$28,INPUTS!$B$29))))</f>
        <v>1806702.67264323</v>
      </c>
      <c r="N159" s="85" t="n">
        <f aca="true">IF(N$5=0,M159,MAX(0,(M159-N$4)*(1+NORMINV(RAND(),INPUTS!$B$28,INPUTS!$B$29))))</f>
        <v>1809742.90005308</v>
      </c>
      <c r="O159" s="85" t="n">
        <f aca="true">IF(O$5=0,N159,MAX(0,(N159-O$4)*(1+NORMINV(RAND(),INPUTS!$B$28,INPUTS!$B$29))))</f>
        <v>1787773.4243738</v>
      </c>
      <c r="P159" s="85" t="n">
        <f aca="true">IF(P$5=0,O159,MAX(0,(O159-P$4)*(1+NORMINV(RAND(),INPUTS!$B$28,INPUTS!$B$29))))</f>
        <v>2231882.500432</v>
      </c>
      <c r="Q159" s="85" t="n">
        <f aca="true">IF(Q$5=0,P159,MAX(0,(P159-Q$4)*(1+NORMINV(RAND(),INPUTS!$B$28,INPUTS!$B$29))))</f>
        <v>2446935.30758621</v>
      </c>
      <c r="R159" s="85" t="n">
        <f aca="true">IF(R$5=0,Q159,MAX(0,(Q159-R$4)*(1+NORMINV(RAND(),INPUTS!$B$28,INPUTS!$B$29))))</f>
        <v>3076563.55045104</v>
      </c>
      <c r="S159" s="85" t="n">
        <f aca="true">IF(S$5=0,R159,MAX(0,(R159-S$4)*(1+NORMINV(RAND(),INPUTS!$B$28,INPUTS!$B$29))))</f>
        <v>2821942.85146031</v>
      </c>
      <c r="T159" s="85" t="n">
        <f aca="true">IF(T$5=0,S159,MAX(0,(S159-T$4)*(1+NORMINV(RAND(),INPUTS!$B$28,INPUTS!$B$29))))</f>
        <v>3108504.88235215</v>
      </c>
      <c r="U159" s="85" t="n">
        <f aca="true">IF(U$5=0,T159,MAX(0,(T159-U$4)*(1+NORMINV(RAND(),INPUTS!$B$28,INPUTS!$B$29))))</f>
        <v>3583113.67770809</v>
      </c>
      <c r="V159" s="85" t="n">
        <f aca="true">IF(V$5=0,U159,MAX(0,(U159-V$4)*(1+NORMINV(RAND(),INPUTS!$B$28,INPUTS!$B$29))))</f>
        <v>4051915.19508239</v>
      </c>
      <c r="W159" s="85" t="n">
        <f aca="true">IF(W$5=0,V159,MAX(0,(V159-W$4)*(1+NORMINV(RAND(),INPUTS!$B$28,INPUTS!$B$29))))</f>
        <v>3520497.49532426</v>
      </c>
      <c r="X159" s="85" t="n">
        <f aca="true">IF(X$5=0,W159,MAX(0,(W159-X$4)*(1+NORMINV(RAND(),INPUTS!$B$28,INPUTS!$B$29))))</f>
        <v>2932317.3917907</v>
      </c>
      <c r="Y159" s="85" t="n">
        <f aca="true">IF(Y$5=0,X159,MAX(0,(X159-Y$4)*(1+NORMINV(RAND(),INPUTS!$B$28,INPUTS!$B$29))))</f>
        <v>3240515.16406317</v>
      </c>
      <c r="Z159" s="85" t="n">
        <f aca="true">IF(Z$5=0,Y159,MAX(0,(Y159-Z$4)*(1+NORMINV(RAND(),INPUTS!$B$28,INPUTS!$B$29))))</f>
        <v>3737322.32238961</v>
      </c>
      <c r="AA159" s="85" t="n">
        <f aca="true">IF(AA$5=0,Z159,MAX(0,(Z159-AA$4)*(1+NORMINV(RAND(),INPUTS!$B$28,INPUTS!$B$29))))</f>
        <v>4767557.19021755</v>
      </c>
      <c r="AB159" s="85" t="n">
        <f aca="true">IF(AB$5=0,AA159,MAX(0,(AA159-AB$4)*(1+NORMINV(RAND(),INPUTS!$B$28,INPUTS!$B$29))))</f>
        <v>5385886.43840716</v>
      </c>
      <c r="AC159" s="85" t="n">
        <f aca="true">IF(AC$5=0,AB159,MAX(0,(AB159-AC$4)*(1+NORMINV(RAND(),INPUTS!$B$28,INPUTS!$B$29))))</f>
        <v>5886711.78982135</v>
      </c>
      <c r="AD159" s="85" t="n">
        <f aca="true">IF(AD$5=0,AC159,MAX(0,(AC159-AD$4)*(1+NORMINV(RAND(),INPUTS!$B$28,INPUTS!$B$29))))</f>
        <v>4958346.20824496</v>
      </c>
      <c r="AE159" s="85" t="n">
        <f aca="true">IF(AE$5=0,AD159,MAX(0,(AD159-AE$4)*(1+NORMINV(RAND(),INPUTS!$B$28,INPUTS!$B$29))))</f>
        <v>5039376.79762016</v>
      </c>
      <c r="AF159" s="85" t="n">
        <f aca="true">IF(AF$5=0,AE159,MAX(0,(AE159-AF$4)*(1+NORMINV(RAND(),INPUTS!$B$28,INPUTS!$B$29))))</f>
        <v>6091836.24682762</v>
      </c>
      <c r="AG159" s="85" t="n">
        <f aca="true">IF(AG$5=0,AF159,MAX(0,(AF159-AG$4)*(1+NORMINV(RAND(),INPUTS!$B$28,INPUTS!$B$29))))</f>
        <v>6168225.12251715</v>
      </c>
      <c r="AH159" s="85" t="n">
        <f aca="true">IF(AH$5=0,AG159,MAX(0,(AG159-AH$4)*(1+NORMINV(RAND(),INPUTS!$B$28,INPUTS!$B$29))))</f>
        <v>7955220.49547754</v>
      </c>
      <c r="AI159" s="85" t="n">
        <f aca="true">IF(AI$5=0,AH159,MAX(0,(AH159-AI$4)*(1+NORMINV(RAND(),INPUTS!$B$28,INPUTS!$B$29))))</f>
        <v>9101872.42847677</v>
      </c>
      <c r="AJ159" s="85" t="n">
        <f aca="true">IF(AJ$5=0,AI159,MAX(0,(AI159-AJ$4)*(1+NORMINV(RAND(),INPUTS!$B$28,INPUTS!$B$29))))</f>
        <v>9898381.53076603</v>
      </c>
      <c r="AK159" s="85" t="n">
        <f aca="true">IF(AK$5=0,AJ159,MAX(0,(AJ159-AK$4)*(1+NORMINV(RAND(),INPUTS!$B$28,INPUTS!$B$29))))</f>
        <v>10194925.4473859</v>
      </c>
      <c r="AL159" s="85" t="n">
        <f aca="true">IF(AL$5=0,AK159,MAX(0,(AK159-AL$4)*(1+NORMINV(RAND(),INPUTS!$B$28,INPUTS!$B$29))))</f>
        <v>11848484.1218101</v>
      </c>
      <c r="AM159" s="85" t="n">
        <f aca="true">IF(AM$5=0,AL159,MAX(0,(AL159-AM$4)*(1+NORMINV(RAND(),INPUTS!$B$28,INPUTS!$B$29))))</f>
        <v>11848484.1218101</v>
      </c>
      <c r="AN159" s="85" t="n">
        <f aca="true">IF(AN$5=0,AM159,MAX(0,(AM159-AN$4)*(1+NORMINV(RAND(),INPUTS!$B$28,INPUTS!$B$29))))</f>
        <v>11848484.1218101</v>
      </c>
      <c r="AO159" s="85" t="n">
        <f aca="true">IF(AO$5=0,AN159,MAX(0,(AN159-AO$4)*(1+NORMINV(RAND(),INPUTS!$B$28,INPUTS!$B$29))))</f>
        <v>11848484.1218101</v>
      </c>
      <c r="AP159" s="85" t="n">
        <f aca="true">IF(AP$5=0,AO159,MAX(0,(AO159-AP$4)*(1+NORMINV(RAND(),INPUTS!$B$28,INPUTS!$B$29))))</f>
        <v>11848484.1218101</v>
      </c>
    </row>
    <row r="160" customFormat="false" ht="15" hidden="false" customHeight="true" outlineLevel="0" collapsed="false">
      <c r="A160" s="83" t="n">
        <v>153</v>
      </c>
      <c r="B160" s="84" t="n">
        <f aca="false">LOOKUP(9.99E+307,C160:AP160)</f>
        <v>0</v>
      </c>
      <c r="C160" s="85" t="n">
        <f aca="true">IF(C$5=0,INPUTS!$B$19,MAX(0,(INPUTS!$B$19-C$4)*(1+NORMINV(RAND(),INPUTS!$B$28,INPUTS!$B$29))))</f>
        <v>1213131.69625592</v>
      </c>
      <c r="D160" s="85" t="n">
        <f aca="true">IF(D$5=0,C160,MAX(0,(C160-D$4)*(1+NORMINV(RAND(),INPUTS!$B$28,INPUTS!$B$29))))</f>
        <v>1006856.78456985</v>
      </c>
      <c r="E160" s="85" t="n">
        <f aca="true">IF(E$5=0,D160,MAX(0,(D160-E$4)*(1+NORMINV(RAND(),INPUTS!$B$28,INPUTS!$B$29))))</f>
        <v>805625.209881314</v>
      </c>
      <c r="F160" s="85" t="n">
        <f aca="true">IF(F$5=0,E160,MAX(0,(E160-F$4)*(1+NORMINV(RAND(),INPUTS!$B$28,INPUTS!$B$29))))</f>
        <v>758343.863417127</v>
      </c>
      <c r="G160" s="85" t="n">
        <f aca="true">IF(G$5=0,F160,MAX(0,(F160-G$4)*(1+NORMINV(RAND(),INPUTS!$B$28,INPUTS!$B$29))))</f>
        <v>752701.696097147</v>
      </c>
      <c r="H160" s="85" t="n">
        <f aca="true">IF(H$5=0,G160,MAX(0,(G160-H$4)*(1+NORMINV(RAND(),INPUTS!$B$28,INPUTS!$B$29))))</f>
        <v>632397.389428026</v>
      </c>
      <c r="I160" s="85" t="n">
        <f aca="true">IF(I$5=0,H160,MAX(0,(H160-I$4)*(1+NORMINV(RAND(),INPUTS!$B$28,INPUTS!$B$29))))</f>
        <v>646162.138981962</v>
      </c>
      <c r="J160" s="85" t="n">
        <f aca="true">IF(J$5=0,I160,MAX(0,(I160-J$4)*(1+NORMINV(RAND(),INPUTS!$B$28,INPUTS!$B$29))))</f>
        <v>561272.478151553</v>
      </c>
      <c r="K160" s="85" t="n">
        <f aca="true">IF(K$5=0,J160,MAX(0,(J160-K$4)*(1+NORMINV(RAND(),INPUTS!$B$28,INPUTS!$B$29))))</f>
        <v>530389.874524553</v>
      </c>
      <c r="L160" s="85" t="n">
        <f aca="true">IF(L$5=0,K160,MAX(0,(K160-L$4)*(1+NORMINV(RAND(),INPUTS!$B$28,INPUTS!$B$29))))</f>
        <v>496759.294968459</v>
      </c>
      <c r="M160" s="85" t="n">
        <f aca="true">IF(M$5=0,L160,MAX(0,(L160-M$4)*(1+NORMINV(RAND(),INPUTS!$B$28,INPUTS!$B$29))))</f>
        <v>476481.943867372</v>
      </c>
      <c r="N160" s="85" t="n">
        <f aca="true">IF(N$5=0,M160,MAX(0,(M160-N$4)*(1+NORMINV(RAND(),INPUTS!$B$28,INPUTS!$B$29))))</f>
        <v>364675.498731168</v>
      </c>
      <c r="O160" s="85" t="n">
        <f aca="true">IF(O$5=0,N160,MAX(0,(N160-O$4)*(1+NORMINV(RAND(),INPUTS!$B$28,INPUTS!$B$29))))</f>
        <v>330691.469317478</v>
      </c>
      <c r="P160" s="85" t="n">
        <f aca="true">IF(P$5=0,O160,MAX(0,(O160-P$4)*(1+NORMINV(RAND(),INPUTS!$B$28,INPUTS!$B$29))))</f>
        <v>297904.415449777</v>
      </c>
      <c r="Q160" s="85" t="n">
        <f aca="true">IF(Q$5=0,P160,MAX(0,(P160-Q$4)*(1+NORMINV(RAND(),INPUTS!$B$28,INPUTS!$B$29))))</f>
        <v>244334.681253686</v>
      </c>
      <c r="R160" s="85" t="n">
        <f aca="true">IF(R$5=0,Q160,MAX(0,(Q160-R$4)*(1+NORMINV(RAND(),INPUTS!$B$28,INPUTS!$B$29))))</f>
        <v>196605.27373442</v>
      </c>
      <c r="S160" s="85" t="n">
        <f aca="true">IF(S$5=0,R160,MAX(0,(R160-S$4)*(1+NORMINV(RAND(),INPUTS!$B$28,INPUTS!$B$29))))</f>
        <v>158391.723725866</v>
      </c>
      <c r="T160" s="85" t="n">
        <f aca="true">IF(T$5=0,S160,MAX(0,(S160-T$4)*(1+NORMINV(RAND(),INPUTS!$B$28,INPUTS!$B$29))))</f>
        <v>107892.415024642</v>
      </c>
      <c r="U160" s="85" t="n">
        <f aca="true">IF(U$5=0,T160,MAX(0,(T160-U$4)*(1+NORMINV(RAND(),INPUTS!$B$28,INPUTS!$B$29))))</f>
        <v>54673.0140602781</v>
      </c>
      <c r="V160" s="85" t="n">
        <f aca="true">IF(V$5=0,U160,MAX(0,(U160-V$4)*(1+NORMINV(RAND(),INPUTS!$B$28,INPUTS!$B$29))))</f>
        <v>1455.3397209904</v>
      </c>
      <c r="W160" s="85" t="n">
        <f aca="true">IF(W$5=0,V160,MAX(0,(V160-W$4)*(1+NORMINV(RAND(),INPUTS!$B$28,INPUTS!$B$29))))</f>
        <v>0</v>
      </c>
      <c r="X160" s="85" t="n">
        <f aca="true">IF(X$5=0,W160,MAX(0,(W160-X$4)*(1+NORMINV(RAND(),INPUTS!$B$28,INPUTS!$B$29))))</f>
        <v>0</v>
      </c>
      <c r="Y160" s="85" t="n">
        <f aca="true">IF(Y$5=0,X160,MAX(0,(X160-Y$4)*(1+NORMINV(RAND(),INPUTS!$B$28,INPUTS!$B$29))))</f>
        <v>0</v>
      </c>
      <c r="Z160" s="85" t="n">
        <f aca="true">IF(Z$5=0,Y160,MAX(0,(Y160-Z$4)*(1+NORMINV(RAND(),INPUTS!$B$28,INPUTS!$B$29))))</f>
        <v>0</v>
      </c>
      <c r="AA160" s="85" t="n">
        <f aca="true">IF(AA$5=0,Z160,MAX(0,(Z160-AA$4)*(1+NORMINV(RAND(),INPUTS!$B$28,INPUTS!$B$29))))</f>
        <v>0</v>
      </c>
      <c r="AB160" s="85" t="n">
        <f aca="true">IF(AB$5=0,AA160,MAX(0,(AA160-AB$4)*(1+NORMINV(RAND(),INPUTS!$B$28,INPUTS!$B$29))))</f>
        <v>0</v>
      </c>
      <c r="AC160" s="85" t="n">
        <f aca="true">IF(AC$5=0,AB160,MAX(0,(AB160-AC$4)*(1+NORMINV(RAND(),INPUTS!$B$28,INPUTS!$B$29))))</f>
        <v>0</v>
      </c>
      <c r="AD160" s="85" t="n">
        <f aca="true">IF(AD$5=0,AC160,MAX(0,(AC160-AD$4)*(1+NORMINV(RAND(),INPUTS!$B$28,INPUTS!$B$29))))</f>
        <v>0</v>
      </c>
      <c r="AE160" s="85" t="n">
        <f aca="true">IF(AE$5=0,AD160,MAX(0,(AD160-AE$4)*(1+NORMINV(RAND(),INPUTS!$B$28,INPUTS!$B$29))))</f>
        <v>0</v>
      </c>
      <c r="AF160" s="85" t="n">
        <f aca="true">IF(AF$5=0,AE160,MAX(0,(AE160-AF$4)*(1+NORMINV(RAND(),INPUTS!$B$28,INPUTS!$B$29))))</f>
        <v>0</v>
      </c>
      <c r="AG160" s="85" t="n">
        <f aca="true">IF(AG$5=0,AF160,MAX(0,(AF160-AG$4)*(1+NORMINV(RAND(),INPUTS!$B$28,INPUTS!$B$29))))</f>
        <v>0</v>
      </c>
      <c r="AH160" s="85" t="n">
        <f aca="true">IF(AH$5=0,AG160,MAX(0,(AG160-AH$4)*(1+NORMINV(RAND(),INPUTS!$B$28,INPUTS!$B$29))))</f>
        <v>0</v>
      </c>
      <c r="AI160" s="85" t="n">
        <f aca="true">IF(AI$5=0,AH160,MAX(0,(AH160-AI$4)*(1+NORMINV(RAND(),INPUTS!$B$28,INPUTS!$B$29))))</f>
        <v>0</v>
      </c>
      <c r="AJ160" s="85" t="n">
        <f aca="true">IF(AJ$5=0,AI160,MAX(0,(AI160-AJ$4)*(1+NORMINV(RAND(),INPUTS!$B$28,INPUTS!$B$29))))</f>
        <v>0</v>
      </c>
      <c r="AK160" s="85" t="n">
        <f aca="true">IF(AK$5=0,AJ160,MAX(0,(AJ160-AK$4)*(1+NORMINV(RAND(),INPUTS!$B$28,INPUTS!$B$29))))</f>
        <v>0</v>
      </c>
      <c r="AL160" s="85" t="n">
        <f aca="true">IF(AL$5=0,AK160,MAX(0,(AK160-AL$4)*(1+NORMINV(RAND(),INPUTS!$B$28,INPUTS!$B$29))))</f>
        <v>0</v>
      </c>
      <c r="AM160" s="85" t="n">
        <f aca="true">IF(AM$5=0,AL160,MAX(0,(AL160-AM$4)*(1+NORMINV(RAND(),INPUTS!$B$28,INPUTS!$B$29))))</f>
        <v>0</v>
      </c>
      <c r="AN160" s="85" t="n">
        <f aca="true">IF(AN$5=0,AM160,MAX(0,(AM160-AN$4)*(1+NORMINV(RAND(),INPUTS!$B$28,INPUTS!$B$29))))</f>
        <v>0</v>
      </c>
      <c r="AO160" s="85" t="n">
        <f aca="true">IF(AO$5=0,AN160,MAX(0,(AN160-AO$4)*(1+NORMINV(RAND(),INPUTS!$B$28,INPUTS!$B$29))))</f>
        <v>0</v>
      </c>
      <c r="AP160" s="85" t="n">
        <f aca="true">IF(AP$5=0,AO160,MAX(0,(AO160-AP$4)*(1+NORMINV(RAND(),INPUTS!$B$28,INPUTS!$B$29))))</f>
        <v>0</v>
      </c>
    </row>
    <row r="161" customFormat="false" ht="15" hidden="false" customHeight="true" outlineLevel="0" collapsed="false">
      <c r="A161" s="83" t="n">
        <v>154</v>
      </c>
      <c r="B161" s="84" t="n">
        <f aca="false">LOOKUP(9.99E+307,C161:AP161)</f>
        <v>0</v>
      </c>
      <c r="C161" s="85" t="n">
        <f aca="true">IF(C$5=0,INPUTS!$B$19,MAX(0,(INPUTS!$B$19-C$4)*(1+NORMINV(RAND(),INPUTS!$B$28,INPUTS!$B$29))))</f>
        <v>1059761.58888207</v>
      </c>
      <c r="D161" s="85" t="n">
        <f aca="true">IF(D$5=0,C161,MAX(0,(C161-D$4)*(1+NORMINV(RAND(),INPUTS!$B$28,INPUTS!$B$29))))</f>
        <v>1024355.37727551</v>
      </c>
      <c r="E161" s="85" t="n">
        <f aca="true">IF(E$5=0,D161,MAX(0,(D161-E$4)*(1+NORMINV(RAND(),INPUTS!$B$28,INPUTS!$B$29))))</f>
        <v>1043255.06475773</v>
      </c>
      <c r="F161" s="85" t="n">
        <f aca="true">IF(F$5=0,E161,MAX(0,(E161-F$4)*(1+NORMINV(RAND(),INPUTS!$B$28,INPUTS!$B$29))))</f>
        <v>912000.243237751</v>
      </c>
      <c r="G161" s="85" t="n">
        <f aca="true">IF(G$5=0,F161,MAX(0,(F161-G$4)*(1+NORMINV(RAND(),INPUTS!$B$28,INPUTS!$B$29))))</f>
        <v>847911.557808895</v>
      </c>
      <c r="H161" s="85" t="n">
        <f aca="true">IF(H$5=0,G161,MAX(0,(G161-H$4)*(1+NORMINV(RAND(),INPUTS!$B$28,INPUTS!$B$29))))</f>
        <v>814572.446223775</v>
      </c>
      <c r="I161" s="85" t="n">
        <f aca="true">IF(I$5=0,H161,MAX(0,(H161-I$4)*(1+NORMINV(RAND(),INPUTS!$B$28,INPUTS!$B$29))))</f>
        <v>709540.645313636</v>
      </c>
      <c r="J161" s="85" t="n">
        <f aca="true">IF(J$5=0,I161,MAX(0,(I161-J$4)*(1+NORMINV(RAND(),INPUTS!$B$28,INPUTS!$B$29))))</f>
        <v>649354.789417014</v>
      </c>
      <c r="K161" s="85" t="n">
        <f aca="true">IF(K$5=0,J161,MAX(0,(J161-K$4)*(1+NORMINV(RAND(),INPUTS!$B$28,INPUTS!$B$29))))</f>
        <v>567049.524067961</v>
      </c>
      <c r="L161" s="85" t="n">
        <f aca="true">IF(L$5=0,K161,MAX(0,(K161-L$4)*(1+NORMINV(RAND(),INPUTS!$B$28,INPUTS!$B$29))))</f>
        <v>536539.430002847</v>
      </c>
      <c r="M161" s="85" t="n">
        <f aca="true">IF(M$5=0,L161,MAX(0,(L161-M$4)*(1+NORMINV(RAND(),INPUTS!$B$28,INPUTS!$B$29))))</f>
        <v>515043.424438679</v>
      </c>
      <c r="N161" s="85" t="n">
        <f aca="true">IF(N$5=0,M161,MAX(0,(M161-N$4)*(1+NORMINV(RAND(),INPUTS!$B$28,INPUTS!$B$29))))</f>
        <v>469478.632910135</v>
      </c>
      <c r="O161" s="85" t="n">
        <f aca="true">IF(O$5=0,N161,MAX(0,(N161-O$4)*(1+NORMINV(RAND(),INPUTS!$B$28,INPUTS!$B$29))))</f>
        <v>372856.46483673</v>
      </c>
      <c r="P161" s="85" t="n">
        <f aca="true">IF(P$5=0,O161,MAX(0,(O161-P$4)*(1+NORMINV(RAND(),INPUTS!$B$28,INPUTS!$B$29))))</f>
        <v>313771.698337654</v>
      </c>
      <c r="Q161" s="85" t="n">
        <f aca="true">IF(Q$5=0,P161,MAX(0,(P161-Q$4)*(1+NORMINV(RAND(),INPUTS!$B$28,INPUTS!$B$29))))</f>
        <v>249842.455178147</v>
      </c>
      <c r="R161" s="85" t="n">
        <f aca="true">IF(R$5=0,Q161,MAX(0,(Q161-R$4)*(1+NORMINV(RAND(),INPUTS!$B$28,INPUTS!$B$29))))</f>
        <v>185420.202884168</v>
      </c>
      <c r="S161" s="85" t="n">
        <f aca="true">IF(S$5=0,R161,MAX(0,(R161-S$4)*(1+NORMINV(RAND(),INPUTS!$B$28,INPUTS!$B$29))))</f>
        <v>138797.481592532</v>
      </c>
      <c r="T161" s="85" t="n">
        <f aca="true">IF(T$5=0,S161,MAX(0,(S161-T$4)*(1+NORMINV(RAND(),INPUTS!$B$28,INPUTS!$B$29))))</f>
        <v>83526.4506497228</v>
      </c>
      <c r="U161" s="85" t="n">
        <f aca="true">IF(U$5=0,T161,MAX(0,(T161-U$4)*(1+NORMINV(RAND(),INPUTS!$B$28,INPUTS!$B$29))))</f>
        <v>37795.6510954026</v>
      </c>
      <c r="V161" s="85" t="n">
        <f aca="true">IF(V$5=0,U161,MAX(0,(U161-V$4)*(1+NORMINV(RAND(),INPUTS!$B$28,INPUTS!$B$29))))</f>
        <v>0</v>
      </c>
      <c r="W161" s="85" t="n">
        <f aca="true">IF(W$5=0,V161,MAX(0,(V161-W$4)*(1+NORMINV(RAND(),INPUTS!$B$28,INPUTS!$B$29))))</f>
        <v>0</v>
      </c>
      <c r="X161" s="85" t="n">
        <f aca="true">IF(X$5=0,W161,MAX(0,(W161-X$4)*(1+NORMINV(RAND(),INPUTS!$B$28,INPUTS!$B$29))))</f>
        <v>0</v>
      </c>
      <c r="Y161" s="85" t="n">
        <f aca="true">IF(Y$5=0,X161,MAX(0,(X161-Y$4)*(1+NORMINV(RAND(),INPUTS!$B$28,INPUTS!$B$29))))</f>
        <v>0</v>
      </c>
      <c r="Z161" s="85" t="n">
        <f aca="true">IF(Z$5=0,Y161,MAX(0,(Y161-Z$4)*(1+NORMINV(RAND(),INPUTS!$B$28,INPUTS!$B$29))))</f>
        <v>0</v>
      </c>
      <c r="AA161" s="85" t="n">
        <f aca="true">IF(AA$5=0,Z161,MAX(0,(Z161-AA$4)*(1+NORMINV(RAND(),INPUTS!$B$28,INPUTS!$B$29))))</f>
        <v>0</v>
      </c>
      <c r="AB161" s="85" t="n">
        <f aca="true">IF(AB$5=0,AA161,MAX(0,(AA161-AB$4)*(1+NORMINV(RAND(),INPUTS!$B$28,INPUTS!$B$29))))</f>
        <v>0</v>
      </c>
      <c r="AC161" s="85" t="n">
        <f aca="true">IF(AC$5=0,AB161,MAX(0,(AB161-AC$4)*(1+NORMINV(RAND(),INPUTS!$B$28,INPUTS!$B$29))))</f>
        <v>0</v>
      </c>
      <c r="AD161" s="85" t="n">
        <f aca="true">IF(AD$5=0,AC161,MAX(0,(AC161-AD$4)*(1+NORMINV(RAND(),INPUTS!$B$28,INPUTS!$B$29))))</f>
        <v>0</v>
      </c>
      <c r="AE161" s="85" t="n">
        <f aca="true">IF(AE$5=0,AD161,MAX(0,(AD161-AE$4)*(1+NORMINV(RAND(),INPUTS!$B$28,INPUTS!$B$29))))</f>
        <v>0</v>
      </c>
      <c r="AF161" s="85" t="n">
        <f aca="true">IF(AF$5=0,AE161,MAX(0,(AE161-AF$4)*(1+NORMINV(RAND(),INPUTS!$B$28,INPUTS!$B$29))))</f>
        <v>0</v>
      </c>
      <c r="AG161" s="85" t="n">
        <f aca="true">IF(AG$5=0,AF161,MAX(0,(AF161-AG$4)*(1+NORMINV(RAND(),INPUTS!$B$28,INPUTS!$B$29))))</f>
        <v>0</v>
      </c>
      <c r="AH161" s="85" t="n">
        <f aca="true">IF(AH$5=0,AG161,MAX(0,(AG161-AH$4)*(1+NORMINV(RAND(),INPUTS!$B$28,INPUTS!$B$29))))</f>
        <v>0</v>
      </c>
      <c r="AI161" s="85" t="n">
        <f aca="true">IF(AI$5=0,AH161,MAX(0,(AH161-AI$4)*(1+NORMINV(RAND(),INPUTS!$B$28,INPUTS!$B$29))))</f>
        <v>0</v>
      </c>
      <c r="AJ161" s="85" t="n">
        <f aca="true">IF(AJ$5=0,AI161,MAX(0,(AI161-AJ$4)*(1+NORMINV(RAND(),INPUTS!$B$28,INPUTS!$B$29))))</f>
        <v>0</v>
      </c>
      <c r="AK161" s="85" t="n">
        <f aca="true">IF(AK$5=0,AJ161,MAX(0,(AJ161-AK$4)*(1+NORMINV(RAND(),INPUTS!$B$28,INPUTS!$B$29))))</f>
        <v>0</v>
      </c>
      <c r="AL161" s="85" t="n">
        <f aca="true">IF(AL$5=0,AK161,MAX(0,(AK161-AL$4)*(1+NORMINV(RAND(),INPUTS!$B$28,INPUTS!$B$29))))</f>
        <v>0</v>
      </c>
      <c r="AM161" s="85" t="n">
        <f aca="true">IF(AM$5=0,AL161,MAX(0,(AL161-AM$4)*(1+NORMINV(RAND(),INPUTS!$B$28,INPUTS!$B$29))))</f>
        <v>0</v>
      </c>
      <c r="AN161" s="85" t="n">
        <f aca="true">IF(AN$5=0,AM161,MAX(0,(AM161-AN$4)*(1+NORMINV(RAND(),INPUTS!$B$28,INPUTS!$B$29))))</f>
        <v>0</v>
      </c>
      <c r="AO161" s="85" t="n">
        <f aca="true">IF(AO$5=0,AN161,MAX(0,(AN161-AO$4)*(1+NORMINV(RAND(),INPUTS!$B$28,INPUTS!$B$29))))</f>
        <v>0</v>
      </c>
      <c r="AP161" s="85" t="n">
        <f aca="true">IF(AP$5=0,AO161,MAX(0,(AO161-AP$4)*(1+NORMINV(RAND(),INPUTS!$B$28,INPUTS!$B$29))))</f>
        <v>0</v>
      </c>
    </row>
    <row r="162" customFormat="false" ht="15" hidden="false" customHeight="true" outlineLevel="0" collapsed="false">
      <c r="A162" s="83" t="n">
        <v>155</v>
      </c>
      <c r="B162" s="84" t="n">
        <f aca="false">LOOKUP(9.99E+307,C162:AP162)</f>
        <v>2246574.11682251</v>
      </c>
      <c r="C162" s="85" t="n">
        <f aca="true">IF(C$5=0,INPUTS!$B$19,MAX(0,(INPUTS!$B$19-C$4)*(1+NORMINV(RAND(),INPUTS!$B$28,INPUTS!$B$29))))</f>
        <v>1157777.69848115</v>
      </c>
      <c r="D162" s="85" t="n">
        <f aca="true">IF(D$5=0,C162,MAX(0,(C162-D$4)*(1+NORMINV(RAND(),INPUTS!$B$28,INPUTS!$B$29))))</f>
        <v>1028300.41936033</v>
      </c>
      <c r="E162" s="85" t="n">
        <f aca="true">IF(E$5=0,D162,MAX(0,(D162-E$4)*(1+NORMINV(RAND(),INPUTS!$B$28,INPUTS!$B$29))))</f>
        <v>1034207.70744248</v>
      </c>
      <c r="F162" s="85" t="n">
        <f aca="true">IF(F$5=0,E162,MAX(0,(E162-F$4)*(1+NORMINV(RAND(),INPUTS!$B$28,INPUTS!$B$29))))</f>
        <v>1222650.41007992</v>
      </c>
      <c r="G162" s="85" t="n">
        <f aca="true">IF(G$5=0,F162,MAX(0,(F162-G$4)*(1+NORMINV(RAND(),INPUTS!$B$28,INPUTS!$B$29))))</f>
        <v>1309230.95018838</v>
      </c>
      <c r="H162" s="85" t="n">
        <f aca="true">IF(H$5=0,G162,MAX(0,(G162-H$4)*(1+NORMINV(RAND(),INPUTS!$B$28,INPUTS!$B$29))))</f>
        <v>1207879.98922749</v>
      </c>
      <c r="I162" s="85" t="n">
        <f aca="true">IF(I$5=0,H162,MAX(0,(H162-I$4)*(1+NORMINV(RAND(),INPUTS!$B$28,INPUTS!$B$29))))</f>
        <v>1151496.70065839</v>
      </c>
      <c r="J162" s="85" t="n">
        <f aca="true">IF(J$5=0,I162,MAX(0,(I162-J$4)*(1+NORMINV(RAND(),INPUTS!$B$28,INPUTS!$B$29))))</f>
        <v>1214680.40474874</v>
      </c>
      <c r="K162" s="85" t="n">
        <f aca="true">IF(K$5=0,J162,MAX(0,(J162-K$4)*(1+NORMINV(RAND(),INPUTS!$B$28,INPUTS!$B$29))))</f>
        <v>1245140.52027928</v>
      </c>
      <c r="L162" s="85" t="n">
        <f aca="true">IF(L$5=0,K162,MAX(0,(K162-L$4)*(1+NORMINV(RAND(),INPUTS!$B$28,INPUTS!$B$29))))</f>
        <v>1422103.81772307</v>
      </c>
      <c r="M162" s="85" t="n">
        <f aca="true">IF(M$5=0,L162,MAX(0,(L162-M$4)*(1+NORMINV(RAND(),INPUTS!$B$28,INPUTS!$B$29))))</f>
        <v>1445284.16812622</v>
      </c>
      <c r="N162" s="85" t="n">
        <f aca="true">IF(N$5=0,M162,MAX(0,(M162-N$4)*(1+NORMINV(RAND(),INPUTS!$B$28,INPUTS!$B$29))))</f>
        <v>1261905.49901859</v>
      </c>
      <c r="O162" s="85" t="n">
        <f aca="true">IF(O$5=0,N162,MAX(0,(N162-O$4)*(1+NORMINV(RAND(),INPUTS!$B$28,INPUTS!$B$29))))</f>
        <v>1347712.44343608</v>
      </c>
      <c r="P162" s="85" t="n">
        <f aca="true">IF(P$5=0,O162,MAX(0,(O162-P$4)*(1+NORMINV(RAND(),INPUTS!$B$28,INPUTS!$B$29))))</f>
        <v>1315276.90810998</v>
      </c>
      <c r="Q162" s="85" t="n">
        <f aca="true">IF(Q$5=0,P162,MAX(0,(P162-Q$4)*(1+NORMINV(RAND(),INPUTS!$B$28,INPUTS!$B$29))))</f>
        <v>1537115.68977036</v>
      </c>
      <c r="R162" s="85" t="n">
        <f aca="true">IF(R$5=0,Q162,MAX(0,(Q162-R$4)*(1+NORMINV(RAND(),INPUTS!$B$28,INPUTS!$B$29))))</f>
        <v>1674391.06766765</v>
      </c>
      <c r="S162" s="85" t="n">
        <f aca="true">IF(S$5=0,R162,MAX(0,(R162-S$4)*(1+NORMINV(RAND(),INPUTS!$B$28,INPUTS!$B$29))))</f>
        <v>1976329.76904733</v>
      </c>
      <c r="T162" s="85" t="n">
        <f aca="true">IF(T$5=0,S162,MAX(0,(S162-T$4)*(1+NORMINV(RAND(),INPUTS!$B$28,INPUTS!$B$29))))</f>
        <v>1928688.2740928</v>
      </c>
      <c r="U162" s="85" t="n">
        <f aca="true">IF(U$5=0,T162,MAX(0,(T162-U$4)*(1+NORMINV(RAND(),INPUTS!$B$28,INPUTS!$B$29))))</f>
        <v>2007385.94225244</v>
      </c>
      <c r="V162" s="85" t="n">
        <f aca="true">IF(V$5=0,U162,MAX(0,(U162-V$4)*(1+NORMINV(RAND(),INPUTS!$B$28,INPUTS!$B$29))))</f>
        <v>2172848.2035693</v>
      </c>
      <c r="W162" s="85" t="n">
        <f aca="true">IF(W$5=0,V162,MAX(0,(V162-W$4)*(1+NORMINV(RAND(),INPUTS!$B$28,INPUTS!$B$29))))</f>
        <v>2269027.67705738</v>
      </c>
      <c r="X162" s="85" t="n">
        <f aca="true">IF(X$5=0,W162,MAX(0,(W162-X$4)*(1+NORMINV(RAND(),INPUTS!$B$28,INPUTS!$B$29))))</f>
        <v>2556148.97631108</v>
      </c>
      <c r="Y162" s="85" t="n">
        <f aca="true">IF(Y$5=0,X162,MAX(0,(X162-Y$4)*(1+NORMINV(RAND(),INPUTS!$B$28,INPUTS!$B$29))))</f>
        <v>2457423.20619447</v>
      </c>
      <c r="Z162" s="85" t="n">
        <f aca="true">IF(Z$5=0,Y162,MAX(0,(Y162-Z$4)*(1+NORMINV(RAND(),INPUTS!$B$28,INPUTS!$B$29))))</f>
        <v>2850796.77918186</v>
      </c>
      <c r="AA162" s="85" t="n">
        <f aca="true">IF(AA$5=0,Z162,MAX(0,(Z162-AA$4)*(1+NORMINV(RAND(),INPUTS!$B$28,INPUTS!$B$29))))</f>
        <v>2699636.07539585</v>
      </c>
      <c r="AB162" s="85" t="n">
        <f aca="true">IF(AB$5=0,AA162,MAX(0,(AA162-AB$4)*(1+NORMINV(RAND(),INPUTS!$B$28,INPUTS!$B$29))))</f>
        <v>2803409.76100227</v>
      </c>
      <c r="AC162" s="85" t="n">
        <f aca="true">IF(AC$5=0,AB162,MAX(0,(AB162-AC$4)*(1+NORMINV(RAND(),INPUTS!$B$28,INPUTS!$B$29))))</f>
        <v>2532887.84151765</v>
      </c>
      <c r="AD162" s="85" t="n">
        <f aca="true">IF(AD$5=0,AC162,MAX(0,(AC162-AD$4)*(1+NORMINV(RAND(),INPUTS!$B$28,INPUTS!$B$29))))</f>
        <v>2509710.89927016</v>
      </c>
      <c r="AE162" s="85" t="n">
        <f aca="true">IF(AE$5=0,AD162,MAX(0,(AD162-AE$4)*(1+NORMINV(RAND(),INPUTS!$B$28,INPUTS!$B$29))))</f>
        <v>2610498.44262824</v>
      </c>
      <c r="AF162" s="85" t="n">
        <f aca="true">IF(AF$5=0,AE162,MAX(0,(AE162-AF$4)*(1+NORMINV(RAND(),INPUTS!$B$28,INPUTS!$B$29))))</f>
        <v>2645498.37833524</v>
      </c>
      <c r="AG162" s="85" t="n">
        <f aca="true">IF(AG$5=0,AF162,MAX(0,(AF162-AG$4)*(1+NORMINV(RAND(),INPUTS!$B$28,INPUTS!$B$29))))</f>
        <v>2163899.64931571</v>
      </c>
      <c r="AH162" s="85" t="n">
        <f aca="true">IF(AH$5=0,AG162,MAX(0,(AG162-AH$4)*(1+NORMINV(RAND(),INPUTS!$B$28,INPUTS!$B$29))))</f>
        <v>2683841.43642436</v>
      </c>
      <c r="AI162" s="85" t="n">
        <f aca="true">IF(AI$5=0,AH162,MAX(0,(AH162-AI$4)*(1+NORMINV(RAND(),INPUTS!$B$28,INPUTS!$B$29))))</f>
        <v>2647773.69237945</v>
      </c>
      <c r="AJ162" s="85" t="n">
        <f aca="true">IF(AJ$5=0,AI162,MAX(0,(AI162-AJ$4)*(1+NORMINV(RAND(),INPUTS!$B$28,INPUTS!$B$29))))</f>
        <v>2595438.97060882</v>
      </c>
      <c r="AK162" s="85" t="n">
        <f aca="true">IF(AK$5=0,AJ162,MAX(0,(AJ162-AK$4)*(1+NORMINV(RAND(),INPUTS!$B$28,INPUTS!$B$29))))</f>
        <v>2582338.10471682</v>
      </c>
      <c r="AL162" s="85" t="n">
        <f aca="true">IF(AL$5=0,AK162,MAX(0,(AK162-AL$4)*(1+NORMINV(RAND(),INPUTS!$B$28,INPUTS!$B$29))))</f>
        <v>2246574.11682251</v>
      </c>
      <c r="AM162" s="85" t="n">
        <f aca="true">IF(AM$5=0,AL162,MAX(0,(AL162-AM$4)*(1+NORMINV(RAND(),INPUTS!$B$28,INPUTS!$B$29))))</f>
        <v>2246574.11682251</v>
      </c>
      <c r="AN162" s="85" t="n">
        <f aca="true">IF(AN$5=0,AM162,MAX(0,(AM162-AN$4)*(1+NORMINV(RAND(),INPUTS!$B$28,INPUTS!$B$29))))</f>
        <v>2246574.11682251</v>
      </c>
      <c r="AO162" s="85" t="n">
        <f aca="true">IF(AO$5=0,AN162,MAX(0,(AN162-AO$4)*(1+NORMINV(RAND(),INPUTS!$B$28,INPUTS!$B$29))))</f>
        <v>2246574.11682251</v>
      </c>
      <c r="AP162" s="85" t="n">
        <f aca="true">IF(AP$5=0,AO162,MAX(0,(AO162-AP$4)*(1+NORMINV(RAND(),INPUTS!$B$28,INPUTS!$B$29))))</f>
        <v>2246574.11682251</v>
      </c>
    </row>
    <row r="163" customFormat="false" ht="15" hidden="false" customHeight="true" outlineLevel="0" collapsed="false">
      <c r="A163" s="83" t="n">
        <v>156</v>
      </c>
      <c r="B163" s="84" t="n">
        <f aca="false">LOOKUP(9.99E+307,C163:AP163)</f>
        <v>610630.501443605</v>
      </c>
      <c r="C163" s="85" t="n">
        <f aca="true">IF(C$5=0,INPUTS!$B$19,MAX(0,(INPUTS!$B$19-C$4)*(1+NORMINV(RAND(),INPUTS!$B$28,INPUTS!$B$29))))</f>
        <v>1245789.43997155</v>
      </c>
      <c r="D163" s="85" t="n">
        <f aca="true">IF(D$5=0,C163,MAX(0,(C163-D$4)*(1+NORMINV(RAND(),INPUTS!$B$28,INPUTS!$B$29))))</f>
        <v>1301426.68116195</v>
      </c>
      <c r="E163" s="85" t="n">
        <f aca="true">IF(E$5=0,D163,MAX(0,(D163-E$4)*(1+NORMINV(RAND(),INPUTS!$B$28,INPUTS!$B$29))))</f>
        <v>1249218.85115153</v>
      </c>
      <c r="F163" s="85" t="n">
        <f aca="true">IF(F$5=0,E163,MAX(0,(E163-F$4)*(1+NORMINV(RAND(),INPUTS!$B$28,INPUTS!$B$29))))</f>
        <v>1162481.04738456</v>
      </c>
      <c r="G163" s="85" t="n">
        <f aca="true">IF(G$5=0,F163,MAX(0,(F163-G$4)*(1+NORMINV(RAND(),INPUTS!$B$28,INPUTS!$B$29))))</f>
        <v>1259856.52387114</v>
      </c>
      <c r="H163" s="85" t="n">
        <f aca="true">IF(H$5=0,G163,MAX(0,(G163-H$4)*(1+NORMINV(RAND(),INPUTS!$B$28,INPUTS!$B$29))))</f>
        <v>1274447.13180619</v>
      </c>
      <c r="I163" s="85" t="n">
        <f aca="true">IF(I$5=0,H163,MAX(0,(H163-I$4)*(1+NORMINV(RAND(),INPUTS!$B$28,INPUTS!$B$29))))</f>
        <v>1272954.62789722</v>
      </c>
      <c r="J163" s="85" t="n">
        <f aca="true">IF(J$5=0,I163,MAX(0,(I163-J$4)*(1+NORMINV(RAND(),INPUTS!$B$28,INPUTS!$B$29))))</f>
        <v>1366214.66236719</v>
      </c>
      <c r="K163" s="85" t="n">
        <f aca="true">IF(K$5=0,J163,MAX(0,(J163-K$4)*(1+NORMINV(RAND(),INPUTS!$B$28,INPUTS!$B$29))))</f>
        <v>1317956.11445254</v>
      </c>
      <c r="L163" s="85" t="n">
        <f aca="true">IF(L$5=0,K163,MAX(0,(K163-L$4)*(1+NORMINV(RAND(),INPUTS!$B$28,INPUTS!$B$29))))</f>
        <v>1274838.93912674</v>
      </c>
      <c r="M163" s="85" t="n">
        <f aca="true">IF(M$5=0,L163,MAX(0,(L163-M$4)*(1+NORMINV(RAND(),INPUTS!$B$28,INPUTS!$B$29))))</f>
        <v>1070410.49896502</v>
      </c>
      <c r="N163" s="85" t="n">
        <f aca="true">IF(N$5=0,M163,MAX(0,(M163-N$4)*(1+NORMINV(RAND(),INPUTS!$B$28,INPUTS!$B$29))))</f>
        <v>1126990.61636125</v>
      </c>
      <c r="O163" s="85" t="n">
        <f aca="true">IF(O$5=0,N163,MAX(0,(N163-O$4)*(1+NORMINV(RAND(),INPUTS!$B$28,INPUTS!$B$29))))</f>
        <v>1453404.24549467</v>
      </c>
      <c r="P163" s="85" t="n">
        <f aca="true">IF(P$5=0,O163,MAX(0,(O163-P$4)*(1+NORMINV(RAND(),INPUTS!$B$28,INPUTS!$B$29))))</f>
        <v>1325387.94533696</v>
      </c>
      <c r="Q163" s="85" t="n">
        <f aca="true">IF(Q$5=0,P163,MAX(0,(P163-Q$4)*(1+NORMINV(RAND(),INPUTS!$B$28,INPUTS!$B$29))))</f>
        <v>965443.221815834</v>
      </c>
      <c r="R163" s="85" t="n">
        <f aca="true">IF(R$5=0,Q163,MAX(0,(Q163-R$4)*(1+NORMINV(RAND(),INPUTS!$B$28,INPUTS!$B$29))))</f>
        <v>882796.751224508</v>
      </c>
      <c r="S163" s="85" t="n">
        <f aca="true">IF(S$5=0,R163,MAX(0,(R163-S$4)*(1+NORMINV(RAND(),INPUTS!$B$28,INPUTS!$B$29))))</f>
        <v>876510.02096719</v>
      </c>
      <c r="T163" s="85" t="n">
        <f aca="true">IF(T$5=0,S163,MAX(0,(S163-T$4)*(1+NORMINV(RAND(),INPUTS!$B$28,INPUTS!$B$29))))</f>
        <v>863631.463875852</v>
      </c>
      <c r="U163" s="85" t="n">
        <f aca="true">IF(U$5=0,T163,MAX(0,(T163-U$4)*(1+NORMINV(RAND(),INPUTS!$B$28,INPUTS!$B$29))))</f>
        <v>837541.426061684</v>
      </c>
      <c r="V163" s="85" t="n">
        <f aca="true">IF(V$5=0,U163,MAX(0,(U163-V$4)*(1+NORMINV(RAND(),INPUTS!$B$28,INPUTS!$B$29))))</f>
        <v>864544.982757625</v>
      </c>
      <c r="W163" s="85" t="n">
        <f aca="true">IF(W$5=0,V163,MAX(0,(V163-W$4)*(1+NORMINV(RAND(),INPUTS!$B$28,INPUTS!$B$29))))</f>
        <v>864705.461387832</v>
      </c>
      <c r="X163" s="85" t="n">
        <f aca="true">IF(X$5=0,W163,MAX(0,(W163-X$4)*(1+NORMINV(RAND(),INPUTS!$B$28,INPUTS!$B$29))))</f>
        <v>960974.298240325</v>
      </c>
      <c r="Y163" s="85" t="n">
        <f aca="true">IF(Y$5=0,X163,MAX(0,(X163-Y$4)*(1+NORMINV(RAND(),INPUTS!$B$28,INPUTS!$B$29))))</f>
        <v>907218.905485897</v>
      </c>
      <c r="Z163" s="85" t="n">
        <f aca="true">IF(Z$5=0,Y163,MAX(0,(Y163-Z$4)*(1+NORMINV(RAND(),INPUTS!$B$28,INPUTS!$B$29))))</f>
        <v>933583.241469062</v>
      </c>
      <c r="AA163" s="85" t="n">
        <f aca="true">IF(AA$5=0,Z163,MAX(0,(Z163-AA$4)*(1+NORMINV(RAND(),INPUTS!$B$28,INPUTS!$B$29))))</f>
        <v>813791.233695159</v>
      </c>
      <c r="AB163" s="85" t="n">
        <f aca="true">IF(AB$5=0,AA163,MAX(0,(AA163-AB$4)*(1+NORMINV(RAND(),INPUTS!$B$28,INPUTS!$B$29))))</f>
        <v>826501.542951591</v>
      </c>
      <c r="AC163" s="85" t="n">
        <f aca="true">IF(AC$5=0,AB163,MAX(0,(AB163-AC$4)*(1+NORMINV(RAND(),INPUTS!$B$28,INPUTS!$B$29))))</f>
        <v>923502.484412003</v>
      </c>
      <c r="AD163" s="85" t="n">
        <f aca="true">IF(AD$5=0,AC163,MAX(0,(AC163-AD$4)*(1+NORMINV(RAND(),INPUTS!$B$28,INPUTS!$B$29))))</f>
        <v>848305.335016095</v>
      </c>
      <c r="AE163" s="85" t="n">
        <f aca="true">IF(AE$5=0,AD163,MAX(0,(AD163-AE$4)*(1+NORMINV(RAND(),INPUTS!$B$28,INPUTS!$B$29))))</f>
        <v>778865.825866667</v>
      </c>
      <c r="AF163" s="85" t="n">
        <f aca="true">IF(AF$5=0,AE163,MAX(0,(AE163-AF$4)*(1+NORMINV(RAND(),INPUTS!$B$28,INPUTS!$B$29))))</f>
        <v>622101.085493888</v>
      </c>
      <c r="AG163" s="85" t="n">
        <f aca="true">IF(AG$5=0,AF163,MAX(0,(AF163-AG$4)*(1+NORMINV(RAND(),INPUTS!$B$28,INPUTS!$B$29))))</f>
        <v>517920.06870263</v>
      </c>
      <c r="AH163" s="85" t="n">
        <f aca="true">IF(AH$5=0,AG163,MAX(0,(AG163-AH$4)*(1+NORMINV(RAND(),INPUTS!$B$28,INPUTS!$B$29))))</f>
        <v>515406.395999473</v>
      </c>
      <c r="AI163" s="85" t="n">
        <f aca="true">IF(AI$5=0,AH163,MAX(0,(AH163-AI$4)*(1+NORMINV(RAND(),INPUTS!$B$28,INPUTS!$B$29))))</f>
        <v>531104.866288499</v>
      </c>
      <c r="AJ163" s="85" t="n">
        <f aca="true">IF(AJ$5=0,AI163,MAX(0,(AI163-AJ$4)*(1+NORMINV(RAND(),INPUTS!$B$28,INPUTS!$B$29))))</f>
        <v>564578.66782193</v>
      </c>
      <c r="AK163" s="85" t="n">
        <f aca="true">IF(AK$5=0,AJ163,MAX(0,(AJ163-AK$4)*(1+NORMINV(RAND(),INPUTS!$B$28,INPUTS!$B$29))))</f>
        <v>591727.689770136</v>
      </c>
      <c r="AL163" s="85" t="n">
        <f aca="true">IF(AL$5=0,AK163,MAX(0,(AK163-AL$4)*(1+NORMINV(RAND(),INPUTS!$B$28,INPUTS!$B$29))))</f>
        <v>610630.501443605</v>
      </c>
      <c r="AM163" s="85" t="n">
        <f aca="true">IF(AM$5=0,AL163,MAX(0,(AL163-AM$4)*(1+NORMINV(RAND(),INPUTS!$B$28,INPUTS!$B$29))))</f>
        <v>610630.501443605</v>
      </c>
      <c r="AN163" s="85" t="n">
        <f aca="true">IF(AN$5=0,AM163,MAX(0,(AM163-AN$4)*(1+NORMINV(RAND(),INPUTS!$B$28,INPUTS!$B$29))))</f>
        <v>610630.501443605</v>
      </c>
      <c r="AO163" s="85" t="n">
        <f aca="true">IF(AO$5=0,AN163,MAX(0,(AN163-AO$4)*(1+NORMINV(RAND(),INPUTS!$B$28,INPUTS!$B$29))))</f>
        <v>610630.501443605</v>
      </c>
      <c r="AP163" s="85" t="n">
        <f aca="true">IF(AP$5=0,AO163,MAX(0,(AO163-AP$4)*(1+NORMINV(RAND(),INPUTS!$B$28,INPUTS!$B$29))))</f>
        <v>610630.501443605</v>
      </c>
    </row>
    <row r="164" customFormat="false" ht="15" hidden="false" customHeight="true" outlineLevel="0" collapsed="false">
      <c r="A164" s="83" t="n">
        <v>157</v>
      </c>
      <c r="B164" s="84" t="n">
        <f aca="false">LOOKUP(9.99E+307,C164:AP164)</f>
        <v>6378020.18893187</v>
      </c>
      <c r="C164" s="85" t="n">
        <f aca="true">IF(C$5=0,INPUTS!$B$19,MAX(0,(INPUTS!$B$19-C$4)*(1+NORMINV(RAND(),INPUTS!$B$28,INPUTS!$B$29))))</f>
        <v>1299932.7686618</v>
      </c>
      <c r="D164" s="85" t="n">
        <f aca="true">IF(D$5=0,C164,MAX(0,(C164-D$4)*(1+NORMINV(RAND(),INPUTS!$B$28,INPUTS!$B$29))))</f>
        <v>1145450.1719686</v>
      </c>
      <c r="E164" s="85" t="n">
        <f aca="true">IF(E$5=0,D164,MAX(0,(D164-E$4)*(1+NORMINV(RAND(),INPUTS!$B$28,INPUTS!$B$29))))</f>
        <v>1262527.65930488</v>
      </c>
      <c r="F164" s="85" t="n">
        <f aca="true">IF(F$5=0,E164,MAX(0,(E164-F$4)*(1+NORMINV(RAND(),INPUTS!$B$28,INPUTS!$B$29))))</f>
        <v>1325896.19291614</v>
      </c>
      <c r="G164" s="85" t="n">
        <f aca="true">IF(G$5=0,F164,MAX(0,(F164-G$4)*(1+NORMINV(RAND(),INPUTS!$B$28,INPUTS!$B$29))))</f>
        <v>1422998.62613708</v>
      </c>
      <c r="H164" s="85" t="n">
        <f aca="true">IF(H$5=0,G164,MAX(0,(G164-H$4)*(1+NORMINV(RAND(),INPUTS!$B$28,INPUTS!$B$29))))</f>
        <v>1740669.35745363</v>
      </c>
      <c r="I164" s="85" t="n">
        <f aca="true">IF(I$5=0,H164,MAX(0,(H164-I$4)*(1+NORMINV(RAND(),INPUTS!$B$28,INPUTS!$B$29))))</f>
        <v>1922247.65627147</v>
      </c>
      <c r="J164" s="85" t="n">
        <f aca="true">IF(J$5=0,I164,MAX(0,(I164-J$4)*(1+NORMINV(RAND(),INPUTS!$B$28,INPUTS!$B$29))))</f>
        <v>2022740.81692482</v>
      </c>
      <c r="K164" s="85" t="n">
        <f aca="true">IF(K$5=0,J164,MAX(0,(J164-K$4)*(1+NORMINV(RAND(),INPUTS!$B$28,INPUTS!$B$29))))</f>
        <v>1842939.85681031</v>
      </c>
      <c r="L164" s="85" t="n">
        <f aca="true">IF(L$5=0,K164,MAX(0,(K164-L$4)*(1+NORMINV(RAND(),INPUTS!$B$28,INPUTS!$B$29))))</f>
        <v>1986602.75884048</v>
      </c>
      <c r="M164" s="85" t="n">
        <f aca="true">IF(M$5=0,L164,MAX(0,(L164-M$4)*(1+NORMINV(RAND(),INPUTS!$B$28,INPUTS!$B$29))))</f>
        <v>2167374.60350115</v>
      </c>
      <c r="N164" s="85" t="n">
        <f aca="true">IF(N$5=0,M164,MAX(0,(M164-N$4)*(1+NORMINV(RAND(),INPUTS!$B$28,INPUTS!$B$29))))</f>
        <v>1786272.74522086</v>
      </c>
      <c r="O164" s="85" t="n">
        <f aca="true">IF(O$5=0,N164,MAX(0,(N164-O$4)*(1+NORMINV(RAND(),INPUTS!$B$28,INPUTS!$B$29))))</f>
        <v>2024445.39269154</v>
      </c>
      <c r="P164" s="85" t="n">
        <f aca="true">IF(P$5=0,O164,MAX(0,(O164-P$4)*(1+NORMINV(RAND(),INPUTS!$B$28,INPUTS!$B$29))))</f>
        <v>2560365.3805983</v>
      </c>
      <c r="Q164" s="85" t="n">
        <f aca="true">IF(Q$5=0,P164,MAX(0,(P164-Q$4)*(1+NORMINV(RAND(),INPUTS!$B$28,INPUTS!$B$29))))</f>
        <v>2625620.67000562</v>
      </c>
      <c r="R164" s="85" t="n">
        <f aca="true">IF(R$5=0,Q164,MAX(0,(Q164-R$4)*(1+NORMINV(RAND(),INPUTS!$B$28,INPUTS!$B$29))))</f>
        <v>2801882.37689881</v>
      </c>
      <c r="S164" s="85" t="n">
        <f aca="true">IF(S$5=0,R164,MAX(0,(R164-S$4)*(1+NORMINV(RAND(),INPUTS!$B$28,INPUTS!$B$29))))</f>
        <v>2343180.43810376</v>
      </c>
      <c r="T164" s="85" t="n">
        <f aca="true">IF(T$5=0,S164,MAX(0,(S164-T$4)*(1+NORMINV(RAND(),INPUTS!$B$28,INPUTS!$B$29))))</f>
        <v>2967257.78932316</v>
      </c>
      <c r="U164" s="85" t="n">
        <f aca="true">IF(U$5=0,T164,MAX(0,(T164-U$4)*(1+NORMINV(RAND(),INPUTS!$B$28,INPUTS!$B$29))))</f>
        <v>3146227.88573318</v>
      </c>
      <c r="V164" s="85" t="n">
        <f aca="true">IF(V$5=0,U164,MAX(0,(U164-V$4)*(1+NORMINV(RAND(),INPUTS!$B$28,INPUTS!$B$29))))</f>
        <v>2900382.58614918</v>
      </c>
      <c r="W164" s="85" t="n">
        <f aca="true">IF(W$5=0,V164,MAX(0,(V164-W$4)*(1+NORMINV(RAND(),INPUTS!$B$28,INPUTS!$B$29))))</f>
        <v>3161917.62970414</v>
      </c>
      <c r="X164" s="85" t="n">
        <f aca="true">IF(X$5=0,W164,MAX(0,(W164-X$4)*(1+NORMINV(RAND(),INPUTS!$B$28,INPUTS!$B$29))))</f>
        <v>2958001.71042306</v>
      </c>
      <c r="Y164" s="85" t="n">
        <f aca="true">IF(Y$5=0,X164,MAX(0,(X164-Y$4)*(1+NORMINV(RAND(),INPUTS!$B$28,INPUTS!$B$29))))</f>
        <v>3470356.76448257</v>
      </c>
      <c r="Z164" s="85" t="n">
        <f aca="true">IF(Z$5=0,Y164,MAX(0,(Y164-Z$4)*(1+NORMINV(RAND(),INPUTS!$B$28,INPUTS!$B$29))))</f>
        <v>3055490.95229497</v>
      </c>
      <c r="AA164" s="85" t="n">
        <f aca="true">IF(AA$5=0,Z164,MAX(0,(Z164-AA$4)*(1+NORMINV(RAND(),INPUTS!$B$28,INPUTS!$B$29))))</f>
        <v>2946343.89838633</v>
      </c>
      <c r="AB164" s="85" t="n">
        <f aca="true">IF(AB$5=0,AA164,MAX(0,(AA164-AB$4)*(1+NORMINV(RAND(),INPUTS!$B$28,INPUTS!$B$29))))</f>
        <v>3371789.07223434</v>
      </c>
      <c r="AC164" s="85" t="n">
        <f aca="true">IF(AC$5=0,AB164,MAX(0,(AB164-AC$4)*(1+NORMINV(RAND(),INPUTS!$B$28,INPUTS!$B$29))))</f>
        <v>3434953.02758698</v>
      </c>
      <c r="AD164" s="85" t="n">
        <f aca="true">IF(AD$5=0,AC164,MAX(0,(AC164-AD$4)*(1+NORMINV(RAND(),INPUTS!$B$28,INPUTS!$B$29))))</f>
        <v>3302334.54052589</v>
      </c>
      <c r="AE164" s="85" t="n">
        <f aca="true">IF(AE$5=0,AD164,MAX(0,(AD164-AE$4)*(1+NORMINV(RAND(),INPUTS!$B$28,INPUTS!$B$29))))</f>
        <v>3289244.6039733</v>
      </c>
      <c r="AF164" s="85" t="n">
        <f aca="true">IF(AF$5=0,AE164,MAX(0,(AE164-AF$4)*(1+NORMINV(RAND(),INPUTS!$B$28,INPUTS!$B$29))))</f>
        <v>3737514.48939321</v>
      </c>
      <c r="AG164" s="85" t="n">
        <f aca="true">IF(AG$5=0,AF164,MAX(0,(AF164-AG$4)*(1+NORMINV(RAND(),INPUTS!$B$28,INPUTS!$B$29))))</f>
        <v>4285024.72712024</v>
      </c>
      <c r="AH164" s="85" t="n">
        <f aca="true">IF(AH$5=0,AG164,MAX(0,(AG164-AH$4)*(1+NORMINV(RAND(),INPUTS!$B$28,INPUTS!$B$29))))</f>
        <v>4956637.27942286</v>
      </c>
      <c r="AI164" s="85" t="n">
        <f aca="true">IF(AI$5=0,AH164,MAX(0,(AH164-AI$4)*(1+NORMINV(RAND(),INPUTS!$B$28,INPUTS!$B$29))))</f>
        <v>5521038.36866925</v>
      </c>
      <c r="AJ164" s="85" t="n">
        <f aca="true">IF(AJ$5=0,AI164,MAX(0,(AI164-AJ$4)*(1+NORMINV(RAND(),INPUTS!$B$28,INPUTS!$B$29))))</f>
        <v>5083381.92999232</v>
      </c>
      <c r="AK164" s="85" t="n">
        <f aca="true">IF(AK$5=0,AJ164,MAX(0,(AJ164-AK$4)*(1+NORMINV(RAND(),INPUTS!$B$28,INPUTS!$B$29))))</f>
        <v>5751247.73943508</v>
      </c>
      <c r="AL164" s="85" t="n">
        <f aca="true">IF(AL$5=0,AK164,MAX(0,(AK164-AL$4)*(1+NORMINV(RAND(),INPUTS!$B$28,INPUTS!$B$29))))</f>
        <v>6378020.18893187</v>
      </c>
      <c r="AM164" s="85" t="n">
        <f aca="true">IF(AM$5=0,AL164,MAX(0,(AL164-AM$4)*(1+NORMINV(RAND(),INPUTS!$B$28,INPUTS!$B$29))))</f>
        <v>6378020.18893187</v>
      </c>
      <c r="AN164" s="85" t="n">
        <f aca="true">IF(AN$5=0,AM164,MAX(0,(AM164-AN$4)*(1+NORMINV(RAND(),INPUTS!$B$28,INPUTS!$B$29))))</f>
        <v>6378020.18893187</v>
      </c>
      <c r="AO164" s="85" t="n">
        <f aca="true">IF(AO$5=0,AN164,MAX(0,(AN164-AO$4)*(1+NORMINV(RAND(),INPUTS!$B$28,INPUTS!$B$29))))</f>
        <v>6378020.18893187</v>
      </c>
      <c r="AP164" s="85" t="n">
        <f aca="true">IF(AP$5=0,AO164,MAX(0,(AO164-AP$4)*(1+NORMINV(RAND(),INPUTS!$B$28,INPUTS!$B$29))))</f>
        <v>6378020.18893187</v>
      </c>
    </row>
    <row r="165" customFormat="false" ht="15" hidden="false" customHeight="true" outlineLevel="0" collapsed="false">
      <c r="A165" s="83" t="n">
        <v>158</v>
      </c>
      <c r="B165" s="84" t="n">
        <f aca="false">LOOKUP(9.99E+307,C165:AP165)</f>
        <v>0</v>
      </c>
      <c r="C165" s="85" t="n">
        <f aca="true">IF(C$5=0,INPUTS!$B$19,MAX(0,(INPUTS!$B$19-C$4)*(1+NORMINV(RAND(),INPUTS!$B$28,INPUTS!$B$29))))</f>
        <v>1184665.18090325</v>
      </c>
      <c r="D165" s="85" t="n">
        <f aca="true">IF(D$5=0,C165,MAX(0,(C165-D$4)*(1+NORMINV(RAND(),INPUTS!$B$28,INPUTS!$B$29))))</f>
        <v>759781.119054242</v>
      </c>
      <c r="E165" s="85" t="n">
        <f aca="true">IF(E$5=0,D165,MAX(0,(D165-E$4)*(1+NORMINV(RAND(),INPUTS!$B$28,INPUTS!$B$29))))</f>
        <v>818816.492355011</v>
      </c>
      <c r="F165" s="85" t="n">
        <f aca="true">IF(F$5=0,E165,MAX(0,(E165-F$4)*(1+NORMINV(RAND(),INPUTS!$B$28,INPUTS!$B$29))))</f>
        <v>686755.922586153</v>
      </c>
      <c r="G165" s="85" t="n">
        <f aca="true">IF(G$5=0,F165,MAX(0,(F165-G$4)*(1+NORMINV(RAND(),INPUTS!$B$28,INPUTS!$B$29))))</f>
        <v>624903.302146356</v>
      </c>
      <c r="H165" s="85" t="n">
        <f aca="true">IF(H$5=0,G165,MAX(0,(G165-H$4)*(1+NORMINV(RAND(),INPUTS!$B$28,INPUTS!$B$29))))</f>
        <v>709547.890088283</v>
      </c>
      <c r="I165" s="85" t="n">
        <f aca="true">IF(I$5=0,H165,MAX(0,(H165-I$4)*(1+NORMINV(RAND(),INPUTS!$B$28,INPUTS!$B$29))))</f>
        <v>680155.477456832</v>
      </c>
      <c r="J165" s="85" t="n">
        <f aca="true">IF(J$5=0,I165,MAX(0,(I165-J$4)*(1+NORMINV(RAND(),INPUTS!$B$28,INPUTS!$B$29))))</f>
        <v>576756.801394377</v>
      </c>
      <c r="K165" s="85" t="n">
        <f aca="true">IF(K$5=0,J165,MAX(0,(J165-K$4)*(1+NORMINV(RAND(),INPUTS!$B$28,INPUTS!$B$29))))</f>
        <v>461915.668579508</v>
      </c>
      <c r="L165" s="85" t="n">
        <f aca="true">IF(L$5=0,K165,MAX(0,(K165-L$4)*(1+NORMINV(RAND(),INPUTS!$B$28,INPUTS!$B$29))))</f>
        <v>368170.593380061</v>
      </c>
      <c r="M165" s="85" t="n">
        <f aca="true">IF(M$5=0,L165,MAX(0,(L165-M$4)*(1+NORMINV(RAND(),INPUTS!$B$28,INPUTS!$B$29))))</f>
        <v>241233.415363421</v>
      </c>
      <c r="N165" s="85" t="n">
        <f aca="true">IF(N$5=0,M165,MAX(0,(M165-N$4)*(1+NORMINV(RAND(),INPUTS!$B$28,INPUTS!$B$29))))</f>
        <v>181609.097956677</v>
      </c>
      <c r="O165" s="85" t="n">
        <f aca="true">IF(O$5=0,N165,MAX(0,(N165-O$4)*(1+NORMINV(RAND(),INPUTS!$B$28,INPUTS!$B$29))))</f>
        <v>109059.659144338</v>
      </c>
      <c r="P165" s="85" t="n">
        <f aca="true">IF(P$5=0,O165,MAX(0,(O165-P$4)*(1+NORMINV(RAND(),INPUTS!$B$28,INPUTS!$B$29))))</f>
        <v>75456.3937007441</v>
      </c>
      <c r="Q165" s="85" t="n">
        <f aca="true">IF(Q$5=0,P165,MAX(0,(P165-Q$4)*(1+NORMINV(RAND(),INPUTS!$B$28,INPUTS!$B$29))))</f>
        <v>31058.2508887379</v>
      </c>
      <c r="R165" s="85" t="n">
        <f aca="true">IF(R$5=0,Q165,MAX(0,(Q165-R$4)*(1+NORMINV(RAND(),INPUTS!$B$28,INPUTS!$B$29))))</f>
        <v>0</v>
      </c>
      <c r="S165" s="85" t="n">
        <f aca="true">IF(S$5=0,R165,MAX(0,(R165-S$4)*(1+NORMINV(RAND(),INPUTS!$B$28,INPUTS!$B$29))))</f>
        <v>0</v>
      </c>
      <c r="T165" s="85" t="n">
        <f aca="true">IF(T$5=0,S165,MAX(0,(S165-T$4)*(1+NORMINV(RAND(),INPUTS!$B$28,INPUTS!$B$29))))</f>
        <v>0</v>
      </c>
      <c r="U165" s="85" t="n">
        <f aca="true">IF(U$5=0,T165,MAX(0,(T165-U$4)*(1+NORMINV(RAND(),INPUTS!$B$28,INPUTS!$B$29))))</f>
        <v>0</v>
      </c>
      <c r="V165" s="85" t="n">
        <f aca="true">IF(V$5=0,U165,MAX(0,(U165-V$4)*(1+NORMINV(RAND(),INPUTS!$B$28,INPUTS!$B$29))))</f>
        <v>0</v>
      </c>
      <c r="W165" s="85" t="n">
        <f aca="true">IF(W$5=0,V165,MAX(0,(V165-W$4)*(1+NORMINV(RAND(),INPUTS!$B$28,INPUTS!$B$29))))</f>
        <v>0</v>
      </c>
      <c r="X165" s="85" t="n">
        <f aca="true">IF(X$5=0,W165,MAX(0,(W165-X$4)*(1+NORMINV(RAND(),INPUTS!$B$28,INPUTS!$B$29))))</f>
        <v>0</v>
      </c>
      <c r="Y165" s="85" t="n">
        <f aca="true">IF(Y$5=0,X165,MAX(0,(X165-Y$4)*(1+NORMINV(RAND(),INPUTS!$B$28,INPUTS!$B$29))))</f>
        <v>0</v>
      </c>
      <c r="Z165" s="85" t="n">
        <f aca="true">IF(Z$5=0,Y165,MAX(0,(Y165-Z$4)*(1+NORMINV(RAND(),INPUTS!$B$28,INPUTS!$B$29))))</f>
        <v>0</v>
      </c>
      <c r="AA165" s="85" t="n">
        <f aca="true">IF(AA$5=0,Z165,MAX(0,(Z165-AA$4)*(1+NORMINV(RAND(),INPUTS!$B$28,INPUTS!$B$29))))</f>
        <v>0</v>
      </c>
      <c r="AB165" s="85" t="n">
        <f aca="true">IF(AB$5=0,AA165,MAX(0,(AA165-AB$4)*(1+NORMINV(RAND(),INPUTS!$B$28,INPUTS!$B$29))))</f>
        <v>0</v>
      </c>
      <c r="AC165" s="85" t="n">
        <f aca="true">IF(AC$5=0,AB165,MAX(0,(AB165-AC$4)*(1+NORMINV(RAND(),INPUTS!$B$28,INPUTS!$B$29))))</f>
        <v>0</v>
      </c>
      <c r="AD165" s="85" t="n">
        <f aca="true">IF(AD$5=0,AC165,MAX(0,(AC165-AD$4)*(1+NORMINV(RAND(),INPUTS!$B$28,INPUTS!$B$29))))</f>
        <v>0</v>
      </c>
      <c r="AE165" s="85" t="n">
        <f aca="true">IF(AE$5=0,AD165,MAX(0,(AD165-AE$4)*(1+NORMINV(RAND(),INPUTS!$B$28,INPUTS!$B$29))))</f>
        <v>0</v>
      </c>
      <c r="AF165" s="85" t="n">
        <f aca="true">IF(AF$5=0,AE165,MAX(0,(AE165-AF$4)*(1+NORMINV(RAND(),INPUTS!$B$28,INPUTS!$B$29))))</f>
        <v>0</v>
      </c>
      <c r="AG165" s="85" t="n">
        <f aca="true">IF(AG$5=0,AF165,MAX(0,(AF165-AG$4)*(1+NORMINV(RAND(),INPUTS!$B$28,INPUTS!$B$29))))</f>
        <v>0</v>
      </c>
      <c r="AH165" s="85" t="n">
        <f aca="true">IF(AH$5=0,AG165,MAX(0,(AG165-AH$4)*(1+NORMINV(RAND(),INPUTS!$B$28,INPUTS!$B$29))))</f>
        <v>0</v>
      </c>
      <c r="AI165" s="85" t="n">
        <f aca="true">IF(AI$5=0,AH165,MAX(0,(AH165-AI$4)*(1+NORMINV(RAND(),INPUTS!$B$28,INPUTS!$B$29))))</f>
        <v>0</v>
      </c>
      <c r="AJ165" s="85" t="n">
        <f aca="true">IF(AJ$5=0,AI165,MAX(0,(AI165-AJ$4)*(1+NORMINV(RAND(),INPUTS!$B$28,INPUTS!$B$29))))</f>
        <v>0</v>
      </c>
      <c r="AK165" s="85" t="n">
        <f aca="true">IF(AK$5=0,AJ165,MAX(0,(AJ165-AK$4)*(1+NORMINV(RAND(),INPUTS!$B$28,INPUTS!$B$29))))</f>
        <v>0</v>
      </c>
      <c r="AL165" s="85" t="n">
        <f aca="true">IF(AL$5=0,AK165,MAX(0,(AK165-AL$4)*(1+NORMINV(RAND(),INPUTS!$B$28,INPUTS!$B$29))))</f>
        <v>0</v>
      </c>
      <c r="AM165" s="85" t="n">
        <f aca="true">IF(AM$5=0,AL165,MAX(0,(AL165-AM$4)*(1+NORMINV(RAND(),INPUTS!$B$28,INPUTS!$B$29))))</f>
        <v>0</v>
      </c>
      <c r="AN165" s="85" t="n">
        <f aca="true">IF(AN$5=0,AM165,MAX(0,(AM165-AN$4)*(1+NORMINV(RAND(),INPUTS!$B$28,INPUTS!$B$29))))</f>
        <v>0</v>
      </c>
      <c r="AO165" s="85" t="n">
        <f aca="true">IF(AO$5=0,AN165,MAX(0,(AN165-AO$4)*(1+NORMINV(RAND(),INPUTS!$B$28,INPUTS!$B$29))))</f>
        <v>0</v>
      </c>
      <c r="AP165" s="85" t="n">
        <f aca="true">IF(AP$5=0,AO165,MAX(0,(AO165-AP$4)*(1+NORMINV(RAND(),INPUTS!$B$28,INPUTS!$B$29))))</f>
        <v>0</v>
      </c>
    </row>
    <row r="166" customFormat="false" ht="15" hidden="false" customHeight="true" outlineLevel="0" collapsed="false">
      <c r="A166" s="83" t="n">
        <v>159</v>
      </c>
      <c r="B166" s="84" t="n">
        <f aca="false">LOOKUP(9.99E+307,C166:AP166)</f>
        <v>6051292.86381108</v>
      </c>
      <c r="C166" s="85" t="n">
        <f aca="true">IF(C$5=0,INPUTS!$B$19,MAX(0,(INPUTS!$B$19-C$4)*(1+NORMINV(RAND(),INPUTS!$B$28,INPUTS!$B$29))))</f>
        <v>1444345.38677563</v>
      </c>
      <c r="D166" s="85" t="n">
        <f aca="true">IF(D$5=0,C166,MAX(0,(C166-D$4)*(1+NORMINV(RAND(),INPUTS!$B$28,INPUTS!$B$29))))</f>
        <v>1717255.38617672</v>
      </c>
      <c r="E166" s="85" t="n">
        <f aca="true">IF(E$5=0,D166,MAX(0,(D166-E$4)*(1+NORMINV(RAND(),INPUTS!$B$28,INPUTS!$B$29))))</f>
        <v>1707428.05661872</v>
      </c>
      <c r="F166" s="85" t="n">
        <f aca="true">IF(F$5=0,E166,MAX(0,(E166-F$4)*(1+NORMINV(RAND(),INPUTS!$B$28,INPUTS!$B$29))))</f>
        <v>1829224.50396901</v>
      </c>
      <c r="G166" s="85" t="n">
        <f aca="true">IF(G$5=0,F166,MAX(0,(F166-G$4)*(1+NORMINV(RAND(),INPUTS!$B$28,INPUTS!$B$29))))</f>
        <v>1967048.78435917</v>
      </c>
      <c r="H166" s="85" t="n">
        <f aca="true">IF(H$5=0,G166,MAX(0,(G166-H$4)*(1+NORMINV(RAND(),INPUTS!$B$28,INPUTS!$B$29))))</f>
        <v>1994129.04813096</v>
      </c>
      <c r="I166" s="85" t="n">
        <f aca="true">IF(I$5=0,H166,MAX(0,(H166-I$4)*(1+NORMINV(RAND(),INPUTS!$B$28,INPUTS!$B$29))))</f>
        <v>2062193.4676112</v>
      </c>
      <c r="J166" s="85" t="n">
        <f aca="true">IF(J$5=0,I166,MAX(0,(I166-J$4)*(1+NORMINV(RAND(),INPUTS!$B$28,INPUTS!$B$29))))</f>
        <v>2176163.08686236</v>
      </c>
      <c r="K166" s="85" t="n">
        <f aca="true">IF(K$5=0,J166,MAX(0,(J166-K$4)*(1+NORMINV(RAND(),INPUTS!$B$28,INPUTS!$B$29))))</f>
        <v>2268807.15524046</v>
      </c>
      <c r="L166" s="85" t="n">
        <f aca="true">IF(L$5=0,K166,MAX(0,(K166-L$4)*(1+NORMINV(RAND(),INPUTS!$B$28,INPUTS!$B$29))))</f>
        <v>2189369.06540447</v>
      </c>
      <c r="M166" s="85" t="n">
        <f aca="true">IF(M$5=0,L166,MAX(0,(L166-M$4)*(1+NORMINV(RAND(),INPUTS!$B$28,INPUTS!$B$29))))</f>
        <v>2224221.53240368</v>
      </c>
      <c r="N166" s="85" t="n">
        <f aca="true">IF(N$5=0,M166,MAX(0,(M166-N$4)*(1+NORMINV(RAND(),INPUTS!$B$28,INPUTS!$B$29))))</f>
        <v>2527889.64117947</v>
      </c>
      <c r="O166" s="85" t="n">
        <f aca="true">IF(O$5=0,N166,MAX(0,(N166-O$4)*(1+NORMINV(RAND(),INPUTS!$B$28,INPUTS!$B$29))))</f>
        <v>2777148.97996167</v>
      </c>
      <c r="P166" s="85" t="n">
        <f aca="true">IF(P$5=0,O166,MAX(0,(O166-P$4)*(1+NORMINV(RAND(),INPUTS!$B$28,INPUTS!$B$29))))</f>
        <v>3131287.91548841</v>
      </c>
      <c r="Q166" s="85" t="n">
        <f aca="true">IF(Q$5=0,P166,MAX(0,(P166-Q$4)*(1+NORMINV(RAND(),INPUTS!$B$28,INPUTS!$B$29))))</f>
        <v>3584990.6456257</v>
      </c>
      <c r="R166" s="85" t="n">
        <f aca="true">IF(R$5=0,Q166,MAX(0,(Q166-R$4)*(1+NORMINV(RAND(),INPUTS!$B$28,INPUTS!$B$29))))</f>
        <v>3395380.31010876</v>
      </c>
      <c r="S166" s="85" t="n">
        <f aca="true">IF(S$5=0,R166,MAX(0,(R166-S$4)*(1+NORMINV(RAND(),INPUTS!$B$28,INPUTS!$B$29))))</f>
        <v>3554371.56505467</v>
      </c>
      <c r="T166" s="85" t="n">
        <f aca="true">IF(T$5=0,S166,MAX(0,(S166-T$4)*(1+NORMINV(RAND(),INPUTS!$B$28,INPUTS!$B$29))))</f>
        <v>3672376.80628187</v>
      </c>
      <c r="U166" s="85" t="n">
        <f aca="true">IF(U$5=0,T166,MAX(0,(T166-U$4)*(1+NORMINV(RAND(),INPUTS!$B$28,INPUTS!$B$29))))</f>
        <v>4263796.39564718</v>
      </c>
      <c r="V166" s="85" t="n">
        <f aca="true">IF(V$5=0,U166,MAX(0,(U166-V$4)*(1+NORMINV(RAND(),INPUTS!$B$28,INPUTS!$B$29))))</f>
        <v>4245774.82118601</v>
      </c>
      <c r="W166" s="85" t="n">
        <f aca="true">IF(W$5=0,V166,MAX(0,(V166-W$4)*(1+NORMINV(RAND(),INPUTS!$B$28,INPUTS!$B$29))))</f>
        <v>3824945.72021415</v>
      </c>
      <c r="X166" s="85" t="n">
        <f aca="true">IF(X$5=0,W166,MAX(0,(W166-X$4)*(1+NORMINV(RAND(),INPUTS!$B$28,INPUTS!$B$29))))</f>
        <v>4854558.04</v>
      </c>
      <c r="Y166" s="85" t="n">
        <f aca="true">IF(Y$5=0,X166,MAX(0,(X166-Y$4)*(1+NORMINV(RAND(),INPUTS!$B$28,INPUTS!$B$29))))</f>
        <v>4781721.9297987</v>
      </c>
      <c r="Z166" s="85" t="n">
        <f aca="true">IF(Z$5=0,Y166,MAX(0,(Y166-Z$4)*(1+NORMINV(RAND(),INPUTS!$B$28,INPUTS!$B$29))))</f>
        <v>4645386.03923577</v>
      </c>
      <c r="AA166" s="85" t="n">
        <f aca="true">IF(AA$5=0,Z166,MAX(0,(Z166-AA$4)*(1+NORMINV(RAND(),INPUTS!$B$28,INPUTS!$B$29))))</f>
        <v>5485973.35990818</v>
      </c>
      <c r="AB166" s="85" t="n">
        <f aca="true">IF(AB$5=0,AA166,MAX(0,(AA166-AB$4)*(1+NORMINV(RAND(),INPUTS!$B$28,INPUTS!$B$29))))</f>
        <v>5788841.83732369</v>
      </c>
      <c r="AC166" s="85" t="n">
        <f aca="true">IF(AC$5=0,AB166,MAX(0,(AB166-AC$4)*(1+NORMINV(RAND(),INPUTS!$B$28,INPUTS!$B$29))))</f>
        <v>5896026.78536293</v>
      </c>
      <c r="AD166" s="85" t="n">
        <f aca="true">IF(AD$5=0,AC166,MAX(0,(AC166-AD$4)*(1+NORMINV(RAND(),INPUTS!$B$28,INPUTS!$B$29))))</f>
        <v>6362070.6111987</v>
      </c>
      <c r="AE166" s="85" t="n">
        <f aca="true">IF(AE$5=0,AD166,MAX(0,(AD166-AE$4)*(1+NORMINV(RAND(),INPUTS!$B$28,INPUTS!$B$29))))</f>
        <v>6428735.93840741</v>
      </c>
      <c r="AF166" s="85" t="n">
        <f aca="true">IF(AF$5=0,AE166,MAX(0,(AE166-AF$4)*(1+NORMINV(RAND(),INPUTS!$B$28,INPUTS!$B$29))))</f>
        <v>7080734.41478653</v>
      </c>
      <c r="AG166" s="85" t="n">
        <f aca="true">IF(AG$5=0,AF166,MAX(0,(AF166-AG$4)*(1+NORMINV(RAND(),INPUTS!$B$28,INPUTS!$B$29))))</f>
        <v>7942781.10426394</v>
      </c>
      <c r="AH166" s="85" t="n">
        <f aca="true">IF(AH$5=0,AG166,MAX(0,(AG166-AH$4)*(1+NORMINV(RAND(),INPUTS!$B$28,INPUTS!$B$29))))</f>
        <v>9706656.12215096</v>
      </c>
      <c r="AI166" s="85" t="n">
        <f aca="true">IF(AI$5=0,AH166,MAX(0,(AH166-AI$4)*(1+NORMINV(RAND(),INPUTS!$B$28,INPUTS!$B$29))))</f>
        <v>11010199.4572933</v>
      </c>
      <c r="AJ166" s="85" t="n">
        <f aca="true">IF(AJ$5=0,AI166,MAX(0,(AI166-AJ$4)*(1+NORMINV(RAND(),INPUTS!$B$28,INPUTS!$B$29))))</f>
        <v>9683511.30809895</v>
      </c>
      <c r="AK166" s="85" t="n">
        <f aca="true">IF(AK$5=0,AJ166,MAX(0,(AJ166-AK$4)*(1+NORMINV(RAND(),INPUTS!$B$28,INPUTS!$B$29))))</f>
        <v>8866052.21740694</v>
      </c>
      <c r="AL166" s="85" t="n">
        <f aca="true">IF(AL$5=0,AK166,MAX(0,(AK166-AL$4)*(1+NORMINV(RAND(),INPUTS!$B$28,INPUTS!$B$29))))</f>
        <v>6051292.86381108</v>
      </c>
      <c r="AM166" s="85" t="n">
        <f aca="true">IF(AM$5=0,AL166,MAX(0,(AL166-AM$4)*(1+NORMINV(RAND(),INPUTS!$B$28,INPUTS!$B$29))))</f>
        <v>6051292.86381108</v>
      </c>
      <c r="AN166" s="85" t="n">
        <f aca="true">IF(AN$5=0,AM166,MAX(0,(AM166-AN$4)*(1+NORMINV(RAND(),INPUTS!$B$28,INPUTS!$B$29))))</f>
        <v>6051292.86381108</v>
      </c>
      <c r="AO166" s="85" t="n">
        <f aca="true">IF(AO$5=0,AN166,MAX(0,(AN166-AO$4)*(1+NORMINV(RAND(),INPUTS!$B$28,INPUTS!$B$29))))</f>
        <v>6051292.86381108</v>
      </c>
      <c r="AP166" s="85" t="n">
        <f aca="true">IF(AP$5=0,AO166,MAX(0,(AO166-AP$4)*(1+NORMINV(RAND(),INPUTS!$B$28,INPUTS!$B$29))))</f>
        <v>6051292.86381108</v>
      </c>
    </row>
    <row r="167" customFormat="false" ht="15" hidden="false" customHeight="true" outlineLevel="0" collapsed="false">
      <c r="A167" s="83" t="n">
        <v>160</v>
      </c>
      <c r="B167" s="84" t="n">
        <f aca="false">LOOKUP(9.99E+307,C167:AP167)</f>
        <v>15353036.4335798</v>
      </c>
      <c r="C167" s="85" t="n">
        <f aca="true">IF(C$5=0,INPUTS!$B$19,MAX(0,(INPUTS!$B$19-C$4)*(1+NORMINV(RAND(),INPUTS!$B$28,INPUTS!$B$29))))</f>
        <v>1490311.24020945</v>
      </c>
      <c r="D167" s="85" t="n">
        <f aca="true">IF(D$5=0,C167,MAX(0,(C167-D$4)*(1+NORMINV(RAND(),INPUTS!$B$28,INPUTS!$B$29))))</f>
        <v>1608977.31766801</v>
      </c>
      <c r="E167" s="85" t="n">
        <f aca="true">IF(E$5=0,D167,MAX(0,(D167-E$4)*(1+NORMINV(RAND(),INPUTS!$B$28,INPUTS!$B$29))))</f>
        <v>1750212.6682661</v>
      </c>
      <c r="F167" s="85" t="n">
        <f aca="true">IF(F$5=0,E167,MAX(0,(E167-F$4)*(1+NORMINV(RAND(),INPUTS!$B$28,INPUTS!$B$29))))</f>
        <v>1994428.00722455</v>
      </c>
      <c r="G167" s="85" t="n">
        <f aca="true">IF(G$5=0,F167,MAX(0,(F167-G$4)*(1+NORMINV(RAND(),INPUTS!$B$28,INPUTS!$B$29))))</f>
        <v>1927012.1935083</v>
      </c>
      <c r="H167" s="85" t="n">
        <f aca="true">IF(H$5=0,G167,MAX(0,(G167-H$4)*(1+NORMINV(RAND(),INPUTS!$B$28,INPUTS!$B$29))))</f>
        <v>2126750.09390677</v>
      </c>
      <c r="I167" s="85" t="n">
        <f aca="true">IF(I$5=0,H167,MAX(0,(H167-I$4)*(1+NORMINV(RAND(),INPUTS!$B$28,INPUTS!$B$29))))</f>
        <v>2397620.84450453</v>
      </c>
      <c r="J167" s="85" t="n">
        <f aca="true">IF(J$5=0,I167,MAX(0,(I167-J$4)*(1+NORMINV(RAND(),INPUTS!$B$28,INPUTS!$B$29))))</f>
        <v>2976555.78760831</v>
      </c>
      <c r="K167" s="85" t="n">
        <f aca="true">IF(K$5=0,J167,MAX(0,(J167-K$4)*(1+NORMINV(RAND(),INPUTS!$B$28,INPUTS!$B$29))))</f>
        <v>3302455.55564801</v>
      </c>
      <c r="L167" s="85" t="n">
        <f aca="true">IF(L$5=0,K167,MAX(0,(K167-L$4)*(1+NORMINV(RAND(),INPUTS!$B$28,INPUTS!$B$29))))</f>
        <v>2916714.88866633</v>
      </c>
      <c r="M167" s="85" t="n">
        <f aca="true">IF(M$5=0,L167,MAX(0,(L167-M$4)*(1+NORMINV(RAND(),INPUTS!$B$28,INPUTS!$B$29))))</f>
        <v>2858739.09098771</v>
      </c>
      <c r="N167" s="85" t="n">
        <f aca="true">IF(N$5=0,M167,MAX(0,(M167-N$4)*(1+NORMINV(RAND(),INPUTS!$B$28,INPUTS!$B$29))))</f>
        <v>2814496.03746905</v>
      </c>
      <c r="O167" s="85" t="n">
        <f aca="true">IF(O$5=0,N167,MAX(0,(N167-O$4)*(1+NORMINV(RAND(),INPUTS!$B$28,INPUTS!$B$29))))</f>
        <v>3772863.71708441</v>
      </c>
      <c r="P167" s="85" t="n">
        <f aca="true">IF(P$5=0,O167,MAX(0,(O167-P$4)*(1+NORMINV(RAND(),INPUTS!$B$28,INPUTS!$B$29))))</f>
        <v>3805897.4674796</v>
      </c>
      <c r="Q167" s="85" t="n">
        <f aca="true">IF(Q$5=0,P167,MAX(0,(P167-Q$4)*(1+NORMINV(RAND(),INPUTS!$B$28,INPUTS!$B$29))))</f>
        <v>4075017.19797903</v>
      </c>
      <c r="R167" s="85" t="n">
        <f aca="true">IF(R$5=0,Q167,MAX(0,(Q167-R$4)*(1+NORMINV(RAND(),INPUTS!$B$28,INPUTS!$B$29))))</f>
        <v>4892496.79059047</v>
      </c>
      <c r="S167" s="85" t="n">
        <f aca="true">IF(S$5=0,R167,MAX(0,(R167-S$4)*(1+NORMINV(RAND(),INPUTS!$B$28,INPUTS!$B$29))))</f>
        <v>4394972.7956468</v>
      </c>
      <c r="T167" s="85" t="n">
        <f aca="true">IF(T$5=0,S167,MAX(0,(S167-T$4)*(1+NORMINV(RAND(),INPUTS!$B$28,INPUTS!$B$29))))</f>
        <v>4169413.02481249</v>
      </c>
      <c r="U167" s="85" t="n">
        <f aca="true">IF(U$5=0,T167,MAX(0,(T167-U$4)*(1+NORMINV(RAND(),INPUTS!$B$28,INPUTS!$B$29))))</f>
        <v>4421073.38254197</v>
      </c>
      <c r="V167" s="85" t="n">
        <f aca="true">IF(V$5=0,U167,MAX(0,(U167-V$4)*(1+NORMINV(RAND(),INPUTS!$B$28,INPUTS!$B$29))))</f>
        <v>4330283.75908097</v>
      </c>
      <c r="W167" s="85" t="n">
        <f aca="true">IF(W$5=0,V167,MAX(0,(V167-W$4)*(1+NORMINV(RAND(),INPUTS!$B$28,INPUTS!$B$29))))</f>
        <v>4839123.25124597</v>
      </c>
      <c r="X167" s="85" t="n">
        <f aca="true">IF(X$5=0,W167,MAX(0,(W167-X$4)*(1+NORMINV(RAND(),INPUTS!$B$28,INPUTS!$B$29))))</f>
        <v>4263798.83705661</v>
      </c>
      <c r="Y167" s="85" t="n">
        <f aca="true">IF(Y$5=0,X167,MAX(0,(X167-Y$4)*(1+NORMINV(RAND(),INPUTS!$B$28,INPUTS!$B$29))))</f>
        <v>4971952.26160497</v>
      </c>
      <c r="Z167" s="85" t="n">
        <f aca="true">IF(Z$5=0,Y167,MAX(0,(Y167-Z$4)*(1+NORMINV(RAND(),INPUTS!$B$28,INPUTS!$B$29))))</f>
        <v>4531499.18497518</v>
      </c>
      <c r="AA167" s="85" t="n">
        <f aca="true">IF(AA$5=0,Z167,MAX(0,(Z167-AA$4)*(1+NORMINV(RAND(),INPUTS!$B$28,INPUTS!$B$29))))</f>
        <v>5037211.84554779</v>
      </c>
      <c r="AB167" s="85" t="n">
        <f aca="true">IF(AB$5=0,AA167,MAX(0,(AA167-AB$4)*(1+NORMINV(RAND(),INPUTS!$B$28,INPUTS!$B$29))))</f>
        <v>6151523.99441128</v>
      </c>
      <c r="AC167" s="85" t="n">
        <f aca="true">IF(AC$5=0,AB167,MAX(0,(AB167-AC$4)*(1+NORMINV(RAND(),INPUTS!$B$28,INPUTS!$B$29))))</f>
        <v>7579730.11265865</v>
      </c>
      <c r="AD167" s="85" t="n">
        <f aca="true">IF(AD$5=0,AC167,MAX(0,(AC167-AD$4)*(1+NORMINV(RAND(),INPUTS!$B$28,INPUTS!$B$29))))</f>
        <v>7591776.7797701</v>
      </c>
      <c r="AE167" s="85" t="n">
        <f aca="true">IF(AE$5=0,AD167,MAX(0,(AD167-AE$4)*(1+NORMINV(RAND(),INPUTS!$B$28,INPUTS!$B$29))))</f>
        <v>8539907.0492139</v>
      </c>
      <c r="AF167" s="85" t="n">
        <f aca="true">IF(AF$5=0,AE167,MAX(0,(AE167-AF$4)*(1+NORMINV(RAND(),INPUTS!$B$28,INPUTS!$B$29))))</f>
        <v>9440486.24706791</v>
      </c>
      <c r="AG167" s="85" t="n">
        <f aca="true">IF(AG$5=0,AF167,MAX(0,(AF167-AG$4)*(1+NORMINV(RAND(),INPUTS!$B$28,INPUTS!$B$29))))</f>
        <v>9410522.38443491</v>
      </c>
      <c r="AH167" s="85" t="n">
        <f aca="true">IF(AH$5=0,AG167,MAX(0,(AG167-AH$4)*(1+NORMINV(RAND(),INPUTS!$B$28,INPUTS!$B$29))))</f>
        <v>10807190.8166275</v>
      </c>
      <c r="AI167" s="85" t="n">
        <f aca="true">IF(AI$5=0,AH167,MAX(0,(AH167-AI$4)*(1+NORMINV(RAND(),INPUTS!$B$28,INPUTS!$B$29))))</f>
        <v>11716866.7140341</v>
      </c>
      <c r="AJ167" s="85" t="n">
        <f aca="true">IF(AJ$5=0,AI167,MAX(0,(AI167-AJ$4)*(1+NORMINV(RAND(),INPUTS!$B$28,INPUTS!$B$29))))</f>
        <v>13285575.5127835</v>
      </c>
      <c r="AK167" s="85" t="n">
        <f aca="true">IF(AK$5=0,AJ167,MAX(0,(AJ167-AK$4)*(1+NORMINV(RAND(),INPUTS!$B$28,INPUTS!$B$29))))</f>
        <v>13962569.0060586</v>
      </c>
      <c r="AL167" s="85" t="n">
        <f aca="true">IF(AL$5=0,AK167,MAX(0,(AK167-AL$4)*(1+NORMINV(RAND(),INPUTS!$B$28,INPUTS!$B$29))))</f>
        <v>15353036.4335798</v>
      </c>
      <c r="AM167" s="85" t="n">
        <f aca="true">IF(AM$5=0,AL167,MAX(0,(AL167-AM$4)*(1+NORMINV(RAND(),INPUTS!$B$28,INPUTS!$B$29))))</f>
        <v>15353036.4335798</v>
      </c>
      <c r="AN167" s="85" t="n">
        <f aca="true">IF(AN$5=0,AM167,MAX(0,(AM167-AN$4)*(1+NORMINV(RAND(),INPUTS!$B$28,INPUTS!$B$29))))</f>
        <v>15353036.4335798</v>
      </c>
      <c r="AO167" s="85" t="n">
        <f aca="true">IF(AO$5=0,AN167,MAX(0,(AN167-AO$4)*(1+NORMINV(RAND(),INPUTS!$B$28,INPUTS!$B$29))))</f>
        <v>15353036.4335798</v>
      </c>
      <c r="AP167" s="85" t="n">
        <f aca="true">IF(AP$5=0,AO167,MAX(0,(AO167-AP$4)*(1+NORMINV(RAND(),INPUTS!$B$28,INPUTS!$B$29))))</f>
        <v>15353036.4335798</v>
      </c>
    </row>
    <row r="168" customFormat="false" ht="15" hidden="false" customHeight="true" outlineLevel="0" collapsed="false">
      <c r="A168" s="83" t="n">
        <v>161</v>
      </c>
      <c r="B168" s="84" t="n">
        <f aca="false">LOOKUP(9.99E+307,C168:AP168)</f>
        <v>0</v>
      </c>
      <c r="C168" s="85" t="n">
        <f aca="true">IF(C$5=0,INPUTS!$B$19,MAX(0,(INPUTS!$B$19-C$4)*(1+NORMINV(RAND(),INPUTS!$B$28,INPUTS!$B$29))))</f>
        <v>997825.817458561</v>
      </c>
      <c r="D168" s="85" t="n">
        <f aca="true">IF(D$5=0,C168,MAX(0,(C168-D$4)*(1+NORMINV(RAND(),INPUTS!$B$28,INPUTS!$B$29))))</f>
        <v>1034740.46173288</v>
      </c>
      <c r="E168" s="85" t="n">
        <f aca="true">IF(E$5=0,D168,MAX(0,(D168-E$4)*(1+NORMINV(RAND(),INPUTS!$B$28,INPUTS!$B$29))))</f>
        <v>835363.197949856</v>
      </c>
      <c r="F168" s="85" t="n">
        <f aca="true">IF(F$5=0,E168,MAX(0,(E168-F$4)*(1+NORMINV(RAND(),INPUTS!$B$28,INPUTS!$B$29))))</f>
        <v>680496.66775115</v>
      </c>
      <c r="G168" s="85" t="n">
        <f aca="true">IF(G$5=0,F168,MAX(0,(F168-G$4)*(1+NORMINV(RAND(),INPUTS!$B$28,INPUTS!$B$29))))</f>
        <v>665687.719413974</v>
      </c>
      <c r="H168" s="85" t="n">
        <f aca="true">IF(H$5=0,G168,MAX(0,(G168-H$4)*(1+NORMINV(RAND(),INPUTS!$B$28,INPUTS!$B$29))))</f>
        <v>746446.334561482</v>
      </c>
      <c r="I168" s="85" t="n">
        <f aca="true">IF(I$5=0,H168,MAX(0,(H168-I$4)*(1+NORMINV(RAND(),INPUTS!$B$28,INPUTS!$B$29))))</f>
        <v>655045.908950538</v>
      </c>
      <c r="J168" s="85" t="n">
        <f aca="true">IF(J$5=0,I168,MAX(0,(I168-J$4)*(1+NORMINV(RAND(),INPUTS!$B$28,INPUTS!$B$29))))</f>
        <v>593802.461494979</v>
      </c>
      <c r="K168" s="85" t="n">
        <f aca="true">IF(K$5=0,J168,MAX(0,(J168-K$4)*(1+NORMINV(RAND(),INPUTS!$B$28,INPUTS!$B$29))))</f>
        <v>495637.275585907</v>
      </c>
      <c r="L168" s="85" t="n">
        <f aca="true">IF(L$5=0,K168,MAX(0,(K168-L$4)*(1+NORMINV(RAND(),INPUTS!$B$28,INPUTS!$B$29))))</f>
        <v>552708.108204786</v>
      </c>
      <c r="M168" s="85" t="n">
        <f aca="true">IF(M$5=0,L168,MAX(0,(L168-M$4)*(1+NORMINV(RAND(),INPUTS!$B$28,INPUTS!$B$29))))</f>
        <v>589079.430926429</v>
      </c>
      <c r="N168" s="85" t="n">
        <f aca="true">IF(N$5=0,M168,MAX(0,(M168-N$4)*(1+NORMINV(RAND(),INPUTS!$B$28,INPUTS!$B$29))))</f>
        <v>618171.761057295</v>
      </c>
      <c r="O168" s="85" t="n">
        <f aca="true">IF(O$5=0,N168,MAX(0,(N168-O$4)*(1+NORMINV(RAND(),INPUTS!$B$28,INPUTS!$B$29))))</f>
        <v>594008.619542511</v>
      </c>
      <c r="P168" s="85" t="n">
        <f aca="true">IF(P$5=0,O168,MAX(0,(O168-P$4)*(1+NORMINV(RAND(),INPUTS!$B$28,INPUTS!$B$29))))</f>
        <v>489205.544948776</v>
      </c>
      <c r="Q168" s="85" t="n">
        <f aca="true">IF(Q$5=0,P168,MAX(0,(P168-Q$4)*(1+NORMINV(RAND(),INPUTS!$B$28,INPUTS!$B$29))))</f>
        <v>398425.812583602</v>
      </c>
      <c r="R168" s="85" t="n">
        <f aca="true">IF(R$5=0,Q168,MAX(0,(Q168-R$4)*(1+NORMINV(RAND(),INPUTS!$B$28,INPUTS!$B$29))))</f>
        <v>382928.363524429</v>
      </c>
      <c r="S168" s="85" t="n">
        <f aca="true">IF(S$5=0,R168,MAX(0,(R168-S$4)*(1+NORMINV(RAND(),INPUTS!$B$28,INPUTS!$B$29))))</f>
        <v>395673.362940617</v>
      </c>
      <c r="T168" s="85" t="n">
        <f aca="true">IF(T$5=0,S168,MAX(0,(S168-T$4)*(1+NORMINV(RAND(),INPUTS!$B$28,INPUTS!$B$29))))</f>
        <v>373710.017528766</v>
      </c>
      <c r="U168" s="85" t="n">
        <f aca="true">IF(U$5=0,T168,MAX(0,(T168-U$4)*(1+NORMINV(RAND(),INPUTS!$B$28,INPUTS!$B$29))))</f>
        <v>351700.986609409</v>
      </c>
      <c r="V168" s="85" t="n">
        <f aca="true">IF(V$5=0,U168,MAX(0,(U168-V$4)*(1+NORMINV(RAND(),INPUTS!$B$28,INPUTS!$B$29))))</f>
        <v>302201.419685527</v>
      </c>
      <c r="W168" s="85" t="n">
        <f aca="true">IF(W$5=0,V168,MAX(0,(V168-W$4)*(1+NORMINV(RAND(),INPUTS!$B$28,INPUTS!$B$29))))</f>
        <v>197325.119780148</v>
      </c>
      <c r="X168" s="85" t="n">
        <f aca="true">IF(X$5=0,W168,MAX(0,(W168-X$4)*(1+NORMINV(RAND(),INPUTS!$B$28,INPUTS!$B$29))))</f>
        <v>147285.332994669</v>
      </c>
      <c r="Y168" s="85" t="n">
        <f aca="true">IF(Y$5=0,X168,MAX(0,(X168-Y$4)*(1+NORMINV(RAND(),INPUTS!$B$28,INPUTS!$B$29))))</f>
        <v>125548.355786973</v>
      </c>
      <c r="Z168" s="85" t="n">
        <f aca="true">IF(Z$5=0,Y168,MAX(0,(Y168-Z$4)*(1+NORMINV(RAND(),INPUTS!$B$28,INPUTS!$B$29))))</f>
        <v>77042.6371597006</v>
      </c>
      <c r="AA168" s="85" t="n">
        <f aca="true">IF(AA$5=0,Z168,MAX(0,(Z168-AA$4)*(1+NORMINV(RAND(),INPUTS!$B$28,INPUTS!$B$29))))</f>
        <v>18480.2642515526</v>
      </c>
      <c r="AB168" s="85" t="n">
        <f aca="true">IF(AB$5=0,AA168,MAX(0,(AA168-AB$4)*(1+NORMINV(RAND(),INPUTS!$B$28,INPUTS!$B$29))))</f>
        <v>0</v>
      </c>
      <c r="AC168" s="85" t="n">
        <f aca="true">IF(AC$5=0,AB168,MAX(0,(AB168-AC$4)*(1+NORMINV(RAND(),INPUTS!$B$28,INPUTS!$B$29))))</f>
        <v>0</v>
      </c>
      <c r="AD168" s="85" t="n">
        <f aca="true">IF(AD$5=0,AC168,MAX(0,(AC168-AD$4)*(1+NORMINV(RAND(),INPUTS!$B$28,INPUTS!$B$29))))</f>
        <v>0</v>
      </c>
      <c r="AE168" s="85" t="n">
        <f aca="true">IF(AE$5=0,AD168,MAX(0,(AD168-AE$4)*(1+NORMINV(RAND(),INPUTS!$B$28,INPUTS!$B$29))))</f>
        <v>0</v>
      </c>
      <c r="AF168" s="85" t="n">
        <f aca="true">IF(AF$5=0,AE168,MAX(0,(AE168-AF$4)*(1+NORMINV(RAND(),INPUTS!$B$28,INPUTS!$B$29))))</f>
        <v>0</v>
      </c>
      <c r="AG168" s="85" t="n">
        <f aca="true">IF(AG$5=0,AF168,MAX(0,(AF168-AG$4)*(1+NORMINV(RAND(),INPUTS!$B$28,INPUTS!$B$29))))</f>
        <v>0</v>
      </c>
      <c r="AH168" s="85" t="n">
        <f aca="true">IF(AH$5=0,AG168,MAX(0,(AG168-AH$4)*(1+NORMINV(RAND(),INPUTS!$B$28,INPUTS!$B$29))))</f>
        <v>0</v>
      </c>
      <c r="AI168" s="85" t="n">
        <f aca="true">IF(AI$5=0,AH168,MAX(0,(AH168-AI$4)*(1+NORMINV(RAND(),INPUTS!$B$28,INPUTS!$B$29))))</f>
        <v>0</v>
      </c>
      <c r="AJ168" s="85" t="n">
        <f aca="true">IF(AJ$5=0,AI168,MAX(0,(AI168-AJ$4)*(1+NORMINV(RAND(),INPUTS!$B$28,INPUTS!$B$29))))</f>
        <v>0</v>
      </c>
      <c r="AK168" s="85" t="n">
        <f aca="true">IF(AK$5=0,AJ168,MAX(0,(AJ168-AK$4)*(1+NORMINV(RAND(),INPUTS!$B$28,INPUTS!$B$29))))</f>
        <v>0</v>
      </c>
      <c r="AL168" s="85" t="n">
        <f aca="true">IF(AL$5=0,AK168,MAX(0,(AK168-AL$4)*(1+NORMINV(RAND(),INPUTS!$B$28,INPUTS!$B$29))))</f>
        <v>0</v>
      </c>
      <c r="AM168" s="85" t="n">
        <f aca="true">IF(AM$5=0,AL168,MAX(0,(AL168-AM$4)*(1+NORMINV(RAND(),INPUTS!$B$28,INPUTS!$B$29))))</f>
        <v>0</v>
      </c>
      <c r="AN168" s="85" t="n">
        <f aca="true">IF(AN$5=0,AM168,MAX(0,(AM168-AN$4)*(1+NORMINV(RAND(),INPUTS!$B$28,INPUTS!$B$29))))</f>
        <v>0</v>
      </c>
      <c r="AO168" s="85" t="n">
        <f aca="true">IF(AO$5=0,AN168,MAX(0,(AN168-AO$4)*(1+NORMINV(RAND(),INPUTS!$B$28,INPUTS!$B$29))))</f>
        <v>0</v>
      </c>
      <c r="AP168" s="85" t="n">
        <f aca="true">IF(AP$5=0,AO168,MAX(0,(AO168-AP$4)*(1+NORMINV(RAND(),INPUTS!$B$28,INPUTS!$B$29))))</f>
        <v>0</v>
      </c>
    </row>
    <row r="169" customFormat="false" ht="15" hidden="false" customHeight="true" outlineLevel="0" collapsed="false">
      <c r="A169" s="83" t="n">
        <v>162</v>
      </c>
      <c r="B169" s="84" t="n">
        <f aca="false">LOOKUP(9.99E+307,C169:AP169)</f>
        <v>0</v>
      </c>
      <c r="C169" s="85" t="n">
        <f aca="true">IF(C$5=0,INPUTS!$B$19,MAX(0,(INPUTS!$B$19-C$4)*(1+NORMINV(RAND(),INPUTS!$B$28,INPUTS!$B$29))))</f>
        <v>1224748.65950098</v>
      </c>
      <c r="D169" s="85" t="n">
        <f aca="true">IF(D$5=0,C169,MAX(0,(C169-D$4)*(1+NORMINV(RAND(),INPUTS!$B$28,INPUTS!$B$29))))</f>
        <v>1428207.32005371</v>
      </c>
      <c r="E169" s="85" t="n">
        <f aca="true">IF(E$5=0,D169,MAX(0,(D169-E$4)*(1+NORMINV(RAND(),INPUTS!$B$28,INPUTS!$B$29))))</f>
        <v>1716099.47561391</v>
      </c>
      <c r="F169" s="85" t="n">
        <f aca="true">IF(F$5=0,E169,MAX(0,(E169-F$4)*(1+NORMINV(RAND(),INPUTS!$B$28,INPUTS!$B$29))))</f>
        <v>1839297.40013332</v>
      </c>
      <c r="G169" s="85" t="n">
        <f aca="true">IF(G$5=0,F169,MAX(0,(F169-G$4)*(1+NORMINV(RAND(),INPUTS!$B$28,INPUTS!$B$29))))</f>
        <v>1456659.24099161</v>
      </c>
      <c r="H169" s="85" t="n">
        <f aca="true">IF(H$5=0,G169,MAX(0,(G169-H$4)*(1+NORMINV(RAND(),INPUTS!$B$28,INPUTS!$B$29))))</f>
        <v>1520980.11010915</v>
      </c>
      <c r="I169" s="85" t="n">
        <f aca="true">IF(I$5=0,H169,MAX(0,(H169-I$4)*(1+NORMINV(RAND(),INPUTS!$B$28,INPUTS!$B$29))))</f>
        <v>1398709.09768395</v>
      </c>
      <c r="J169" s="85" t="n">
        <f aca="true">IF(J$5=0,I169,MAX(0,(I169-J$4)*(1+NORMINV(RAND(),INPUTS!$B$28,INPUTS!$B$29))))</f>
        <v>1493214.42096048</v>
      </c>
      <c r="K169" s="85" t="n">
        <f aca="true">IF(K$5=0,J169,MAX(0,(J169-K$4)*(1+NORMINV(RAND(),INPUTS!$B$28,INPUTS!$B$29))))</f>
        <v>1299968.68401886</v>
      </c>
      <c r="L169" s="85" t="n">
        <f aca="true">IF(L$5=0,K169,MAX(0,(K169-L$4)*(1+NORMINV(RAND(),INPUTS!$B$28,INPUTS!$B$29))))</f>
        <v>1172801.19598292</v>
      </c>
      <c r="M169" s="85" t="n">
        <f aca="true">IF(M$5=0,L169,MAX(0,(L169-M$4)*(1+NORMINV(RAND(),INPUTS!$B$28,INPUTS!$B$29))))</f>
        <v>1146443.4854026</v>
      </c>
      <c r="N169" s="85" t="n">
        <f aca="true">IF(N$5=0,M169,MAX(0,(M169-N$4)*(1+NORMINV(RAND(),INPUTS!$B$28,INPUTS!$B$29))))</f>
        <v>1177640.53557903</v>
      </c>
      <c r="O169" s="85" t="n">
        <f aca="true">IF(O$5=0,N169,MAX(0,(N169-O$4)*(1+NORMINV(RAND(),INPUTS!$B$28,INPUTS!$B$29))))</f>
        <v>980859.405417898</v>
      </c>
      <c r="P169" s="85" t="n">
        <f aca="true">IF(P$5=0,O169,MAX(0,(O169-P$4)*(1+NORMINV(RAND(),INPUTS!$B$28,INPUTS!$B$29))))</f>
        <v>1029609.13577685</v>
      </c>
      <c r="Q169" s="85" t="n">
        <f aca="true">IF(Q$5=0,P169,MAX(0,(P169-Q$4)*(1+NORMINV(RAND(),INPUTS!$B$28,INPUTS!$B$29))))</f>
        <v>949275.754656593</v>
      </c>
      <c r="R169" s="85" t="n">
        <f aca="true">IF(R$5=0,Q169,MAX(0,(Q169-R$4)*(1+NORMINV(RAND(),INPUTS!$B$28,INPUTS!$B$29))))</f>
        <v>748994.630461078</v>
      </c>
      <c r="S169" s="85" t="n">
        <f aca="true">IF(S$5=0,R169,MAX(0,(R169-S$4)*(1+NORMINV(RAND(),INPUTS!$B$28,INPUTS!$B$29))))</f>
        <v>858095.594915468</v>
      </c>
      <c r="T169" s="85" t="n">
        <f aca="true">IF(T$5=0,S169,MAX(0,(S169-T$4)*(1+NORMINV(RAND(),INPUTS!$B$28,INPUTS!$B$29))))</f>
        <v>895998.750803411</v>
      </c>
      <c r="U169" s="85" t="n">
        <f aca="true">IF(U$5=0,T169,MAX(0,(T169-U$4)*(1+NORMINV(RAND(),INPUTS!$B$28,INPUTS!$B$29))))</f>
        <v>758974.206586571</v>
      </c>
      <c r="V169" s="85" t="n">
        <f aca="true">IF(V$5=0,U169,MAX(0,(U169-V$4)*(1+NORMINV(RAND(),INPUTS!$B$28,INPUTS!$B$29))))</f>
        <v>587556.776666298</v>
      </c>
      <c r="W169" s="85" t="n">
        <f aca="true">IF(W$5=0,V169,MAX(0,(V169-W$4)*(1+NORMINV(RAND(),INPUTS!$B$28,INPUTS!$B$29))))</f>
        <v>549959.830994726</v>
      </c>
      <c r="X169" s="85" t="n">
        <f aca="true">IF(X$5=0,W169,MAX(0,(W169-X$4)*(1+NORMINV(RAND(),INPUTS!$B$28,INPUTS!$B$29))))</f>
        <v>552961.866132277</v>
      </c>
      <c r="Y169" s="85" t="n">
        <f aca="true">IF(Y$5=0,X169,MAX(0,(X169-Y$4)*(1+NORMINV(RAND(),INPUTS!$B$28,INPUTS!$B$29))))</f>
        <v>459304.370474228</v>
      </c>
      <c r="Z169" s="85" t="n">
        <f aca="true">IF(Z$5=0,Y169,MAX(0,(Y169-Z$4)*(1+NORMINV(RAND(),INPUTS!$B$28,INPUTS!$B$29))))</f>
        <v>429926.657499399</v>
      </c>
      <c r="AA169" s="85" t="n">
        <f aca="true">IF(AA$5=0,Z169,MAX(0,(Z169-AA$4)*(1+NORMINV(RAND(),INPUTS!$B$28,INPUTS!$B$29))))</f>
        <v>386583.861752465</v>
      </c>
      <c r="AB169" s="85" t="n">
        <f aca="true">IF(AB$5=0,AA169,MAX(0,(AA169-AB$4)*(1+NORMINV(RAND(),INPUTS!$B$28,INPUTS!$B$29))))</f>
        <v>327017.846207729</v>
      </c>
      <c r="AC169" s="85" t="n">
        <f aca="true">IF(AC$5=0,AB169,MAX(0,(AB169-AC$4)*(1+NORMINV(RAND(),INPUTS!$B$28,INPUTS!$B$29))))</f>
        <v>313547.452436042</v>
      </c>
      <c r="AD169" s="85" t="n">
        <f aca="true">IF(AD$5=0,AC169,MAX(0,(AC169-AD$4)*(1+NORMINV(RAND(),INPUTS!$B$28,INPUTS!$B$29))))</f>
        <v>255426.460471723</v>
      </c>
      <c r="AE169" s="85" t="n">
        <f aca="true">IF(AE$5=0,AD169,MAX(0,(AD169-AE$4)*(1+NORMINV(RAND(),INPUTS!$B$28,INPUTS!$B$29))))</f>
        <v>231559.848845514</v>
      </c>
      <c r="AF169" s="85" t="n">
        <f aca="true">IF(AF$5=0,AE169,MAX(0,(AE169-AF$4)*(1+NORMINV(RAND(),INPUTS!$B$28,INPUTS!$B$29))))</f>
        <v>189874.441234142</v>
      </c>
      <c r="AG169" s="85" t="n">
        <f aca="true">IF(AG$5=0,AF169,MAX(0,(AF169-AG$4)*(1+NORMINV(RAND(),INPUTS!$B$28,INPUTS!$B$29))))</f>
        <v>127950.576262754</v>
      </c>
      <c r="AH169" s="85" t="n">
        <f aca="true">IF(AH$5=0,AG169,MAX(0,(AG169-AH$4)*(1+NORMINV(RAND(),INPUTS!$B$28,INPUTS!$B$29))))</f>
        <v>55842.5946471408</v>
      </c>
      <c r="AI169" s="85" t="n">
        <f aca="true">IF(AI$5=0,AH169,MAX(0,(AH169-AI$4)*(1+NORMINV(RAND(),INPUTS!$B$28,INPUTS!$B$29))))</f>
        <v>0</v>
      </c>
      <c r="AJ169" s="85" t="n">
        <f aca="true">IF(AJ$5=0,AI169,MAX(0,(AI169-AJ$4)*(1+NORMINV(RAND(),INPUTS!$B$28,INPUTS!$B$29))))</f>
        <v>0</v>
      </c>
      <c r="AK169" s="85" t="n">
        <f aca="true">IF(AK$5=0,AJ169,MAX(0,(AJ169-AK$4)*(1+NORMINV(RAND(),INPUTS!$B$28,INPUTS!$B$29))))</f>
        <v>0</v>
      </c>
      <c r="AL169" s="85" t="n">
        <f aca="true">IF(AL$5=0,AK169,MAX(0,(AK169-AL$4)*(1+NORMINV(RAND(),INPUTS!$B$28,INPUTS!$B$29))))</f>
        <v>0</v>
      </c>
      <c r="AM169" s="85" t="n">
        <f aca="true">IF(AM$5=0,AL169,MAX(0,(AL169-AM$4)*(1+NORMINV(RAND(),INPUTS!$B$28,INPUTS!$B$29))))</f>
        <v>0</v>
      </c>
      <c r="AN169" s="85" t="n">
        <f aca="true">IF(AN$5=0,AM169,MAX(0,(AM169-AN$4)*(1+NORMINV(RAND(),INPUTS!$B$28,INPUTS!$B$29))))</f>
        <v>0</v>
      </c>
      <c r="AO169" s="85" t="n">
        <f aca="true">IF(AO$5=0,AN169,MAX(0,(AN169-AO$4)*(1+NORMINV(RAND(),INPUTS!$B$28,INPUTS!$B$29))))</f>
        <v>0</v>
      </c>
      <c r="AP169" s="85" t="n">
        <f aca="true">IF(AP$5=0,AO169,MAX(0,(AO169-AP$4)*(1+NORMINV(RAND(),INPUTS!$B$28,INPUTS!$B$29))))</f>
        <v>0</v>
      </c>
    </row>
    <row r="170" customFormat="false" ht="15" hidden="false" customHeight="true" outlineLevel="0" collapsed="false">
      <c r="A170" s="83" t="n">
        <v>163</v>
      </c>
      <c r="B170" s="84" t="n">
        <f aca="false">LOOKUP(9.99E+307,C170:AP170)</f>
        <v>0</v>
      </c>
      <c r="C170" s="85" t="n">
        <f aca="true">IF(C$5=0,INPUTS!$B$19,MAX(0,(INPUTS!$B$19-C$4)*(1+NORMINV(RAND(),INPUTS!$B$28,INPUTS!$B$29))))</f>
        <v>968784.504401887</v>
      </c>
      <c r="D170" s="85" t="n">
        <f aca="true">IF(D$5=0,C170,MAX(0,(C170-D$4)*(1+NORMINV(RAND(),INPUTS!$B$28,INPUTS!$B$29))))</f>
        <v>796071.219838991</v>
      </c>
      <c r="E170" s="85" t="n">
        <f aca="true">IF(E$5=0,D170,MAX(0,(D170-E$4)*(1+NORMINV(RAND(),INPUTS!$B$28,INPUTS!$B$29))))</f>
        <v>797496.182379396</v>
      </c>
      <c r="F170" s="85" t="n">
        <f aca="true">IF(F$5=0,E170,MAX(0,(E170-F$4)*(1+NORMINV(RAND(),INPUTS!$B$28,INPUTS!$B$29))))</f>
        <v>845557.794657767</v>
      </c>
      <c r="G170" s="85" t="n">
        <f aca="true">IF(G$5=0,F170,MAX(0,(F170-G$4)*(1+NORMINV(RAND(),INPUTS!$B$28,INPUTS!$B$29))))</f>
        <v>817222.533859634</v>
      </c>
      <c r="H170" s="85" t="n">
        <f aca="true">IF(H$5=0,G170,MAX(0,(G170-H$4)*(1+NORMINV(RAND(),INPUTS!$B$28,INPUTS!$B$29))))</f>
        <v>805785.545965391</v>
      </c>
      <c r="I170" s="85" t="n">
        <f aca="true">IF(I$5=0,H170,MAX(0,(H170-I$4)*(1+NORMINV(RAND(),INPUTS!$B$28,INPUTS!$B$29))))</f>
        <v>755448.146177662</v>
      </c>
      <c r="J170" s="85" t="n">
        <f aca="true">IF(J$5=0,I170,MAX(0,(I170-J$4)*(1+NORMINV(RAND(),INPUTS!$B$28,INPUTS!$B$29))))</f>
        <v>656637.830473473</v>
      </c>
      <c r="K170" s="85" t="n">
        <f aca="true">IF(K$5=0,J170,MAX(0,(J170-K$4)*(1+NORMINV(RAND(),INPUTS!$B$28,INPUTS!$B$29))))</f>
        <v>640847.325313202</v>
      </c>
      <c r="L170" s="85" t="n">
        <f aca="true">IF(L$5=0,K170,MAX(0,(K170-L$4)*(1+NORMINV(RAND(),INPUTS!$B$28,INPUTS!$B$29))))</f>
        <v>630640.87886112</v>
      </c>
      <c r="M170" s="85" t="n">
        <f aca="true">IF(M$5=0,L170,MAX(0,(L170-M$4)*(1+NORMINV(RAND(),INPUTS!$B$28,INPUTS!$B$29))))</f>
        <v>563227.756512689</v>
      </c>
      <c r="N170" s="85" t="n">
        <f aca="true">IF(N$5=0,M170,MAX(0,(M170-N$4)*(1+NORMINV(RAND(),INPUTS!$B$28,INPUTS!$B$29))))</f>
        <v>600242.330564274</v>
      </c>
      <c r="O170" s="85" t="n">
        <f aca="true">IF(O$5=0,N170,MAX(0,(N170-O$4)*(1+NORMINV(RAND(),INPUTS!$B$28,INPUTS!$B$29))))</f>
        <v>574087.621100527</v>
      </c>
      <c r="P170" s="85" t="n">
        <f aca="true">IF(P$5=0,O170,MAX(0,(O170-P$4)*(1+NORMINV(RAND(),INPUTS!$B$28,INPUTS!$B$29))))</f>
        <v>596274.732747014</v>
      </c>
      <c r="Q170" s="85" t="n">
        <f aca="true">IF(Q$5=0,P170,MAX(0,(P170-Q$4)*(1+NORMINV(RAND(),INPUTS!$B$28,INPUTS!$B$29))))</f>
        <v>554866.295376722</v>
      </c>
      <c r="R170" s="85" t="n">
        <f aca="true">IF(R$5=0,Q170,MAX(0,(Q170-R$4)*(1+NORMINV(RAND(),INPUTS!$B$28,INPUTS!$B$29))))</f>
        <v>598592.82974022</v>
      </c>
      <c r="S170" s="85" t="n">
        <f aca="true">IF(S$5=0,R170,MAX(0,(R170-S$4)*(1+NORMINV(RAND(),INPUTS!$B$28,INPUTS!$B$29))))</f>
        <v>667573.403252989</v>
      </c>
      <c r="T170" s="85" t="n">
        <f aca="true">IF(T$5=0,S170,MAX(0,(S170-T$4)*(1+NORMINV(RAND(),INPUTS!$B$28,INPUTS!$B$29))))</f>
        <v>651557.073263756</v>
      </c>
      <c r="U170" s="85" t="n">
        <f aca="true">IF(U$5=0,T170,MAX(0,(T170-U$4)*(1+NORMINV(RAND(),INPUTS!$B$28,INPUTS!$B$29))))</f>
        <v>681668.933520968</v>
      </c>
      <c r="V170" s="85" t="n">
        <f aca="true">IF(V$5=0,U170,MAX(0,(U170-V$4)*(1+NORMINV(RAND(),INPUTS!$B$28,INPUTS!$B$29))))</f>
        <v>538302.783081266</v>
      </c>
      <c r="W170" s="85" t="n">
        <f aca="true">IF(W$5=0,V170,MAX(0,(V170-W$4)*(1+NORMINV(RAND(),INPUTS!$B$28,INPUTS!$B$29))))</f>
        <v>386339.237665309</v>
      </c>
      <c r="X170" s="85" t="n">
        <f aca="true">IF(X$5=0,W170,MAX(0,(W170-X$4)*(1+NORMINV(RAND(),INPUTS!$B$28,INPUTS!$B$29))))</f>
        <v>405423.319138151</v>
      </c>
      <c r="Y170" s="85" t="n">
        <f aca="true">IF(Y$5=0,X170,MAX(0,(X170-Y$4)*(1+NORMINV(RAND(),INPUTS!$B$28,INPUTS!$B$29))))</f>
        <v>312019.895396498</v>
      </c>
      <c r="Z170" s="85" t="n">
        <f aca="true">IF(Z$5=0,Y170,MAX(0,(Y170-Z$4)*(1+NORMINV(RAND(),INPUTS!$B$28,INPUTS!$B$29))))</f>
        <v>287341.158424208</v>
      </c>
      <c r="AA170" s="85" t="n">
        <f aca="true">IF(AA$5=0,Z170,MAX(0,(Z170-AA$4)*(1+NORMINV(RAND(),INPUTS!$B$28,INPUTS!$B$29))))</f>
        <v>235090.738551313</v>
      </c>
      <c r="AB170" s="85" t="n">
        <f aca="true">IF(AB$5=0,AA170,MAX(0,(AA170-AB$4)*(1+NORMINV(RAND(),INPUTS!$B$28,INPUTS!$B$29))))</f>
        <v>176655.007952464</v>
      </c>
      <c r="AC170" s="85" t="n">
        <f aca="true">IF(AC$5=0,AB170,MAX(0,(AB170-AC$4)*(1+NORMINV(RAND(),INPUTS!$B$28,INPUTS!$B$29))))</f>
        <v>93973.9228761361</v>
      </c>
      <c r="AD170" s="85" t="n">
        <f aca="true">IF(AD$5=0,AC170,MAX(0,(AC170-AD$4)*(1+NORMINV(RAND(),INPUTS!$B$28,INPUTS!$B$29))))</f>
        <v>33330.5407627311</v>
      </c>
      <c r="AE170" s="85" t="n">
        <f aca="true">IF(AE$5=0,AD170,MAX(0,(AD170-AE$4)*(1+NORMINV(RAND(),INPUTS!$B$28,INPUTS!$B$29))))</f>
        <v>0</v>
      </c>
      <c r="AF170" s="85" t="n">
        <f aca="true">IF(AF$5=0,AE170,MAX(0,(AE170-AF$4)*(1+NORMINV(RAND(),INPUTS!$B$28,INPUTS!$B$29))))</f>
        <v>0</v>
      </c>
      <c r="AG170" s="85" t="n">
        <f aca="true">IF(AG$5=0,AF170,MAX(0,(AF170-AG$4)*(1+NORMINV(RAND(),INPUTS!$B$28,INPUTS!$B$29))))</f>
        <v>0</v>
      </c>
      <c r="AH170" s="85" t="n">
        <f aca="true">IF(AH$5=0,AG170,MAX(0,(AG170-AH$4)*(1+NORMINV(RAND(),INPUTS!$B$28,INPUTS!$B$29))))</f>
        <v>0</v>
      </c>
      <c r="AI170" s="85" t="n">
        <f aca="true">IF(AI$5=0,AH170,MAX(0,(AH170-AI$4)*(1+NORMINV(RAND(),INPUTS!$B$28,INPUTS!$B$29))))</f>
        <v>0</v>
      </c>
      <c r="AJ170" s="85" t="n">
        <f aca="true">IF(AJ$5=0,AI170,MAX(0,(AI170-AJ$4)*(1+NORMINV(RAND(),INPUTS!$B$28,INPUTS!$B$29))))</f>
        <v>0</v>
      </c>
      <c r="AK170" s="85" t="n">
        <f aca="true">IF(AK$5=0,AJ170,MAX(0,(AJ170-AK$4)*(1+NORMINV(RAND(),INPUTS!$B$28,INPUTS!$B$29))))</f>
        <v>0</v>
      </c>
      <c r="AL170" s="85" t="n">
        <f aca="true">IF(AL$5=0,AK170,MAX(0,(AK170-AL$4)*(1+NORMINV(RAND(),INPUTS!$B$28,INPUTS!$B$29))))</f>
        <v>0</v>
      </c>
      <c r="AM170" s="85" t="n">
        <f aca="true">IF(AM$5=0,AL170,MAX(0,(AL170-AM$4)*(1+NORMINV(RAND(),INPUTS!$B$28,INPUTS!$B$29))))</f>
        <v>0</v>
      </c>
      <c r="AN170" s="85" t="n">
        <f aca="true">IF(AN$5=0,AM170,MAX(0,(AM170-AN$4)*(1+NORMINV(RAND(),INPUTS!$B$28,INPUTS!$B$29))))</f>
        <v>0</v>
      </c>
      <c r="AO170" s="85" t="n">
        <f aca="true">IF(AO$5=0,AN170,MAX(0,(AN170-AO$4)*(1+NORMINV(RAND(),INPUTS!$B$28,INPUTS!$B$29))))</f>
        <v>0</v>
      </c>
      <c r="AP170" s="85" t="n">
        <f aca="true">IF(AP$5=0,AO170,MAX(0,(AO170-AP$4)*(1+NORMINV(RAND(),INPUTS!$B$28,INPUTS!$B$29))))</f>
        <v>0</v>
      </c>
    </row>
    <row r="171" customFormat="false" ht="15" hidden="false" customHeight="true" outlineLevel="0" collapsed="false">
      <c r="A171" s="83" t="n">
        <v>164</v>
      </c>
      <c r="B171" s="84" t="n">
        <f aca="false">LOOKUP(9.99E+307,C171:AP171)</f>
        <v>4461867.93885842</v>
      </c>
      <c r="C171" s="85" t="n">
        <f aca="true">IF(C$5=0,INPUTS!$B$19,MAX(0,(INPUTS!$B$19-C$4)*(1+NORMINV(RAND(),INPUTS!$B$28,INPUTS!$B$29))))</f>
        <v>1412765.67551771</v>
      </c>
      <c r="D171" s="85" t="n">
        <f aca="true">IF(D$5=0,C171,MAX(0,(C171-D$4)*(1+NORMINV(RAND(),INPUTS!$B$28,INPUTS!$B$29))))</f>
        <v>1571393.72832039</v>
      </c>
      <c r="E171" s="85" t="n">
        <f aca="true">IF(E$5=0,D171,MAX(0,(D171-E$4)*(1+NORMINV(RAND(),INPUTS!$B$28,INPUTS!$B$29))))</f>
        <v>1311347.6247691</v>
      </c>
      <c r="F171" s="85" t="n">
        <f aca="true">IF(F$5=0,E171,MAX(0,(E171-F$4)*(1+NORMINV(RAND(),INPUTS!$B$28,INPUTS!$B$29))))</f>
        <v>1339201.53691356</v>
      </c>
      <c r="G171" s="85" t="n">
        <f aca="true">IF(G$5=0,F171,MAX(0,(F171-G$4)*(1+NORMINV(RAND(),INPUTS!$B$28,INPUTS!$B$29))))</f>
        <v>1784377.14617118</v>
      </c>
      <c r="H171" s="85" t="n">
        <f aca="true">IF(H$5=0,G171,MAX(0,(G171-H$4)*(1+NORMINV(RAND(),INPUTS!$B$28,INPUTS!$B$29))))</f>
        <v>1488495.71523825</v>
      </c>
      <c r="I171" s="85" t="n">
        <f aca="true">IF(I$5=0,H171,MAX(0,(H171-I$4)*(1+NORMINV(RAND(),INPUTS!$B$28,INPUTS!$B$29))))</f>
        <v>1507801.76052656</v>
      </c>
      <c r="J171" s="85" t="n">
        <f aca="true">IF(J$5=0,I171,MAX(0,(I171-J$4)*(1+NORMINV(RAND(),INPUTS!$B$28,INPUTS!$B$29))))</f>
        <v>1420226.47379977</v>
      </c>
      <c r="K171" s="85" t="n">
        <f aca="true">IF(K$5=0,J171,MAX(0,(J171-K$4)*(1+NORMINV(RAND(),INPUTS!$B$28,INPUTS!$B$29))))</f>
        <v>1434527.72372783</v>
      </c>
      <c r="L171" s="85" t="n">
        <f aca="true">IF(L$5=0,K171,MAX(0,(K171-L$4)*(1+NORMINV(RAND(),INPUTS!$B$28,INPUTS!$B$29))))</f>
        <v>1679511.38197637</v>
      </c>
      <c r="M171" s="85" t="n">
        <f aca="true">IF(M$5=0,L171,MAX(0,(L171-M$4)*(1+NORMINV(RAND(),INPUTS!$B$28,INPUTS!$B$29))))</f>
        <v>1716262.67638099</v>
      </c>
      <c r="N171" s="85" t="n">
        <f aca="true">IF(N$5=0,M171,MAX(0,(M171-N$4)*(1+NORMINV(RAND(),INPUTS!$B$28,INPUTS!$B$29))))</f>
        <v>1682813.65730883</v>
      </c>
      <c r="O171" s="85" t="n">
        <f aca="true">IF(O$5=0,N171,MAX(0,(N171-O$4)*(1+NORMINV(RAND(),INPUTS!$B$28,INPUTS!$B$29))))</f>
        <v>1880239.96194238</v>
      </c>
      <c r="P171" s="85" t="n">
        <f aca="true">IF(P$5=0,O171,MAX(0,(O171-P$4)*(1+NORMINV(RAND(),INPUTS!$B$28,INPUTS!$B$29))))</f>
        <v>1874181.67481056</v>
      </c>
      <c r="Q171" s="85" t="n">
        <f aca="true">IF(Q$5=0,P171,MAX(0,(P171-Q$4)*(1+NORMINV(RAND(),INPUTS!$B$28,INPUTS!$B$29))))</f>
        <v>2020346.12034533</v>
      </c>
      <c r="R171" s="85" t="n">
        <f aca="true">IF(R$5=0,Q171,MAX(0,(Q171-R$4)*(1+NORMINV(RAND(),INPUTS!$B$28,INPUTS!$B$29))))</f>
        <v>2244477.72905806</v>
      </c>
      <c r="S171" s="85" t="n">
        <f aca="true">IF(S$5=0,R171,MAX(0,(R171-S$4)*(1+NORMINV(RAND(),INPUTS!$B$28,INPUTS!$B$29))))</f>
        <v>2408218.91555696</v>
      </c>
      <c r="T171" s="85" t="n">
        <f aca="true">IF(T$5=0,S171,MAX(0,(S171-T$4)*(1+NORMINV(RAND(),INPUTS!$B$28,INPUTS!$B$29))))</f>
        <v>2402209.17298291</v>
      </c>
      <c r="U171" s="85" t="n">
        <f aca="true">IF(U$5=0,T171,MAX(0,(T171-U$4)*(1+NORMINV(RAND(),INPUTS!$B$28,INPUTS!$B$29))))</f>
        <v>2459188.37204967</v>
      </c>
      <c r="V171" s="85" t="n">
        <f aca="true">IF(V$5=0,U171,MAX(0,(U171-V$4)*(1+NORMINV(RAND(),INPUTS!$B$28,INPUTS!$B$29))))</f>
        <v>2431954.21601289</v>
      </c>
      <c r="W171" s="85" t="n">
        <f aca="true">IF(W$5=0,V171,MAX(0,(V171-W$4)*(1+NORMINV(RAND(),INPUTS!$B$28,INPUTS!$B$29))))</f>
        <v>2465831.16699307</v>
      </c>
      <c r="X171" s="85" t="n">
        <f aca="true">IF(X$5=0,W171,MAX(0,(W171-X$4)*(1+NORMINV(RAND(),INPUTS!$B$28,INPUTS!$B$29))))</f>
        <v>2848184.50182482</v>
      </c>
      <c r="Y171" s="85" t="n">
        <f aca="true">IF(Y$5=0,X171,MAX(0,(X171-Y$4)*(1+NORMINV(RAND(),INPUTS!$B$28,INPUTS!$B$29))))</f>
        <v>3047571.45922315</v>
      </c>
      <c r="Z171" s="85" t="n">
        <f aca="true">IF(Z$5=0,Y171,MAX(0,(Y171-Z$4)*(1+NORMINV(RAND(),INPUTS!$B$28,INPUTS!$B$29))))</f>
        <v>2731158.3482218</v>
      </c>
      <c r="AA171" s="85" t="n">
        <f aca="true">IF(AA$5=0,Z171,MAX(0,(Z171-AA$4)*(1+NORMINV(RAND(),INPUTS!$B$28,INPUTS!$B$29))))</f>
        <v>3173870.77807049</v>
      </c>
      <c r="AB171" s="85" t="n">
        <f aca="true">IF(AB$5=0,AA171,MAX(0,(AA171-AB$4)*(1+NORMINV(RAND(),INPUTS!$B$28,INPUTS!$B$29))))</f>
        <v>3286697.21258496</v>
      </c>
      <c r="AC171" s="85" t="n">
        <f aca="true">IF(AC$5=0,AB171,MAX(0,(AB171-AC$4)*(1+NORMINV(RAND(),INPUTS!$B$28,INPUTS!$B$29))))</f>
        <v>3433818.07349356</v>
      </c>
      <c r="AD171" s="85" t="n">
        <f aca="true">IF(AD$5=0,AC171,MAX(0,(AC171-AD$4)*(1+NORMINV(RAND(),INPUTS!$B$28,INPUTS!$B$29))))</f>
        <v>2825621.78390963</v>
      </c>
      <c r="AE171" s="85" t="n">
        <f aca="true">IF(AE$5=0,AD171,MAX(0,(AD171-AE$4)*(1+NORMINV(RAND(),INPUTS!$B$28,INPUTS!$B$29))))</f>
        <v>3036775.79523423</v>
      </c>
      <c r="AF171" s="85" t="n">
        <f aca="true">IF(AF$5=0,AE171,MAX(0,(AE171-AF$4)*(1+NORMINV(RAND(),INPUTS!$B$28,INPUTS!$B$29))))</f>
        <v>3228246.64269746</v>
      </c>
      <c r="AG171" s="85" t="n">
        <f aca="true">IF(AG$5=0,AF171,MAX(0,(AF171-AG$4)*(1+NORMINV(RAND(),INPUTS!$B$28,INPUTS!$B$29))))</f>
        <v>3462279.23202909</v>
      </c>
      <c r="AH171" s="85" t="n">
        <f aca="true">IF(AH$5=0,AG171,MAX(0,(AG171-AH$4)*(1+NORMINV(RAND(),INPUTS!$B$28,INPUTS!$B$29))))</f>
        <v>3192176.51505303</v>
      </c>
      <c r="AI171" s="85" t="n">
        <f aca="true">IF(AI$5=0,AH171,MAX(0,(AH171-AI$4)*(1+NORMINV(RAND(),INPUTS!$B$28,INPUTS!$B$29))))</f>
        <v>3814231.5872526</v>
      </c>
      <c r="AJ171" s="85" t="n">
        <f aca="true">IF(AJ$5=0,AI171,MAX(0,(AI171-AJ$4)*(1+NORMINV(RAND(),INPUTS!$B$28,INPUTS!$B$29))))</f>
        <v>4129549.57023276</v>
      </c>
      <c r="AK171" s="85" t="n">
        <f aca="true">IF(AK$5=0,AJ171,MAX(0,(AJ171-AK$4)*(1+NORMINV(RAND(),INPUTS!$B$28,INPUTS!$B$29))))</f>
        <v>4451690.40077591</v>
      </c>
      <c r="AL171" s="85" t="n">
        <f aca="true">IF(AL$5=0,AK171,MAX(0,(AK171-AL$4)*(1+NORMINV(RAND(),INPUTS!$B$28,INPUTS!$B$29))))</f>
        <v>4461867.93885842</v>
      </c>
      <c r="AM171" s="85" t="n">
        <f aca="true">IF(AM$5=0,AL171,MAX(0,(AL171-AM$4)*(1+NORMINV(RAND(),INPUTS!$B$28,INPUTS!$B$29))))</f>
        <v>4461867.93885842</v>
      </c>
      <c r="AN171" s="85" t="n">
        <f aca="true">IF(AN$5=0,AM171,MAX(0,(AM171-AN$4)*(1+NORMINV(RAND(),INPUTS!$B$28,INPUTS!$B$29))))</f>
        <v>4461867.93885842</v>
      </c>
      <c r="AO171" s="85" t="n">
        <f aca="true">IF(AO$5=0,AN171,MAX(0,(AN171-AO$4)*(1+NORMINV(RAND(),INPUTS!$B$28,INPUTS!$B$29))))</f>
        <v>4461867.93885842</v>
      </c>
      <c r="AP171" s="85" t="n">
        <f aca="true">IF(AP$5=0,AO171,MAX(0,(AO171-AP$4)*(1+NORMINV(RAND(),INPUTS!$B$28,INPUTS!$B$29))))</f>
        <v>4461867.93885842</v>
      </c>
    </row>
    <row r="172" customFormat="false" ht="15" hidden="false" customHeight="true" outlineLevel="0" collapsed="false">
      <c r="A172" s="83" t="n">
        <v>165</v>
      </c>
      <c r="B172" s="84" t="n">
        <f aca="false">LOOKUP(9.99E+307,C172:AP172)</f>
        <v>0</v>
      </c>
      <c r="C172" s="85" t="n">
        <f aca="true">IF(C$5=0,INPUTS!$B$19,MAX(0,(INPUTS!$B$19-C$4)*(1+NORMINV(RAND(),INPUTS!$B$28,INPUTS!$B$29))))</f>
        <v>1184915.1978528</v>
      </c>
      <c r="D172" s="85" t="n">
        <f aca="true">IF(D$5=0,C172,MAX(0,(C172-D$4)*(1+NORMINV(RAND(),INPUTS!$B$28,INPUTS!$B$29))))</f>
        <v>1138487.66445434</v>
      </c>
      <c r="E172" s="85" t="n">
        <f aca="true">IF(E$5=0,D172,MAX(0,(D172-E$4)*(1+NORMINV(RAND(),INPUTS!$B$28,INPUTS!$B$29))))</f>
        <v>916493.231931783</v>
      </c>
      <c r="F172" s="85" t="n">
        <f aca="true">IF(F$5=0,E172,MAX(0,(E172-F$4)*(1+NORMINV(RAND(),INPUTS!$B$28,INPUTS!$B$29))))</f>
        <v>970131.616293065</v>
      </c>
      <c r="G172" s="85" t="n">
        <f aca="true">IF(G$5=0,F172,MAX(0,(F172-G$4)*(1+NORMINV(RAND(),INPUTS!$B$28,INPUTS!$B$29))))</f>
        <v>1055555.89747803</v>
      </c>
      <c r="H172" s="85" t="n">
        <f aca="true">IF(H$5=0,G172,MAX(0,(G172-H$4)*(1+NORMINV(RAND(),INPUTS!$B$28,INPUTS!$B$29))))</f>
        <v>941937.121385368</v>
      </c>
      <c r="I172" s="85" t="n">
        <f aca="true">IF(I$5=0,H172,MAX(0,(H172-I$4)*(1+NORMINV(RAND(),INPUTS!$B$28,INPUTS!$B$29))))</f>
        <v>1002297.22624521</v>
      </c>
      <c r="J172" s="85" t="n">
        <f aca="true">IF(J$5=0,I172,MAX(0,(I172-J$4)*(1+NORMINV(RAND(),INPUTS!$B$28,INPUTS!$B$29))))</f>
        <v>1064624.18899979</v>
      </c>
      <c r="K172" s="85" t="n">
        <f aca="true">IF(K$5=0,J172,MAX(0,(J172-K$4)*(1+NORMINV(RAND(),INPUTS!$B$28,INPUTS!$B$29))))</f>
        <v>929828.544901557</v>
      </c>
      <c r="L172" s="85" t="n">
        <f aca="true">IF(L$5=0,K172,MAX(0,(K172-L$4)*(1+NORMINV(RAND(),INPUTS!$B$28,INPUTS!$B$29))))</f>
        <v>845917.686399646</v>
      </c>
      <c r="M172" s="85" t="n">
        <f aca="true">IF(M$5=0,L172,MAX(0,(L172-M$4)*(1+NORMINV(RAND(),INPUTS!$B$28,INPUTS!$B$29))))</f>
        <v>892416.613276597</v>
      </c>
      <c r="N172" s="85" t="n">
        <f aca="true">IF(N$5=0,M172,MAX(0,(M172-N$4)*(1+NORMINV(RAND(),INPUTS!$B$28,INPUTS!$B$29))))</f>
        <v>667108.397332454</v>
      </c>
      <c r="O172" s="85" t="n">
        <f aca="true">IF(O$5=0,N172,MAX(0,(N172-O$4)*(1+NORMINV(RAND(),INPUTS!$B$28,INPUTS!$B$29))))</f>
        <v>695310.915159263</v>
      </c>
      <c r="P172" s="85" t="n">
        <f aca="true">IF(P$5=0,O172,MAX(0,(O172-P$4)*(1+NORMINV(RAND(),INPUTS!$B$28,INPUTS!$B$29))))</f>
        <v>772032.857410893</v>
      </c>
      <c r="Q172" s="85" t="n">
        <f aca="true">IF(Q$5=0,P172,MAX(0,(P172-Q$4)*(1+NORMINV(RAND(),INPUTS!$B$28,INPUTS!$B$29))))</f>
        <v>771396.993912455</v>
      </c>
      <c r="R172" s="85" t="n">
        <f aca="true">IF(R$5=0,Q172,MAX(0,(Q172-R$4)*(1+NORMINV(RAND(),INPUTS!$B$28,INPUTS!$B$29))))</f>
        <v>706142.712813876</v>
      </c>
      <c r="S172" s="85" t="n">
        <f aca="true">IF(S$5=0,R172,MAX(0,(R172-S$4)*(1+NORMINV(RAND(),INPUTS!$B$28,INPUTS!$B$29))))</f>
        <v>641742.360557793</v>
      </c>
      <c r="T172" s="85" t="n">
        <f aca="true">IF(T$5=0,S172,MAX(0,(S172-T$4)*(1+NORMINV(RAND(),INPUTS!$B$28,INPUTS!$B$29))))</f>
        <v>628895.223119025</v>
      </c>
      <c r="U172" s="85" t="n">
        <f aca="true">IF(U$5=0,T172,MAX(0,(T172-U$4)*(1+NORMINV(RAND(),INPUTS!$B$28,INPUTS!$B$29))))</f>
        <v>622864.863726888</v>
      </c>
      <c r="V172" s="85" t="n">
        <f aca="true">IF(V$5=0,U172,MAX(0,(U172-V$4)*(1+NORMINV(RAND(),INPUTS!$B$28,INPUTS!$B$29))))</f>
        <v>568371.806883874</v>
      </c>
      <c r="W172" s="85" t="n">
        <f aca="true">IF(W$5=0,V172,MAX(0,(V172-W$4)*(1+NORMINV(RAND(),INPUTS!$B$28,INPUTS!$B$29))))</f>
        <v>510196.155043011</v>
      </c>
      <c r="X172" s="85" t="n">
        <f aca="true">IF(X$5=0,W172,MAX(0,(W172-X$4)*(1+NORMINV(RAND(),INPUTS!$B$28,INPUTS!$B$29))))</f>
        <v>511789.615746837</v>
      </c>
      <c r="Y172" s="85" t="n">
        <f aca="true">IF(Y$5=0,X172,MAX(0,(X172-Y$4)*(1+NORMINV(RAND(),INPUTS!$B$28,INPUTS!$B$29))))</f>
        <v>420808.673105912</v>
      </c>
      <c r="Z172" s="85" t="n">
        <f aca="true">IF(Z$5=0,Y172,MAX(0,(Y172-Z$4)*(1+NORMINV(RAND(),INPUTS!$B$28,INPUTS!$B$29))))</f>
        <v>331396.943302378</v>
      </c>
      <c r="AA172" s="85" t="n">
        <f aca="true">IF(AA$5=0,Z172,MAX(0,(Z172-AA$4)*(1+NORMINV(RAND(),INPUTS!$B$28,INPUTS!$B$29))))</f>
        <v>304331.608728146</v>
      </c>
      <c r="AB172" s="85" t="n">
        <f aca="true">IF(AB$5=0,AA172,MAX(0,(AA172-AB$4)*(1+NORMINV(RAND(),INPUTS!$B$28,INPUTS!$B$29))))</f>
        <v>274162.212791441</v>
      </c>
      <c r="AC172" s="85" t="n">
        <f aca="true">IF(AC$5=0,AB172,MAX(0,(AB172-AC$4)*(1+NORMINV(RAND(),INPUTS!$B$28,INPUTS!$B$29))))</f>
        <v>254679.942202944</v>
      </c>
      <c r="AD172" s="85" t="n">
        <f aca="true">IF(AD$5=0,AC172,MAX(0,(AC172-AD$4)*(1+NORMINV(RAND(),INPUTS!$B$28,INPUTS!$B$29))))</f>
        <v>185588.090448205</v>
      </c>
      <c r="AE172" s="85" t="n">
        <f aca="true">IF(AE$5=0,AD172,MAX(0,(AD172-AE$4)*(1+NORMINV(RAND(),INPUTS!$B$28,INPUTS!$B$29))))</f>
        <v>122029.360222409</v>
      </c>
      <c r="AF172" s="85" t="n">
        <f aca="true">IF(AF$5=0,AE172,MAX(0,(AE172-AF$4)*(1+NORMINV(RAND(),INPUTS!$B$28,INPUTS!$B$29))))</f>
        <v>56299.1946812402</v>
      </c>
      <c r="AG172" s="85" t="n">
        <f aca="true">IF(AG$5=0,AF172,MAX(0,(AF172-AG$4)*(1+NORMINV(RAND(),INPUTS!$B$28,INPUTS!$B$29))))</f>
        <v>0</v>
      </c>
      <c r="AH172" s="85" t="n">
        <f aca="true">IF(AH$5=0,AG172,MAX(0,(AG172-AH$4)*(1+NORMINV(RAND(),INPUTS!$B$28,INPUTS!$B$29))))</f>
        <v>0</v>
      </c>
      <c r="AI172" s="85" t="n">
        <f aca="true">IF(AI$5=0,AH172,MAX(0,(AH172-AI$4)*(1+NORMINV(RAND(),INPUTS!$B$28,INPUTS!$B$29))))</f>
        <v>0</v>
      </c>
      <c r="AJ172" s="85" t="n">
        <f aca="true">IF(AJ$5=0,AI172,MAX(0,(AI172-AJ$4)*(1+NORMINV(RAND(),INPUTS!$B$28,INPUTS!$B$29))))</f>
        <v>0</v>
      </c>
      <c r="AK172" s="85" t="n">
        <f aca="true">IF(AK$5=0,AJ172,MAX(0,(AJ172-AK$4)*(1+NORMINV(RAND(),INPUTS!$B$28,INPUTS!$B$29))))</f>
        <v>0</v>
      </c>
      <c r="AL172" s="85" t="n">
        <f aca="true">IF(AL$5=0,AK172,MAX(0,(AK172-AL$4)*(1+NORMINV(RAND(),INPUTS!$B$28,INPUTS!$B$29))))</f>
        <v>0</v>
      </c>
      <c r="AM172" s="85" t="n">
        <f aca="true">IF(AM$5=0,AL172,MAX(0,(AL172-AM$4)*(1+NORMINV(RAND(),INPUTS!$B$28,INPUTS!$B$29))))</f>
        <v>0</v>
      </c>
      <c r="AN172" s="85" t="n">
        <f aca="true">IF(AN$5=0,AM172,MAX(0,(AM172-AN$4)*(1+NORMINV(RAND(),INPUTS!$B$28,INPUTS!$B$29))))</f>
        <v>0</v>
      </c>
      <c r="AO172" s="85" t="n">
        <f aca="true">IF(AO$5=0,AN172,MAX(0,(AN172-AO$4)*(1+NORMINV(RAND(),INPUTS!$B$28,INPUTS!$B$29))))</f>
        <v>0</v>
      </c>
      <c r="AP172" s="85" t="n">
        <f aca="true">IF(AP$5=0,AO172,MAX(0,(AO172-AP$4)*(1+NORMINV(RAND(),INPUTS!$B$28,INPUTS!$B$29))))</f>
        <v>0</v>
      </c>
    </row>
    <row r="173" customFormat="false" ht="15" hidden="false" customHeight="true" outlineLevel="0" collapsed="false">
      <c r="A173" s="83" t="n">
        <v>166</v>
      </c>
      <c r="B173" s="84" t="n">
        <f aca="false">LOOKUP(9.99E+307,C173:AP173)</f>
        <v>7042481.66011322</v>
      </c>
      <c r="C173" s="85" t="n">
        <f aca="true">IF(C$5=0,INPUTS!$B$19,MAX(0,(INPUTS!$B$19-C$4)*(1+NORMINV(RAND(),INPUTS!$B$28,INPUTS!$B$29))))</f>
        <v>1261494.57357602</v>
      </c>
      <c r="D173" s="85" t="n">
        <f aca="true">IF(D$5=0,C173,MAX(0,(C173-D$4)*(1+NORMINV(RAND(),INPUTS!$B$28,INPUTS!$B$29))))</f>
        <v>1365078.19943609</v>
      </c>
      <c r="E173" s="85" t="n">
        <f aca="true">IF(E$5=0,D173,MAX(0,(D173-E$4)*(1+NORMINV(RAND(),INPUTS!$B$28,INPUTS!$B$29))))</f>
        <v>1610796.798362</v>
      </c>
      <c r="F173" s="85" t="n">
        <f aca="true">IF(F$5=0,E173,MAX(0,(E173-F$4)*(1+NORMINV(RAND(),INPUTS!$B$28,INPUTS!$B$29))))</f>
        <v>1537254.22245004</v>
      </c>
      <c r="G173" s="85" t="n">
        <f aca="true">IF(G$5=0,F173,MAX(0,(F173-G$4)*(1+NORMINV(RAND(),INPUTS!$B$28,INPUTS!$B$29))))</f>
        <v>1494274.05001751</v>
      </c>
      <c r="H173" s="85" t="n">
        <f aca="true">IF(H$5=0,G173,MAX(0,(G173-H$4)*(1+NORMINV(RAND(),INPUTS!$B$28,INPUTS!$B$29))))</f>
        <v>1413782.98339929</v>
      </c>
      <c r="I173" s="85" t="n">
        <f aca="true">IF(I$5=0,H173,MAX(0,(H173-I$4)*(1+NORMINV(RAND(),INPUTS!$B$28,INPUTS!$B$29))))</f>
        <v>1383181.87017653</v>
      </c>
      <c r="J173" s="85" t="n">
        <f aca="true">IF(J$5=0,I173,MAX(0,(I173-J$4)*(1+NORMINV(RAND(),INPUTS!$B$28,INPUTS!$B$29))))</f>
        <v>1585098.72200035</v>
      </c>
      <c r="K173" s="85" t="n">
        <f aca="true">IF(K$5=0,J173,MAX(0,(J173-K$4)*(1+NORMINV(RAND(),INPUTS!$B$28,INPUTS!$B$29))))</f>
        <v>1635978.90657898</v>
      </c>
      <c r="L173" s="85" t="n">
        <f aca="true">IF(L$5=0,K173,MAX(0,(K173-L$4)*(1+NORMINV(RAND(),INPUTS!$B$28,INPUTS!$B$29))))</f>
        <v>1758761.97853717</v>
      </c>
      <c r="M173" s="85" t="n">
        <f aca="true">IF(M$5=0,L173,MAX(0,(L173-M$4)*(1+NORMINV(RAND(),INPUTS!$B$28,INPUTS!$B$29))))</f>
        <v>2039648.22363809</v>
      </c>
      <c r="N173" s="85" t="n">
        <f aca="true">IF(N$5=0,M173,MAX(0,(M173-N$4)*(1+NORMINV(RAND(),INPUTS!$B$28,INPUTS!$B$29))))</f>
        <v>1943503.47928324</v>
      </c>
      <c r="O173" s="85" t="n">
        <f aca="true">IF(O$5=0,N173,MAX(0,(N173-O$4)*(1+NORMINV(RAND(),INPUTS!$B$28,INPUTS!$B$29))))</f>
        <v>2059756.32263858</v>
      </c>
      <c r="P173" s="85" t="n">
        <f aca="true">IF(P$5=0,O173,MAX(0,(O173-P$4)*(1+NORMINV(RAND(),INPUTS!$B$28,INPUTS!$B$29))))</f>
        <v>1788910.71393275</v>
      </c>
      <c r="Q173" s="85" t="n">
        <f aca="true">IF(Q$5=0,P173,MAX(0,(P173-Q$4)*(1+NORMINV(RAND(),INPUTS!$B$28,INPUTS!$B$29))))</f>
        <v>2185975.37479218</v>
      </c>
      <c r="R173" s="85" t="n">
        <f aca="true">IF(R$5=0,Q173,MAX(0,(Q173-R$4)*(1+NORMINV(RAND(),INPUTS!$B$28,INPUTS!$B$29))))</f>
        <v>1982257.75859347</v>
      </c>
      <c r="S173" s="85" t="n">
        <f aca="true">IF(S$5=0,R173,MAX(0,(R173-S$4)*(1+NORMINV(RAND(),INPUTS!$B$28,INPUTS!$B$29))))</f>
        <v>2258360.38637292</v>
      </c>
      <c r="T173" s="85" t="n">
        <f aca="true">IF(T$5=0,S173,MAX(0,(S173-T$4)*(1+NORMINV(RAND(),INPUTS!$B$28,INPUTS!$B$29))))</f>
        <v>2349982.6655795</v>
      </c>
      <c r="U173" s="85" t="n">
        <f aca="true">IF(U$5=0,T173,MAX(0,(T173-U$4)*(1+NORMINV(RAND(),INPUTS!$B$28,INPUTS!$B$29))))</f>
        <v>2372835.57392208</v>
      </c>
      <c r="V173" s="85" t="n">
        <f aca="true">IF(V$5=0,U173,MAX(0,(U173-V$4)*(1+NORMINV(RAND(),INPUTS!$B$28,INPUTS!$B$29))))</f>
        <v>2942174.19949045</v>
      </c>
      <c r="W173" s="85" t="n">
        <f aca="true">IF(W$5=0,V173,MAX(0,(V173-W$4)*(1+NORMINV(RAND(),INPUTS!$B$28,INPUTS!$B$29))))</f>
        <v>3184423.27850667</v>
      </c>
      <c r="X173" s="85" t="n">
        <f aca="true">IF(X$5=0,W173,MAX(0,(W173-X$4)*(1+NORMINV(RAND(),INPUTS!$B$28,INPUTS!$B$29))))</f>
        <v>3327813.62347959</v>
      </c>
      <c r="Y173" s="85" t="n">
        <f aca="true">IF(Y$5=0,X173,MAX(0,(X173-Y$4)*(1+NORMINV(RAND(),INPUTS!$B$28,INPUTS!$B$29))))</f>
        <v>2982316.98098165</v>
      </c>
      <c r="Z173" s="85" t="n">
        <f aca="true">IF(Z$5=0,Y173,MAX(0,(Y173-Z$4)*(1+NORMINV(RAND(),INPUTS!$B$28,INPUTS!$B$29))))</f>
        <v>3071507.60221559</v>
      </c>
      <c r="AA173" s="85" t="n">
        <f aca="true">IF(AA$5=0,Z173,MAX(0,(Z173-AA$4)*(1+NORMINV(RAND(),INPUTS!$B$28,INPUTS!$B$29))))</f>
        <v>3526507.18760417</v>
      </c>
      <c r="AB173" s="85" t="n">
        <f aca="true">IF(AB$5=0,AA173,MAX(0,(AA173-AB$4)*(1+NORMINV(RAND(),INPUTS!$B$28,INPUTS!$B$29))))</f>
        <v>3692630.75261445</v>
      </c>
      <c r="AC173" s="85" t="n">
        <f aca="true">IF(AC$5=0,AB173,MAX(0,(AB173-AC$4)*(1+NORMINV(RAND(),INPUTS!$B$28,INPUTS!$B$29))))</f>
        <v>4009719.19730702</v>
      </c>
      <c r="AD173" s="85" t="n">
        <f aca="true">IF(AD$5=0,AC173,MAX(0,(AC173-AD$4)*(1+NORMINV(RAND(),INPUTS!$B$28,INPUTS!$B$29))))</f>
        <v>5016966.93149638</v>
      </c>
      <c r="AE173" s="85" t="n">
        <f aca="true">IF(AE$5=0,AD173,MAX(0,(AD173-AE$4)*(1+NORMINV(RAND(),INPUTS!$B$28,INPUTS!$B$29))))</f>
        <v>5656993.72533716</v>
      </c>
      <c r="AF173" s="85" t="n">
        <f aca="true">IF(AF$5=0,AE173,MAX(0,(AE173-AF$4)*(1+NORMINV(RAND(),INPUTS!$B$28,INPUTS!$B$29))))</f>
        <v>6464256.34358574</v>
      </c>
      <c r="AG173" s="85" t="n">
        <f aca="true">IF(AG$5=0,AF173,MAX(0,(AF173-AG$4)*(1+NORMINV(RAND(),INPUTS!$B$28,INPUTS!$B$29))))</f>
        <v>5836282.61356739</v>
      </c>
      <c r="AH173" s="85" t="n">
        <f aca="true">IF(AH$5=0,AG173,MAX(0,(AG173-AH$4)*(1+NORMINV(RAND(),INPUTS!$B$28,INPUTS!$B$29))))</f>
        <v>7047174.7535071</v>
      </c>
      <c r="AI173" s="85" t="n">
        <f aca="true">IF(AI$5=0,AH173,MAX(0,(AH173-AI$4)*(1+NORMINV(RAND(),INPUTS!$B$28,INPUTS!$B$29))))</f>
        <v>7296434.78499302</v>
      </c>
      <c r="AJ173" s="85" t="n">
        <f aca="true">IF(AJ$5=0,AI173,MAX(0,(AI173-AJ$4)*(1+NORMINV(RAND(),INPUTS!$B$28,INPUTS!$B$29))))</f>
        <v>6876941.47282452</v>
      </c>
      <c r="AK173" s="85" t="n">
        <f aca="true">IF(AK$5=0,AJ173,MAX(0,(AJ173-AK$4)*(1+NORMINV(RAND(),INPUTS!$B$28,INPUTS!$B$29))))</f>
        <v>7416997.932973</v>
      </c>
      <c r="AL173" s="85" t="n">
        <f aca="true">IF(AL$5=0,AK173,MAX(0,(AK173-AL$4)*(1+NORMINV(RAND(),INPUTS!$B$28,INPUTS!$B$29))))</f>
        <v>7042481.66011322</v>
      </c>
      <c r="AM173" s="85" t="n">
        <f aca="true">IF(AM$5=0,AL173,MAX(0,(AL173-AM$4)*(1+NORMINV(RAND(),INPUTS!$B$28,INPUTS!$B$29))))</f>
        <v>7042481.66011322</v>
      </c>
      <c r="AN173" s="85" t="n">
        <f aca="true">IF(AN$5=0,AM173,MAX(0,(AM173-AN$4)*(1+NORMINV(RAND(),INPUTS!$B$28,INPUTS!$B$29))))</f>
        <v>7042481.66011322</v>
      </c>
      <c r="AO173" s="85" t="n">
        <f aca="true">IF(AO$5=0,AN173,MAX(0,(AN173-AO$4)*(1+NORMINV(RAND(),INPUTS!$B$28,INPUTS!$B$29))))</f>
        <v>7042481.66011322</v>
      </c>
      <c r="AP173" s="85" t="n">
        <f aca="true">IF(AP$5=0,AO173,MAX(0,(AO173-AP$4)*(1+NORMINV(RAND(),INPUTS!$B$28,INPUTS!$B$29))))</f>
        <v>7042481.66011322</v>
      </c>
    </row>
    <row r="174" customFormat="false" ht="15" hidden="false" customHeight="true" outlineLevel="0" collapsed="false">
      <c r="A174" s="83" t="n">
        <v>167</v>
      </c>
      <c r="B174" s="84" t="n">
        <f aca="false">LOOKUP(9.99E+307,C174:AP174)</f>
        <v>702323.364160242</v>
      </c>
      <c r="C174" s="85" t="n">
        <f aca="true">IF(C$5=0,INPUTS!$B$19,MAX(0,(INPUTS!$B$19-C$4)*(1+NORMINV(RAND(),INPUTS!$B$28,INPUTS!$B$29))))</f>
        <v>1267381.32776396</v>
      </c>
      <c r="D174" s="85" t="n">
        <f aca="true">IF(D$5=0,C174,MAX(0,(C174-D$4)*(1+NORMINV(RAND(),INPUTS!$B$28,INPUTS!$B$29))))</f>
        <v>1219828.88922394</v>
      </c>
      <c r="E174" s="85" t="n">
        <f aca="true">IF(E$5=0,D174,MAX(0,(D174-E$4)*(1+NORMINV(RAND(),INPUTS!$B$28,INPUTS!$B$29))))</f>
        <v>1127657.35521092</v>
      </c>
      <c r="F174" s="85" t="n">
        <f aca="true">IF(F$5=0,E174,MAX(0,(E174-F$4)*(1+NORMINV(RAND(),INPUTS!$B$28,INPUTS!$B$29))))</f>
        <v>1052267.33539081</v>
      </c>
      <c r="G174" s="85" t="n">
        <f aca="true">IF(G$5=0,F174,MAX(0,(F174-G$4)*(1+NORMINV(RAND(),INPUTS!$B$28,INPUTS!$B$29))))</f>
        <v>1116932.15992901</v>
      </c>
      <c r="H174" s="85" t="n">
        <f aca="true">IF(H$5=0,G174,MAX(0,(G174-H$4)*(1+NORMINV(RAND(),INPUTS!$B$28,INPUTS!$B$29))))</f>
        <v>1048947.92489391</v>
      </c>
      <c r="I174" s="85" t="n">
        <f aca="true">IF(I$5=0,H174,MAX(0,(H174-I$4)*(1+NORMINV(RAND(),INPUTS!$B$28,INPUTS!$B$29))))</f>
        <v>1101804.23790662</v>
      </c>
      <c r="J174" s="85" t="n">
        <f aca="true">IF(J$5=0,I174,MAX(0,(I174-J$4)*(1+NORMINV(RAND(),INPUTS!$B$28,INPUTS!$B$29))))</f>
        <v>939157.059865366</v>
      </c>
      <c r="K174" s="85" t="n">
        <f aca="true">IF(K$5=0,J174,MAX(0,(J174-K$4)*(1+NORMINV(RAND(),INPUTS!$B$28,INPUTS!$B$29))))</f>
        <v>946547.184532985</v>
      </c>
      <c r="L174" s="85" t="n">
        <f aca="true">IF(L$5=0,K174,MAX(0,(K174-L$4)*(1+NORMINV(RAND(),INPUTS!$B$28,INPUTS!$B$29))))</f>
        <v>963147.678334327</v>
      </c>
      <c r="M174" s="85" t="n">
        <f aca="true">IF(M$5=0,L174,MAX(0,(L174-M$4)*(1+NORMINV(RAND(),INPUTS!$B$28,INPUTS!$B$29))))</f>
        <v>944743.656000028</v>
      </c>
      <c r="N174" s="85" t="n">
        <f aca="true">IF(N$5=0,M174,MAX(0,(M174-N$4)*(1+NORMINV(RAND(),INPUTS!$B$28,INPUTS!$B$29))))</f>
        <v>1061754.55750404</v>
      </c>
      <c r="O174" s="85" t="n">
        <f aca="true">IF(O$5=0,N174,MAX(0,(N174-O$4)*(1+NORMINV(RAND(),INPUTS!$B$28,INPUTS!$B$29))))</f>
        <v>1022886.04879442</v>
      </c>
      <c r="P174" s="85" t="n">
        <f aca="true">IF(P$5=0,O174,MAX(0,(O174-P$4)*(1+NORMINV(RAND(),INPUTS!$B$28,INPUTS!$B$29))))</f>
        <v>1058559.82688589</v>
      </c>
      <c r="Q174" s="85" t="n">
        <f aca="true">IF(Q$5=0,P174,MAX(0,(P174-Q$4)*(1+NORMINV(RAND(),INPUTS!$B$28,INPUTS!$B$29))))</f>
        <v>1193216.05054585</v>
      </c>
      <c r="R174" s="85" t="n">
        <f aca="true">IF(R$5=0,Q174,MAX(0,(Q174-R$4)*(1+NORMINV(RAND(),INPUTS!$B$28,INPUTS!$B$29))))</f>
        <v>1079117.97959919</v>
      </c>
      <c r="S174" s="85" t="n">
        <f aca="true">IF(S$5=0,R174,MAX(0,(R174-S$4)*(1+NORMINV(RAND(),INPUTS!$B$28,INPUTS!$B$29))))</f>
        <v>963493.819754532</v>
      </c>
      <c r="T174" s="85" t="n">
        <f aca="true">IF(T$5=0,S174,MAX(0,(S174-T$4)*(1+NORMINV(RAND(),INPUTS!$B$28,INPUTS!$B$29))))</f>
        <v>1006563.20257284</v>
      </c>
      <c r="U174" s="85" t="n">
        <f aca="true">IF(U$5=0,T174,MAX(0,(T174-U$4)*(1+NORMINV(RAND(),INPUTS!$B$28,INPUTS!$B$29))))</f>
        <v>938362.954315144</v>
      </c>
      <c r="V174" s="85" t="n">
        <f aca="true">IF(V$5=0,U174,MAX(0,(U174-V$4)*(1+NORMINV(RAND(),INPUTS!$B$28,INPUTS!$B$29))))</f>
        <v>926920.668590199</v>
      </c>
      <c r="W174" s="85" t="n">
        <f aca="true">IF(W$5=0,V174,MAX(0,(V174-W$4)*(1+NORMINV(RAND(),INPUTS!$B$28,INPUTS!$B$29))))</f>
        <v>960660.98140399</v>
      </c>
      <c r="X174" s="85" t="n">
        <f aca="true">IF(X$5=0,W174,MAX(0,(W174-X$4)*(1+NORMINV(RAND(),INPUTS!$B$28,INPUTS!$B$29))))</f>
        <v>1072091.99019546</v>
      </c>
      <c r="Y174" s="85" t="n">
        <f aca="true">IF(Y$5=0,X174,MAX(0,(X174-Y$4)*(1+NORMINV(RAND(),INPUTS!$B$28,INPUTS!$B$29))))</f>
        <v>1143324.91170422</v>
      </c>
      <c r="Z174" s="85" t="n">
        <f aca="true">IF(Z$5=0,Y174,MAX(0,(Y174-Z$4)*(1+NORMINV(RAND(),INPUTS!$B$28,INPUTS!$B$29))))</f>
        <v>1198897.67119326</v>
      </c>
      <c r="AA174" s="85" t="n">
        <f aca="true">IF(AA$5=0,Z174,MAX(0,(Z174-AA$4)*(1+NORMINV(RAND(),INPUTS!$B$28,INPUTS!$B$29))))</f>
        <v>1152758.33776628</v>
      </c>
      <c r="AB174" s="85" t="n">
        <f aca="true">IF(AB$5=0,AA174,MAX(0,(AA174-AB$4)*(1+NORMINV(RAND(),INPUTS!$B$28,INPUTS!$B$29))))</f>
        <v>1080393.24309135</v>
      </c>
      <c r="AC174" s="85" t="n">
        <f aca="true">IF(AC$5=0,AB174,MAX(0,(AB174-AC$4)*(1+NORMINV(RAND(),INPUTS!$B$28,INPUTS!$B$29))))</f>
        <v>1178559.60254311</v>
      </c>
      <c r="AD174" s="85" t="n">
        <f aca="true">IF(AD$5=0,AC174,MAX(0,(AC174-AD$4)*(1+NORMINV(RAND(),INPUTS!$B$28,INPUTS!$B$29))))</f>
        <v>1205898.59606862</v>
      </c>
      <c r="AE174" s="85" t="n">
        <f aca="true">IF(AE$5=0,AD174,MAX(0,(AD174-AE$4)*(1+NORMINV(RAND(),INPUTS!$B$28,INPUTS!$B$29))))</f>
        <v>1170439.53372056</v>
      </c>
      <c r="AF174" s="85" t="n">
        <f aca="true">IF(AF$5=0,AE174,MAX(0,(AE174-AF$4)*(1+NORMINV(RAND(),INPUTS!$B$28,INPUTS!$B$29))))</f>
        <v>979634.736078429</v>
      </c>
      <c r="AG174" s="85" t="n">
        <f aca="true">IF(AG$5=0,AF174,MAX(0,(AF174-AG$4)*(1+NORMINV(RAND(),INPUTS!$B$28,INPUTS!$B$29))))</f>
        <v>887002.473931067</v>
      </c>
      <c r="AH174" s="85" t="n">
        <f aca="true">IF(AH$5=0,AG174,MAX(0,(AG174-AH$4)*(1+NORMINV(RAND(),INPUTS!$B$28,INPUTS!$B$29))))</f>
        <v>861559.792368133</v>
      </c>
      <c r="AI174" s="85" t="n">
        <f aca="true">IF(AI$5=0,AH174,MAX(0,(AH174-AI$4)*(1+NORMINV(RAND(),INPUTS!$B$28,INPUTS!$B$29))))</f>
        <v>765689.435152754</v>
      </c>
      <c r="AJ174" s="85" t="n">
        <f aca="true">IF(AJ$5=0,AI174,MAX(0,(AI174-AJ$4)*(1+NORMINV(RAND(),INPUTS!$B$28,INPUTS!$B$29))))</f>
        <v>708294.764029331</v>
      </c>
      <c r="AK174" s="85" t="n">
        <f aca="true">IF(AK$5=0,AJ174,MAX(0,(AJ174-AK$4)*(1+NORMINV(RAND(),INPUTS!$B$28,INPUTS!$B$29))))</f>
        <v>788991.717618163</v>
      </c>
      <c r="AL174" s="85" t="n">
        <f aca="true">IF(AL$5=0,AK174,MAX(0,(AK174-AL$4)*(1+NORMINV(RAND(),INPUTS!$B$28,INPUTS!$B$29))))</f>
        <v>702323.364160242</v>
      </c>
      <c r="AM174" s="85" t="n">
        <f aca="true">IF(AM$5=0,AL174,MAX(0,(AL174-AM$4)*(1+NORMINV(RAND(),INPUTS!$B$28,INPUTS!$B$29))))</f>
        <v>702323.364160242</v>
      </c>
      <c r="AN174" s="85" t="n">
        <f aca="true">IF(AN$5=0,AM174,MAX(0,(AM174-AN$4)*(1+NORMINV(RAND(),INPUTS!$B$28,INPUTS!$B$29))))</f>
        <v>702323.364160242</v>
      </c>
      <c r="AO174" s="85" t="n">
        <f aca="true">IF(AO$5=0,AN174,MAX(0,(AN174-AO$4)*(1+NORMINV(RAND(),INPUTS!$B$28,INPUTS!$B$29))))</f>
        <v>702323.364160242</v>
      </c>
      <c r="AP174" s="85" t="n">
        <f aca="true">IF(AP$5=0,AO174,MAX(0,(AO174-AP$4)*(1+NORMINV(RAND(),INPUTS!$B$28,INPUTS!$B$29))))</f>
        <v>702323.364160242</v>
      </c>
    </row>
    <row r="175" customFormat="false" ht="15" hidden="false" customHeight="true" outlineLevel="0" collapsed="false">
      <c r="A175" s="83" t="n">
        <v>168</v>
      </c>
      <c r="B175" s="84" t="n">
        <f aca="false">LOOKUP(9.99E+307,C175:AP175)</f>
        <v>670634.482889378</v>
      </c>
      <c r="C175" s="85" t="n">
        <f aca="true">IF(C$5=0,INPUTS!$B$19,MAX(0,(INPUTS!$B$19-C$4)*(1+NORMINV(RAND(),INPUTS!$B$28,INPUTS!$B$29))))</f>
        <v>1321634.19228138</v>
      </c>
      <c r="D175" s="85" t="n">
        <f aca="true">IF(D$5=0,C175,MAX(0,(C175-D$4)*(1+NORMINV(RAND(),INPUTS!$B$28,INPUTS!$B$29))))</f>
        <v>1260284.47395407</v>
      </c>
      <c r="E175" s="85" t="n">
        <f aca="true">IF(E$5=0,D175,MAX(0,(D175-E$4)*(1+NORMINV(RAND(),INPUTS!$B$28,INPUTS!$B$29))))</f>
        <v>1207677.70136581</v>
      </c>
      <c r="F175" s="85" t="n">
        <f aca="true">IF(F$5=0,E175,MAX(0,(E175-F$4)*(1+NORMINV(RAND(),INPUTS!$B$28,INPUTS!$B$29))))</f>
        <v>1150951.10632654</v>
      </c>
      <c r="G175" s="85" t="n">
        <f aca="true">IF(G$5=0,F175,MAX(0,(F175-G$4)*(1+NORMINV(RAND(),INPUTS!$B$28,INPUTS!$B$29))))</f>
        <v>1189147.83745413</v>
      </c>
      <c r="H175" s="85" t="n">
        <f aca="true">IF(H$5=0,G175,MAX(0,(G175-H$4)*(1+NORMINV(RAND(),INPUTS!$B$28,INPUTS!$B$29))))</f>
        <v>972078.390047578</v>
      </c>
      <c r="I175" s="85" t="n">
        <f aca="true">IF(I$5=0,H175,MAX(0,(H175-I$4)*(1+NORMINV(RAND(),INPUTS!$B$28,INPUTS!$B$29))))</f>
        <v>1127704.43408496</v>
      </c>
      <c r="J175" s="85" t="n">
        <f aca="true">IF(J$5=0,I175,MAX(0,(I175-J$4)*(1+NORMINV(RAND(),INPUTS!$B$28,INPUTS!$B$29))))</f>
        <v>961310.057590336</v>
      </c>
      <c r="K175" s="85" t="n">
        <f aca="true">IF(K$5=0,J175,MAX(0,(J175-K$4)*(1+NORMINV(RAND(),INPUTS!$B$28,INPUTS!$B$29))))</f>
        <v>1022902.71127613</v>
      </c>
      <c r="L175" s="85" t="n">
        <f aca="true">IF(L$5=0,K175,MAX(0,(K175-L$4)*(1+NORMINV(RAND(),INPUTS!$B$28,INPUTS!$B$29))))</f>
        <v>1142380.13752289</v>
      </c>
      <c r="M175" s="85" t="n">
        <f aca="true">IF(M$5=0,L175,MAX(0,(L175-M$4)*(1+NORMINV(RAND(),INPUTS!$B$28,INPUTS!$B$29))))</f>
        <v>1116477.58957622</v>
      </c>
      <c r="N175" s="85" t="n">
        <f aca="true">IF(N$5=0,M175,MAX(0,(M175-N$4)*(1+NORMINV(RAND(),INPUTS!$B$28,INPUTS!$B$29))))</f>
        <v>1140111.89477384</v>
      </c>
      <c r="O175" s="85" t="n">
        <f aca="true">IF(O$5=0,N175,MAX(0,(N175-O$4)*(1+NORMINV(RAND(),INPUTS!$B$28,INPUTS!$B$29))))</f>
        <v>1272489.98196372</v>
      </c>
      <c r="P175" s="85" t="n">
        <f aca="true">IF(P$5=0,O175,MAX(0,(O175-P$4)*(1+NORMINV(RAND(),INPUTS!$B$28,INPUTS!$B$29))))</f>
        <v>1218668.35092946</v>
      </c>
      <c r="Q175" s="85" t="n">
        <f aca="true">IF(Q$5=0,P175,MAX(0,(P175-Q$4)*(1+NORMINV(RAND(),INPUTS!$B$28,INPUTS!$B$29))))</f>
        <v>1176175.47799892</v>
      </c>
      <c r="R175" s="85" t="n">
        <f aca="true">IF(R$5=0,Q175,MAX(0,(Q175-R$4)*(1+NORMINV(RAND(),INPUTS!$B$28,INPUTS!$B$29))))</f>
        <v>1135978.75388137</v>
      </c>
      <c r="S175" s="85" t="n">
        <f aca="true">IF(S$5=0,R175,MAX(0,(R175-S$4)*(1+NORMINV(RAND(),INPUTS!$B$28,INPUTS!$B$29))))</f>
        <v>1231763.06525194</v>
      </c>
      <c r="T175" s="85" t="n">
        <f aca="true">IF(T$5=0,S175,MAX(0,(S175-T$4)*(1+NORMINV(RAND(),INPUTS!$B$28,INPUTS!$B$29))))</f>
        <v>1139712.44840363</v>
      </c>
      <c r="U175" s="85" t="n">
        <f aca="true">IF(U$5=0,T175,MAX(0,(T175-U$4)*(1+NORMINV(RAND(),INPUTS!$B$28,INPUTS!$B$29))))</f>
        <v>1304130.19578564</v>
      </c>
      <c r="V175" s="85" t="n">
        <f aca="true">IF(V$5=0,U175,MAX(0,(U175-V$4)*(1+NORMINV(RAND(),INPUTS!$B$28,INPUTS!$B$29))))</f>
        <v>1266973.86865199</v>
      </c>
      <c r="W175" s="85" t="n">
        <f aca="true">IF(W$5=0,V175,MAX(0,(V175-W$4)*(1+NORMINV(RAND(),INPUTS!$B$28,INPUTS!$B$29))))</f>
        <v>1242810.42753033</v>
      </c>
      <c r="X175" s="85" t="n">
        <f aca="true">IF(X$5=0,W175,MAX(0,(W175-X$4)*(1+NORMINV(RAND(),INPUTS!$B$28,INPUTS!$B$29))))</f>
        <v>1416166.7892459</v>
      </c>
      <c r="Y175" s="85" t="n">
        <f aca="true">IF(Y$5=0,X175,MAX(0,(X175-Y$4)*(1+NORMINV(RAND(),INPUTS!$B$28,INPUTS!$B$29))))</f>
        <v>1910958.49453502</v>
      </c>
      <c r="Z175" s="85" t="n">
        <f aca="true">IF(Z$5=0,Y175,MAX(0,(Y175-Z$4)*(1+NORMINV(RAND(),INPUTS!$B$28,INPUTS!$B$29))))</f>
        <v>1784192.55080963</v>
      </c>
      <c r="AA175" s="85" t="n">
        <f aca="true">IF(AA$5=0,Z175,MAX(0,(Z175-AA$4)*(1+NORMINV(RAND(),INPUTS!$B$28,INPUTS!$B$29))))</f>
        <v>1830408.35219466</v>
      </c>
      <c r="AB175" s="85" t="n">
        <f aca="true">IF(AB$5=0,AA175,MAX(0,(AA175-AB$4)*(1+NORMINV(RAND(),INPUTS!$B$28,INPUTS!$B$29))))</f>
        <v>1353491.72525095</v>
      </c>
      <c r="AC175" s="85" t="n">
        <f aca="true">IF(AC$5=0,AB175,MAX(0,(AB175-AC$4)*(1+NORMINV(RAND(),INPUTS!$B$28,INPUTS!$B$29))))</f>
        <v>1279887.37253558</v>
      </c>
      <c r="AD175" s="85" t="n">
        <f aca="true">IF(AD$5=0,AC175,MAX(0,(AC175-AD$4)*(1+NORMINV(RAND(),INPUTS!$B$28,INPUTS!$B$29))))</f>
        <v>1065938.05780266</v>
      </c>
      <c r="AE175" s="85" t="n">
        <f aca="true">IF(AE$5=0,AD175,MAX(0,(AD175-AE$4)*(1+NORMINV(RAND(),INPUTS!$B$28,INPUTS!$B$29))))</f>
        <v>978309.290422436</v>
      </c>
      <c r="AF175" s="85" t="n">
        <f aca="true">IF(AF$5=0,AE175,MAX(0,(AE175-AF$4)*(1+NORMINV(RAND(),INPUTS!$B$28,INPUTS!$B$29))))</f>
        <v>916016.532938281</v>
      </c>
      <c r="AG175" s="85" t="n">
        <f aca="true">IF(AG$5=0,AF175,MAX(0,(AF175-AG$4)*(1+NORMINV(RAND(),INPUTS!$B$28,INPUTS!$B$29))))</f>
        <v>845369.561582642</v>
      </c>
      <c r="AH175" s="85" t="n">
        <f aca="true">IF(AH$5=0,AG175,MAX(0,(AG175-AH$4)*(1+NORMINV(RAND(),INPUTS!$B$28,INPUTS!$B$29))))</f>
        <v>1026886.40901271</v>
      </c>
      <c r="AI175" s="85" t="n">
        <f aca="true">IF(AI$5=0,AH175,MAX(0,(AH175-AI$4)*(1+NORMINV(RAND(),INPUTS!$B$28,INPUTS!$B$29))))</f>
        <v>1019379.06534459</v>
      </c>
      <c r="AJ175" s="85" t="n">
        <f aca="true">IF(AJ$5=0,AI175,MAX(0,(AI175-AJ$4)*(1+NORMINV(RAND(),INPUTS!$B$28,INPUTS!$B$29))))</f>
        <v>811652.564813294</v>
      </c>
      <c r="AK175" s="85" t="n">
        <f aca="true">IF(AK$5=0,AJ175,MAX(0,(AJ175-AK$4)*(1+NORMINV(RAND(),INPUTS!$B$28,INPUTS!$B$29))))</f>
        <v>782214.591829952</v>
      </c>
      <c r="AL175" s="85" t="n">
        <f aca="true">IF(AL$5=0,AK175,MAX(0,(AK175-AL$4)*(1+NORMINV(RAND(),INPUTS!$B$28,INPUTS!$B$29))))</f>
        <v>670634.482889378</v>
      </c>
      <c r="AM175" s="85" t="n">
        <f aca="true">IF(AM$5=0,AL175,MAX(0,(AL175-AM$4)*(1+NORMINV(RAND(),INPUTS!$B$28,INPUTS!$B$29))))</f>
        <v>670634.482889378</v>
      </c>
      <c r="AN175" s="85" t="n">
        <f aca="true">IF(AN$5=0,AM175,MAX(0,(AM175-AN$4)*(1+NORMINV(RAND(),INPUTS!$B$28,INPUTS!$B$29))))</f>
        <v>670634.482889378</v>
      </c>
      <c r="AO175" s="85" t="n">
        <f aca="true">IF(AO$5=0,AN175,MAX(0,(AN175-AO$4)*(1+NORMINV(RAND(),INPUTS!$B$28,INPUTS!$B$29))))</f>
        <v>670634.482889378</v>
      </c>
      <c r="AP175" s="85" t="n">
        <f aca="true">IF(AP$5=0,AO175,MAX(0,(AO175-AP$4)*(1+NORMINV(RAND(),INPUTS!$B$28,INPUTS!$B$29))))</f>
        <v>670634.482889378</v>
      </c>
    </row>
    <row r="176" customFormat="false" ht="15" hidden="false" customHeight="true" outlineLevel="0" collapsed="false">
      <c r="A176" s="83" t="n">
        <v>169</v>
      </c>
      <c r="B176" s="84" t="n">
        <f aca="false">LOOKUP(9.99E+307,C176:AP176)</f>
        <v>9697369.08718015</v>
      </c>
      <c r="C176" s="85" t="n">
        <f aca="true">IF(C$5=0,INPUTS!$B$19,MAX(0,(INPUTS!$B$19-C$4)*(1+NORMINV(RAND(),INPUTS!$B$28,INPUTS!$B$29))))</f>
        <v>1149520.57151966</v>
      </c>
      <c r="D176" s="85" t="n">
        <f aca="true">IF(D$5=0,C176,MAX(0,(C176-D$4)*(1+NORMINV(RAND(),INPUTS!$B$28,INPUTS!$B$29))))</f>
        <v>1218457.83517364</v>
      </c>
      <c r="E176" s="85" t="n">
        <f aca="true">IF(E$5=0,D176,MAX(0,(D176-E$4)*(1+NORMINV(RAND(),INPUTS!$B$28,INPUTS!$B$29))))</f>
        <v>1360351.18201233</v>
      </c>
      <c r="F176" s="85" t="n">
        <f aca="true">IF(F$5=0,E176,MAX(0,(E176-F$4)*(1+NORMINV(RAND(),INPUTS!$B$28,INPUTS!$B$29))))</f>
        <v>1483845.83177433</v>
      </c>
      <c r="G176" s="85" t="n">
        <f aca="true">IF(G$5=0,F176,MAX(0,(F176-G$4)*(1+NORMINV(RAND(),INPUTS!$B$28,INPUTS!$B$29))))</f>
        <v>1645154.05716548</v>
      </c>
      <c r="H176" s="85" t="n">
        <f aca="true">IF(H$5=0,G176,MAX(0,(G176-H$4)*(1+NORMINV(RAND(),INPUTS!$B$28,INPUTS!$B$29))))</f>
        <v>1570974.05123272</v>
      </c>
      <c r="I176" s="85" t="n">
        <f aca="true">IF(I$5=0,H176,MAX(0,(H176-I$4)*(1+NORMINV(RAND(),INPUTS!$B$28,INPUTS!$B$29))))</f>
        <v>1470331.69199658</v>
      </c>
      <c r="J176" s="85" t="n">
        <f aca="true">IF(J$5=0,I176,MAX(0,(I176-J$4)*(1+NORMINV(RAND(),INPUTS!$B$28,INPUTS!$B$29))))</f>
        <v>1429413.79641573</v>
      </c>
      <c r="K176" s="85" t="n">
        <f aca="true">IF(K$5=0,J176,MAX(0,(J176-K$4)*(1+NORMINV(RAND(),INPUTS!$B$28,INPUTS!$B$29))))</f>
        <v>1521898.61688525</v>
      </c>
      <c r="L176" s="85" t="n">
        <f aca="true">IF(L$5=0,K176,MAX(0,(K176-L$4)*(1+NORMINV(RAND(),INPUTS!$B$28,INPUTS!$B$29))))</f>
        <v>1517148.31825282</v>
      </c>
      <c r="M176" s="85" t="n">
        <f aca="true">IF(M$5=0,L176,MAX(0,(L176-M$4)*(1+NORMINV(RAND(),INPUTS!$B$28,INPUTS!$B$29))))</f>
        <v>1395624.04036136</v>
      </c>
      <c r="N176" s="85" t="n">
        <f aca="true">IF(N$5=0,M176,MAX(0,(M176-N$4)*(1+NORMINV(RAND(),INPUTS!$B$28,INPUTS!$B$29))))</f>
        <v>1280056.6311505</v>
      </c>
      <c r="O176" s="85" t="n">
        <f aca="true">IF(O$5=0,N176,MAX(0,(N176-O$4)*(1+NORMINV(RAND(),INPUTS!$B$28,INPUTS!$B$29))))</f>
        <v>1628383.16073215</v>
      </c>
      <c r="P176" s="85" t="n">
        <f aca="true">IF(P$5=0,O176,MAX(0,(O176-P$4)*(1+NORMINV(RAND(),INPUTS!$B$28,INPUTS!$B$29))))</f>
        <v>1767510.26029477</v>
      </c>
      <c r="Q176" s="85" t="n">
        <f aca="true">IF(Q$5=0,P176,MAX(0,(P176-Q$4)*(1+NORMINV(RAND(),INPUTS!$B$28,INPUTS!$B$29))))</f>
        <v>1435480.33479768</v>
      </c>
      <c r="R176" s="85" t="n">
        <f aca="true">IF(R$5=0,Q176,MAX(0,(Q176-R$4)*(1+NORMINV(RAND(),INPUTS!$B$28,INPUTS!$B$29))))</f>
        <v>1281104.9514621</v>
      </c>
      <c r="S176" s="85" t="n">
        <f aca="true">IF(S$5=0,R176,MAX(0,(R176-S$4)*(1+NORMINV(RAND(),INPUTS!$B$28,INPUTS!$B$29))))</f>
        <v>1351550.43523499</v>
      </c>
      <c r="T176" s="85" t="n">
        <f aca="true">IF(T$5=0,S176,MAX(0,(S176-T$4)*(1+NORMINV(RAND(),INPUTS!$B$28,INPUTS!$B$29))))</f>
        <v>1625322.36754467</v>
      </c>
      <c r="U176" s="85" t="n">
        <f aca="true">IF(U$5=0,T176,MAX(0,(T176-U$4)*(1+NORMINV(RAND(),INPUTS!$B$28,INPUTS!$B$29))))</f>
        <v>1953337.22300509</v>
      </c>
      <c r="V176" s="85" t="n">
        <f aca="true">IF(V$5=0,U176,MAX(0,(U176-V$4)*(1+NORMINV(RAND(),INPUTS!$B$28,INPUTS!$B$29))))</f>
        <v>2411999.53657596</v>
      </c>
      <c r="W176" s="85" t="n">
        <f aca="true">IF(W$5=0,V176,MAX(0,(V176-W$4)*(1+NORMINV(RAND(),INPUTS!$B$28,INPUTS!$B$29))))</f>
        <v>2778857.09218312</v>
      </c>
      <c r="X176" s="85" t="n">
        <f aca="true">IF(X$5=0,W176,MAX(0,(W176-X$4)*(1+NORMINV(RAND(),INPUTS!$B$28,INPUTS!$B$29))))</f>
        <v>3396939.56765428</v>
      </c>
      <c r="Y176" s="85" t="n">
        <f aca="true">IF(Y$5=0,X176,MAX(0,(X176-Y$4)*(1+NORMINV(RAND(),INPUTS!$B$28,INPUTS!$B$29))))</f>
        <v>3655860.10122979</v>
      </c>
      <c r="Z176" s="85" t="n">
        <f aca="true">IF(Z$5=0,Y176,MAX(0,(Y176-Z$4)*(1+NORMINV(RAND(),INPUTS!$B$28,INPUTS!$B$29))))</f>
        <v>3657628.80973069</v>
      </c>
      <c r="AA176" s="85" t="n">
        <f aca="true">IF(AA$5=0,Z176,MAX(0,(Z176-AA$4)*(1+NORMINV(RAND(),INPUTS!$B$28,INPUTS!$B$29))))</f>
        <v>3956640.90791392</v>
      </c>
      <c r="AB176" s="85" t="n">
        <f aca="true">IF(AB$5=0,AA176,MAX(0,(AA176-AB$4)*(1+NORMINV(RAND(),INPUTS!$B$28,INPUTS!$B$29))))</f>
        <v>3961749.39614338</v>
      </c>
      <c r="AC176" s="85" t="n">
        <f aca="true">IF(AC$5=0,AB176,MAX(0,(AB176-AC$4)*(1+NORMINV(RAND(),INPUTS!$B$28,INPUTS!$B$29))))</f>
        <v>4597993.57380602</v>
      </c>
      <c r="AD176" s="85" t="n">
        <f aca="true">IF(AD$5=0,AC176,MAX(0,(AC176-AD$4)*(1+NORMINV(RAND(),INPUTS!$B$28,INPUTS!$B$29))))</f>
        <v>5375349.40175493</v>
      </c>
      <c r="AE176" s="85" t="n">
        <f aca="true">IF(AE$5=0,AD176,MAX(0,(AD176-AE$4)*(1+NORMINV(RAND(),INPUTS!$B$28,INPUTS!$B$29))))</f>
        <v>5970031.51887114</v>
      </c>
      <c r="AF176" s="85" t="n">
        <f aca="true">IF(AF$5=0,AE176,MAX(0,(AE176-AF$4)*(1+NORMINV(RAND(),INPUTS!$B$28,INPUTS!$B$29))))</f>
        <v>7174020.9840303</v>
      </c>
      <c r="AG176" s="85" t="n">
        <f aca="true">IF(AG$5=0,AF176,MAX(0,(AF176-AG$4)*(1+NORMINV(RAND(),INPUTS!$B$28,INPUTS!$B$29))))</f>
        <v>7132544.55359358</v>
      </c>
      <c r="AH176" s="85" t="n">
        <f aca="true">IF(AH$5=0,AG176,MAX(0,(AG176-AH$4)*(1+NORMINV(RAND(),INPUTS!$B$28,INPUTS!$B$29))))</f>
        <v>8359509.07287039</v>
      </c>
      <c r="AI176" s="85" t="n">
        <f aca="true">IF(AI$5=0,AH176,MAX(0,(AH176-AI$4)*(1+NORMINV(RAND(),INPUTS!$B$28,INPUTS!$B$29))))</f>
        <v>7353079.54039178</v>
      </c>
      <c r="AJ176" s="85" t="n">
        <f aca="true">IF(AJ$5=0,AI176,MAX(0,(AI176-AJ$4)*(1+NORMINV(RAND(),INPUTS!$B$28,INPUTS!$B$29))))</f>
        <v>9055206.27333635</v>
      </c>
      <c r="AK176" s="85" t="n">
        <f aca="true">IF(AK$5=0,AJ176,MAX(0,(AJ176-AK$4)*(1+NORMINV(RAND(),INPUTS!$B$28,INPUTS!$B$29))))</f>
        <v>11299825.1893878</v>
      </c>
      <c r="AL176" s="85" t="n">
        <f aca="true">IF(AL$5=0,AK176,MAX(0,(AK176-AL$4)*(1+NORMINV(RAND(),INPUTS!$B$28,INPUTS!$B$29))))</f>
        <v>9697369.08718015</v>
      </c>
      <c r="AM176" s="85" t="n">
        <f aca="true">IF(AM$5=0,AL176,MAX(0,(AL176-AM$4)*(1+NORMINV(RAND(),INPUTS!$B$28,INPUTS!$B$29))))</f>
        <v>9697369.08718015</v>
      </c>
      <c r="AN176" s="85" t="n">
        <f aca="true">IF(AN$5=0,AM176,MAX(0,(AM176-AN$4)*(1+NORMINV(RAND(),INPUTS!$B$28,INPUTS!$B$29))))</f>
        <v>9697369.08718015</v>
      </c>
      <c r="AO176" s="85" t="n">
        <f aca="true">IF(AO$5=0,AN176,MAX(0,(AN176-AO$4)*(1+NORMINV(RAND(),INPUTS!$B$28,INPUTS!$B$29))))</f>
        <v>9697369.08718015</v>
      </c>
      <c r="AP176" s="85" t="n">
        <f aca="true">IF(AP$5=0,AO176,MAX(0,(AO176-AP$4)*(1+NORMINV(RAND(),INPUTS!$B$28,INPUTS!$B$29))))</f>
        <v>9697369.08718015</v>
      </c>
    </row>
    <row r="177" customFormat="false" ht="15" hidden="false" customHeight="true" outlineLevel="0" collapsed="false">
      <c r="A177" s="83" t="n">
        <v>170</v>
      </c>
      <c r="B177" s="84" t="n">
        <f aca="false">LOOKUP(9.99E+307,C177:AP177)</f>
        <v>1295092.15829995</v>
      </c>
      <c r="C177" s="85" t="n">
        <f aca="true">IF(C$5=0,INPUTS!$B$19,MAX(0,(INPUTS!$B$19-C$4)*(1+NORMINV(RAND(),INPUTS!$B$28,INPUTS!$B$29))))</f>
        <v>1180573.73787977</v>
      </c>
      <c r="D177" s="85" t="n">
        <f aca="true">IF(D$5=0,C177,MAX(0,(C177-D$4)*(1+NORMINV(RAND(),INPUTS!$B$28,INPUTS!$B$29))))</f>
        <v>1159202.32878766</v>
      </c>
      <c r="E177" s="85" t="n">
        <f aca="true">IF(E$5=0,D177,MAX(0,(D177-E$4)*(1+NORMINV(RAND(),INPUTS!$B$28,INPUTS!$B$29))))</f>
        <v>1226034.7319113</v>
      </c>
      <c r="F177" s="85" t="n">
        <f aca="true">IF(F$5=0,E177,MAX(0,(E177-F$4)*(1+NORMINV(RAND(),INPUTS!$B$28,INPUTS!$B$29))))</f>
        <v>1358063.56793874</v>
      </c>
      <c r="G177" s="85" t="n">
        <f aca="true">IF(G$5=0,F177,MAX(0,(F177-G$4)*(1+NORMINV(RAND(),INPUTS!$B$28,INPUTS!$B$29))))</f>
        <v>1374123.01904821</v>
      </c>
      <c r="H177" s="85" t="n">
        <f aca="true">IF(H$5=0,G177,MAX(0,(G177-H$4)*(1+NORMINV(RAND(),INPUTS!$B$28,INPUTS!$B$29))))</f>
        <v>1431178.25414269</v>
      </c>
      <c r="I177" s="85" t="n">
        <f aca="true">IF(I$5=0,H177,MAX(0,(H177-I$4)*(1+NORMINV(RAND(),INPUTS!$B$28,INPUTS!$B$29))))</f>
        <v>1098640.23329097</v>
      </c>
      <c r="J177" s="85" t="n">
        <f aca="true">IF(J$5=0,I177,MAX(0,(I177-J$4)*(1+NORMINV(RAND(),INPUTS!$B$28,INPUTS!$B$29))))</f>
        <v>1245355.93014581</v>
      </c>
      <c r="K177" s="85" t="n">
        <f aca="true">IF(K$5=0,J177,MAX(0,(J177-K$4)*(1+NORMINV(RAND(),INPUTS!$B$28,INPUTS!$B$29))))</f>
        <v>1392112.26136609</v>
      </c>
      <c r="L177" s="85" t="n">
        <f aca="true">IF(L$5=0,K177,MAX(0,(K177-L$4)*(1+NORMINV(RAND(),INPUTS!$B$28,INPUTS!$B$29))))</f>
        <v>1425357.33748837</v>
      </c>
      <c r="M177" s="85" t="n">
        <f aca="true">IF(M$5=0,L177,MAX(0,(L177-M$4)*(1+NORMINV(RAND(),INPUTS!$B$28,INPUTS!$B$29))))</f>
        <v>1555404.25798427</v>
      </c>
      <c r="N177" s="85" t="n">
        <f aca="true">IF(N$5=0,M177,MAX(0,(M177-N$4)*(1+NORMINV(RAND(),INPUTS!$B$28,INPUTS!$B$29))))</f>
        <v>1230122.94903671</v>
      </c>
      <c r="O177" s="85" t="n">
        <f aca="true">IF(O$5=0,N177,MAX(0,(N177-O$4)*(1+NORMINV(RAND(),INPUTS!$B$28,INPUTS!$B$29))))</f>
        <v>1227441.35536653</v>
      </c>
      <c r="P177" s="85" t="n">
        <f aca="true">IF(P$5=0,O177,MAX(0,(O177-P$4)*(1+NORMINV(RAND(),INPUTS!$B$28,INPUTS!$B$29))))</f>
        <v>1329009.27673512</v>
      </c>
      <c r="Q177" s="85" t="n">
        <f aca="true">IF(Q$5=0,P177,MAX(0,(P177-Q$4)*(1+NORMINV(RAND(),INPUTS!$B$28,INPUTS!$B$29))))</f>
        <v>1222541.25455701</v>
      </c>
      <c r="R177" s="85" t="n">
        <f aca="true">IF(R$5=0,Q177,MAX(0,(Q177-R$4)*(1+NORMINV(RAND(),INPUTS!$B$28,INPUTS!$B$29))))</f>
        <v>1092720.07752444</v>
      </c>
      <c r="S177" s="85" t="n">
        <f aca="true">IF(S$5=0,R177,MAX(0,(R177-S$4)*(1+NORMINV(RAND(),INPUTS!$B$28,INPUTS!$B$29))))</f>
        <v>1396146.39560749</v>
      </c>
      <c r="T177" s="85" t="n">
        <f aca="true">IF(T$5=0,S177,MAX(0,(S177-T$4)*(1+NORMINV(RAND(),INPUTS!$B$28,INPUTS!$B$29))))</f>
        <v>1317774.21621522</v>
      </c>
      <c r="U177" s="85" t="n">
        <f aca="true">IF(U$5=0,T177,MAX(0,(T177-U$4)*(1+NORMINV(RAND(),INPUTS!$B$28,INPUTS!$B$29))))</f>
        <v>1619505.1795345</v>
      </c>
      <c r="V177" s="85" t="n">
        <f aca="true">IF(V$5=0,U177,MAX(0,(U177-V$4)*(1+NORMINV(RAND(),INPUTS!$B$28,INPUTS!$B$29))))</f>
        <v>1997936.30166672</v>
      </c>
      <c r="W177" s="85" t="n">
        <f aca="true">IF(W$5=0,V177,MAX(0,(V177-W$4)*(1+NORMINV(RAND(),INPUTS!$B$28,INPUTS!$B$29))))</f>
        <v>2058784.9351276</v>
      </c>
      <c r="X177" s="85" t="n">
        <f aca="true">IF(X$5=0,W177,MAX(0,(W177-X$4)*(1+NORMINV(RAND(),INPUTS!$B$28,INPUTS!$B$29))))</f>
        <v>1835272.33441166</v>
      </c>
      <c r="Y177" s="85" t="n">
        <f aca="true">IF(Y$5=0,X177,MAX(0,(X177-Y$4)*(1+NORMINV(RAND(),INPUTS!$B$28,INPUTS!$B$29))))</f>
        <v>2059989.73169282</v>
      </c>
      <c r="Z177" s="85" t="n">
        <f aca="true">IF(Z$5=0,Y177,MAX(0,(Y177-Z$4)*(1+NORMINV(RAND(),INPUTS!$B$28,INPUTS!$B$29))))</f>
        <v>1965222.05150217</v>
      </c>
      <c r="AA177" s="85" t="n">
        <f aca="true">IF(AA$5=0,Z177,MAX(0,(Z177-AA$4)*(1+NORMINV(RAND(),INPUTS!$B$28,INPUTS!$B$29))))</f>
        <v>1697468.46682316</v>
      </c>
      <c r="AB177" s="85" t="n">
        <f aca="true">IF(AB$5=0,AA177,MAX(0,(AA177-AB$4)*(1+NORMINV(RAND(),INPUTS!$B$28,INPUTS!$B$29))))</f>
        <v>1857302.38681133</v>
      </c>
      <c r="AC177" s="85" t="n">
        <f aca="true">IF(AC$5=0,AB177,MAX(0,(AB177-AC$4)*(1+NORMINV(RAND(),INPUTS!$B$28,INPUTS!$B$29))))</f>
        <v>1675594.37876347</v>
      </c>
      <c r="AD177" s="85" t="n">
        <f aca="true">IF(AD$5=0,AC177,MAX(0,(AC177-AD$4)*(1+NORMINV(RAND(),INPUTS!$B$28,INPUTS!$B$29))))</f>
        <v>1442954.26011572</v>
      </c>
      <c r="AE177" s="85" t="n">
        <f aca="true">IF(AE$5=0,AD177,MAX(0,(AD177-AE$4)*(1+NORMINV(RAND(),INPUTS!$B$28,INPUTS!$B$29))))</f>
        <v>1429318.82170458</v>
      </c>
      <c r="AF177" s="85" t="n">
        <f aca="true">IF(AF$5=0,AE177,MAX(0,(AE177-AF$4)*(1+NORMINV(RAND(),INPUTS!$B$28,INPUTS!$B$29))))</f>
        <v>1504390.21161117</v>
      </c>
      <c r="AG177" s="85" t="n">
        <f aca="true">IF(AG$5=0,AF177,MAX(0,(AF177-AG$4)*(1+NORMINV(RAND(),INPUTS!$B$28,INPUTS!$B$29))))</f>
        <v>1406750.97305262</v>
      </c>
      <c r="AH177" s="85" t="n">
        <f aca="true">IF(AH$5=0,AG177,MAX(0,(AG177-AH$4)*(1+NORMINV(RAND(),INPUTS!$B$28,INPUTS!$B$29))))</f>
        <v>1371082.74394201</v>
      </c>
      <c r="AI177" s="85" t="n">
        <f aca="true">IF(AI$5=0,AH177,MAX(0,(AH177-AI$4)*(1+NORMINV(RAND(),INPUTS!$B$28,INPUTS!$B$29))))</f>
        <v>1375011.04300176</v>
      </c>
      <c r="AJ177" s="85" t="n">
        <f aca="true">IF(AJ$5=0,AI177,MAX(0,(AI177-AJ$4)*(1+NORMINV(RAND(),INPUTS!$B$28,INPUTS!$B$29))))</f>
        <v>1441791.73062165</v>
      </c>
      <c r="AK177" s="85" t="n">
        <f aca="true">IF(AK$5=0,AJ177,MAX(0,(AJ177-AK$4)*(1+NORMINV(RAND(),INPUTS!$B$28,INPUTS!$B$29))))</f>
        <v>1271207.06320667</v>
      </c>
      <c r="AL177" s="85" t="n">
        <f aca="true">IF(AL$5=0,AK177,MAX(0,(AK177-AL$4)*(1+NORMINV(RAND(),INPUTS!$B$28,INPUTS!$B$29))))</f>
        <v>1295092.15829995</v>
      </c>
      <c r="AM177" s="85" t="n">
        <f aca="true">IF(AM$5=0,AL177,MAX(0,(AL177-AM$4)*(1+NORMINV(RAND(),INPUTS!$B$28,INPUTS!$B$29))))</f>
        <v>1295092.15829995</v>
      </c>
      <c r="AN177" s="85" t="n">
        <f aca="true">IF(AN$5=0,AM177,MAX(0,(AM177-AN$4)*(1+NORMINV(RAND(),INPUTS!$B$28,INPUTS!$B$29))))</f>
        <v>1295092.15829995</v>
      </c>
      <c r="AO177" s="85" t="n">
        <f aca="true">IF(AO$5=0,AN177,MAX(0,(AN177-AO$4)*(1+NORMINV(RAND(),INPUTS!$B$28,INPUTS!$B$29))))</f>
        <v>1295092.15829995</v>
      </c>
      <c r="AP177" s="85" t="n">
        <f aca="true">IF(AP$5=0,AO177,MAX(0,(AO177-AP$4)*(1+NORMINV(RAND(),INPUTS!$B$28,INPUTS!$B$29))))</f>
        <v>1295092.15829995</v>
      </c>
    </row>
    <row r="178" customFormat="false" ht="15" hidden="false" customHeight="true" outlineLevel="0" collapsed="false">
      <c r="A178" s="83" t="n">
        <v>171</v>
      </c>
      <c r="B178" s="84" t="n">
        <f aca="false">LOOKUP(9.99E+307,C178:AP178)</f>
        <v>0</v>
      </c>
      <c r="C178" s="85" t="n">
        <f aca="true">IF(C$5=0,INPUTS!$B$19,MAX(0,(INPUTS!$B$19-C$4)*(1+NORMINV(RAND(),INPUTS!$B$28,INPUTS!$B$29))))</f>
        <v>1295524.90892783</v>
      </c>
      <c r="D178" s="85" t="n">
        <f aca="true">IF(D$5=0,C178,MAX(0,(C178-D$4)*(1+NORMINV(RAND(),INPUTS!$B$28,INPUTS!$B$29))))</f>
        <v>1459096.5997954</v>
      </c>
      <c r="E178" s="85" t="n">
        <f aca="true">IF(E$5=0,D178,MAX(0,(D178-E$4)*(1+NORMINV(RAND(),INPUTS!$B$28,INPUTS!$B$29))))</f>
        <v>1312619.24860244</v>
      </c>
      <c r="F178" s="85" t="n">
        <f aca="true">IF(F$5=0,E178,MAX(0,(E178-F$4)*(1+NORMINV(RAND(),INPUTS!$B$28,INPUTS!$B$29))))</f>
        <v>1294166.86666781</v>
      </c>
      <c r="G178" s="85" t="n">
        <f aca="true">IF(G$5=0,F178,MAX(0,(F178-G$4)*(1+NORMINV(RAND(),INPUTS!$B$28,INPUTS!$B$29))))</f>
        <v>1103810.84762173</v>
      </c>
      <c r="H178" s="85" t="n">
        <f aca="true">IF(H$5=0,G178,MAX(0,(G178-H$4)*(1+NORMINV(RAND(),INPUTS!$B$28,INPUTS!$B$29))))</f>
        <v>1203131.5128394</v>
      </c>
      <c r="I178" s="85" t="n">
        <f aca="true">IF(I$5=0,H178,MAX(0,(H178-I$4)*(1+NORMINV(RAND(),INPUTS!$B$28,INPUTS!$B$29))))</f>
        <v>1343084.11179165</v>
      </c>
      <c r="J178" s="85" t="n">
        <f aca="true">IF(J$5=0,I178,MAX(0,(I178-J$4)*(1+NORMINV(RAND(),INPUTS!$B$28,INPUTS!$B$29))))</f>
        <v>1055695.57687313</v>
      </c>
      <c r="K178" s="85" t="n">
        <f aca="true">IF(K$5=0,J178,MAX(0,(J178-K$4)*(1+NORMINV(RAND(),INPUTS!$B$28,INPUTS!$B$29))))</f>
        <v>957611.547752965</v>
      </c>
      <c r="L178" s="85" t="n">
        <f aca="true">IF(L$5=0,K178,MAX(0,(K178-L$4)*(1+NORMINV(RAND(),INPUTS!$B$28,INPUTS!$B$29))))</f>
        <v>757798.251839063</v>
      </c>
      <c r="M178" s="85" t="n">
        <f aca="true">IF(M$5=0,L178,MAX(0,(L178-M$4)*(1+NORMINV(RAND(),INPUTS!$B$28,INPUTS!$B$29))))</f>
        <v>788431.107903555</v>
      </c>
      <c r="N178" s="85" t="n">
        <f aca="true">IF(N$5=0,M178,MAX(0,(M178-N$4)*(1+NORMINV(RAND(),INPUTS!$B$28,INPUTS!$B$29))))</f>
        <v>702213.694142483</v>
      </c>
      <c r="O178" s="85" t="n">
        <f aca="true">IF(O$5=0,N178,MAX(0,(N178-O$4)*(1+NORMINV(RAND(),INPUTS!$B$28,INPUTS!$B$29))))</f>
        <v>655638.785133178</v>
      </c>
      <c r="P178" s="85" t="n">
        <f aca="true">IF(P$5=0,O178,MAX(0,(O178-P$4)*(1+NORMINV(RAND(),INPUTS!$B$28,INPUTS!$B$29))))</f>
        <v>517248.155275083</v>
      </c>
      <c r="Q178" s="85" t="n">
        <f aca="true">IF(Q$5=0,P178,MAX(0,(P178-Q$4)*(1+NORMINV(RAND(),INPUTS!$B$28,INPUTS!$B$29))))</f>
        <v>417772.388168882</v>
      </c>
      <c r="R178" s="85" t="n">
        <f aca="true">IF(R$5=0,Q178,MAX(0,(Q178-R$4)*(1+NORMINV(RAND(),INPUTS!$B$28,INPUTS!$B$29))))</f>
        <v>415476.406812465</v>
      </c>
      <c r="S178" s="85" t="n">
        <f aca="true">IF(S$5=0,R178,MAX(0,(R178-S$4)*(1+NORMINV(RAND(),INPUTS!$B$28,INPUTS!$B$29))))</f>
        <v>455222.401162188</v>
      </c>
      <c r="T178" s="85" t="n">
        <f aca="true">IF(T$5=0,S178,MAX(0,(S178-T$4)*(1+NORMINV(RAND(),INPUTS!$B$28,INPUTS!$B$29))))</f>
        <v>468021.496778347</v>
      </c>
      <c r="U178" s="85" t="n">
        <f aca="true">IF(U$5=0,T178,MAX(0,(T178-U$4)*(1+NORMINV(RAND(),INPUTS!$B$28,INPUTS!$B$29))))</f>
        <v>449343.902396928</v>
      </c>
      <c r="V178" s="85" t="n">
        <f aca="true">IF(V$5=0,U178,MAX(0,(U178-V$4)*(1+NORMINV(RAND(),INPUTS!$B$28,INPUTS!$B$29))))</f>
        <v>435183.705260746</v>
      </c>
      <c r="W178" s="85" t="n">
        <f aca="true">IF(W$5=0,V178,MAX(0,(V178-W$4)*(1+NORMINV(RAND(),INPUTS!$B$28,INPUTS!$B$29))))</f>
        <v>430861.526544634</v>
      </c>
      <c r="X178" s="85" t="n">
        <f aca="true">IF(X$5=0,W178,MAX(0,(W178-X$4)*(1+NORMINV(RAND(),INPUTS!$B$28,INPUTS!$B$29))))</f>
        <v>452579.426244801</v>
      </c>
      <c r="Y178" s="85" t="n">
        <f aca="true">IF(Y$5=0,X178,MAX(0,(X178-Y$4)*(1+NORMINV(RAND(),INPUTS!$B$28,INPUTS!$B$29))))</f>
        <v>435972.212310311</v>
      </c>
      <c r="Z178" s="85" t="n">
        <f aca="true">IF(Z$5=0,Y178,MAX(0,(Y178-Z$4)*(1+NORMINV(RAND(),INPUTS!$B$28,INPUTS!$B$29))))</f>
        <v>397668.587019519</v>
      </c>
      <c r="AA178" s="85" t="n">
        <f aca="true">IF(AA$5=0,Z178,MAX(0,(Z178-AA$4)*(1+NORMINV(RAND(),INPUTS!$B$28,INPUTS!$B$29))))</f>
        <v>353787.920085807</v>
      </c>
      <c r="AB178" s="85" t="n">
        <f aca="true">IF(AB$5=0,AA178,MAX(0,(AA178-AB$4)*(1+NORMINV(RAND(),INPUTS!$B$28,INPUTS!$B$29))))</f>
        <v>276224.145807842</v>
      </c>
      <c r="AC178" s="85" t="n">
        <f aca="true">IF(AC$5=0,AB178,MAX(0,(AB178-AC$4)*(1+NORMINV(RAND(),INPUTS!$B$28,INPUTS!$B$29))))</f>
        <v>196351.064465122</v>
      </c>
      <c r="AD178" s="85" t="n">
        <f aca="true">IF(AD$5=0,AC178,MAX(0,(AC178-AD$4)*(1+NORMINV(RAND(),INPUTS!$B$28,INPUTS!$B$29))))</f>
        <v>133522.009150627</v>
      </c>
      <c r="AE178" s="85" t="n">
        <f aca="true">IF(AE$5=0,AD178,MAX(0,(AD178-AE$4)*(1+NORMINV(RAND(),INPUTS!$B$28,INPUTS!$B$29))))</f>
        <v>82055.2831839789</v>
      </c>
      <c r="AF178" s="85" t="n">
        <f aca="true">IF(AF$5=0,AE178,MAX(0,(AE178-AF$4)*(1+NORMINV(RAND(),INPUTS!$B$28,INPUTS!$B$29))))</f>
        <v>13418.343618184</v>
      </c>
      <c r="AG178" s="85" t="n">
        <f aca="true">IF(AG$5=0,AF178,MAX(0,(AF178-AG$4)*(1+NORMINV(RAND(),INPUTS!$B$28,INPUTS!$B$29))))</f>
        <v>0</v>
      </c>
      <c r="AH178" s="85" t="n">
        <f aca="true">IF(AH$5=0,AG178,MAX(0,(AG178-AH$4)*(1+NORMINV(RAND(),INPUTS!$B$28,INPUTS!$B$29))))</f>
        <v>0</v>
      </c>
      <c r="AI178" s="85" t="n">
        <f aca="true">IF(AI$5=0,AH178,MAX(0,(AH178-AI$4)*(1+NORMINV(RAND(),INPUTS!$B$28,INPUTS!$B$29))))</f>
        <v>0</v>
      </c>
      <c r="AJ178" s="85" t="n">
        <f aca="true">IF(AJ$5=0,AI178,MAX(0,(AI178-AJ$4)*(1+NORMINV(RAND(),INPUTS!$B$28,INPUTS!$B$29))))</f>
        <v>0</v>
      </c>
      <c r="AK178" s="85" t="n">
        <f aca="true">IF(AK$5=0,AJ178,MAX(0,(AJ178-AK$4)*(1+NORMINV(RAND(),INPUTS!$B$28,INPUTS!$B$29))))</f>
        <v>0</v>
      </c>
      <c r="AL178" s="85" t="n">
        <f aca="true">IF(AL$5=0,AK178,MAX(0,(AK178-AL$4)*(1+NORMINV(RAND(),INPUTS!$B$28,INPUTS!$B$29))))</f>
        <v>0</v>
      </c>
      <c r="AM178" s="85" t="n">
        <f aca="true">IF(AM$5=0,AL178,MAX(0,(AL178-AM$4)*(1+NORMINV(RAND(),INPUTS!$B$28,INPUTS!$B$29))))</f>
        <v>0</v>
      </c>
      <c r="AN178" s="85" t="n">
        <f aca="true">IF(AN$5=0,AM178,MAX(0,(AM178-AN$4)*(1+NORMINV(RAND(),INPUTS!$B$28,INPUTS!$B$29))))</f>
        <v>0</v>
      </c>
      <c r="AO178" s="85" t="n">
        <f aca="true">IF(AO$5=0,AN178,MAX(0,(AN178-AO$4)*(1+NORMINV(RAND(),INPUTS!$B$28,INPUTS!$B$29))))</f>
        <v>0</v>
      </c>
      <c r="AP178" s="85" t="n">
        <f aca="true">IF(AP$5=0,AO178,MAX(0,(AO178-AP$4)*(1+NORMINV(RAND(),INPUTS!$B$28,INPUTS!$B$29))))</f>
        <v>0</v>
      </c>
    </row>
    <row r="179" customFormat="false" ht="15" hidden="false" customHeight="true" outlineLevel="0" collapsed="false">
      <c r="A179" s="83" t="n">
        <v>172</v>
      </c>
      <c r="B179" s="84" t="n">
        <f aca="false">LOOKUP(9.99E+307,C179:AP179)</f>
        <v>0</v>
      </c>
      <c r="C179" s="85" t="n">
        <f aca="true">IF(C$5=0,INPUTS!$B$19,MAX(0,(INPUTS!$B$19-C$4)*(1+NORMINV(RAND(),INPUTS!$B$28,INPUTS!$B$29))))</f>
        <v>1299760.88763024</v>
      </c>
      <c r="D179" s="85" t="n">
        <f aca="true">IF(D$5=0,C179,MAX(0,(C179-D$4)*(1+NORMINV(RAND(),INPUTS!$B$28,INPUTS!$B$29))))</f>
        <v>1438325.3779215</v>
      </c>
      <c r="E179" s="85" t="n">
        <f aca="true">IF(E$5=0,D179,MAX(0,(D179-E$4)*(1+NORMINV(RAND(),INPUTS!$B$28,INPUTS!$B$29))))</f>
        <v>1603812.00428856</v>
      </c>
      <c r="F179" s="85" t="n">
        <f aca="true">IF(F$5=0,E179,MAX(0,(E179-F$4)*(1+NORMINV(RAND(),INPUTS!$B$28,INPUTS!$B$29))))</f>
        <v>1968804.34155424</v>
      </c>
      <c r="G179" s="85" t="n">
        <f aca="true">IF(G$5=0,F179,MAX(0,(F179-G$4)*(1+NORMINV(RAND(),INPUTS!$B$28,INPUTS!$B$29))))</f>
        <v>2114113.03619124</v>
      </c>
      <c r="H179" s="85" t="n">
        <f aca="true">IF(H$5=0,G179,MAX(0,(G179-H$4)*(1+NORMINV(RAND(),INPUTS!$B$28,INPUTS!$B$29))))</f>
        <v>2189498.60847687</v>
      </c>
      <c r="I179" s="85" t="n">
        <f aca="true">IF(I$5=0,H179,MAX(0,(H179-I$4)*(1+NORMINV(RAND(),INPUTS!$B$28,INPUTS!$B$29))))</f>
        <v>2377547.78526205</v>
      </c>
      <c r="J179" s="85" t="n">
        <f aca="true">IF(J$5=0,I179,MAX(0,(I179-J$4)*(1+NORMINV(RAND(),INPUTS!$B$28,INPUTS!$B$29))))</f>
        <v>2077009.66320139</v>
      </c>
      <c r="K179" s="85" t="n">
        <f aca="true">IF(K$5=0,J179,MAX(0,(J179-K$4)*(1+NORMINV(RAND(),INPUTS!$B$28,INPUTS!$B$29))))</f>
        <v>1659784.15295105</v>
      </c>
      <c r="L179" s="85" t="n">
        <f aca="true">IF(L$5=0,K179,MAX(0,(K179-L$4)*(1+NORMINV(RAND(),INPUTS!$B$28,INPUTS!$B$29))))</f>
        <v>1263616.6944673</v>
      </c>
      <c r="M179" s="85" t="n">
        <f aca="true">IF(M$5=0,L179,MAX(0,(L179-M$4)*(1+NORMINV(RAND(),INPUTS!$B$28,INPUTS!$B$29))))</f>
        <v>1290419.51850644</v>
      </c>
      <c r="N179" s="85" t="n">
        <f aca="true">IF(N$5=0,M179,MAX(0,(M179-N$4)*(1+NORMINV(RAND(),INPUTS!$B$28,INPUTS!$B$29))))</f>
        <v>1239178.14756923</v>
      </c>
      <c r="O179" s="85" t="n">
        <f aca="true">IF(O$5=0,N179,MAX(0,(N179-O$4)*(1+NORMINV(RAND(),INPUTS!$B$28,INPUTS!$B$29))))</f>
        <v>1132404.78220644</v>
      </c>
      <c r="P179" s="85" t="n">
        <f aca="true">IF(P$5=0,O179,MAX(0,(O179-P$4)*(1+NORMINV(RAND(),INPUTS!$B$28,INPUTS!$B$29))))</f>
        <v>1355788.96541742</v>
      </c>
      <c r="Q179" s="85" t="n">
        <f aca="true">IF(Q$5=0,P179,MAX(0,(P179-Q$4)*(1+NORMINV(RAND(),INPUTS!$B$28,INPUTS!$B$29))))</f>
        <v>1143178.63612001</v>
      </c>
      <c r="R179" s="85" t="n">
        <f aca="true">IF(R$5=0,Q179,MAX(0,(Q179-R$4)*(1+NORMINV(RAND(),INPUTS!$B$28,INPUTS!$B$29))))</f>
        <v>916138.747224882</v>
      </c>
      <c r="S179" s="85" t="n">
        <f aca="true">IF(S$5=0,R179,MAX(0,(R179-S$4)*(1+NORMINV(RAND(),INPUTS!$B$28,INPUTS!$B$29))))</f>
        <v>1170453.64128451</v>
      </c>
      <c r="T179" s="85" t="n">
        <f aca="true">IF(T$5=0,S179,MAX(0,(S179-T$4)*(1+NORMINV(RAND(),INPUTS!$B$28,INPUTS!$B$29))))</f>
        <v>1142206.88166894</v>
      </c>
      <c r="U179" s="85" t="n">
        <f aca="true">IF(U$5=0,T179,MAX(0,(T179-U$4)*(1+NORMINV(RAND(),INPUTS!$B$28,INPUTS!$B$29))))</f>
        <v>1085169.11242841</v>
      </c>
      <c r="V179" s="85" t="n">
        <f aca="true">IF(V$5=0,U179,MAX(0,(U179-V$4)*(1+NORMINV(RAND(),INPUTS!$B$28,INPUTS!$B$29))))</f>
        <v>976965.117566804</v>
      </c>
      <c r="W179" s="85" t="n">
        <f aca="true">IF(W$5=0,V179,MAX(0,(V179-W$4)*(1+NORMINV(RAND(),INPUTS!$B$28,INPUTS!$B$29))))</f>
        <v>874702.424635984</v>
      </c>
      <c r="X179" s="85" t="n">
        <f aca="true">IF(X$5=0,W179,MAX(0,(W179-X$4)*(1+NORMINV(RAND(),INPUTS!$B$28,INPUTS!$B$29))))</f>
        <v>769732.926114616</v>
      </c>
      <c r="Y179" s="85" t="n">
        <f aca="true">IF(Y$5=0,X179,MAX(0,(X179-Y$4)*(1+NORMINV(RAND(),INPUTS!$B$28,INPUTS!$B$29))))</f>
        <v>950278.813181588</v>
      </c>
      <c r="Z179" s="85" t="n">
        <f aca="true">IF(Z$5=0,Y179,MAX(0,(Y179-Z$4)*(1+NORMINV(RAND(),INPUTS!$B$28,INPUTS!$B$29))))</f>
        <v>877425.388592732</v>
      </c>
      <c r="AA179" s="85" t="n">
        <f aca="true">IF(AA$5=0,Z179,MAX(0,(Z179-AA$4)*(1+NORMINV(RAND(),INPUTS!$B$28,INPUTS!$B$29))))</f>
        <v>734646.874727502</v>
      </c>
      <c r="AB179" s="85" t="n">
        <f aca="true">IF(AB$5=0,AA179,MAX(0,(AA179-AB$4)*(1+NORMINV(RAND(),INPUTS!$B$28,INPUTS!$B$29))))</f>
        <v>647896.050250693</v>
      </c>
      <c r="AC179" s="85" t="n">
        <f aca="true">IF(AC$5=0,AB179,MAX(0,(AB179-AC$4)*(1+NORMINV(RAND(),INPUTS!$B$28,INPUTS!$B$29))))</f>
        <v>570024.110814911</v>
      </c>
      <c r="AD179" s="85" t="n">
        <f aca="true">IF(AD$5=0,AC179,MAX(0,(AC179-AD$4)*(1+NORMINV(RAND(),INPUTS!$B$28,INPUTS!$B$29))))</f>
        <v>506945.216363901</v>
      </c>
      <c r="AE179" s="85" t="n">
        <f aca="true">IF(AE$5=0,AD179,MAX(0,(AD179-AE$4)*(1+NORMINV(RAND(),INPUTS!$B$28,INPUTS!$B$29))))</f>
        <v>389760.72379411</v>
      </c>
      <c r="AF179" s="85" t="n">
        <f aca="true">IF(AF$5=0,AE179,MAX(0,(AE179-AF$4)*(1+NORMINV(RAND(),INPUTS!$B$28,INPUTS!$B$29))))</f>
        <v>352972.813471552</v>
      </c>
      <c r="AG179" s="85" t="n">
        <f aca="true">IF(AG$5=0,AF179,MAX(0,(AF179-AG$4)*(1+NORMINV(RAND(),INPUTS!$B$28,INPUTS!$B$29))))</f>
        <v>276731.553952005</v>
      </c>
      <c r="AH179" s="85" t="n">
        <f aca="true">IF(AH$5=0,AG179,MAX(0,(AG179-AH$4)*(1+NORMINV(RAND(),INPUTS!$B$28,INPUTS!$B$29))))</f>
        <v>176832.059824487</v>
      </c>
      <c r="AI179" s="85" t="n">
        <f aca="true">IF(AI$5=0,AH179,MAX(0,(AH179-AI$4)*(1+NORMINV(RAND(),INPUTS!$B$28,INPUTS!$B$29))))</f>
        <v>121266.779529648</v>
      </c>
      <c r="AJ179" s="85" t="n">
        <f aca="true">IF(AJ$5=0,AI179,MAX(0,(AI179-AJ$4)*(1+NORMINV(RAND(),INPUTS!$B$28,INPUTS!$B$29))))</f>
        <v>39114.8997806821</v>
      </c>
      <c r="AK179" s="85" t="n">
        <f aca="true">IF(AK$5=0,AJ179,MAX(0,(AJ179-AK$4)*(1+NORMINV(RAND(),INPUTS!$B$28,INPUTS!$B$29))))</f>
        <v>0</v>
      </c>
      <c r="AL179" s="85" t="n">
        <f aca="true">IF(AL$5=0,AK179,MAX(0,(AK179-AL$4)*(1+NORMINV(RAND(),INPUTS!$B$28,INPUTS!$B$29))))</f>
        <v>0</v>
      </c>
      <c r="AM179" s="85" t="n">
        <f aca="true">IF(AM$5=0,AL179,MAX(0,(AL179-AM$4)*(1+NORMINV(RAND(),INPUTS!$B$28,INPUTS!$B$29))))</f>
        <v>0</v>
      </c>
      <c r="AN179" s="85" t="n">
        <f aca="true">IF(AN$5=0,AM179,MAX(0,(AM179-AN$4)*(1+NORMINV(RAND(),INPUTS!$B$28,INPUTS!$B$29))))</f>
        <v>0</v>
      </c>
      <c r="AO179" s="85" t="n">
        <f aca="true">IF(AO$5=0,AN179,MAX(0,(AN179-AO$4)*(1+NORMINV(RAND(),INPUTS!$B$28,INPUTS!$B$29))))</f>
        <v>0</v>
      </c>
      <c r="AP179" s="85" t="n">
        <f aca="true">IF(AP$5=0,AO179,MAX(0,(AO179-AP$4)*(1+NORMINV(RAND(),INPUTS!$B$28,INPUTS!$B$29))))</f>
        <v>0</v>
      </c>
    </row>
    <row r="180" customFormat="false" ht="15" hidden="false" customHeight="true" outlineLevel="0" collapsed="false">
      <c r="A180" s="83" t="n">
        <v>173</v>
      </c>
      <c r="B180" s="84" t="n">
        <f aca="false">LOOKUP(9.99E+307,C180:AP180)</f>
        <v>455585.56578717</v>
      </c>
      <c r="C180" s="85" t="n">
        <f aca="true">IF(C$5=0,INPUTS!$B$19,MAX(0,(INPUTS!$B$19-C$4)*(1+NORMINV(RAND(),INPUTS!$B$28,INPUTS!$B$29))))</f>
        <v>1226919.42190643</v>
      </c>
      <c r="D180" s="85" t="n">
        <f aca="true">IF(D$5=0,C180,MAX(0,(C180-D$4)*(1+NORMINV(RAND(),INPUTS!$B$28,INPUTS!$B$29))))</f>
        <v>984336.794682113</v>
      </c>
      <c r="E180" s="85" t="n">
        <f aca="true">IF(E$5=0,D180,MAX(0,(D180-E$4)*(1+NORMINV(RAND(),INPUTS!$B$28,INPUTS!$B$29))))</f>
        <v>1036067.85242863</v>
      </c>
      <c r="F180" s="85" t="n">
        <f aca="true">IF(F$5=0,E180,MAX(0,(E180-F$4)*(1+NORMINV(RAND(),INPUTS!$B$28,INPUTS!$B$29))))</f>
        <v>1205273.62740356</v>
      </c>
      <c r="G180" s="85" t="n">
        <f aca="true">IF(G$5=0,F180,MAX(0,(F180-G$4)*(1+NORMINV(RAND(),INPUTS!$B$28,INPUTS!$B$29))))</f>
        <v>983873.784671666</v>
      </c>
      <c r="H180" s="85" t="n">
        <f aca="true">IF(H$5=0,G180,MAX(0,(G180-H$4)*(1+NORMINV(RAND(),INPUTS!$B$28,INPUTS!$B$29))))</f>
        <v>1007820.09360636</v>
      </c>
      <c r="I180" s="85" t="n">
        <f aca="true">IF(I$5=0,H180,MAX(0,(H180-I$4)*(1+NORMINV(RAND(),INPUTS!$B$28,INPUTS!$B$29))))</f>
        <v>1184536.0662121</v>
      </c>
      <c r="J180" s="85" t="n">
        <f aca="true">IF(J$5=0,I180,MAX(0,(I180-J$4)*(1+NORMINV(RAND(),INPUTS!$B$28,INPUTS!$B$29))))</f>
        <v>1260072.06108956</v>
      </c>
      <c r="K180" s="85" t="n">
        <f aca="true">IF(K$5=0,J180,MAX(0,(J180-K$4)*(1+NORMINV(RAND(),INPUTS!$B$28,INPUTS!$B$29))))</f>
        <v>1279693.07325796</v>
      </c>
      <c r="L180" s="85" t="n">
        <f aca="true">IF(L$5=0,K180,MAX(0,(K180-L$4)*(1+NORMINV(RAND(),INPUTS!$B$28,INPUTS!$B$29))))</f>
        <v>1423426.64114756</v>
      </c>
      <c r="M180" s="85" t="n">
        <f aca="true">IF(M$5=0,L180,MAX(0,(L180-M$4)*(1+NORMINV(RAND(),INPUTS!$B$28,INPUTS!$B$29))))</f>
        <v>1546755.03897091</v>
      </c>
      <c r="N180" s="85" t="n">
        <f aca="true">IF(N$5=0,M180,MAX(0,(M180-N$4)*(1+NORMINV(RAND(),INPUTS!$B$28,INPUTS!$B$29))))</f>
        <v>1436099.72921056</v>
      </c>
      <c r="O180" s="85" t="n">
        <f aca="true">IF(O$5=0,N180,MAX(0,(N180-O$4)*(1+NORMINV(RAND(),INPUTS!$B$28,INPUTS!$B$29))))</f>
        <v>1228560.81372557</v>
      </c>
      <c r="P180" s="85" t="n">
        <f aca="true">IF(P$5=0,O180,MAX(0,(O180-P$4)*(1+NORMINV(RAND(),INPUTS!$B$28,INPUTS!$B$29))))</f>
        <v>1214789.76202045</v>
      </c>
      <c r="Q180" s="85" t="n">
        <f aca="true">IF(Q$5=0,P180,MAX(0,(P180-Q$4)*(1+NORMINV(RAND(),INPUTS!$B$28,INPUTS!$B$29))))</f>
        <v>1287435.36164328</v>
      </c>
      <c r="R180" s="85" t="n">
        <f aca="true">IF(R$5=0,Q180,MAX(0,(Q180-R$4)*(1+NORMINV(RAND(),INPUTS!$B$28,INPUTS!$B$29))))</f>
        <v>1227375.75890136</v>
      </c>
      <c r="S180" s="85" t="n">
        <f aca="true">IF(S$5=0,R180,MAX(0,(R180-S$4)*(1+NORMINV(RAND(),INPUTS!$B$28,INPUTS!$B$29))))</f>
        <v>1370387.52781704</v>
      </c>
      <c r="T180" s="85" t="n">
        <f aca="true">IF(T$5=0,S180,MAX(0,(S180-T$4)*(1+NORMINV(RAND(),INPUTS!$B$28,INPUTS!$B$29))))</f>
        <v>1250900.13194805</v>
      </c>
      <c r="U180" s="85" t="n">
        <f aca="true">IF(U$5=0,T180,MAX(0,(T180-U$4)*(1+NORMINV(RAND(),INPUTS!$B$28,INPUTS!$B$29))))</f>
        <v>1253137.46435923</v>
      </c>
      <c r="V180" s="85" t="n">
        <f aca="true">IF(V$5=0,U180,MAX(0,(U180-V$4)*(1+NORMINV(RAND(),INPUTS!$B$28,INPUTS!$B$29))))</f>
        <v>1013854.80936006</v>
      </c>
      <c r="W180" s="85" t="n">
        <f aca="true">IF(W$5=0,V180,MAX(0,(V180-W$4)*(1+NORMINV(RAND(),INPUTS!$B$28,INPUTS!$B$29))))</f>
        <v>1048334.72973926</v>
      </c>
      <c r="X180" s="85" t="n">
        <f aca="true">IF(X$5=0,W180,MAX(0,(W180-X$4)*(1+NORMINV(RAND(),INPUTS!$B$28,INPUTS!$B$29))))</f>
        <v>1120651.68365213</v>
      </c>
      <c r="Y180" s="85" t="n">
        <f aca="true">IF(Y$5=0,X180,MAX(0,(X180-Y$4)*(1+NORMINV(RAND(),INPUTS!$B$28,INPUTS!$B$29))))</f>
        <v>1194830.40311242</v>
      </c>
      <c r="Z180" s="85" t="n">
        <f aca="true">IF(Z$5=0,Y180,MAX(0,(Y180-Z$4)*(1+NORMINV(RAND(),INPUTS!$B$28,INPUTS!$B$29))))</f>
        <v>1222874.83795315</v>
      </c>
      <c r="AA180" s="85" t="n">
        <f aca="true">IF(AA$5=0,Z180,MAX(0,(Z180-AA$4)*(1+NORMINV(RAND(),INPUTS!$B$28,INPUTS!$B$29))))</f>
        <v>1173658.79644547</v>
      </c>
      <c r="AB180" s="85" t="n">
        <f aca="true">IF(AB$5=0,AA180,MAX(0,(AA180-AB$4)*(1+NORMINV(RAND(),INPUTS!$B$28,INPUTS!$B$29))))</f>
        <v>1031580.55364793</v>
      </c>
      <c r="AC180" s="85" t="n">
        <f aca="true">IF(AC$5=0,AB180,MAX(0,(AB180-AC$4)*(1+NORMINV(RAND(),INPUTS!$B$28,INPUTS!$B$29))))</f>
        <v>1087142.72999017</v>
      </c>
      <c r="AD180" s="85" t="n">
        <f aca="true">IF(AD$5=0,AC180,MAX(0,(AC180-AD$4)*(1+NORMINV(RAND(),INPUTS!$B$28,INPUTS!$B$29))))</f>
        <v>997334.936278004</v>
      </c>
      <c r="AE180" s="85" t="n">
        <f aca="true">IF(AE$5=0,AD180,MAX(0,(AD180-AE$4)*(1+NORMINV(RAND(),INPUTS!$B$28,INPUTS!$B$29))))</f>
        <v>842829.188011818</v>
      </c>
      <c r="AF180" s="85" t="n">
        <f aca="true">IF(AF$5=0,AE180,MAX(0,(AE180-AF$4)*(1+NORMINV(RAND(),INPUTS!$B$28,INPUTS!$B$29))))</f>
        <v>938630.003541856</v>
      </c>
      <c r="AG180" s="85" t="n">
        <f aca="true">IF(AG$5=0,AF180,MAX(0,(AF180-AG$4)*(1+NORMINV(RAND(),INPUTS!$B$28,INPUTS!$B$29))))</f>
        <v>775627.748030628</v>
      </c>
      <c r="AH180" s="85" t="n">
        <f aca="true">IF(AH$5=0,AG180,MAX(0,(AG180-AH$4)*(1+NORMINV(RAND(),INPUTS!$B$28,INPUTS!$B$29))))</f>
        <v>700254.4827068</v>
      </c>
      <c r="AI180" s="85" t="n">
        <f aca="true">IF(AI$5=0,AH180,MAX(0,(AH180-AI$4)*(1+NORMINV(RAND(),INPUTS!$B$28,INPUTS!$B$29))))</f>
        <v>577550.971677059</v>
      </c>
      <c r="AJ180" s="85" t="n">
        <f aca="true">IF(AJ$5=0,AI180,MAX(0,(AI180-AJ$4)*(1+NORMINV(RAND(),INPUTS!$B$28,INPUTS!$B$29))))</f>
        <v>570352.97429715</v>
      </c>
      <c r="AK180" s="85" t="n">
        <f aca="true">IF(AK$5=0,AJ180,MAX(0,(AJ180-AK$4)*(1+NORMINV(RAND(),INPUTS!$B$28,INPUTS!$B$29))))</f>
        <v>475118.083475666</v>
      </c>
      <c r="AL180" s="85" t="n">
        <f aca="true">IF(AL$5=0,AK180,MAX(0,(AK180-AL$4)*(1+NORMINV(RAND(),INPUTS!$B$28,INPUTS!$B$29))))</f>
        <v>455585.56578717</v>
      </c>
      <c r="AM180" s="85" t="n">
        <f aca="true">IF(AM$5=0,AL180,MAX(0,(AL180-AM$4)*(1+NORMINV(RAND(),INPUTS!$B$28,INPUTS!$B$29))))</f>
        <v>455585.56578717</v>
      </c>
      <c r="AN180" s="85" t="n">
        <f aca="true">IF(AN$5=0,AM180,MAX(0,(AM180-AN$4)*(1+NORMINV(RAND(),INPUTS!$B$28,INPUTS!$B$29))))</f>
        <v>455585.56578717</v>
      </c>
      <c r="AO180" s="85" t="n">
        <f aca="true">IF(AO$5=0,AN180,MAX(0,(AN180-AO$4)*(1+NORMINV(RAND(),INPUTS!$B$28,INPUTS!$B$29))))</f>
        <v>455585.56578717</v>
      </c>
      <c r="AP180" s="85" t="n">
        <f aca="true">IF(AP$5=0,AO180,MAX(0,(AO180-AP$4)*(1+NORMINV(RAND(),INPUTS!$B$28,INPUTS!$B$29))))</f>
        <v>455585.56578717</v>
      </c>
    </row>
    <row r="181" customFormat="false" ht="15" hidden="false" customHeight="true" outlineLevel="0" collapsed="false">
      <c r="A181" s="83" t="n">
        <v>174</v>
      </c>
      <c r="B181" s="84" t="n">
        <f aca="false">LOOKUP(9.99E+307,C181:AP181)</f>
        <v>0</v>
      </c>
      <c r="C181" s="85" t="n">
        <f aca="true">IF(C$5=0,INPUTS!$B$19,MAX(0,(INPUTS!$B$19-C$4)*(1+NORMINV(RAND(),INPUTS!$B$28,INPUTS!$B$29))))</f>
        <v>1019502.79043715</v>
      </c>
      <c r="D181" s="85" t="n">
        <f aca="true">IF(D$5=0,C181,MAX(0,(C181-D$4)*(1+NORMINV(RAND(),INPUTS!$B$28,INPUTS!$B$29))))</f>
        <v>842845.563547887</v>
      </c>
      <c r="E181" s="85" t="n">
        <f aca="true">IF(E$5=0,D181,MAX(0,(D181-E$4)*(1+NORMINV(RAND(),INPUTS!$B$28,INPUTS!$B$29))))</f>
        <v>639006.211549938</v>
      </c>
      <c r="F181" s="85" t="n">
        <f aca="true">IF(F$5=0,E181,MAX(0,(E181-F$4)*(1+NORMINV(RAND(),INPUTS!$B$28,INPUTS!$B$29))))</f>
        <v>622938.227913447</v>
      </c>
      <c r="G181" s="85" t="n">
        <f aca="true">IF(G$5=0,F181,MAX(0,(F181-G$4)*(1+NORMINV(RAND(),INPUTS!$B$28,INPUTS!$B$29))))</f>
        <v>593319.610495844</v>
      </c>
      <c r="H181" s="85" t="n">
        <f aca="true">IF(H$5=0,G181,MAX(0,(G181-H$4)*(1+NORMINV(RAND(),INPUTS!$B$28,INPUTS!$B$29))))</f>
        <v>525128.274081128</v>
      </c>
      <c r="I181" s="85" t="n">
        <f aca="true">IF(I$5=0,H181,MAX(0,(H181-I$4)*(1+NORMINV(RAND(),INPUTS!$B$28,INPUTS!$B$29))))</f>
        <v>521902.081197331</v>
      </c>
      <c r="J181" s="85" t="n">
        <f aca="true">IF(J$5=0,I181,MAX(0,(I181-J$4)*(1+NORMINV(RAND(),INPUTS!$B$28,INPUTS!$B$29))))</f>
        <v>466642.168611566</v>
      </c>
      <c r="K181" s="85" t="n">
        <f aca="true">IF(K$5=0,J181,MAX(0,(J181-K$4)*(1+NORMINV(RAND(),INPUTS!$B$28,INPUTS!$B$29))))</f>
        <v>393267.350417907</v>
      </c>
      <c r="L181" s="85" t="n">
        <f aca="true">IF(L$5=0,K181,MAX(0,(K181-L$4)*(1+NORMINV(RAND(),INPUTS!$B$28,INPUTS!$B$29))))</f>
        <v>339852.024883531</v>
      </c>
      <c r="M181" s="85" t="n">
        <f aca="true">IF(M$5=0,L181,MAX(0,(L181-M$4)*(1+NORMINV(RAND(),INPUTS!$B$28,INPUTS!$B$29))))</f>
        <v>269775.401514728</v>
      </c>
      <c r="N181" s="85" t="n">
        <f aca="true">IF(N$5=0,M181,MAX(0,(M181-N$4)*(1+NORMINV(RAND(),INPUTS!$B$28,INPUTS!$B$29))))</f>
        <v>206142.5179117</v>
      </c>
      <c r="O181" s="85" t="n">
        <f aca="true">IF(O$5=0,N181,MAX(0,(N181-O$4)*(1+NORMINV(RAND(),INPUTS!$B$28,INPUTS!$B$29))))</f>
        <v>172567.698050821</v>
      </c>
      <c r="P181" s="85" t="n">
        <f aca="true">IF(P$5=0,O181,MAX(0,(O181-P$4)*(1+NORMINV(RAND(),INPUTS!$B$28,INPUTS!$B$29))))</f>
        <v>118002.023988558</v>
      </c>
      <c r="Q181" s="85" t="n">
        <f aca="true">IF(Q$5=0,P181,MAX(0,(P181-Q$4)*(1+NORMINV(RAND(),INPUTS!$B$28,INPUTS!$B$29))))</f>
        <v>66904.5467476015</v>
      </c>
      <c r="R181" s="85" t="n">
        <f aca="true">IF(R$5=0,Q181,MAX(0,(Q181-R$4)*(1+NORMINV(RAND(),INPUTS!$B$28,INPUTS!$B$29))))</f>
        <v>18352.0987460496</v>
      </c>
      <c r="S181" s="85" t="n">
        <f aca="true">IF(S$5=0,R181,MAX(0,(R181-S$4)*(1+NORMINV(RAND(),INPUTS!$B$28,INPUTS!$B$29))))</f>
        <v>0</v>
      </c>
      <c r="T181" s="85" t="n">
        <f aca="true">IF(T$5=0,S181,MAX(0,(S181-T$4)*(1+NORMINV(RAND(),INPUTS!$B$28,INPUTS!$B$29))))</f>
        <v>0</v>
      </c>
      <c r="U181" s="85" t="n">
        <f aca="true">IF(U$5=0,T181,MAX(0,(T181-U$4)*(1+NORMINV(RAND(),INPUTS!$B$28,INPUTS!$B$29))))</f>
        <v>0</v>
      </c>
      <c r="V181" s="85" t="n">
        <f aca="true">IF(V$5=0,U181,MAX(0,(U181-V$4)*(1+NORMINV(RAND(),INPUTS!$B$28,INPUTS!$B$29))))</f>
        <v>0</v>
      </c>
      <c r="W181" s="85" t="n">
        <f aca="true">IF(W$5=0,V181,MAX(0,(V181-W$4)*(1+NORMINV(RAND(),INPUTS!$B$28,INPUTS!$B$29))))</f>
        <v>0</v>
      </c>
      <c r="X181" s="85" t="n">
        <f aca="true">IF(X$5=0,W181,MAX(0,(W181-X$4)*(1+NORMINV(RAND(),INPUTS!$B$28,INPUTS!$B$29))))</f>
        <v>0</v>
      </c>
      <c r="Y181" s="85" t="n">
        <f aca="true">IF(Y$5=0,X181,MAX(0,(X181-Y$4)*(1+NORMINV(RAND(),INPUTS!$B$28,INPUTS!$B$29))))</f>
        <v>0</v>
      </c>
      <c r="Z181" s="85" t="n">
        <f aca="true">IF(Z$5=0,Y181,MAX(0,(Y181-Z$4)*(1+NORMINV(RAND(),INPUTS!$B$28,INPUTS!$B$29))))</f>
        <v>0</v>
      </c>
      <c r="AA181" s="85" t="n">
        <f aca="true">IF(AA$5=0,Z181,MAX(0,(Z181-AA$4)*(1+NORMINV(RAND(),INPUTS!$B$28,INPUTS!$B$29))))</f>
        <v>0</v>
      </c>
      <c r="AB181" s="85" t="n">
        <f aca="true">IF(AB$5=0,AA181,MAX(0,(AA181-AB$4)*(1+NORMINV(RAND(),INPUTS!$B$28,INPUTS!$B$29))))</f>
        <v>0</v>
      </c>
      <c r="AC181" s="85" t="n">
        <f aca="true">IF(AC$5=0,AB181,MAX(0,(AB181-AC$4)*(1+NORMINV(RAND(),INPUTS!$B$28,INPUTS!$B$29))))</f>
        <v>0</v>
      </c>
      <c r="AD181" s="85" t="n">
        <f aca="true">IF(AD$5=0,AC181,MAX(0,(AC181-AD$4)*(1+NORMINV(RAND(),INPUTS!$B$28,INPUTS!$B$29))))</f>
        <v>0</v>
      </c>
      <c r="AE181" s="85" t="n">
        <f aca="true">IF(AE$5=0,AD181,MAX(0,(AD181-AE$4)*(1+NORMINV(RAND(),INPUTS!$B$28,INPUTS!$B$29))))</f>
        <v>0</v>
      </c>
      <c r="AF181" s="85" t="n">
        <f aca="true">IF(AF$5=0,AE181,MAX(0,(AE181-AF$4)*(1+NORMINV(RAND(),INPUTS!$B$28,INPUTS!$B$29))))</f>
        <v>0</v>
      </c>
      <c r="AG181" s="85" t="n">
        <f aca="true">IF(AG$5=0,AF181,MAX(0,(AF181-AG$4)*(1+NORMINV(RAND(),INPUTS!$B$28,INPUTS!$B$29))))</f>
        <v>0</v>
      </c>
      <c r="AH181" s="85" t="n">
        <f aca="true">IF(AH$5=0,AG181,MAX(0,(AG181-AH$4)*(1+NORMINV(RAND(),INPUTS!$B$28,INPUTS!$B$29))))</f>
        <v>0</v>
      </c>
      <c r="AI181" s="85" t="n">
        <f aca="true">IF(AI$5=0,AH181,MAX(0,(AH181-AI$4)*(1+NORMINV(RAND(),INPUTS!$B$28,INPUTS!$B$29))))</f>
        <v>0</v>
      </c>
      <c r="AJ181" s="85" t="n">
        <f aca="true">IF(AJ$5=0,AI181,MAX(0,(AI181-AJ$4)*(1+NORMINV(RAND(),INPUTS!$B$28,INPUTS!$B$29))))</f>
        <v>0</v>
      </c>
      <c r="AK181" s="85" t="n">
        <f aca="true">IF(AK$5=0,AJ181,MAX(0,(AJ181-AK$4)*(1+NORMINV(RAND(),INPUTS!$B$28,INPUTS!$B$29))))</f>
        <v>0</v>
      </c>
      <c r="AL181" s="85" t="n">
        <f aca="true">IF(AL$5=0,AK181,MAX(0,(AK181-AL$4)*(1+NORMINV(RAND(),INPUTS!$B$28,INPUTS!$B$29))))</f>
        <v>0</v>
      </c>
      <c r="AM181" s="85" t="n">
        <f aca="true">IF(AM$5=0,AL181,MAX(0,(AL181-AM$4)*(1+NORMINV(RAND(),INPUTS!$B$28,INPUTS!$B$29))))</f>
        <v>0</v>
      </c>
      <c r="AN181" s="85" t="n">
        <f aca="true">IF(AN$5=0,AM181,MAX(0,(AM181-AN$4)*(1+NORMINV(RAND(),INPUTS!$B$28,INPUTS!$B$29))))</f>
        <v>0</v>
      </c>
      <c r="AO181" s="85" t="n">
        <f aca="true">IF(AO$5=0,AN181,MAX(0,(AN181-AO$4)*(1+NORMINV(RAND(),INPUTS!$B$28,INPUTS!$B$29))))</f>
        <v>0</v>
      </c>
      <c r="AP181" s="85" t="n">
        <f aca="true">IF(AP$5=0,AO181,MAX(0,(AO181-AP$4)*(1+NORMINV(RAND(),INPUTS!$B$28,INPUTS!$B$29))))</f>
        <v>0</v>
      </c>
    </row>
    <row r="182" customFormat="false" ht="15" hidden="false" customHeight="true" outlineLevel="0" collapsed="false">
      <c r="A182" s="83" t="n">
        <v>175</v>
      </c>
      <c r="B182" s="84" t="n">
        <f aca="false">LOOKUP(9.99E+307,C182:AP182)</f>
        <v>0</v>
      </c>
      <c r="C182" s="85" t="n">
        <f aca="true">IF(C$5=0,INPUTS!$B$19,MAX(0,(INPUTS!$B$19-C$4)*(1+NORMINV(RAND(),INPUTS!$B$28,INPUTS!$B$29))))</f>
        <v>1085760.85491448</v>
      </c>
      <c r="D182" s="85" t="n">
        <f aca="true">IF(D$5=0,C182,MAX(0,(C182-D$4)*(1+NORMINV(RAND(),INPUTS!$B$28,INPUTS!$B$29))))</f>
        <v>1027152.54432946</v>
      </c>
      <c r="E182" s="85" t="n">
        <f aca="true">IF(E$5=0,D182,MAX(0,(D182-E$4)*(1+NORMINV(RAND(),INPUTS!$B$28,INPUTS!$B$29))))</f>
        <v>1162175.40575817</v>
      </c>
      <c r="F182" s="85" t="n">
        <f aca="true">IF(F$5=0,E182,MAX(0,(E182-F$4)*(1+NORMINV(RAND(),INPUTS!$B$28,INPUTS!$B$29))))</f>
        <v>1204650.77741066</v>
      </c>
      <c r="G182" s="85" t="n">
        <f aca="true">IF(G$5=0,F182,MAX(0,(F182-G$4)*(1+NORMINV(RAND(),INPUTS!$B$28,INPUTS!$B$29))))</f>
        <v>1019318.07316748</v>
      </c>
      <c r="H182" s="85" t="n">
        <f aca="true">IF(H$5=0,G182,MAX(0,(G182-H$4)*(1+NORMINV(RAND(),INPUTS!$B$28,INPUTS!$B$29))))</f>
        <v>1014241.92001949</v>
      </c>
      <c r="I182" s="85" t="n">
        <f aca="true">IF(I$5=0,H182,MAX(0,(H182-I$4)*(1+NORMINV(RAND(),INPUTS!$B$28,INPUTS!$B$29))))</f>
        <v>1105158.08617011</v>
      </c>
      <c r="J182" s="85" t="n">
        <f aca="true">IF(J$5=0,I182,MAX(0,(I182-J$4)*(1+NORMINV(RAND(),INPUTS!$B$28,INPUTS!$B$29))))</f>
        <v>1079922.28216861</v>
      </c>
      <c r="K182" s="85" t="n">
        <f aca="true">IF(K$5=0,J182,MAX(0,(J182-K$4)*(1+NORMINV(RAND(),INPUTS!$B$28,INPUTS!$B$29))))</f>
        <v>1164325.40822633</v>
      </c>
      <c r="L182" s="85" t="n">
        <f aca="true">IF(L$5=0,K182,MAX(0,(K182-L$4)*(1+NORMINV(RAND(),INPUTS!$B$28,INPUTS!$B$29))))</f>
        <v>938335.788242977</v>
      </c>
      <c r="M182" s="85" t="n">
        <f aca="true">IF(M$5=0,L182,MAX(0,(L182-M$4)*(1+NORMINV(RAND(),INPUTS!$B$28,INPUTS!$B$29))))</f>
        <v>831222.404332019</v>
      </c>
      <c r="N182" s="85" t="n">
        <f aca="true">IF(N$5=0,M182,MAX(0,(M182-N$4)*(1+NORMINV(RAND(),INPUTS!$B$28,INPUTS!$B$29))))</f>
        <v>707896.37423259</v>
      </c>
      <c r="O182" s="85" t="n">
        <f aca="true">IF(O$5=0,N182,MAX(0,(N182-O$4)*(1+NORMINV(RAND(),INPUTS!$B$28,INPUTS!$B$29))))</f>
        <v>729316.705124179</v>
      </c>
      <c r="P182" s="85" t="n">
        <f aca="true">IF(P$5=0,O182,MAX(0,(O182-P$4)*(1+NORMINV(RAND(),INPUTS!$B$28,INPUTS!$B$29))))</f>
        <v>749280.30718151</v>
      </c>
      <c r="Q182" s="85" t="n">
        <f aca="true">IF(Q$5=0,P182,MAX(0,(P182-Q$4)*(1+NORMINV(RAND(),INPUTS!$B$28,INPUTS!$B$29))))</f>
        <v>625822.777046705</v>
      </c>
      <c r="R182" s="85" t="n">
        <f aca="true">IF(R$5=0,Q182,MAX(0,(Q182-R$4)*(1+NORMINV(RAND(),INPUTS!$B$28,INPUTS!$B$29))))</f>
        <v>586511.140472701</v>
      </c>
      <c r="S182" s="85" t="n">
        <f aca="true">IF(S$5=0,R182,MAX(0,(R182-S$4)*(1+NORMINV(RAND(),INPUTS!$B$28,INPUTS!$B$29))))</f>
        <v>554561.757094451</v>
      </c>
      <c r="T182" s="85" t="n">
        <f aca="true">IF(T$5=0,S182,MAX(0,(S182-T$4)*(1+NORMINV(RAND(),INPUTS!$B$28,INPUTS!$B$29))))</f>
        <v>555544.853043228</v>
      </c>
      <c r="U182" s="85" t="n">
        <f aca="true">IF(U$5=0,T182,MAX(0,(T182-U$4)*(1+NORMINV(RAND(),INPUTS!$B$28,INPUTS!$B$29))))</f>
        <v>491749.237213846</v>
      </c>
      <c r="V182" s="85" t="n">
        <f aca="true">IF(V$5=0,U182,MAX(0,(U182-V$4)*(1+NORMINV(RAND(),INPUTS!$B$28,INPUTS!$B$29))))</f>
        <v>448982.668179941</v>
      </c>
      <c r="W182" s="85" t="n">
        <f aca="true">IF(W$5=0,V182,MAX(0,(V182-W$4)*(1+NORMINV(RAND(),INPUTS!$B$28,INPUTS!$B$29))))</f>
        <v>470842.562869557</v>
      </c>
      <c r="X182" s="85" t="n">
        <f aca="true">IF(X$5=0,W182,MAX(0,(W182-X$4)*(1+NORMINV(RAND(),INPUTS!$B$28,INPUTS!$B$29))))</f>
        <v>499553.929328987</v>
      </c>
      <c r="Y182" s="85" t="n">
        <f aca="true">IF(Y$5=0,X182,MAX(0,(X182-Y$4)*(1+NORMINV(RAND(),INPUTS!$B$28,INPUTS!$B$29))))</f>
        <v>496867.349344857</v>
      </c>
      <c r="Z182" s="85" t="n">
        <f aca="true">IF(Z$5=0,Y182,MAX(0,(Y182-Z$4)*(1+NORMINV(RAND(),INPUTS!$B$28,INPUTS!$B$29))))</f>
        <v>442402.087325191</v>
      </c>
      <c r="AA182" s="85" t="n">
        <f aca="true">IF(AA$5=0,Z182,MAX(0,(Z182-AA$4)*(1+NORMINV(RAND(),INPUTS!$B$28,INPUTS!$B$29))))</f>
        <v>372500.536615412</v>
      </c>
      <c r="AB182" s="85" t="n">
        <f aca="true">IF(AB$5=0,AA182,MAX(0,(AA182-AB$4)*(1+NORMINV(RAND(),INPUTS!$B$28,INPUTS!$B$29))))</f>
        <v>314294.819947322</v>
      </c>
      <c r="AC182" s="85" t="n">
        <f aca="true">IF(AC$5=0,AB182,MAX(0,(AB182-AC$4)*(1+NORMINV(RAND(),INPUTS!$B$28,INPUTS!$B$29))))</f>
        <v>259502.247177324</v>
      </c>
      <c r="AD182" s="85" t="n">
        <f aca="true">IF(AD$5=0,AC182,MAX(0,(AC182-AD$4)*(1+NORMINV(RAND(),INPUTS!$B$28,INPUTS!$B$29))))</f>
        <v>211976.184244486</v>
      </c>
      <c r="AE182" s="85" t="n">
        <f aca="true">IF(AE$5=0,AD182,MAX(0,(AD182-AE$4)*(1+NORMINV(RAND(),INPUTS!$B$28,INPUTS!$B$29))))</f>
        <v>159237.87998511</v>
      </c>
      <c r="AF182" s="85" t="n">
        <f aca="true">IF(AF$5=0,AE182,MAX(0,(AE182-AF$4)*(1+NORMINV(RAND(),INPUTS!$B$28,INPUTS!$B$29))))</f>
        <v>68263.7309734699</v>
      </c>
      <c r="AG182" s="85" t="n">
        <f aca="true">IF(AG$5=0,AF182,MAX(0,(AF182-AG$4)*(1+NORMINV(RAND(),INPUTS!$B$28,INPUTS!$B$29))))</f>
        <v>0</v>
      </c>
      <c r="AH182" s="85" t="n">
        <f aca="true">IF(AH$5=0,AG182,MAX(0,(AG182-AH$4)*(1+NORMINV(RAND(),INPUTS!$B$28,INPUTS!$B$29))))</f>
        <v>0</v>
      </c>
      <c r="AI182" s="85" t="n">
        <f aca="true">IF(AI$5=0,AH182,MAX(0,(AH182-AI$4)*(1+NORMINV(RAND(),INPUTS!$B$28,INPUTS!$B$29))))</f>
        <v>0</v>
      </c>
      <c r="AJ182" s="85" t="n">
        <f aca="true">IF(AJ$5=0,AI182,MAX(0,(AI182-AJ$4)*(1+NORMINV(RAND(),INPUTS!$B$28,INPUTS!$B$29))))</f>
        <v>0</v>
      </c>
      <c r="AK182" s="85" t="n">
        <f aca="true">IF(AK$5=0,AJ182,MAX(0,(AJ182-AK$4)*(1+NORMINV(RAND(),INPUTS!$B$28,INPUTS!$B$29))))</f>
        <v>0</v>
      </c>
      <c r="AL182" s="85" t="n">
        <f aca="true">IF(AL$5=0,AK182,MAX(0,(AK182-AL$4)*(1+NORMINV(RAND(),INPUTS!$B$28,INPUTS!$B$29))))</f>
        <v>0</v>
      </c>
      <c r="AM182" s="85" t="n">
        <f aca="true">IF(AM$5=0,AL182,MAX(0,(AL182-AM$4)*(1+NORMINV(RAND(),INPUTS!$B$28,INPUTS!$B$29))))</f>
        <v>0</v>
      </c>
      <c r="AN182" s="85" t="n">
        <f aca="true">IF(AN$5=0,AM182,MAX(0,(AM182-AN$4)*(1+NORMINV(RAND(),INPUTS!$B$28,INPUTS!$B$29))))</f>
        <v>0</v>
      </c>
      <c r="AO182" s="85" t="n">
        <f aca="true">IF(AO$5=0,AN182,MAX(0,(AN182-AO$4)*(1+NORMINV(RAND(),INPUTS!$B$28,INPUTS!$B$29))))</f>
        <v>0</v>
      </c>
      <c r="AP182" s="85" t="n">
        <f aca="true">IF(AP$5=0,AO182,MAX(0,(AO182-AP$4)*(1+NORMINV(RAND(),INPUTS!$B$28,INPUTS!$B$29))))</f>
        <v>0</v>
      </c>
    </row>
    <row r="183" customFormat="false" ht="15" hidden="false" customHeight="true" outlineLevel="0" collapsed="false">
      <c r="A183" s="83" t="n">
        <v>176</v>
      </c>
      <c r="B183" s="84" t="n">
        <f aca="false">LOOKUP(9.99E+307,C183:AP183)</f>
        <v>840817.233927547</v>
      </c>
      <c r="C183" s="85" t="n">
        <f aca="true">IF(C$5=0,INPUTS!$B$19,MAX(0,(INPUTS!$B$19-C$4)*(1+NORMINV(RAND(),INPUTS!$B$28,INPUTS!$B$29))))</f>
        <v>1363542.95830005</v>
      </c>
      <c r="D183" s="85" t="n">
        <f aca="true">IF(D$5=0,C183,MAX(0,(C183-D$4)*(1+NORMINV(RAND(),INPUTS!$B$28,INPUTS!$B$29))))</f>
        <v>1366220.28010795</v>
      </c>
      <c r="E183" s="85" t="n">
        <f aca="true">IF(E$5=0,D183,MAX(0,(D183-E$4)*(1+NORMINV(RAND(),INPUTS!$B$28,INPUTS!$B$29))))</f>
        <v>1484749.63852938</v>
      </c>
      <c r="F183" s="85" t="n">
        <f aca="true">IF(F$5=0,E183,MAX(0,(E183-F$4)*(1+NORMINV(RAND(),INPUTS!$B$28,INPUTS!$B$29))))</f>
        <v>1762063.09376257</v>
      </c>
      <c r="G183" s="85" t="n">
        <f aca="true">IF(G$5=0,F183,MAX(0,(F183-G$4)*(1+NORMINV(RAND(),INPUTS!$B$28,INPUTS!$B$29))))</f>
        <v>1931470.54138793</v>
      </c>
      <c r="H183" s="85" t="n">
        <f aca="true">IF(H$5=0,G183,MAX(0,(G183-H$4)*(1+NORMINV(RAND(),INPUTS!$B$28,INPUTS!$B$29))))</f>
        <v>2105056.60038993</v>
      </c>
      <c r="I183" s="85" t="n">
        <f aca="true">IF(I$5=0,H183,MAX(0,(H183-I$4)*(1+NORMINV(RAND(),INPUTS!$B$28,INPUTS!$B$29))))</f>
        <v>2214566.79833344</v>
      </c>
      <c r="J183" s="85" t="n">
        <f aca="true">IF(J$5=0,I183,MAX(0,(I183-J$4)*(1+NORMINV(RAND(),INPUTS!$B$28,INPUTS!$B$29))))</f>
        <v>2400453.28012743</v>
      </c>
      <c r="K183" s="85" t="n">
        <f aca="true">IF(K$5=0,J183,MAX(0,(J183-K$4)*(1+NORMINV(RAND(),INPUTS!$B$28,INPUTS!$B$29))))</f>
        <v>2482760.30982351</v>
      </c>
      <c r="L183" s="85" t="n">
        <f aca="true">IF(L$5=0,K183,MAX(0,(K183-L$4)*(1+NORMINV(RAND(),INPUTS!$B$28,INPUTS!$B$29))))</f>
        <v>2702738.18457509</v>
      </c>
      <c r="M183" s="85" t="n">
        <f aca="true">IF(M$5=0,L183,MAX(0,(L183-M$4)*(1+NORMINV(RAND(),INPUTS!$B$28,INPUTS!$B$29))))</f>
        <v>2120323.59445722</v>
      </c>
      <c r="N183" s="85" t="n">
        <f aca="true">IF(N$5=0,M183,MAX(0,(M183-N$4)*(1+NORMINV(RAND(),INPUTS!$B$28,INPUTS!$B$29))))</f>
        <v>1682238.47965779</v>
      </c>
      <c r="O183" s="85" t="n">
        <f aca="true">IF(O$5=0,N183,MAX(0,(N183-O$4)*(1+NORMINV(RAND(),INPUTS!$B$28,INPUTS!$B$29))))</f>
        <v>1479090.50132319</v>
      </c>
      <c r="P183" s="85" t="n">
        <f aca="true">IF(P$5=0,O183,MAX(0,(O183-P$4)*(1+NORMINV(RAND(),INPUTS!$B$28,INPUTS!$B$29))))</f>
        <v>1472545.02549312</v>
      </c>
      <c r="Q183" s="85" t="n">
        <f aca="true">IF(Q$5=0,P183,MAX(0,(P183-Q$4)*(1+NORMINV(RAND(),INPUTS!$B$28,INPUTS!$B$29))))</f>
        <v>1526961.60095043</v>
      </c>
      <c r="R183" s="85" t="n">
        <f aca="true">IF(R$5=0,Q183,MAX(0,(Q183-R$4)*(1+NORMINV(RAND(),INPUTS!$B$28,INPUTS!$B$29))))</f>
        <v>1976888.01467458</v>
      </c>
      <c r="S183" s="85" t="n">
        <f aca="true">IF(S$5=0,R183,MAX(0,(R183-S$4)*(1+NORMINV(RAND(),INPUTS!$B$28,INPUTS!$B$29))))</f>
        <v>2607852.62432967</v>
      </c>
      <c r="T183" s="85" t="n">
        <f aca="true">IF(T$5=0,S183,MAX(0,(S183-T$4)*(1+NORMINV(RAND(),INPUTS!$B$28,INPUTS!$B$29))))</f>
        <v>2526109.34697664</v>
      </c>
      <c r="U183" s="85" t="n">
        <f aca="true">IF(U$5=0,T183,MAX(0,(T183-U$4)*(1+NORMINV(RAND(),INPUTS!$B$28,INPUTS!$B$29))))</f>
        <v>2452008.09563127</v>
      </c>
      <c r="V183" s="85" t="n">
        <f aca="true">IF(V$5=0,U183,MAX(0,(U183-V$4)*(1+NORMINV(RAND(),INPUTS!$B$28,INPUTS!$B$29))))</f>
        <v>2269601.02088952</v>
      </c>
      <c r="W183" s="85" t="n">
        <f aca="true">IF(W$5=0,V183,MAX(0,(V183-W$4)*(1+NORMINV(RAND(),INPUTS!$B$28,INPUTS!$B$29))))</f>
        <v>2054825.24563267</v>
      </c>
      <c r="X183" s="85" t="n">
        <f aca="true">IF(X$5=0,W183,MAX(0,(W183-X$4)*(1+NORMINV(RAND(),INPUTS!$B$28,INPUTS!$B$29))))</f>
        <v>2080037.01580636</v>
      </c>
      <c r="Y183" s="85" t="n">
        <f aca="true">IF(Y$5=0,X183,MAX(0,(X183-Y$4)*(1+NORMINV(RAND(),INPUTS!$B$28,INPUTS!$B$29))))</f>
        <v>2008556.9416669</v>
      </c>
      <c r="Z183" s="85" t="n">
        <f aca="true">IF(Z$5=0,Y183,MAX(0,(Y183-Z$4)*(1+NORMINV(RAND(),INPUTS!$B$28,INPUTS!$B$29))))</f>
        <v>2159135.76951611</v>
      </c>
      <c r="AA183" s="85" t="n">
        <f aca="true">IF(AA$5=0,Z183,MAX(0,(Z183-AA$4)*(1+NORMINV(RAND(),INPUTS!$B$28,INPUTS!$B$29))))</f>
        <v>2014267.31615781</v>
      </c>
      <c r="AB183" s="85" t="n">
        <f aca="true">IF(AB$5=0,AA183,MAX(0,(AA183-AB$4)*(1+NORMINV(RAND(),INPUTS!$B$28,INPUTS!$B$29))))</f>
        <v>1700551.66617375</v>
      </c>
      <c r="AC183" s="85" t="n">
        <f aca="true">IF(AC$5=0,AB183,MAX(0,(AB183-AC$4)*(1+NORMINV(RAND(),INPUTS!$B$28,INPUTS!$B$29))))</f>
        <v>1389904.10931047</v>
      </c>
      <c r="AD183" s="85" t="n">
        <f aca="true">IF(AD$5=0,AC183,MAX(0,(AC183-AD$4)*(1+NORMINV(RAND(),INPUTS!$B$28,INPUTS!$B$29))))</f>
        <v>1384057.38392526</v>
      </c>
      <c r="AE183" s="85" t="n">
        <f aca="true">IF(AE$5=0,AD183,MAX(0,(AD183-AE$4)*(1+NORMINV(RAND(),INPUTS!$B$28,INPUTS!$B$29))))</f>
        <v>1279954.81503099</v>
      </c>
      <c r="AF183" s="85" t="n">
        <f aca="true">IF(AF$5=0,AE183,MAX(0,(AE183-AF$4)*(1+NORMINV(RAND(),INPUTS!$B$28,INPUTS!$B$29))))</f>
        <v>1301244.14604142</v>
      </c>
      <c r="AG183" s="85" t="n">
        <f aca="true">IF(AG$5=0,AF183,MAX(0,(AF183-AG$4)*(1+NORMINV(RAND(),INPUTS!$B$28,INPUTS!$B$29))))</f>
        <v>1273585.33419088</v>
      </c>
      <c r="AH183" s="85" t="n">
        <f aca="true">IF(AH$5=0,AG183,MAX(0,(AG183-AH$4)*(1+NORMINV(RAND(),INPUTS!$B$28,INPUTS!$B$29))))</f>
        <v>1412262.08655629</v>
      </c>
      <c r="AI183" s="85" t="n">
        <f aca="true">IF(AI$5=0,AH183,MAX(0,(AH183-AI$4)*(1+NORMINV(RAND(),INPUTS!$B$28,INPUTS!$B$29))))</f>
        <v>1668422.90886879</v>
      </c>
      <c r="AJ183" s="85" t="n">
        <f aca="true">IF(AJ$5=0,AI183,MAX(0,(AI183-AJ$4)*(1+NORMINV(RAND(),INPUTS!$B$28,INPUTS!$B$29))))</f>
        <v>1043465.87779158</v>
      </c>
      <c r="AK183" s="85" t="n">
        <f aca="true">IF(AK$5=0,AJ183,MAX(0,(AJ183-AK$4)*(1+NORMINV(RAND(),INPUTS!$B$28,INPUTS!$B$29))))</f>
        <v>1080914.00948332</v>
      </c>
      <c r="AL183" s="85" t="n">
        <f aca="true">IF(AL$5=0,AK183,MAX(0,(AK183-AL$4)*(1+NORMINV(RAND(),INPUTS!$B$28,INPUTS!$B$29))))</f>
        <v>840817.233927547</v>
      </c>
      <c r="AM183" s="85" t="n">
        <f aca="true">IF(AM$5=0,AL183,MAX(0,(AL183-AM$4)*(1+NORMINV(RAND(),INPUTS!$B$28,INPUTS!$B$29))))</f>
        <v>840817.233927547</v>
      </c>
      <c r="AN183" s="85" t="n">
        <f aca="true">IF(AN$5=0,AM183,MAX(0,(AM183-AN$4)*(1+NORMINV(RAND(),INPUTS!$B$28,INPUTS!$B$29))))</f>
        <v>840817.233927547</v>
      </c>
      <c r="AO183" s="85" t="n">
        <f aca="true">IF(AO$5=0,AN183,MAX(0,(AN183-AO$4)*(1+NORMINV(RAND(),INPUTS!$B$28,INPUTS!$B$29))))</f>
        <v>840817.233927547</v>
      </c>
      <c r="AP183" s="85" t="n">
        <f aca="true">IF(AP$5=0,AO183,MAX(0,(AO183-AP$4)*(1+NORMINV(RAND(),INPUTS!$B$28,INPUTS!$B$29))))</f>
        <v>840817.233927547</v>
      </c>
    </row>
    <row r="184" customFormat="false" ht="15" hidden="false" customHeight="true" outlineLevel="0" collapsed="false">
      <c r="A184" s="83" t="n">
        <v>177</v>
      </c>
      <c r="B184" s="84" t="n">
        <f aca="false">LOOKUP(9.99E+307,C184:AP184)</f>
        <v>127868.046812654</v>
      </c>
      <c r="C184" s="85" t="n">
        <f aca="true">IF(C$5=0,INPUTS!$B$19,MAX(0,(INPUTS!$B$19-C$4)*(1+NORMINV(RAND(),INPUTS!$B$28,INPUTS!$B$29))))</f>
        <v>1239604.08430183</v>
      </c>
      <c r="D184" s="85" t="n">
        <f aca="true">IF(D$5=0,C184,MAX(0,(C184-D$4)*(1+NORMINV(RAND(),INPUTS!$B$28,INPUTS!$B$29))))</f>
        <v>1291124.15166367</v>
      </c>
      <c r="E184" s="85" t="n">
        <f aca="true">IF(E$5=0,D184,MAX(0,(D184-E$4)*(1+NORMINV(RAND(),INPUTS!$B$28,INPUTS!$B$29))))</f>
        <v>1260590.01576668</v>
      </c>
      <c r="F184" s="85" t="n">
        <f aca="true">IF(F$5=0,E184,MAX(0,(E184-F$4)*(1+NORMINV(RAND(),INPUTS!$B$28,INPUTS!$B$29))))</f>
        <v>1084608.5821488</v>
      </c>
      <c r="G184" s="85" t="n">
        <f aca="true">IF(G$5=0,F184,MAX(0,(F184-G$4)*(1+NORMINV(RAND(),INPUTS!$B$28,INPUTS!$B$29))))</f>
        <v>946397.439053632</v>
      </c>
      <c r="H184" s="85" t="n">
        <f aca="true">IF(H$5=0,G184,MAX(0,(G184-H$4)*(1+NORMINV(RAND(),INPUTS!$B$28,INPUTS!$B$29))))</f>
        <v>867819.245798588</v>
      </c>
      <c r="I184" s="85" t="n">
        <f aca="true">IF(I$5=0,H184,MAX(0,(H184-I$4)*(1+NORMINV(RAND(),INPUTS!$B$28,INPUTS!$B$29))))</f>
        <v>933270.91028902</v>
      </c>
      <c r="J184" s="85" t="n">
        <f aca="true">IF(J$5=0,I184,MAX(0,(I184-J$4)*(1+NORMINV(RAND(),INPUTS!$B$28,INPUTS!$B$29))))</f>
        <v>928272.8191965</v>
      </c>
      <c r="K184" s="85" t="n">
        <f aca="true">IF(K$5=0,J184,MAX(0,(J184-K$4)*(1+NORMINV(RAND(),INPUTS!$B$28,INPUTS!$B$29))))</f>
        <v>819246.208611333</v>
      </c>
      <c r="L184" s="85" t="n">
        <f aca="true">IF(L$5=0,K184,MAX(0,(K184-L$4)*(1+NORMINV(RAND(),INPUTS!$B$28,INPUTS!$B$29))))</f>
        <v>947007.260467885</v>
      </c>
      <c r="M184" s="85" t="n">
        <f aca="true">IF(M$5=0,L184,MAX(0,(L184-M$4)*(1+NORMINV(RAND(),INPUTS!$B$28,INPUTS!$B$29))))</f>
        <v>1048545.45730841</v>
      </c>
      <c r="N184" s="85" t="n">
        <f aca="true">IF(N$5=0,M184,MAX(0,(M184-N$4)*(1+NORMINV(RAND(),INPUTS!$B$28,INPUTS!$B$29))))</f>
        <v>927703.204073381</v>
      </c>
      <c r="O184" s="85" t="n">
        <f aca="true">IF(O$5=0,N184,MAX(0,(N184-O$4)*(1+NORMINV(RAND(),INPUTS!$B$28,INPUTS!$B$29))))</f>
        <v>867696.902110016</v>
      </c>
      <c r="P184" s="85" t="n">
        <f aca="true">IF(P$5=0,O184,MAX(0,(O184-P$4)*(1+NORMINV(RAND(),INPUTS!$B$28,INPUTS!$B$29))))</f>
        <v>1025551.96813754</v>
      </c>
      <c r="Q184" s="85" t="n">
        <f aca="true">IF(Q$5=0,P184,MAX(0,(P184-Q$4)*(1+NORMINV(RAND(),INPUTS!$B$28,INPUTS!$B$29))))</f>
        <v>808724.305884528</v>
      </c>
      <c r="R184" s="85" t="n">
        <f aca="true">IF(R$5=0,Q184,MAX(0,(Q184-R$4)*(1+NORMINV(RAND(),INPUTS!$B$28,INPUTS!$B$29))))</f>
        <v>617197.545983074</v>
      </c>
      <c r="S184" s="85" t="n">
        <f aca="true">IF(S$5=0,R184,MAX(0,(R184-S$4)*(1+NORMINV(RAND(),INPUTS!$B$28,INPUTS!$B$29))))</f>
        <v>575521.665204447</v>
      </c>
      <c r="T184" s="85" t="n">
        <f aca="true">IF(T$5=0,S184,MAX(0,(S184-T$4)*(1+NORMINV(RAND(),INPUTS!$B$28,INPUTS!$B$29))))</f>
        <v>478176.772751323</v>
      </c>
      <c r="U184" s="85" t="n">
        <f aca="true">IF(U$5=0,T184,MAX(0,(T184-U$4)*(1+NORMINV(RAND(),INPUTS!$B$28,INPUTS!$B$29))))</f>
        <v>502776.509762027</v>
      </c>
      <c r="V184" s="85" t="n">
        <f aca="true">IF(V$5=0,U184,MAX(0,(U184-V$4)*(1+NORMINV(RAND(),INPUTS!$B$28,INPUTS!$B$29))))</f>
        <v>509862.238276171</v>
      </c>
      <c r="W184" s="85" t="n">
        <f aca="true">IF(W$5=0,V184,MAX(0,(V184-W$4)*(1+NORMINV(RAND(),INPUTS!$B$28,INPUTS!$B$29))))</f>
        <v>560090.876824592</v>
      </c>
      <c r="X184" s="85" t="n">
        <f aca="true">IF(X$5=0,W184,MAX(0,(W184-X$4)*(1+NORMINV(RAND(),INPUTS!$B$28,INPUTS!$B$29))))</f>
        <v>632306.680074659</v>
      </c>
      <c r="Y184" s="85" t="n">
        <f aca="true">IF(Y$5=0,X184,MAX(0,(X184-Y$4)*(1+NORMINV(RAND(),INPUTS!$B$28,INPUTS!$B$29))))</f>
        <v>611479.451800433</v>
      </c>
      <c r="Z184" s="85" t="n">
        <f aca="true">IF(Z$5=0,Y184,MAX(0,(Y184-Z$4)*(1+NORMINV(RAND(),INPUTS!$B$28,INPUTS!$B$29))))</f>
        <v>638836.463912334</v>
      </c>
      <c r="AA184" s="85" t="n">
        <f aca="true">IF(AA$5=0,Z184,MAX(0,(Z184-AA$4)*(1+NORMINV(RAND(),INPUTS!$B$28,INPUTS!$B$29))))</f>
        <v>617479.565176542</v>
      </c>
      <c r="AB184" s="85" t="n">
        <f aca="true">IF(AB$5=0,AA184,MAX(0,(AA184-AB$4)*(1+NORMINV(RAND(),INPUTS!$B$28,INPUTS!$B$29))))</f>
        <v>638076.056884187</v>
      </c>
      <c r="AC184" s="85" t="n">
        <f aca="true">IF(AC$5=0,AB184,MAX(0,(AB184-AC$4)*(1+NORMINV(RAND(),INPUTS!$B$28,INPUTS!$B$29))))</f>
        <v>636174.65870063</v>
      </c>
      <c r="AD184" s="85" t="n">
        <f aca="true">IF(AD$5=0,AC184,MAX(0,(AC184-AD$4)*(1+NORMINV(RAND(),INPUTS!$B$28,INPUTS!$B$29))))</f>
        <v>595753.852303782</v>
      </c>
      <c r="AE184" s="85" t="n">
        <f aca="true">IF(AE$5=0,AD184,MAX(0,(AD184-AE$4)*(1+NORMINV(RAND(),INPUTS!$B$28,INPUTS!$B$29))))</f>
        <v>618605.153708353</v>
      </c>
      <c r="AF184" s="85" t="n">
        <f aca="true">IF(AF$5=0,AE184,MAX(0,(AE184-AF$4)*(1+NORMINV(RAND(),INPUTS!$B$28,INPUTS!$B$29))))</f>
        <v>460109.145481821</v>
      </c>
      <c r="AG184" s="85" t="n">
        <f aca="true">IF(AG$5=0,AF184,MAX(0,(AF184-AG$4)*(1+NORMINV(RAND(),INPUTS!$B$28,INPUTS!$B$29))))</f>
        <v>385716.411120812</v>
      </c>
      <c r="AH184" s="85" t="n">
        <f aca="true">IF(AH$5=0,AG184,MAX(0,(AG184-AH$4)*(1+NORMINV(RAND(),INPUTS!$B$28,INPUTS!$B$29))))</f>
        <v>404378.974156205</v>
      </c>
      <c r="AI184" s="85" t="n">
        <f aca="true">IF(AI$5=0,AH184,MAX(0,(AH184-AI$4)*(1+NORMINV(RAND(),INPUTS!$B$28,INPUTS!$B$29))))</f>
        <v>328234.070727192</v>
      </c>
      <c r="AJ184" s="85" t="n">
        <f aca="true">IF(AJ$5=0,AI184,MAX(0,(AI184-AJ$4)*(1+NORMINV(RAND(),INPUTS!$B$28,INPUTS!$B$29))))</f>
        <v>258535.218415526</v>
      </c>
      <c r="AK184" s="85" t="n">
        <f aca="true">IF(AK$5=0,AJ184,MAX(0,(AJ184-AK$4)*(1+NORMINV(RAND(),INPUTS!$B$28,INPUTS!$B$29))))</f>
        <v>209381.277865283</v>
      </c>
      <c r="AL184" s="85" t="n">
        <f aca="true">IF(AL$5=0,AK184,MAX(0,(AK184-AL$4)*(1+NORMINV(RAND(),INPUTS!$B$28,INPUTS!$B$29))))</f>
        <v>127868.046812654</v>
      </c>
      <c r="AM184" s="85" t="n">
        <f aca="true">IF(AM$5=0,AL184,MAX(0,(AL184-AM$4)*(1+NORMINV(RAND(),INPUTS!$B$28,INPUTS!$B$29))))</f>
        <v>127868.046812654</v>
      </c>
      <c r="AN184" s="85" t="n">
        <f aca="true">IF(AN$5=0,AM184,MAX(0,(AM184-AN$4)*(1+NORMINV(RAND(),INPUTS!$B$28,INPUTS!$B$29))))</f>
        <v>127868.046812654</v>
      </c>
      <c r="AO184" s="85" t="n">
        <f aca="true">IF(AO$5=0,AN184,MAX(0,(AN184-AO$4)*(1+NORMINV(RAND(),INPUTS!$B$28,INPUTS!$B$29))))</f>
        <v>127868.046812654</v>
      </c>
      <c r="AP184" s="85" t="n">
        <f aca="true">IF(AP$5=0,AO184,MAX(0,(AO184-AP$4)*(1+NORMINV(RAND(),INPUTS!$B$28,INPUTS!$B$29))))</f>
        <v>127868.046812654</v>
      </c>
    </row>
    <row r="185" customFormat="false" ht="15" hidden="false" customHeight="true" outlineLevel="0" collapsed="false">
      <c r="A185" s="83" t="n">
        <v>178</v>
      </c>
      <c r="B185" s="84" t="n">
        <f aca="false">LOOKUP(9.99E+307,C185:AP185)</f>
        <v>1436086.16681544</v>
      </c>
      <c r="C185" s="85" t="n">
        <f aca="true">IF(C$5=0,INPUTS!$B$19,MAX(0,(INPUTS!$B$19-C$4)*(1+NORMINV(RAND(),INPUTS!$B$28,INPUTS!$B$29))))</f>
        <v>1143467.05608501</v>
      </c>
      <c r="D185" s="85" t="n">
        <f aca="true">IF(D$5=0,C185,MAX(0,(C185-D$4)*(1+NORMINV(RAND(),INPUTS!$B$28,INPUTS!$B$29))))</f>
        <v>1321035.70833965</v>
      </c>
      <c r="E185" s="85" t="n">
        <f aca="true">IF(E$5=0,D185,MAX(0,(D185-E$4)*(1+NORMINV(RAND(),INPUTS!$B$28,INPUTS!$B$29))))</f>
        <v>1222696.08633163</v>
      </c>
      <c r="F185" s="85" t="n">
        <f aca="true">IF(F$5=0,E185,MAX(0,(E185-F$4)*(1+NORMINV(RAND(),INPUTS!$B$28,INPUTS!$B$29))))</f>
        <v>1214210.94746261</v>
      </c>
      <c r="G185" s="85" t="n">
        <f aca="true">IF(G$5=0,F185,MAX(0,(F185-G$4)*(1+NORMINV(RAND(),INPUTS!$B$28,INPUTS!$B$29))))</f>
        <v>1441884.58729875</v>
      </c>
      <c r="H185" s="85" t="n">
        <f aca="true">IF(H$5=0,G185,MAX(0,(G185-H$4)*(1+NORMINV(RAND(),INPUTS!$B$28,INPUTS!$B$29))))</f>
        <v>1254166.78167095</v>
      </c>
      <c r="I185" s="85" t="n">
        <f aca="true">IF(I$5=0,H185,MAX(0,(H185-I$4)*(1+NORMINV(RAND(),INPUTS!$B$28,INPUTS!$B$29))))</f>
        <v>1295809.82155638</v>
      </c>
      <c r="J185" s="85" t="n">
        <f aca="true">IF(J$5=0,I185,MAX(0,(I185-J$4)*(1+NORMINV(RAND(),INPUTS!$B$28,INPUTS!$B$29))))</f>
        <v>1476706.52911179</v>
      </c>
      <c r="K185" s="85" t="n">
        <f aca="true">IF(K$5=0,J185,MAX(0,(J185-K$4)*(1+NORMINV(RAND(),INPUTS!$B$28,INPUTS!$B$29))))</f>
        <v>1464681.03587416</v>
      </c>
      <c r="L185" s="85" t="n">
        <f aca="true">IF(L$5=0,K185,MAX(0,(K185-L$4)*(1+NORMINV(RAND(),INPUTS!$B$28,INPUTS!$B$29))))</f>
        <v>1176509.68623349</v>
      </c>
      <c r="M185" s="85" t="n">
        <f aca="true">IF(M$5=0,L185,MAX(0,(L185-M$4)*(1+NORMINV(RAND(),INPUTS!$B$28,INPUTS!$B$29))))</f>
        <v>1171857.42535014</v>
      </c>
      <c r="N185" s="85" t="n">
        <f aca="true">IF(N$5=0,M185,MAX(0,(M185-N$4)*(1+NORMINV(RAND(),INPUTS!$B$28,INPUTS!$B$29))))</f>
        <v>1166672.52698202</v>
      </c>
      <c r="O185" s="85" t="n">
        <f aca="true">IF(O$5=0,N185,MAX(0,(N185-O$4)*(1+NORMINV(RAND(),INPUTS!$B$28,INPUTS!$B$29))))</f>
        <v>1074962.27669544</v>
      </c>
      <c r="P185" s="85" t="n">
        <f aca="true">IF(P$5=0,O185,MAX(0,(O185-P$4)*(1+NORMINV(RAND(),INPUTS!$B$28,INPUTS!$B$29))))</f>
        <v>1061333.32451165</v>
      </c>
      <c r="Q185" s="85" t="n">
        <f aca="true">IF(Q$5=0,P185,MAX(0,(P185-Q$4)*(1+NORMINV(RAND(),INPUTS!$B$28,INPUTS!$B$29))))</f>
        <v>965069.736775126</v>
      </c>
      <c r="R185" s="85" t="n">
        <f aca="true">IF(R$5=0,Q185,MAX(0,(Q185-R$4)*(1+NORMINV(RAND(),INPUTS!$B$28,INPUTS!$B$29))))</f>
        <v>1022876.57702257</v>
      </c>
      <c r="S185" s="85" t="n">
        <f aca="true">IF(S$5=0,R185,MAX(0,(R185-S$4)*(1+NORMINV(RAND(),INPUTS!$B$28,INPUTS!$B$29))))</f>
        <v>1097117.63874556</v>
      </c>
      <c r="T185" s="85" t="n">
        <f aca="true">IF(T$5=0,S185,MAX(0,(S185-T$4)*(1+NORMINV(RAND(),INPUTS!$B$28,INPUTS!$B$29))))</f>
        <v>1054255.73676918</v>
      </c>
      <c r="U185" s="85" t="n">
        <f aca="true">IF(U$5=0,T185,MAX(0,(T185-U$4)*(1+NORMINV(RAND(),INPUTS!$B$28,INPUTS!$B$29))))</f>
        <v>870754.203556639</v>
      </c>
      <c r="V185" s="85" t="n">
        <f aca="true">IF(V$5=0,U185,MAX(0,(U185-V$4)*(1+NORMINV(RAND(),INPUTS!$B$28,INPUTS!$B$29))))</f>
        <v>793173.101566628</v>
      </c>
      <c r="W185" s="85" t="n">
        <f aca="true">IF(W$5=0,V185,MAX(0,(V185-W$4)*(1+NORMINV(RAND(),INPUTS!$B$28,INPUTS!$B$29))))</f>
        <v>905511.334234309</v>
      </c>
      <c r="X185" s="85" t="n">
        <f aca="true">IF(X$5=0,W185,MAX(0,(W185-X$4)*(1+NORMINV(RAND(),INPUTS!$B$28,INPUTS!$B$29))))</f>
        <v>853767.221230665</v>
      </c>
      <c r="Y185" s="85" t="n">
        <f aca="true">IF(Y$5=0,X185,MAX(0,(X185-Y$4)*(1+NORMINV(RAND(),INPUTS!$B$28,INPUTS!$B$29))))</f>
        <v>943381.851904292</v>
      </c>
      <c r="Z185" s="85" t="n">
        <f aca="true">IF(Z$5=0,Y185,MAX(0,(Y185-Z$4)*(1+NORMINV(RAND(),INPUTS!$B$28,INPUTS!$B$29))))</f>
        <v>928617.882296092</v>
      </c>
      <c r="AA185" s="85" t="n">
        <f aca="true">IF(AA$5=0,Z185,MAX(0,(Z185-AA$4)*(1+NORMINV(RAND(),INPUTS!$B$28,INPUTS!$B$29))))</f>
        <v>998080.905596269</v>
      </c>
      <c r="AB185" s="85" t="n">
        <f aca="true">IF(AB$5=0,AA185,MAX(0,(AA185-AB$4)*(1+NORMINV(RAND(),INPUTS!$B$28,INPUTS!$B$29))))</f>
        <v>994236.483750707</v>
      </c>
      <c r="AC185" s="85" t="n">
        <f aca="true">IF(AC$5=0,AB185,MAX(0,(AB185-AC$4)*(1+NORMINV(RAND(),INPUTS!$B$28,INPUTS!$B$29))))</f>
        <v>1109044.41642785</v>
      </c>
      <c r="AD185" s="85" t="n">
        <f aca="true">IF(AD$5=0,AC185,MAX(0,(AC185-AD$4)*(1+NORMINV(RAND(),INPUTS!$B$28,INPUTS!$B$29))))</f>
        <v>946224.663774861</v>
      </c>
      <c r="AE185" s="85" t="n">
        <f aca="true">IF(AE$5=0,AD185,MAX(0,(AD185-AE$4)*(1+NORMINV(RAND(),INPUTS!$B$28,INPUTS!$B$29))))</f>
        <v>1061908.60839054</v>
      </c>
      <c r="AF185" s="85" t="n">
        <f aca="true">IF(AF$5=0,AE185,MAX(0,(AE185-AF$4)*(1+NORMINV(RAND(),INPUTS!$B$28,INPUTS!$B$29))))</f>
        <v>1306386.01571375</v>
      </c>
      <c r="AG185" s="85" t="n">
        <f aca="true">IF(AG$5=0,AF185,MAX(0,(AF185-AG$4)*(1+NORMINV(RAND(),INPUTS!$B$28,INPUTS!$B$29))))</f>
        <v>1366950.16573598</v>
      </c>
      <c r="AH185" s="85" t="n">
        <f aca="true">IF(AH$5=0,AG185,MAX(0,(AG185-AH$4)*(1+NORMINV(RAND(),INPUTS!$B$28,INPUTS!$B$29))))</f>
        <v>1509537.45719156</v>
      </c>
      <c r="AI185" s="85" t="n">
        <f aca="true">IF(AI$5=0,AH185,MAX(0,(AH185-AI$4)*(1+NORMINV(RAND(),INPUTS!$B$28,INPUTS!$B$29))))</f>
        <v>1585362.54238381</v>
      </c>
      <c r="AJ185" s="85" t="n">
        <f aca="true">IF(AJ$5=0,AI185,MAX(0,(AI185-AJ$4)*(1+NORMINV(RAND(),INPUTS!$B$28,INPUTS!$B$29))))</f>
        <v>1404408.72398116</v>
      </c>
      <c r="AK185" s="85" t="n">
        <f aca="true">IF(AK$5=0,AJ185,MAX(0,(AJ185-AK$4)*(1+NORMINV(RAND(),INPUTS!$B$28,INPUTS!$B$29))))</f>
        <v>1536434.879686</v>
      </c>
      <c r="AL185" s="85" t="n">
        <f aca="true">IF(AL$5=0,AK185,MAX(0,(AK185-AL$4)*(1+NORMINV(RAND(),INPUTS!$B$28,INPUTS!$B$29))))</f>
        <v>1436086.16681544</v>
      </c>
      <c r="AM185" s="85" t="n">
        <f aca="true">IF(AM$5=0,AL185,MAX(0,(AL185-AM$4)*(1+NORMINV(RAND(),INPUTS!$B$28,INPUTS!$B$29))))</f>
        <v>1436086.16681544</v>
      </c>
      <c r="AN185" s="85" t="n">
        <f aca="true">IF(AN$5=0,AM185,MAX(0,(AM185-AN$4)*(1+NORMINV(RAND(),INPUTS!$B$28,INPUTS!$B$29))))</f>
        <v>1436086.16681544</v>
      </c>
      <c r="AO185" s="85" t="n">
        <f aca="true">IF(AO$5=0,AN185,MAX(0,(AN185-AO$4)*(1+NORMINV(RAND(),INPUTS!$B$28,INPUTS!$B$29))))</f>
        <v>1436086.16681544</v>
      </c>
      <c r="AP185" s="85" t="n">
        <f aca="true">IF(AP$5=0,AO185,MAX(0,(AO185-AP$4)*(1+NORMINV(RAND(),INPUTS!$B$28,INPUTS!$B$29))))</f>
        <v>1436086.16681544</v>
      </c>
    </row>
    <row r="186" customFormat="false" ht="15" hidden="false" customHeight="true" outlineLevel="0" collapsed="false">
      <c r="A186" s="83" t="n">
        <v>179</v>
      </c>
      <c r="B186" s="84" t="n">
        <f aca="false">LOOKUP(9.99E+307,C186:AP186)</f>
        <v>24720689.2914254</v>
      </c>
      <c r="C186" s="85" t="n">
        <f aca="true">IF(C$5=0,INPUTS!$B$19,MAX(0,(INPUTS!$B$19-C$4)*(1+NORMINV(RAND(),INPUTS!$B$28,INPUTS!$B$29))))</f>
        <v>1262226.37721047</v>
      </c>
      <c r="D186" s="85" t="n">
        <f aca="true">IF(D$5=0,C186,MAX(0,(C186-D$4)*(1+NORMINV(RAND(),INPUTS!$B$28,INPUTS!$B$29))))</f>
        <v>1233866.62375484</v>
      </c>
      <c r="E186" s="85" t="n">
        <f aca="true">IF(E$5=0,D186,MAX(0,(D186-E$4)*(1+NORMINV(RAND(),INPUTS!$B$28,INPUTS!$B$29))))</f>
        <v>1485681.6525263</v>
      </c>
      <c r="F186" s="85" t="n">
        <f aca="true">IF(F$5=0,E186,MAX(0,(E186-F$4)*(1+NORMINV(RAND(),INPUTS!$B$28,INPUTS!$B$29))))</f>
        <v>1752479.99267437</v>
      </c>
      <c r="G186" s="85" t="n">
        <f aca="true">IF(G$5=0,F186,MAX(0,(F186-G$4)*(1+NORMINV(RAND(),INPUTS!$B$28,INPUTS!$B$29))))</f>
        <v>1756460.9620648</v>
      </c>
      <c r="H186" s="85" t="n">
        <f aca="true">IF(H$5=0,G186,MAX(0,(G186-H$4)*(1+NORMINV(RAND(),INPUTS!$B$28,INPUTS!$B$29))))</f>
        <v>1648967.96049794</v>
      </c>
      <c r="I186" s="85" t="n">
        <f aca="true">IF(I$5=0,H186,MAX(0,(H186-I$4)*(1+NORMINV(RAND(),INPUTS!$B$28,INPUTS!$B$29))))</f>
        <v>1518209.77157739</v>
      </c>
      <c r="J186" s="85" t="n">
        <f aca="true">IF(J$5=0,I186,MAX(0,(I186-J$4)*(1+NORMINV(RAND(),INPUTS!$B$28,INPUTS!$B$29))))</f>
        <v>1665895.32584407</v>
      </c>
      <c r="K186" s="85" t="n">
        <f aca="true">IF(K$5=0,J186,MAX(0,(J186-K$4)*(1+NORMINV(RAND(),INPUTS!$B$28,INPUTS!$B$29))))</f>
        <v>2001272.99339679</v>
      </c>
      <c r="L186" s="85" t="n">
        <f aca="true">IF(L$5=0,K186,MAX(0,(K186-L$4)*(1+NORMINV(RAND(),INPUTS!$B$28,INPUTS!$B$29))))</f>
        <v>2022212.08126477</v>
      </c>
      <c r="M186" s="85" t="n">
        <f aca="true">IF(M$5=0,L186,MAX(0,(L186-M$4)*(1+NORMINV(RAND(),INPUTS!$B$28,INPUTS!$B$29))))</f>
        <v>2252028.86566978</v>
      </c>
      <c r="N186" s="85" t="n">
        <f aca="true">IF(N$5=0,M186,MAX(0,(M186-N$4)*(1+NORMINV(RAND(),INPUTS!$B$28,INPUTS!$B$29))))</f>
        <v>2336639.77511155</v>
      </c>
      <c r="O186" s="85" t="n">
        <f aca="true">IF(O$5=0,N186,MAX(0,(N186-O$4)*(1+NORMINV(RAND(),INPUTS!$B$28,INPUTS!$B$29))))</f>
        <v>2677472.13576016</v>
      </c>
      <c r="P186" s="85" t="n">
        <f aca="true">IF(P$5=0,O186,MAX(0,(O186-P$4)*(1+NORMINV(RAND(),INPUTS!$B$28,INPUTS!$B$29))))</f>
        <v>3287795.13582003</v>
      </c>
      <c r="Q186" s="85" t="n">
        <f aca="true">IF(Q$5=0,P186,MAX(0,(P186-Q$4)*(1+NORMINV(RAND(),INPUTS!$B$28,INPUTS!$B$29))))</f>
        <v>3551755.26627959</v>
      </c>
      <c r="R186" s="85" t="n">
        <f aca="true">IF(R$5=0,Q186,MAX(0,(Q186-R$4)*(1+NORMINV(RAND(),INPUTS!$B$28,INPUTS!$B$29))))</f>
        <v>3526777.54370251</v>
      </c>
      <c r="S186" s="85" t="n">
        <f aca="true">IF(S$5=0,R186,MAX(0,(R186-S$4)*(1+NORMINV(RAND(),INPUTS!$B$28,INPUTS!$B$29))))</f>
        <v>4590492.32455707</v>
      </c>
      <c r="T186" s="85" t="n">
        <f aca="true">IF(T$5=0,S186,MAX(0,(S186-T$4)*(1+NORMINV(RAND(),INPUTS!$B$28,INPUTS!$B$29))))</f>
        <v>4771297.26765279</v>
      </c>
      <c r="U186" s="85" t="n">
        <f aca="true">IF(U$5=0,T186,MAX(0,(T186-U$4)*(1+NORMINV(RAND(),INPUTS!$B$28,INPUTS!$B$29))))</f>
        <v>4408835.92362663</v>
      </c>
      <c r="V186" s="85" t="n">
        <f aca="true">IF(V$5=0,U186,MAX(0,(U186-V$4)*(1+NORMINV(RAND(),INPUTS!$B$28,INPUTS!$B$29))))</f>
        <v>5205900.30198479</v>
      </c>
      <c r="W186" s="85" t="n">
        <f aca="true">IF(W$5=0,V186,MAX(0,(V186-W$4)*(1+NORMINV(RAND(),INPUTS!$B$28,INPUTS!$B$29))))</f>
        <v>7039667.73751374</v>
      </c>
      <c r="X186" s="85" t="n">
        <f aca="true">IF(X$5=0,W186,MAX(0,(W186-X$4)*(1+NORMINV(RAND(),INPUTS!$B$28,INPUTS!$B$29))))</f>
        <v>7003700.76755922</v>
      </c>
      <c r="Y186" s="85" t="n">
        <f aca="true">IF(Y$5=0,X186,MAX(0,(X186-Y$4)*(1+NORMINV(RAND(),INPUTS!$B$28,INPUTS!$B$29))))</f>
        <v>7855241.402003</v>
      </c>
      <c r="Z186" s="85" t="n">
        <f aca="true">IF(Z$5=0,Y186,MAX(0,(Y186-Z$4)*(1+NORMINV(RAND(),INPUTS!$B$28,INPUTS!$B$29))))</f>
        <v>9975175.26980355</v>
      </c>
      <c r="AA186" s="85" t="n">
        <f aca="true">IF(AA$5=0,Z186,MAX(0,(Z186-AA$4)*(1+NORMINV(RAND(),INPUTS!$B$28,INPUTS!$B$29))))</f>
        <v>10459593.409976</v>
      </c>
      <c r="AB186" s="85" t="n">
        <f aca="true">IF(AB$5=0,AA186,MAX(0,(AA186-AB$4)*(1+NORMINV(RAND(),INPUTS!$B$28,INPUTS!$B$29))))</f>
        <v>10245006.2922319</v>
      </c>
      <c r="AC186" s="85" t="n">
        <f aca="true">IF(AC$5=0,AB186,MAX(0,(AB186-AC$4)*(1+NORMINV(RAND(),INPUTS!$B$28,INPUTS!$B$29))))</f>
        <v>11767630.3813119</v>
      </c>
      <c r="AD186" s="85" t="n">
        <f aca="true">IF(AD$5=0,AC186,MAX(0,(AC186-AD$4)*(1+NORMINV(RAND(),INPUTS!$B$28,INPUTS!$B$29))))</f>
        <v>11442524.8154719</v>
      </c>
      <c r="AE186" s="85" t="n">
        <f aca="true">IF(AE$5=0,AD186,MAX(0,(AD186-AE$4)*(1+NORMINV(RAND(),INPUTS!$B$28,INPUTS!$B$29))))</f>
        <v>12467379.7977504</v>
      </c>
      <c r="AF186" s="85" t="n">
        <f aca="true">IF(AF$5=0,AE186,MAX(0,(AE186-AF$4)*(1+NORMINV(RAND(),INPUTS!$B$28,INPUTS!$B$29))))</f>
        <v>15235288.2967271</v>
      </c>
      <c r="AG186" s="85" t="n">
        <f aca="true">IF(AG$5=0,AF186,MAX(0,(AF186-AG$4)*(1+NORMINV(RAND(),INPUTS!$B$28,INPUTS!$B$29))))</f>
        <v>17743713.3977651</v>
      </c>
      <c r="AH186" s="85" t="n">
        <f aca="true">IF(AH$5=0,AG186,MAX(0,(AG186-AH$4)*(1+NORMINV(RAND(),INPUTS!$B$28,INPUTS!$B$29))))</f>
        <v>19724837.2558051</v>
      </c>
      <c r="AI186" s="85" t="n">
        <f aca="true">IF(AI$5=0,AH186,MAX(0,(AH186-AI$4)*(1+NORMINV(RAND(),INPUTS!$B$28,INPUTS!$B$29))))</f>
        <v>22013387.0819743</v>
      </c>
      <c r="AJ186" s="85" t="n">
        <f aca="true">IF(AJ$5=0,AI186,MAX(0,(AI186-AJ$4)*(1+NORMINV(RAND(),INPUTS!$B$28,INPUTS!$B$29))))</f>
        <v>24956110.8540659</v>
      </c>
      <c r="AK186" s="85" t="n">
        <f aca="true">IF(AK$5=0,AJ186,MAX(0,(AJ186-AK$4)*(1+NORMINV(RAND(),INPUTS!$B$28,INPUTS!$B$29))))</f>
        <v>22781476.369543</v>
      </c>
      <c r="AL186" s="85" t="n">
        <f aca="true">IF(AL$5=0,AK186,MAX(0,(AK186-AL$4)*(1+NORMINV(RAND(),INPUTS!$B$28,INPUTS!$B$29))))</f>
        <v>24720689.2914254</v>
      </c>
      <c r="AM186" s="85" t="n">
        <f aca="true">IF(AM$5=0,AL186,MAX(0,(AL186-AM$4)*(1+NORMINV(RAND(),INPUTS!$B$28,INPUTS!$B$29))))</f>
        <v>24720689.2914254</v>
      </c>
      <c r="AN186" s="85" t="n">
        <f aca="true">IF(AN$5=0,AM186,MAX(0,(AM186-AN$4)*(1+NORMINV(RAND(),INPUTS!$B$28,INPUTS!$B$29))))</f>
        <v>24720689.2914254</v>
      </c>
      <c r="AO186" s="85" t="n">
        <f aca="true">IF(AO$5=0,AN186,MAX(0,(AN186-AO$4)*(1+NORMINV(RAND(),INPUTS!$B$28,INPUTS!$B$29))))</f>
        <v>24720689.2914254</v>
      </c>
      <c r="AP186" s="85" t="n">
        <f aca="true">IF(AP$5=0,AO186,MAX(0,(AO186-AP$4)*(1+NORMINV(RAND(),INPUTS!$B$28,INPUTS!$B$29))))</f>
        <v>24720689.2914254</v>
      </c>
    </row>
    <row r="187" customFormat="false" ht="15" hidden="false" customHeight="true" outlineLevel="0" collapsed="false">
      <c r="A187" s="83" t="n">
        <v>180</v>
      </c>
      <c r="B187" s="84" t="n">
        <f aca="false">LOOKUP(9.99E+307,C187:AP187)</f>
        <v>3633332.11587875</v>
      </c>
      <c r="C187" s="85" t="n">
        <f aca="true">IF(C$5=0,INPUTS!$B$19,MAX(0,(INPUTS!$B$19-C$4)*(1+NORMINV(RAND(),INPUTS!$B$28,INPUTS!$B$29))))</f>
        <v>1198075.01754639</v>
      </c>
      <c r="D187" s="85" t="n">
        <f aca="true">IF(D$5=0,C187,MAX(0,(C187-D$4)*(1+NORMINV(RAND(),INPUTS!$B$28,INPUTS!$B$29))))</f>
        <v>1016363.5525401</v>
      </c>
      <c r="E187" s="85" t="n">
        <f aca="true">IF(E$5=0,D187,MAX(0,(D187-E$4)*(1+NORMINV(RAND(),INPUTS!$B$28,INPUTS!$B$29))))</f>
        <v>1076728.3709502</v>
      </c>
      <c r="F187" s="85" t="n">
        <f aca="true">IF(F$5=0,E187,MAX(0,(E187-F$4)*(1+NORMINV(RAND(),INPUTS!$B$28,INPUTS!$B$29))))</f>
        <v>1363060.88751825</v>
      </c>
      <c r="G187" s="85" t="n">
        <f aca="true">IF(G$5=0,F187,MAX(0,(F187-G$4)*(1+NORMINV(RAND(),INPUTS!$B$28,INPUTS!$B$29))))</f>
        <v>1547406.9080805</v>
      </c>
      <c r="H187" s="85" t="n">
        <f aca="true">IF(H$5=0,G187,MAX(0,(G187-H$4)*(1+NORMINV(RAND(),INPUTS!$B$28,INPUTS!$B$29))))</f>
        <v>1577631.91312436</v>
      </c>
      <c r="I187" s="85" t="n">
        <f aca="true">IF(I$5=0,H187,MAX(0,(H187-I$4)*(1+NORMINV(RAND(),INPUTS!$B$28,INPUTS!$B$29))))</f>
        <v>1726398.50128521</v>
      </c>
      <c r="J187" s="85" t="n">
        <f aca="true">IF(J$5=0,I187,MAX(0,(I187-J$4)*(1+NORMINV(RAND(),INPUTS!$B$28,INPUTS!$B$29))))</f>
        <v>1853149.43049225</v>
      </c>
      <c r="K187" s="85" t="n">
        <f aca="true">IF(K$5=0,J187,MAX(0,(J187-K$4)*(1+NORMINV(RAND(),INPUTS!$B$28,INPUTS!$B$29))))</f>
        <v>1886982.89178154</v>
      </c>
      <c r="L187" s="85" t="n">
        <f aca="true">IF(L$5=0,K187,MAX(0,(K187-L$4)*(1+NORMINV(RAND(),INPUTS!$B$28,INPUTS!$B$29))))</f>
        <v>1831275.93232626</v>
      </c>
      <c r="M187" s="85" t="n">
        <f aca="true">IF(M$5=0,L187,MAX(0,(L187-M$4)*(1+NORMINV(RAND(),INPUTS!$B$28,INPUTS!$B$29))))</f>
        <v>1981419.23953428</v>
      </c>
      <c r="N187" s="85" t="n">
        <f aca="true">IF(N$5=0,M187,MAX(0,(M187-N$4)*(1+NORMINV(RAND(),INPUTS!$B$28,INPUTS!$B$29))))</f>
        <v>1253308.36362038</v>
      </c>
      <c r="O187" s="85" t="n">
        <f aca="true">IF(O$5=0,N187,MAX(0,(N187-O$4)*(1+NORMINV(RAND(),INPUTS!$B$28,INPUTS!$B$29))))</f>
        <v>1402498.10020417</v>
      </c>
      <c r="P187" s="85" t="n">
        <f aca="true">IF(P$5=0,O187,MAX(0,(O187-P$4)*(1+NORMINV(RAND(),INPUTS!$B$28,INPUTS!$B$29))))</f>
        <v>1514760.4578977</v>
      </c>
      <c r="Q187" s="85" t="n">
        <f aca="true">IF(Q$5=0,P187,MAX(0,(P187-Q$4)*(1+NORMINV(RAND(),INPUTS!$B$28,INPUTS!$B$29))))</f>
        <v>1581512.70017321</v>
      </c>
      <c r="R187" s="85" t="n">
        <f aca="true">IF(R$5=0,Q187,MAX(0,(Q187-R$4)*(1+NORMINV(RAND(),INPUTS!$B$28,INPUTS!$B$29))))</f>
        <v>1798236.07189669</v>
      </c>
      <c r="S187" s="85" t="n">
        <f aca="true">IF(S$5=0,R187,MAX(0,(R187-S$4)*(1+NORMINV(RAND(),INPUTS!$B$28,INPUTS!$B$29))))</f>
        <v>1832145.51760404</v>
      </c>
      <c r="T187" s="85" t="n">
        <f aca="true">IF(T$5=0,S187,MAX(0,(S187-T$4)*(1+NORMINV(RAND(),INPUTS!$B$28,INPUTS!$B$29))))</f>
        <v>1800506.18184356</v>
      </c>
      <c r="U187" s="85" t="n">
        <f aca="true">IF(U$5=0,T187,MAX(0,(T187-U$4)*(1+NORMINV(RAND(),INPUTS!$B$28,INPUTS!$B$29))))</f>
        <v>1938780.55610706</v>
      </c>
      <c r="V187" s="85" t="n">
        <f aca="true">IF(V$5=0,U187,MAX(0,(U187-V$4)*(1+NORMINV(RAND(),INPUTS!$B$28,INPUTS!$B$29))))</f>
        <v>2154612.17984432</v>
      </c>
      <c r="W187" s="85" t="n">
        <f aca="true">IF(W$5=0,V187,MAX(0,(V187-W$4)*(1+NORMINV(RAND(),INPUTS!$B$28,INPUTS!$B$29))))</f>
        <v>2093835.60249599</v>
      </c>
      <c r="X187" s="85" t="n">
        <f aca="true">IF(X$5=0,W187,MAX(0,(W187-X$4)*(1+NORMINV(RAND(),INPUTS!$B$28,INPUTS!$B$29))))</f>
        <v>2108264.54547955</v>
      </c>
      <c r="Y187" s="85" t="n">
        <f aca="true">IF(Y$5=0,X187,MAX(0,(X187-Y$4)*(1+NORMINV(RAND(),INPUTS!$B$28,INPUTS!$B$29))))</f>
        <v>2006365.34356069</v>
      </c>
      <c r="Z187" s="85" t="n">
        <f aca="true">IF(Z$5=0,Y187,MAX(0,(Y187-Z$4)*(1+NORMINV(RAND(),INPUTS!$B$28,INPUTS!$B$29))))</f>
        <v>1956713.95163476</v>
      </c>
      <c r="AA187" s="85" t="n">
        <f aca="true">IF(AA$5=0,Z187,MAX(0,(Z187-AA$4)*(1+NORMINV(RAND(),INPUTS!$B$28,INPUTS!$B$29))))</f>
        <v>1922765.76092855</v>
      </c>
      <c r="AB187" s="85" t="n">
        <f aca="true">IF(AB$5=0,AA187,MAX(0,(AA187-AB$4)*(1+NORMINV(RAND(),INPUTS!$B$28,INPUTS!$B$29))))</f>
        <v>1721464.50534097</v>
      </c>
      <c r="AC187" s="85" t="n">
        <f aca="true">IF(AC$5=0,AB187,MAX(0,(AB187-AC$4)*(1+NORMINV(RAND(),INPUTS!$B$28,INPUTS!$B$29))))</f>
        <v>1707615.08731462</v>
      </c>
      <c r="AD187" s="85" t="n">
        <f aca="true">IF(AD$5=0,AC187,MAX(0,(AC187-AD$4)*(1+NORMINV(RAND(),INPUTS!$B$28,INPUTS!$B$29))))</f>
        <v>1808231.73597253</v>
      </c>
      <c r="AE187" s="85" t="n">
        <f aca="true">IF(AE$5=0,AD187,MAX(0,(AD187-AE$4)*(1+NORMINV(RAND(),INPUTS!$B$28,INPUTS!$B$29))))</f>
        <v>1967612.99946507</v>
      </c>
      <c r="AF187" s="85" t="n">
        <f aca="true">IF(AF$5=0,AE187,MAX(0,(AE187-AF$4)*(1+NORMINV(RAND(),INPUTS!$B$28,INPUTS!$B$29))))</f>
        <v>1908951.05524113</v>
      </c>
      <c r="AG187" s="85" t="n">
        <f aca="true">IF(AG$5=0,AF187,MAX(0,(AF187-AG$4)*(1+NORMINV(RAND(),INPUTS!$B$28,INPUTS!$B$29))))</f>
        <v>2372259.7284029</v>
      </c>
      <c r="AH187" s="85" t="n">
        <f aca="true">IF(AH$5=0,AG187,MAX(0,(AG187-AH$4)*(1+NORMINV(RAND(),INPUTS!$B$28,INPUTS!$B$29))))</f>
        <v>2304565.47592363</v>
      </c>
      <c r="AI187" s="85" t="n">
        <f aca="true">IF(AI$5=0,AH187,MAX(0,(AH187-AI$4)*(1+NORMINV(RAND(),INPUTS!$B$28,INPUTS!$B$29))))</f>
        <v>2611557.99451901</v>
      </c>
      <c r="AJ187" s="85" t="n">
        <f aca="true">IF(AJ$5=0,AI187,MAX(0,(AI187-AJ$4)*(1+NORMINV(RAND(),INPUTS!$B$28,INPUTS!$B$29))))</f>
        <v>3037761.04579806</v>
      </c>
      <c r="AK187" s="85" t="n">
        <f aca="true">IF(AK$5=0,AJ187,MAX(0,(AJ187-AK$4)*(1+NORMINV(RAND(),INPUTS!$B$28,INPUTS!$B$29))))</f>
        <v>3192991.91489889</v>
      </c>
      <c r="AL187" s="85" t="n">
        <f aca="true">IF(AL$5=0,AK187,MAX(0,(AK187-AL$4)*(1+NORMINV(RAND(),INPUTS!$B$28,INPUTS!$B$29))))</f>
        <v>3633332.11587875</v>
      </c>
      <c r="AM187" s="85" t="n">
        <f aca="true">IF(AM$5=0,AL187,MAX(0,(AL187-AM$4)*(1+NORMINV(RAND(),INPUTS!$B$28,INPUTS!$B$29))))</f>
        <v>3633332.11587875</v>
      </c>
      <c r="AN187" s="85" t="n">
        <f aca="true">IF(AN$5=0,AM187,MAX(0,(AM187-AN$4)*(1+NORMINV(RAND(),INPUTS!$B$28,INPUTS!$B$29))))</f>
        <v>3633332.11587875</v>
      </c>
      <c r="AO187" s="85" t="n">
        <f aca="true">IF(AO$5=0,AN187,MAX(0,(AN187-AO$4)*(1+NORMINV(RAND(),INPUTS!$B$28,INPUTS!$B$29))))</f>
        <v>3633332.11587875</v>
      </c>
      <c r="AP187" s="85" t="n">
        <f aca="true">IF(AP$5=0,AO187,MAX(0,(AO187-AP$4)*(1+NORMINV(RAND(),INPUTS!$B$28,INPUTS!$B$29))))</f>
        <v>3633332.11587875</v>
      </c>
    </row>
    <row r="188" customFormat="false" ht="15" hidden="false" customHeight="true" outlineLevel="0" collapsed="false">
      <c r="A188" s="83" t="n">
        <v>181</v>
      </c>
      <c r="B188" s="84" t="n">
        <f aca="false">LOOKUP(9.99E+307,C188:AP188)</f>
        <v>807492.359330567</v>
      </c>
      <c r="C188" s="85" t="n">
        <f aca="true">IF(C$5=0,INPUTS!$B$19,MAX(0,(INPUTS!$B$19-C$4)*(1+NORMINV(RAND(),INPUTS!$B$28,INPUTS!$B$29))))</f>
        <v>1435417.97862812</v>
      </c>
      <c r="D188" s="85" t="n">
        <f aca="true">IF(D$5=0,C188,MAX(0,(C188-D$4)*(1+NORMINV(RAND(),INPUTS!$B$28,INPUTS!$B$29))))</f>
        <v>1626075.94777644</v>
      </c>
      <c r="E188" s="85" t="n">
        <f aca="true">IF(E$5=0,D188,MAX(0,(D188-E$4)*(1+NORMINV(RAND(),INPUTS!$B$28,INPUTS!$B$29))))</f>
        <v>1828098.32486838</v>
      </c>
      <c r="F188" s="85" t="n">
        <f aca="true">IF(F$5=0,E188,MAX(0,(E188-F$4)*(1+NORMINV(RAND(),INPUTS!$B$28,INPUTS!$B$29))))</f>
        <v>1729646.87265604</v>
      </c>
      <c r="G188" s="85" t="n">
        <f aca="true">IF(G$5=0,F188,MAX(0,(F188-G$4)*(1+NORMINV(RAND(),INPUTS!$B$28,INPUTS!$B$29))))</f>
        <v>1546883.29031291</v>
      </c>
      <c r="H188" s="85" t="n">
        <f aca="true">IF(H$5=0,G188,MAX(0,(G188-H$4)*(1+NORMINV(RAND(),INPUTS!$B$28,INPUTS!$B$29))))</f>
        <v>1361825.36885506</v>
      </c>
      <c r="I188" s="85" t="n">
        <f aca="true">IF(I$5=0,H188,MAX(0,(H188-I$4)*(1+NORMINV(RAND(),INPUTS!$B$28,INPUTS!$B$29))))</f>
        <v>1561748.2641756</v>
      </c>
      <c r="J188" s="85" t="n">
        <f aca="true">IF(J$5=0,I188,MAX(0,(I188-J$4)*(1+NORMINV(RAND(),INPUTS!$B$28,INPUTS!$B$29))))</f>
        <v>1501894.02367841</v>
      </c>
      <c r="K188" s="85" t="n">
        <f aca="true">IF(K$5=0,J188,MAX(0,(J188-K$4)*(1+NORMINV(RAND(),INPUTS!$B$28,INPUTS!$B$29))))</f>
        <v>1348942.05300091</v>
      </c>
      <c r="L188" s="85" t="n">
        <f aca="true">IF(L$5=0,K188,MAX(0,(K188-L$4)*(1+NORMINV(RAND(),INPUTS!$B$28,INPUTS!$B$29))))</f>
        <v>1414232.50275424</v>
      </c>
      <c r="M188" s="85" t="n">
        <f aca="true">IF(M$5=0,L188,MAX(0,(L188-M$4)*(1+NORMINV(RAND(),INPUTS!$B$28,INPUTS!$B$29))))</f>
        <v>1368104.2246302</v>
      </c>
      <c r="N188" s="85" t="n">
        <f aca="true">IF(N$5=0,M188,MAX(0,(M188-N$4)*(1+NORMINV(RAND(),INPUTS!$B$28,INPUTS!$B$29))))</f>
        <v>1500461.28223695</v>
      </c>
      <c r="O188" s="85" t="n">
        <f aca="true">IF(O$5=0,N188,MAX(0,(N188-O$4)*(1+NORMINV(RAND(),INPUTS!$B$28,INPUTS!$B$29))))</f>
        <v>1272701.21240348</v>
      </c>
      <c r="P188" s="85" t="n">
        <f aca="true">IF(P$5=0,O188,MAX(0,(O188-P$4)*(1+NORMINV(RAND(),INPUTS!$B$28,INPUTS!$B$29))))</f>
        <v>1264961.89331565</v>
      </c>
      <c r="Q188" s="85" t="n">
        <f aca="true">IF(Q$5=0,P188,MAX(0,(P188-Q$4)*(1+NORMINV(RAND(),INPUTS!$B$28,INPUTS!$B$29))))</f>
        <v>1089777.11283134</v>
      </c>
      <c r="R188" s="85" t="n">
        <f aca="true">IF(R$5=0,Q188,MAX(0,(Q188-R$4)*(1+NORMINV(RAND(),INPUTS!$B$28,INPUTS!$B$29))))</f>
        <v>1424277.4750973</v>
      </c>
      <c r="S188" s="85" t="n">
        <f aca="true">IF(S$5=0,R188,MAX(0,(R188-S$4)*(1+NORMINV(RAND(),INPUTS!$B$28,INPUTS!$B$29))))</f>
        <v>1768616.33542582</v>
      </c>
      <c r="T188" s="85" t="n">
        <f aca="true">IF(T$5=0,S188,MAX(0,(S188-T$4)*(1+NORMINV(RAND(),INPUTS!$B$28,INPUTS!$B$29))))</f>
        <v>1690561.11696684</v>
      </c>
      <c r="U188" s="85" t="n">
        <f aca="true">IF(U$5=0,T188,MAX(0,(T188-U$4)*(1+NORMINV(RAND(),INPUTS!$B$28,INPUTS!$B$29))))</f>
        <v>1833630.92685103</v>
      </c>
      <c r="V188" s="85" t="n">
        <f aca="true">IF(V$5=0,U188,MAX(0,(U188-V$4)*(1+NORMINV(RAND(),INPUTS!$B$28,INPUTS!$B$29))))</f>
        <v>1906904.08119154</v>
      </c>
      <c r="W188" s="85" t="n">
        <f aca="true">IF(W$5=0,V188,MAX(0,(V188-W$4)*(1+NORMINV(RAND(),INPUTS!$B$28,INPUTS!$B$29))))</f>
        <v>1530136.95602278</v>
      </c>
      <c r="X188" s="85" t="n">
        <f aca="true">IF(X$5=0,W188,MAX(0,(W188-X$4)*(1+NORMINV(RAND(),INPUTS!$B$28,INPUTS!$B$29))))</f>
        <v>1910762.95226964</v>
      </c>
      <c r="Y188" s="85" t="n">
        <f aca="true">IF(Y$5=0,X188,MAX(0,(X188-Y$4)*(1+NORMINV(RAND(),INPUTS!$B$28,INPUTS!$B$29))))</f>
        <v>1883689.81091997</v>
      </c>
      <c r="Z188" s="85" t="n">
        <f aca="true">IF(Z$5=0,Y188,MAX(0,(Y188-Z$4)*(1+NORMINV(RAND(),INPUTS!$B$28,INPUTS!$B$29))))</f>
        <v>1489275.84504682</v>
      </c>
      <c r="AA188" s="85" t="n">
        <f aca="true">IF(AA$5=0,Z188,MAX(0,(Z188-AA$4)*(1+NORMINV(RAND(),INPUTS!$B$28,INPUTS!$B$29))))</f>
        <v>1611651.96418459</v>
      </c>
      <c r="AB188" s="85" t="n">
        <f aca="true">IF(AB$5=0,AA188,MAX(0,(AA188-AB$4)*(1+NORMINV(RAND(),INPUTS!$B$28,INPUTS!$B$29))))</f>
        <v>1797866.99272111</v>
      </c>
      <c r="AC188" s="85" t="n">
        <f aca="true">IF(AC$5=0,AB188,MAX(0,(AB188-AC$4)*(1+NORMINV(RAND(),INPUTS!$B$28,INPUTS!$B$29))))</f>
        <v>1261730.07487755</v>
      </c>
      <c r="AD188" s="85" t="n">
        <f aca="true">IF(AD$5=0,AC188,MAX(0,(AC188-AD$4)*(1+NORMINV(RAND(),INPUTS!$B$28,INPUTS!$B$29))))</f>
        <v>1100777.73416346</v>
      </c>
      <c r="AE188" s="85" t="n">
        <f aca="true">IF(AE$5=0,AD188,MAX(0,(AD188-AE$4)*(1+NORMINV(RAND(),INPUTS!$B$28,INPUTS!$B$29))))</f>
        <v>1037933.37540385</v>
      </c>
      <c r="AF188" s="85" t="n">
        <f aca="true">IF(AF$5=0,AE188,MAX(0,(AE188-AF$4)*(1+NORMINV(RAND(),INPUTS!$B$28,INPUTS!$B$29))))</f>
        <v>1052421.49347315</v>
      </c>
      <c r="AG188" s="85" t="n">
        <f aca="true">IF(AG$5=0,AF188,MAX(0,(AF188-AG$4)*(1+NORMINV(RAND(),INPUTS!$B$28,INPUTS!$B$29))))</f>
        <v>1027585.74591509</v>
      </c>
      <c r="AH188" s="85" t="n">
        <f aca="true">IF(AH$5=0,AG188,MAX(0,(AG188-AH$4)*(1+NORMINV(RAND(),INPUTS!$B$28,INPUTS!$B$29))))</f>
        <v>1022815.4479807</v>
      </c>
      <c r="AI188" s="85" t="n">
        <f aca="true">IF(AI$5=0,AH188,MAX(0,(AH188-AI$4)*(1+NORMINV(RAND(),INPUTS!$B$28,INPUTS!$B$29))))</f>
        <v>947255.158170336</v>
      </c>
      <c r="AJ188" s="85" t="n">
        <f aca="true">IF(AJ$5=0,AI188,MAX(0,(AI188-AJ$4)*(1+NORMINV(RAND(),INPUTS!$B$28,INPUTS!$B$29))))</f>
        <v>721148.59377525</v>
      </c>
      <c r="AK188" s="85" t="n">
        <f aca="true">IF(AK$5=0,AJ188,MAX(0,(AJ188-AK$4)*(1+NORMINV(RAND(),INPUTS!$B$28,INPUTS!$B$29))))</f>
        <v>739796.039987952</v>
      </c>
      <c r="AL188" s="85" t="n">
        <f aca="true">IF(AL$5=0,AK188,MAX(0,(AK188-AL$4)*(1+NORMINV(RAND(),INPUTS!$B$28,INPUTS!$B$29))))</f>
        <v>807492.359330567</v>
      </c>
      <c r="AM188" s="85" t="n">
        <f aca="true">IF(AM$5=0,AL188,MAX(0,(AL188-AM$4)*(1+NORMINV(RAND(),INPUTS!$B$28,INPUTS!$B$29))))</f>
        <v>807492.359330567</v>
      </c>
      <c r="AN188" s="85" t="n">
        <f aca="true">IF(AN$5=0,AM188,MAX(0,(AM188-AN$4)*(1+NORMINV(RAND(),INPUTS!$B$28,INPUTS!$B$29))))</f>
        <v>807492.359330567</v>
      </c>
      <c r="AO188" s="85" t="n">
        <f aca="true">IF(AO$5=0,AN188,MAX(0,(AN188-AO$4)*(1+NORMINV(RAND(),INPUTS!$B$28,INPUTS!$B$29))))</f>
        <v>807492.359330567</v>
      </c>
      <c r="AP188" s="85" t="n">
        <f aca="true">IF(AP$5=0,AO188,MAX(0,(AO188-AP$4)*(1+NORMINV(RAND(),INPUTS!$B$28,INPUTS!$B$29))))</f>
        <v>807492.359330567</v>
      </c>
    </row>
    <row r="189" customFormat="false" ht="15" hidden="false" customHeight="true" outlineLevel="0" collapsed="false">
      <c r="A189" s="83" t="n">
        <v>182</v>
      </c>
      <c r="B189" s="84" t="n">
        <f aca="false">LOOKUP(9.99E+307,C189:AP189)</f>
        <v>1715405.31674654</v>
      </c>
      <c r="C189" s="85" t="n">
        <f aca="true">IF(C$5=0,INPUTS!$B$19,MAX(0,(INPUTS!$B$19-C$4)*(1+NORMINV(RAND(),INPUTS!$B$28,INPUTS!$B$29))))</f>
        <v>1313455.72795163</v>
      </c>
      <c r="D189" s="85" t="n">
        <f aca="true">IF(D$5=0,C189,MAX(0,(C189-D$4)*(1+NORMINV(RAND(),INPUTS!$B$28,INPUTS!$B$29))))</f>
        <v>1650331.62100865</v>
      </c>
      <c r="E189" s="85" t="n">
        <f aca="true">IF(E$5=0,D189,MAX(0,(D189-E$4)*(1+NORMINV(RAND(),INPUTS!$B$28,INPUTS!$B$29))))</f>
        <v>1459778.06793061</v>
      </c>
      <c r="F189" s="85" t="n">
        <f aca="true">IF(F$5=0,E189,MAX(0,(E189-F$4)*(1+NORMINV(RAND(),INPUTS!$B$28,INPUTS!$B$29))))</f>
        <v>1691570.51219158</v>
      </c>
      <c r="G189" s="85" t="n">
        <f aca="true">IF(G$5=0,F189,MAX(0,(F189-G$4)*(1+NORMINV(RAND(),INPUTS!$B$28,INPUTS!$B$29))))</f>
        <v>1715094.78032164</v>
      </c>
      <c r="H189" s="85" t="n">
        <f aca="true">IF(H$5=0,G189,MAX(0,(G189-H$4)*(1+NORMINV(RAND(),INPUTS!$B$28,INPUTS!$B$29))))</f>
        <v>2012491.72722284</v>
      </c>
      <c r="I189" s="85" t="n">
        <f aca="true">IF(I$5=0,H189,MAX(0,(H189-I$4)*(1+NORMINV(RAND(),INPUTS!$B$28,INPUTS!$B$29))))</f>
        <v>2486524.48636615</v>
      </c>
      <c r="J189" s="85" t="n">
        <f aca="true">IF(J$5=0,I189,MAX(0,(I189-J$4)*(1+NORMINV(RAND(),INPUTS!$B$28,INPUTS!$B$29))))</f>
        <v>2032879.80355589</v>
      </c>
      <c r="K189" s="85" t="n">
        <f aca="true">IF(K$5=0,J189,MAX(0,(J189-K$4)*(1+NORMINV(RAND(),INPUTS!$B$28,INPUTS!$B$29))))</f>
        <v>1901972.33005341</v>
      </c>
      <c r="L189" s="85" t="n">
        <f aca="true">IF(L$5=0,K189,MAX(0,(K189-L$4)*(1+NORMINV(RAND(),INPUTS!$B$28,INPUTS!$B$29))))</f>
        <v>1701485.97313095</v>
      </c>
      <c r="M189" s="85" t="n">
        <f aca="true">IF(M$5=0,L189,MAX(0,(L189-M$4)*(1+NORMINV(RAND(),INPUTS!$B$28,INPUTS!$B$29))))</f>
        <v>1590599.36149798</v>
      </c>
      <c r="N189" s="85" t="n">
        <f aca="true">IF(N$5=0,M189,MAX(0,(M189-N$4)*(1+NORMINV(RAND(),INPUTS!$B$28,INPUTS!$B$29))))</f>
        <v>1519706.42877981</v>
      </c>
      <c r="O189" s="85" t="n">
        <f aca="true">IF(O$5=0,N189,MAX(0,(N189-O$4)*(1+NORMINV(RAND(),INPUTS!$B$28,INPUTS!$B$29))))</f>
        <v>1499584.91408601</v>
      </c>
      <c r="P189" s="85" t="n">
        <f aca="true">IF(P$5=0,O189,MAX(0,(O189-P$4)*(1+NORMINV(RAND(),INPUTS!$B$28,INPUTS!$B$29))))</f>
        <v>1485451.22659085</v>
      </c>
      <c r="Q189" s="85" t="n">
        <f aca="true">IF(Q$5=0,P189,MAX(0,(P189-Q$4)*(1+NORMINV(RAND(),INPUTS!$B$28,INPUTS!$B$29))))</f>
        <v>1790825.76021806</v>
      </c>
      <c r="R189" s="85" t="n">
        <f aca="true">IF(R$5=0,Q189,MAX(0,(Q189-R$4)*(1+NORMINV(RAND(),INPUTS!$B$28,INPUTS!$B$29))))</f>
        <v>1823403.70538235</v>
      </c>
      <c r="S189" s="85" t="n">
        <f aca="true">IF(S$5=0,R189,MAX(0,(R189-S$4)*(1+NORMINV(RAND(),INPUTS!$B$28,INPUTS!$B$29))))</f>
        <v>2055383.95702825</v>
      </c>
      <c r="T189" s="85" t="n">
        <f aca="true">IF(T$5=0,S189,MAX(0,(S189-T$4)*(1+NORMINV(RAND(),INPUTS!$B$28,INPUTS!$B$29))))</f>
        <v>2213999.93218066</v>
      </c>
      <c r="U189" s="85" t="n">
        <f aca="true">IF(U$5=0,T189,MAX(0,(T189-U$4)*(1+NORMINV(RAND(),INPUTS!$B$28,INPUTS!$B$29))))</f>
        <v>2453091.50724554</v>
      </c>
      <c r="V189" s="85" t="n">
        <f aca="true">IF(V$5=0,U189,MAX(0,(U189-V$4)*(1+NORMINV(RAND(),INPUTS!$B$28,INPUTS!$B$29))))</f>
        <v>2046075.1091271</v>
      </c>
      <c r="W189" s="85" t="n">
        <f aca="true">IF(W$5=0,V189,MAX(0,(V189-W$4)*(1+NORMINV(RAND(),INPUTS!$B$28,INPUTS!$B$29))))</f>
        <v>2168596.97691262</v>
      </c>
      <c r="X189" s="85" t="n">
        <f aca="true">IF(X$5=0,W189,MAX(0,(W189-X$4)*(1+NORMINV(RAND(),INPUTS!$B$28,INPUTS!$B$29))))</f>
        <v>2094213.75683733</v>
      </c>
      <c r="Y189" s="85" t="n">
        <f aca="true">IF(Y$5=0,X189,MAX(0,(X189-Y$4)*(1+NORMINV(RAND(),INPUTS!$B$28,INPUTS!$B$29))))</f>
        <v>2337554.7425226</v>
      </c>
      <c r="Z189" s="85" t="n">
        <f aca="true">IF(Z$5=0,Y189,MAX(0,(Y189-Z$4)*(1+NORMINV(RAND(),INPUTS!$B$28,INPUTS!$B$29))))</f>
        <v>2764597.21746081</v>
      </c>
      <c r="AA189" s="85" t="n">
        <f aca="true">IF(AA$5=0,Z189,MAX(0,(Z189-AA$4)*(1+NORMINV(RAND(),INPUTS!$B$28,INPUTS!$B$29))))</f>
        <v>3282407.16203568</v>
      </c>
      <c r="AB189" s="85" t="n">
        <f aca="true">IF(AB$5=0,AA189,MAX(0,(AA189-AB$4)*(1+NORMINV(RAND(),INPUTS!$B$28,INPUTS!$B$29))))</f>
        <v>3534505.50945197</v>
      </c>
      <c r="AC189" s="85" t="n">
        <f aca="true">IF(AC$5=0,AB189,MAX(0,(AB189-AC$4)*(1+NORMINV(RAND(),INPUTS!$B$28,INPUTS!$B$29))))</f>
        <v>3744671.28460981</v>
      </c>
      <c r="AD189" s="85" t="n">
        <f aca="true">IF(AD$5=0,AC189,MAX(0,(AC189-AD$4)*(1+NORMINV(RAND(),INPUTS!$B$28,INPUTS!$B$29))))</f>
        <v>4050692.92564525</v>
      </c>
      <c r="AE189" s="85" t="n">
        <f aca="true">IF(AE$5=0,AD189,MAX(0,(AD189-AE$4)*(1+NORMINV(RAND(),INPUTS!$B$28,INPUTS!$B$29))))</f>
        <v>3073774.08113883</v>
      </c>
      <c r="AF189" s="85" t="n">
        <f aca="true">IF(AF$5=0,AE189,MAX(0,(AE189-AF$4)*(1+NORMINV(RAND(),INPUTS!$B$28,INPUTS!$B$29))))</f>
        <v>2567884.37148597</v>
      </c>
      <c r="AG189" s="85" t="n">
        <f aca="true">IF(AG$5=0,AF189,MAX(0,(AF189-AG$4)*(1+NORMINV(RAND(),INPUTS!$B$28,INPUTS!$B$29))))</f>
        <v>2720730.19235511</v>
      </c>
      <c r="AH189" s="85" t="n">
        <f aca="true">IF(AH$5=0,AG189,MAX(0,(AG189-AH$4)*(1+NORMINV(RAND(),INPUTS!$B$28,INPUTS!$B$29))))</f>
        <v>2584691.99503167</v>
      </c>
      <c r="AI189" s="85" t="n">
        <f aca="true">IF(AI$5=0,AH189,MAX(0,(AH189-AI$4)*(1+NORMINV(RAND(),INPUTS!$B$28,INPUTS!$B$29))))</f>
        <v>2193190.03966921</v>
      </c>
      <c r="AJ189" s="85" t="n">
        <f aca="true">IF(AJ$5=0,AI189,MAX(0,(AI189-AJ$4)*(1+NORMINV(RAND(),INPUTS!$B$28,INPUTS!$B$29))))</f>
        <v>1927237.35676483</v>
      </c>
      <c r="AK189" s="85" t="n">
        <f aca="true">IF(AK$5=0,AJ189,MAX(0,(AJ189-AK$4)*(1+NORMINV(RAND(),INPUTS!$B$28,INPUTS!$B$29))))</f>
        <v>1661285.01390963</v>
      </c>
      <c r="AL189" s="85" t="n">
        <f aca="true">IF(AL$5=0,AK189,MAX(0,(AK189-AL$4)*(1+NORMINV(RAND(),INPUTS!$B$28,INPUTS!$B$29))))</f>
        <v>1715405.31674654</v>
      </c>
      <c r="AM189" s="85" t="n">
        <f aca="true">IF(AM$5=0,AL189,MAX(0,(AL189-AM$4)*(1+NORMINV(RAND(),INPUTS!$B$28,INPUTS!$B$29))))</f>
        <v>1715405.31674654</v>
      </c>
      <c r="AN189" s="85" t="n">
        <f aca="true">IF(AN$5=0,AM189,MAX(0,(AM189-AN$4)*(1+NORMINV(RAND(),INPUTS!$B$28,INPUTS!$B$29))))</f>
        <v>1715405.31674654</v>
      </c>
      <c r="AO189" s="85" t="n">
        <f aca="true">IF(AO$5=0,AN189,MAX(0,(AN189-AO$4)*(1+NORMINV(RAND(),INPUTS!$B$28,INPUTS!$B$29))))</f>
        <v>1715405.31674654</v>
      </c>
      <c r="AP189" s="85" t="n">
        <f aca="true">IF(AP$5=0,AO189,MAX(0,(AO189-AP$4)*(1+NORMINV(RAND(),INPUTS!$B$28,INPUTS!$B$29))))</f>
        <v>1715405.31674654</v>
      </c>
    </row>
    <row r="190" customFormat="false" ht="15" hidden="false" customHeight="true" outlineLevel="0" collapsed="false">
      <c r="A190" s="83" t="n">
        <v>183</v>
      </c>
      <c r="B190" s="84" t="n">
        <f aca="false">LOOKUP(9.99E+307,C190:AP190)</f>
        <v>1066160.74295228</v>
      </c>
      <c r="C190" s="85" t="n">
        <f aca="true">IF(C$5=0,INPUTS!$B$19,MAX(0,(INPUTS!$B$19-C$4)*(1+NORMINV(RAND(),INPUTS!$B$28,INPUTS!$B$29))))</f>
        <v>1251715.58894674</v>
      </c>
      <c r="D190" s="85" t="n">
        <f aca="true">IF(D$5=0,C190,MAX(0,(C190-D$4)*(1+NORMINV(RAND(),INPUTS!$B$28,INPUTS!$B$29))))</f>
        <v>1236065.08518956</v>
      </c>
      <c r="E190" s="85" t="n">
        <f aca="true">IF(E$5=0,D190,MAX(0,(D190-E$4)*(1+NORMINV(RAND(),INPUTS!$B$28,INPUTS!$B$29))))</f>
        <v>1398988.42675003</v>
      </c>
      <c r="F190" s="85" t="n">
        <f aca="true">IF(F$5=0,E190,MAX(0,(E190-F$4)*(1+NORMINV(RAND(),INPUTS!$B$28,INPUTS!$B$29))))</f>
        <v>1323817.14437285</v>
      </c>
      <c r="G190" s="85" t="n">
        <f aca="true">IF(G$5=0,F190,MAX(0,(F190-G$4)*(1+NORMINV(RAND(),INPUTS!$B$28,INPUTS!$B$29))))</f>
        <v>1414655.08328449</v>
      </c>
      <c r="H190" s="85" t="n">
        <f aca="true">IF(H$5=0,G190,MAX(0,(G190-H$4)*(1+NORMINV(RAND(),INPUTS!$B$28,INPUTS!$B$29))))</f>
        <v>1378620.09808707</v>
      </c>
      <c r="I190" s="85" t="n">
        <f aca="true">IF(I$5=0,H190,MAX(0,(H190-I$4)*(1+NORMINV(RAND(),INPUTS!$B$28,INPUTS!$B$29))))</f>
        <v>1295079.08131366</v>
      </c>
      <c r="J190" s="85" t="n">
        <f aca="true">IF(J$5=0,I190,MAX(0,(I190-J$4)*(1+NORMINV(RAND(),INPUTS!$B$28,INPUTS!$B$29))))</f>
        <v>1287559.36436069</v>
      </c>
      <c r="K190" s="85" t="n">
        <f aca="true">IF(K$5=0,J190,MAX(0,(J190-K$4)*(1+NORMINV(RAND(),INPUTS!$B$28,INPUTS!$B$29))))</f>
        <v>1043789.7018961</v>
      </c>
      <c r="L190" s="85" t="n">
        <f aca="true">IF(L$5=0,K190,MAX(0,(K190-L$4)*(1+NORMINV(RAND(),INPUTS!$B$28,INPUTS!$B$29))))</f>
        <v>1115898.60120404</v>
      </c>
      <c r="M190" s="85" t="n">
        <f aca="true">IF(M$5=0,L190,MAX(0,(L190-M$4)*(1+NORMINV(RAND(),INPUTS!$B$28,INPUTS!$B$29))))</f>
        <v>1188174.00825143</v>
      </c>
      <c r="N190" s="85" t="n">
        <f aca="true">IF(N$5=0,M190,MAX(0,(M190-N$4)*(1+NORMINV(RAND(),INPUTS!$B$28,INPUTS!$B$29))))</f>
        <v>1162694.0656411</v>
      </c>
      <c r="O190" s="85" t="n">
        <f aca="true">IF(O$5=0,N190,MAX(0,(N190-O$4)*(1+NORMINV(RAND(),INPUTS!$B$28,INPUTS!$B$29))))</f>
        <v>1216564.34073331</v>
      </c>
      <c r="P190" s="85" t="n">
        <f aca="true">IF(P$5=0,O190,MAX(0,(O190-P$4)*(1+NORMINV(RAND(),INPUTS!$B$28,INPUTS!$B$29))))</f>
        <v>1477715.14088511</v>
      </c>
      <c r="Q190" s="85" t="n">
        <f aca="true">IF(Q$5=0,P190,MAX(0,(P190-Q$4)*(1+NORMINV(RAND(),INPUTS!$B$28,INPUTS!$B$29))))</f>
        <v>1540865.95978972</v>
      </c>
      <c r="R190" s="85" t="n">
        <f aca="true">IF(R$5=0,Q190,MAX(0,(Q190-R$4)*(1+NORMINV(RAND(),INPUTS!$B$28,INPUTS!$B$29))))</f>
        <v>1297147.63710625</v>
      </c>
      <c r="S190" s="85" t="n">
        <f aca="true">IF(S$5=0,R190,MAX(0,(R190-S$4)*(1+NORMINV(RAND(),INPUTS!$B$28,INPUTS!$B$29))))</f>
        <v>1283239.62532554</v>
      </c>
      <c r="T190" s="85" t="n">
        <f aca="true">IF(T$5=0,S190,MAX(0,(S190-T$4)*(1+NORMINV(RAND(),INPUTS!$B$28,INPUTS!$B$29))))</f>
        <v>1202477.36364651</v>
      </c>
      <c r="U190" s="85" t="n">
        <f aca="true">IF(U$5=0,T190,MAX(0,(T190-U$4)*(1+NORMINV(RAND(),INPUTS!$B$28,INPUTS!$B$29))))</f>
        <v>972126.886692062</v>
      </c>
      <c r="V190" s="85" t="n">
        <f aca="true">IF(V$5=0,U190,MAX(0,(U190-V$4)*(1+NORMINV(RAND(),INPUTS!$B$28,INPUTS!$B$29))))</f>
        <v>940162.67657324</v>
      </c>
      <c r="W190" s="85" t="n">
        <f aca="true">IF(W$5=0,V190,MAX(0,(V190-W$4)*(1+NORMINV(RAND(),INPUTS!$B$28,INPUTS!$B$29))))</f>
        <v>1070291.78553351</v>
      </c>
      <c r="X190" s="85" t="n">
        <f aca="true">IF(X$5=0,W190,MAX(0,(W190-X$4)*(1+NORMINV(RAND(),INPUTS!$B$28,INPUTS!$B$29))))</f>
        <v>1142288.67144012</v>
      </c>
      <c r="Y190" s="85" t="n">
        <f aca="true">IF(Y$5=0,X190,MAX(0,(X190-Y$4)*(1+NORMINV(RAND(),INPUTS!$B$28,INPUTS!$B$29))))</f>
        <v>1437205.84683283</v>
      </c>
      <c r="Z190" s="85" t="n">
        <f aca="true">IF(Z$5=0,Y190,MAX(0,(Y190-Z$4)*(1+NORMINV(RAND(),INPUTS!$B$28,INPUTS!$B$29))))</f>
        <v>1503136.21559561</v>
      </c>
      <c r="AA190" s="85" t="n">
        <f aca="true">IF(AA$5=0,Z190,MAX(0,(Z190-AA$4)*(1+NORMINV(RAND(),INPUTS!$B$28,INPUTS!$B$29))))</f>
        <v>1357691.20235125</v>
      </c>
      <c r="AB190" s="85" t="n">
        <f aca="true">IF(AB$5=0,AA190,MAX(0,(AA190-AB$4)*(1+NORMINV(RAND(),INPUTS!$B$28,INPUTS!$B$29))))</f>
        <v>1281376.05549438</v>
      </c>
      <c r="AC190" s="85" t="n">
        <f aca="true">IF(AC$5=0,AB190,MAX(0,(AB190-AC$4)*(1+NORMINV(RAND(),INPUTS!$B$28,INPUTS!$B$29))))</f>
        <v>1278881.10993336</v>
      </c>
      <c r="AD190" s="85" t="n">
        <f aca="true">IF(AD$5=0,AC190,MAX(0,(AC190-AD$4)*(1+NORMINV(RAND(),INPUTS!$B$28,INPUTS!$B$29))))</f>
        <v>1293103.20829137</v>
      </c>
      <c r="AE190" s="85" t="n">
        <f aca="true">IF(AE$5=0,AD190,MAX(0,(AD190-AE$4)*(1+NORMINV(RAND(),INPUTS!$B$28,INPUTS!$B$29))))</f>
        <v>1324824.07092231</v>
      </c>
      <c r="AF190" s="85" t="n">
        <f aca="true">IF(AF$5=0,AE190,MAX(0,(AE190-AF$4)*(1+NORMINV(RAND(),INPUTS!$B$28,INPUTS!$B$29))))</f>
        <v>1300577.37280166</v>
      </c>
      <c r="AG190" s="85" t="n">
        <f aca="true">IF(AG$5=0,AF190,MAX(0,(AF190-AG$4)*(1+NORMINV(RAND(),INPUTS!$B$28,INPUTS!$B$29))))</f>
        <v>1143318.45511744</v>
      </c>
      <c r="AH190" s="85" t="n">
        <f aca="true">IF(AH$5=0,AG190,MAX(0,(AG190-AH$4)*(1+NORMINV(RAND(),INPUTS!$B$28,INPUTS!$B$29))))</f>
        <v>913519.715762596</v>
      </c>
      <c r="AI190" s="85" t="n">
        <f aca="true">IF(AI$5=0,AH190,MAX(0,(AH190-AI$4)*(1+NORMINV(RAND(),INPUTS!$B$28,INPUTS!$B$29))))</f>
        <v>980194.044966721</v>
      </c>
      <c r="AJ190" s="85" t="n">
        <f aca="true">IF(AJ$5=0,AI190,MAX(0,(AI190-AJ$4)*(1+NORMINV(RAND(),INPUTS!$B$28,INPUTS!$B$29))))</f>
        <v>969655.45198242</v>
      </c>
      <c r="AK190" s="85" t="n">
        <f aca="true">IF(AK$5=0,AJ190,MAX(0,(AJ190-AK$4)*(1+NORMINV(RAND(),INPUTS!$B$28,INPUTS!$B$29))))</f>
        <v>910286.383078525</v>
      </c>
      <c r="AL190" s="85" t="n">
        <f aca="true">IF(AL$5=0,AK190,MAX(0,(AK190-AL$4)*(1+NORMINV(RAND(),INPUTS!$B$28,INPUTS!$B$29))))</f>
        <v>1066160.74295228</v>
      </c>
      <c r="AM190" s="85" t="n">
        <f aca="true">IF(AM$5=0,AL190,MAX(0,(AL190-AM$4)*(1+NORMINV(RAND(),INPUTS!$B$28,INPUTS!$B$29))))</f>
        <v>1066160.74295228</v>
      </c>
      <c r="AN190" s="85" t="n">
        <f aca="true">IF(AN$5=0,AM190,MAX(0,(AM190-AN$4)*(1+NORMINV(RAND(),INPUTS!$B$28,INPUTS!$B$29))))</f>
        <v>1066160.74295228</v>
      </c>
      <c r="AO190" s="85" t="n">
        <f aca="true">IF(AO$5=0,AN190,MAX(0,(AN190-AO$4)*(1+NORMINV(RAND(),INPUTS!$B$28,INPUTS!$B$29))))</f>
        <v>1066160.74295228</v>
      </c>
      <c r="AP190" s="85" t="n">
        <f aca="true">IF(AP$5=0,AO190,MAX(0,(AO190-AP$4)*(1+NORMINV(RAND(),INPUTS!$B$28,INPUTS!$B$29))))</f>
        <v>1066160.74295228</v>
      </c>
    </row>
    <row r="191" customFormat="false" ht="15" hidden="false" customHeight="true" outlineLevel="0" collapsed="false">
      <c r="A191" s="83" t="n">
        <v>184</v>
      </c>
      <c r="B191" s="84" t="n">
        <f aca="false">LOOKUP(9.99E+307,C191:AP191)</f>
        <v>0</v>
      </c>
      <c r="C191" s="85" t="n">
        <f aca="true">IF(C$5=0,INPUTS!$B$19,MAX(0,(INPUTS!$B$19-C$4)*(1+NORMINV(RAND(),INPUTS!$B$28,INPUTS!$B$29))))</f>
        <v>1283101.92550718</v>
      </c>
      <c r="D191" s="85" t="n">
        <f aca="true">IF(D$5=0,C191,MAX(0,(C191-D$4)*(1+NORMINV(RAND(),INPUTS!$B$28,INPUTS!$B$29))))</f>
        <v>1182633.29775975</v>
      </c>
      <c r="E191" s="85" t="n">
        <f aca="true">IF(E$5=0,D191,MAX(0,(D191-E$4)*(1+NORMINV(RAND(),INPUTS!$B$28,INPUTS!$B$29))))</f>
        <v>1250411.53532404</v>
      </c>
      <c r="F191" s="85" t="n">
        <f aca="true">IF(F$5=0,E191,MAX(0,(E191-F$4)*(1+NORMINV(RAND(),INPUTS!$B$28,INPUTS!$B$29))))</f>
        <v>1192227.87826504</v>
      </c>
      <c r="G191" s="85" t="n">
        <f aca="true">IF(G$5=0,F191,MAX(0,(F191-G$4)*(1+NORMINV(RAND(),INPUTS!$B$28,INPUTS!$B$29))))</f>
        <v>1047934.88668799</v>
      </c>
      <c r="H191" s="85" t="n">
        <f aca="true">IF(H$5=0,G191,MAX(0,(G191-H$4)*(1+NORMINV(RAND(),INPUTS!$B$28,INPUTS!$B$29))))</f>
        <v>1042652.03930083</v>
      </c>
      <c r="I191" s="85" t="n">
        <f aca="true">IF(I$5=0,H191,MAX(0,(H191-I$4)*(1+NORMINV(RAND(),INPUTS!$B$28,INPUTS!$B$29))))</f>
        <v>838695.039705376</v>
      </c>
      <c r="J191" s="85" t="n">
        <f aca="true">IF(J$5=0,I191,MAX(0,(I191-J$4)*(1+NORMINV(RAND(),INPUTS!$B$28,INPUTS!$B$29))))</f>
        <v>675147.85829904</v>
      </c>
      <c r="K191" s="85" t="n">
        <f aca="true">IF(K$5=0,J191,MAX(0,(J191-K$4)*(1+NORMINV(RAND(),INPUTS!$B$28,INPUTS!$B$29))))</f>
        <v>631842.979276554</v>
      </c>
      <c r="L191" s="85" t="n">
        <f aca="true">IF(L$5=0,K191,MAX(0,(K191-L$4)*(1+NORMINV(RAND(),INPUTS!$B$28,INPUTS!$B$29))))</f>
        <v>555929.058213912</v>
      </c>
      <c r="M191" s="85" t="n">
        <f aca="true">IF(M$5=0,L191,MAX(0,(L191-M$4)*(1+NORMINV(RAND(),INPUTS!$B$28,INPUTS!$B$29))))</f>
        <v>519541.758540271</v>
      </c>
      <c r="N191" s="85" t="n">
        <f aca="true">IF(N$5=0,M191,MAX(0,(M191-N$4)*(1+NORMINV(RAND(),INPUTS!$B$28,INPUTS!$B$29))))</f>
        <v>489112.402028177</v>
      </c>
      <c r="O191" s="85" t="n">
        <f aca="true">IF(O$5=0,N191,MAX(0,(N191-O$4)*(1+NORMINV(RAND(),INPUTS!$B$28,INPUTS!$B$29))))</f>
        <v>427131.533987955</v>
      </c>
      <c r="P191" s="85" t="n">
        <f aca="true">IF(P$5=0,O191,MAX(0,(O191-P$4)*(1+NORMINV(RAND(),INPUTS!$B$28,INPUTS!$B$29))))</f>
        <v>392418.141018097</v>
      </c>
      <c r="Q191" s="85" t="n">
        <f aca="true">IF(Q$5=0,P191,MAX(0,(P191-Q$4)*(1+NORMINV(RAND(),INPUTS!$B$28,INPUTS!$B$29))))</f>
        <v>348187.040319952</v>
      </c>
      <c r="R191" s="85" t="n">
        <f aca="true">IF(R$5=0,Q191,MAX(0,(Q191-R$4)*(1+NORMINV(RAND(),INPUTS!$B$28,INPUTS!$B$29))))</f>
        <v>340222.112537111</v>
      </c>
      <c r="S191" s="85" t="n">
        <f aca="true">IF(S$5=0,R191,MAX(0,(R191-S$4)*(1+NORMINV(RAND(),INPUTS!$B$28,INPUTS!$B$29))))</f>
        <v>323340.654104626</v>
      </c>
      <c r="T191" s="85" t="n">
        <f aca="true">IF(T$5=0,S191,MAX(0,(S191-T$4)*(1+NORMINV(RAND(),INPUTS!$B$28,INPUTS!$B$29))))</f>
        <v>270376.890331508</v>
      </c>
      <c r="U191" s="85" t="n">
        <f aca="true">IF(U$5=0,T191,MAX(0,(T191-U$4)*(1+NORMINV(RAND(),INPUTS!$B$28,INPUTS!$B$29))))</f>
        <v>171490.238989665</v>
      </c>
      <c r="V191" s="85" t="n">
        <f aca="true">IF(V$5=0,U191,MAX(0,(U191-V$4)*(1+NORMINV(RAND(),INPUTS!$B$28,INPUTS!$B$29))))</f>
        <v>109561.482986216</v>
      </c>
      <c r="W191" s="85" t="n">
        <f aca="true">IF(W$5=0,V191,MAX(0,(V191-W$4)*(1+NORMINV(RAND(),INPUTS!$B$28,INPUTS!$B$29))))</f>
        <v>56650.8827924455</v>
      </c>
      <c r="X191" s="85" t="n">
        <f aca="true">IF(X$5=0,W191,MAX(0,(W191-X$4)*(1+NORMINV(RAND(),INPUTS!$B$28,INPUTS!$B$29))))</f>
        <v>699.167791520184</v>
      </c>
      <c r="Y191" s="85" t="n">
        <f aca="true">IF(Y$5=0,X191,MAX(0,(X191-Y$4)*(1+NORMINV(RAND(),INPUTS!$B$28,INPUTS!$B$29))))</f>
        <v>0</v>
      </c>
      <c r="Z191" s="85" t="n">
        <f aca="true">IF(Z$5=0,Y191,MAX(0,(Y191-Z$4)*(1+NORMINV(RAND(),INPUTS!$B$28,INPUTS!$B$29))))</f>
        <v>0</v>
      </c>
      <c r="AA191" s="85" t="n">
        <f aca="true">IF(AA$5=0,Z191,MAX(0,(Z191-AA$4)*(1+NORMINV(RAND(),INPUTS!$B$28,INPUTS!$B$29))))</f>
        <v>0</v>
      </c>
      <c r="AB191" s="85" t="n">
        <f aca="true">IF(AB$5=0,AA191,MAX(0,(AA191-AB$4)*(1+NORMINV(RAND(),INPUTS!$B$28,INPUTS!$B$29))))</f>
        <v>0</v>
      </c>
      <c r="AC191" s="85" t="n">
        <f aca="true">IF(AC$5=0,AB191,MAX(0,(AB191-AC$4)*(1+NORMINV(RAND(),INPUTS!$B$28,INPUTS!$B$29))))</f>
        <v>0</v>
      </c>
      <c r="AD191" s="85" t="n">
        <f aca="true">IF(AD$5=0,AC191,MAX(0,(AC191-AD$4)*(1+NORMINV(RAND(),INPUTS!$B$28,INPUTS!$B$29))))</f>
        <v>0</v>
      </c>
      <c r="AE191" s="85" t="n">
        <f aca="true">IF(AE$5=0,AD191,MAX(0,(AD191-AE$4)*(1+NORMINV(RAND(),INPUTS!$B$28,INPUTS!$B$29))))</f>
        <v>0</v>
      </c>
      <c r="AF191" s="85" t="n">
        <f aca="true">IF(AF$5=0,AE191,MAX(0,(AE191-AF$4)*(1+NORMINV(RAND(),INPUTS!$B$28,INPUTS!$B$29))))</f>
        <v>0</v>
      </c>
      <c r="AG191" s="85" t="n">
        <f aca="true">IF(AG$5=0,AF191,MAX(0,(AF191-AG$4)*(1+NORMINV(RAND(),INPUTS!$B$28,INPUTS!$B$29))))</f>
        <v>0</v>
      </c>
      <c r="AH191" s="85" t="n">
        <f aca="true">IF(AH$5=0,AG191,MAX(0,(AG191-AH$4)*(1+NORMINV(RAND(),INPUTS!$B$28,INPUTS!$B$29))))</f>
        <v>0</v>
      </c>
      <c r="AI191" s="85" t="n">
        <f aca="true">IF(AI$5=0,AH191,MAX(0,(AH191-AI$4)*(1+NORMINV(RAND(),INPUTS!$B$28,INPUTS!$B$29))))</f>
        <v>0</v>
      </c>
      <c r="AJ191" s="85" t="n">
        <f aca="true">IF(AJ$5=0,AI191,MAX(0,(AI191-AJ$4)*(1+NORMINV(RAND(),INPUTS!$B$28,INPUTS!$B$29))))</f>
        <v>0</v>
      </c>
      <c r="AK191" s="85" t="n">
        <f aca="true">IF(AK$5=0,AJ191,MAX(0,(AJ191-AK$4)*(1+NORMINV(RAND(),INPUTS!$B$28,INPUTS!$B$29))))</f>
        <v>0</v>
      </c>
      <c r="AL191" s="85" t="n">
        <f aca="true">IF(AL$5=0,AK191,MAX(0,(AK191-AL$4)*(1+NORMINV(RAND(),INPUTS!$B$28,INPUTS!$B$29))))</f>
        <v>0</v>
      </c>
      <c r="AM191" s="85" t="n">
        <f aca="true">IF(AM$5=0,AL191,MAX(0,(AL191-AM$4)*(1+NORMINV(RAND(),INPUTS!$B$28,INPUTS!$B$29))))</f>
        <v>0</v>
      </c>
      <c r="AN191" s="85" t="n">
        <f aca="true">IF(AN$5=0,AM191,MAX(0,(AM191-AN$4)*(1+NORMINV(RAND(),INPUTS!$B$28,INPUTS!$B$29))))</f>
        <v>0</v>
      </c>
      <c r="AO191" s="85" t="n">
        <f aca="true">IF(AO$5=0,AN191,MAX(0,(AN191-AO$4)*(1+NORMINV(RAND(),INPUTS!$B$28,INPUTS!$B$29))))</f>
        <v>0</v>
      </c>
      <c r="AP191" s="85" t="n">
        <f aca="true">IF(AP$5=0,AO191,MAX(0,(AO191-AP$4)*(1+NORMINV(RAND(),INPUTS!$B$28,INPUTS!$B$29))))</f>
        <v>0</v>
      </c>
    </row>
    <row r="192" customFormat="false" ht="15" hidden="false" customHeight="true" outlineLevel="0" collapsed="false">
      <c r="A192" s="83" t="n">
        <v>185</v>
      </c>
      <c r="B192" s="84" t="n">
        <f aca="false">LOOKUP(9.99E+307,C192:AP192)</f>
        <v>0</v>
      </c>
      <c r="C192" s="85" t="n">
        <f aca="true">IF(C$5=0,INPUTS!$B$19,MAX(0,(INPUTS!$B$19-C$4)*(1+NORMINV(RAND(),INPUTS!$B$28,INPUTS!$B$29))))</f>
        <v>1247790.25959215</v>
      </c>
      <c r="D192" s="85" t="n">
        <f aca="true">IF(D$5=0,C192,MAX(0,(C192-D$4)*(1+NORMINV(RAND(),INPUTS!$B$28,INPUTS!$B$29))))</f>
        <v>1218818.81964475</v>
      </c>
      <c r="E192" s="85" t="n">
        <f aca="true">IF(E$5=0,D192,MAX(0,(D192-E$4)*(1+NORMINV(RAND(),INPUTS!$B$28,INPUTS!$B$29))))</f>
        <v>1096559.94388466</v>
      </c>
      <c r="F192" s="85" t="n">
        <f aca="true">IF(F$5=0,E192,MAX(0,(E192-F$4)*(1+NORMINV(RAND(),INPUTS!$B$28,INPUTS!$B$29))))</f>
        <v>1107418.86005915</v>
      </c>
      <c r="G192" s="85" t="n">
        <f aca="true">IF(G$5=0,F192,MAX(0,(F192-G$4)*(1+NORMINV(RAND(),INPUTS!$B$28,INPUTS!$B$29))))</f>
        <v>846002.295523405</v>
      </c>
      <c r="H192" s="85" t="n">
        <f aca="true">IF(H$5=0,G192,MAX(0,(G192-H$4)*(1+NORMINV(RAND(),INPUTS!$B$28,INPUTS!$B$29))))</f>
        <v>952451.320737614</v>
      </c>
      <c r="I192" s="85" t="n">
        <f aca="true">IF(I$5=0,H192,MAX(0,(H192-I$4)*(1+NORMINV(RAND(),INPUTS!$B$28,INPUTS!$B$29))))</f>
        <v>938545.241530277</v>
      </c>
      <c r="J192" s="85" t="n">
        <f aca="true">IF(J$5=0,I192,MAX(0,(I192-J$4)*(1+NORMINV(RAND(),INPUTS!$B$28,INPUTS!$B$29))))</f>
        <v>792189.340924737</v>
      </c>
      <c r="K192" s="85" t="n">
        <f aca="true">IF(K$5=0,J192,MAX(0,(J192-K$4)*(1+NORMINV(RAND(),INPUTS!$B$28,INPUTS!$B$29))))</f>
        <v>767612.868592116</v>
      </c>
      <c r="L192" s="85" t="n">
        <f aca="true">IF(L$5=0,K192,MAX(0,(K192-L$4)*(1+NORMINV(RAND(),INPUTS!$B$28,INPUTS!$B$29))))</f>
        <v>818586.657043772</v>
      </c>
      <c r="M192" s="85" t="n">
        <f aca="true">IF(M$5=0,L192,MAX(0,(L192-M$4)*(1+NORMINV(RAND(),INPUTS!$B$28,INPUTS!$B$29))))</f>
        <v>822748.100703179</v>
      </c>
      <c r="N192" s="85" t="n">
        <f aca="true">IF(N$5=0,M192,MAX(0,(M192-N$4)*(1+NORMINV(RAND(),INPUTS!$B$28,INPUTS!$B$29))))</f>
        <v>785212.580370785</v>
      </c>
      <c r="O192" s="85" t="n">
        <f aca="true">IF(O$5=0,N192,MAX(0,(N192-O$4)*(1+NORMINV(RAND(),INPUTS!$B$28,INPUTS!$B$29))))</f>
        <v>678715.114400312</v>
      </c>
      <c r="P192" s="85" t="n">
        <f aca="true">IF(P$5=0,O192,MAX(0,(O192-P$4)*(1+NORMINV(RAND(),INPUTS!$B$28,INPUTS!$B$29))))</f>
        <v>575411.335310643</v>
      </c>
      <c r="Q192" s="85" t="n">
        <f aca="true">IF(Q$5=0,P192,MAX(0,(P192-Q$4)*(1+NORMINV(RAND(),INPUTS!$B$28,INPUTS!$B$29))))</f>
        <v>513034.033896529</v>
      </c>
      <c r="R192" s="85" t="n">
        <f aca="true">IF(R$5=0,Q192,MAX(0,(Q192-R$4)*(1+NORMINV(RAND(),INPUTS!$B$28,INPUTS!$B$29))))</f>
        <v>498372.685007873</v>
      </c>
      <c r="S192" s="85" t="n">
        <f aca="true">IF(S$5=0,R192,MAX(0,(R192-S$4)*(1+NORMINV(RAND(),INPUTS!$B$28,INPUTS!$B$29))))</f>
        <v>501874.181895165</v>
      </c>
      <c r="T192" s="85" t="n">
        <f aca="true">IF(T$5=0,S192,MAX(0,(S192-T$4)*(1+NORMINV(RAND(),INPUTS!$B$28,INPUTS!$B$29))))</f>
        <v>485441.507485716</v>
      </c>
      <c r="U192" s="85" t="n">
        <f aca="true">IF(U$5=0,T192,MAX(0,(T192-U$4)*(1+NORMINV(RAND(),INPUTS!$B$28,INPUTS!$B$29))))</f>
        <v>358883.264873226</v>
      </c>
      <c r="V192" s="85" t="n">
        <f aca="true">IF(V$5=0,U192,MAX(0,(U192-V$4)*(1+NORMINV(RAND(),INPUTS!$B$28,INPUTS!$B$29))))</f>
        <v>284722.810769958</v>
      </c>
      <c r="W192" s="85" t="n">
        <f aca="true">IF(W$5=0,V192,MAX(0,(V192-W$4)*(1+NORMINV(RAND(),INPUTS!$B$28,INPUTS!$B$29))))</f>
        <v>220484.09065673</v>
      </c>
      <c r="X192" s="85" t="n">
        <f aca="true">IF(X$5=0,W192,MAX(0,(W192-X$4)*(1+NORMINV(RAND(),INPUTS!$B$28,INPUTS!$B$29))))</f>
        <v>162486.839090552</v>
      </c>
      <c r="Y192" s="85" t="n">
        <f aca="true">IF(Y$5=0,X192,MAX(0,(X192-Y$4)*(1+NORMINV(RAND(),INPUTS!$B$28,INPUTS!$B$29))))</f>
        <v>108514.895855942</v>
      </c>
      <c r="Z192" s="85" t="n">
        <f aca="true">IF(Z$5=0,Y192,MAX(0,(Y192-Z$4)*(1+NORMINV(RAND(),INPUTS!$B$28,INPUTS!$B$29))))</f>
        <v>54026.9786736478</v>
      </c>
      <c r="AA192" s="85" t="n">
        <f aca="true">IF(AA$5=0,Z192,MAX(0,(Z192-AA$4)*(1+NORMINV(RAND(),INPUTS!$B$28,INPUTS!$B$29))))</f>
        <v>0</v>
      </c>
      <c r="AB192" s="85" t="n">
        <f aca="true">IF(AB$5=0,AA192,MAX(0,(AA192-AB$4)*(1+NORMINV(RAND(),INPUTS!$B$28,INPUTS!$B$29))))</f>
        <v>0</v>
      </c>
      <c r="AC192" s="85" t="n">
        <f aca="true">IF(AC$5=0,AB192,MAX(0,(AB192-AC$4)*(1+NORMINV(RAND(),INPUTS!$B$28,INPUTS!$B$29))))</f>
        <v>0</v>
      </c>
      <c r="AD192" s="85" t="n">
        <f aca="true">IF(AD$5=0,AC192,MAX(0,(AC192-AD$4)*(1+NORMINV(RAND(),INPUTS!$B$28,INPUTS!$B$29))))</f>
        <v>0</v>
      </c>
      <c r="AE192" s="85" t="n">
        <f aca="true">IF(AE$5=0,AD192,MAX(0,(AD192-AE$4)*(1+NORMINV(RAND(),INPUTS!$B$28,INPUTS!$B$29))))</f>
        <v>0</v>
      </c>
      <c r="AF192" s="85" t="n">
        <f aca="true">IF(AF$5=0,AE192,MAX(0,(AE192-AF$4)*(1+NORMINV(RAND(),INPUTS!$B$28,INPUTS!$B$29))))</f>
        <v>0</v>
      </c>
      <c r="AG192" s="85" t="n">
        <f aca="true">IF(AG$5=0,AF192,MAX(0,(AF192-AG$4)*(1+NORMINV(RAND(),INPUTS!$B$28,INPUTS!$B$29))))</f>
        <v>0</v>
      </c>
      <c r="AH192" s="85" t="n">
        <f aca="true">IF(AH$5=0,AG192,MAX(0,(AG192-AH$4)*(1+NORMINV(RAND(),INPUTS!$B$28,INPUTS!$B$29))))</f>
        <v>0</v>
      </c>
      <c r="AI192" s="85" t="n">
        <f aca="true">IF(AI$5=0,AH192,MAX(0,(AH192-AI$4)*(1+NORMINV(RAND(),INPUTS!$B$28,INPUTS!$B$29))))</f>
        <v>0</v>
      </c>
      <c r="AJ192" s="85" t="n">
        <f aca="true">IF(AJ$5=0,AI192,MAX(0,(AI192-AJ$4)*(1+NORMINV(RAND(),INPUTS!$B$28,INPUTS!$B$29))))</f>
        <v>0</v>
      </c>
      <c r="AK192" s="85" t="n">
        <f aca="true">IF(AK$5=0,AJ192,MAX(0,(AJ192-AK$4)*(1+NORMINV(RAND(),INPUTS!$B$28,INPUTS!$B$29))))</f>
        <v>0</v>
      </c>
      <c r="AL192" s="85" t="n">
        <f aca="true">IF(AL$5=0,AK192,MAX(0,(AK192-AL$4)*(1+NORMINV(RAND(),INPUTS!$B$28,INPUTS!$B$29))))</f>
        <v>0</v>
      </c>
      <c r="AM192" s="85" t="n">
        <f aca="true">IF(AM$5=0,AL192,MAX(0,(AL192-AM$4)*(1+NORMINV(RAND(),INPUTS!$B$28,INPUTS!$B$29))))</f>
        <v>0</v>
      </c>
      <c r="AN192" s="85" t="n">
        <f aca="true">IF(AN$5=0,AM192,MAX(0,(AM192-AN$4)*(1+NORMINV(RAND(),INPUTS!$B$28,INPUTS!$B$29))))</f>
        <v>0</v>
      </c>
      <c r="AO192" s="85" t="n">
        <f aca="true">IF(AO$5=0,AN192,MAX(0,(AN192-AO$4)*(1+NORMINV(RAND(),INPUTS!$B$28,INPUTS!$B$29))))</f>
        <v>0</v>
      </c>
      <c r="AP192" s="85" t="n">
        <f aca="true">IF(AP$5=0,AO192,MAX(0,(AO192-AP$4)*(1+NORMINV(RAND(),INPUTS!$B$28,INPUTS!$B$29))))</f>
        <v>0</v>
      </c>
    </row>
    <row r="193" customFormat="false" ht="15" hidden="false" customHeight="true" outlineLevel="0" collapsed="false">
      <c r="A193" s="83" t="n">
        <v>186</v>
      </c>
      <c r="B193" s="84" t="n">
        <f aca="false">LOOKUP(9.99E+307,C193:AP193)</f>
        <v>0</v>
      </c>
      <c r="C193" s="85" t="n">
        <f aca="true">IF(C$5=0,INPUTS!$B$19,MAX(0,(INPUTS!$B$19-C$4)*(1+NORMINV(RAND(),INPUTS!$B$28,INPUTS!$B$29))))</f>
        <v>1289787.3989171</v>
      </c>
      <c r="D193" s="85" t="n">
        <f aca="true">IF(D$5=0,C193,MAX(0,(C193-D$4)*(1+NORMINV(RAND(),INPUTS!$B$28,INPUTS!$B$29))))</f>
        <v>1170305.81111159</v>
      </c>
      <c r="E193" s="85" t="n">
        <f aca="true">IF(E$5=0,D193,MAX(0,(D193-E$4)*(1+NORMINV(RAND(),INPUTS!$B$28,INPUTS!$B$29))))</f>
        <v>1000830.69373026</v>
      </c>
      <c r="F193" s="85" t="n">
        <f aca="true">IF(F$5=0,E193,MAX(0,(E193-F$4)*(1+NORMINV(RAND(),INPUTS!$B$28,INPUTS!$B$29))))</f>
        <v>1066867.08609902</v>
      </c>
      <c r="G193" s="85" t="n">
        <f aca="true">IF(G$5=0,F193,MAX(0,(F193-G$4)*(1+NORMINV(RAND(),INPUTS!$B$28,INPUTS!$B$29))))</f>
        <v>920962.042180092</v>
      </c>
      <c r="H193" s="85" t="n">
        <f aca="true">IF(H$5=0,G193,MAX(0,(G193-H$4)*(1+NORMINV(RAND(),INPUTS!$B$28,INPUTS!$B$29))))</f>
        <v>823446.793471884</v>
      </c>
      <c r="I193" s="85" t="n">
        <f aca="true">IF(I$5=0,H193,MAX(0,(H193-I$4)*(1+NORMINV(RAND(),INPUTS!$B$28,INPUTS!$B$29))))</f>
        <v>782475.131127351</v>
      </c>
      <c r="J193" s="85" t="n">
        <f aca="true">IF(J$5=0,I193,MAX(0,(I193-J$4)*(1+NORMINV(RAND(),INPUTS!$B$28,INPUTS!$B$29))))</f>
        <v>673752.954730967</v>
      </c>
      <c r="K193" s="85" t="n">
        <f aca="true">IF(K$5=0,J193,MAX(0,(J193-K$4)*(1+NORMINV(RAND(),INPUTS!$B$28,INPUTS!$B$29))))</f>
        <v>597231.576182348</v>
      </c>
      <c r="L193" s="85" t="n">
        <f aca="true">IF(L$5=0,K193,MAX(0,(K193-L$4)*(1+NORMINV(RAND(),INPUTS!$B$28,INPUTS!$B$29))))</f>
        <v>502512.62497725</v>
      </c>
      <c r="M193" s="85" t="n">
        <f aca="true">IF(M$5=0,L193,MAX(0,(L193-M$4)*(1+NORMINV(RAND(),INPUTS!$B$28,INPUTS!$B$29))))</f>
        <v>436730.345227441</v>
      </c>
      <c r="N193" s="85" t="n">
        <f aca="true">IF(N$5=0,M193,MAX(0,(M193-N$4)*(1+NORMINV(RAND(),INPUTS!$B$28,INPUTS!$B$29))))</f>
        <v>327728.172607353</v>
      </c>
      <c r="O193" s="85" t="n">
        <f aca="true">IF(O$5=0,N193,MAX(0,(N193-O$4)*(1+NORMINV(RAND(),INPUTS!$B$28,INPUTS!$B$29))))</f>
        <v>291198.264068275</v>
      </c>
      <c r="P193" s="85" t="n">
        <f aca="true">IF(P$5=0,O193,MAX(0,(O193-P$4)*(1+NORMINV(RAND(),INPUTS!$B$28,INPUTS!$B$29))))</f>
        <v>302474.992140096</v>
      </c>
      <c r="Q193" s="85" t="n">
        <f aca="true">IF(Q$5=0,P193,MAX(0,(P193-Q$4)*(1+NORMINV(RAND(),INPUTS!$B$28,INPUTS!$B$29))))</f>
        <v>280502.574748663</v>
      </c>
      <c r="R193" s="85" t="n">
        <f aca="true">IF(R$5=0,Q193,MAX(0,(Q193-R$4)*(1+NORMINV(RAND(),INPUTS!$B$28,INPUTS!$B$29))))</f>
        <v>228840.472794847</v>
      </c>
      <c r="S193" s="85" t="n">
        <f aca="true">IF(S$5=0,R193,MAX(0,(R193-S$4)*(1+NORMINV(RAND(),INPUTS!$B$28,INPUTS!$B$29))))</f>
        <v>191142.770229226</v>
      </c>
      <c r="T193" s="85" t="n">
        <f aca="true">IF(T$5=0,S193,MAX(0,(S193-T$4)*(1+NORMINV(RAND(),INPUTS!$B$28,INPUTS!$B$29))))</f>
        <v>156347.081833783</v>
      </c>
      <c r="U193" s="85" t="n">
        <f aca="true">IF(U$5=0,T193,MAX(0,(T193-U$4)*(1+NORMINV(RAND(),INPUTS!$B$28,INPUTS!$B$29))))</f>
        <v>117644.705454034</v>
      </c>
      <c r="V193" s="85" t="n">
        <f aca="true">IF(V$5=0,U193,MAX(0,(U193-V$4)*(1+NORMINV(RAND(),INPUTS!$B$28,INPUTS!$B$29))))</f>
        <v>75093.2924443441</v>
      </c>
      <c r="W193" s="85" t="n">
        <f aca="true">IF(W$5=0,V193,MAX(0,(V193-W$4)*(1+NORMINV(RAND(),INPUTS!$B$28,INPUTS!$B$29))))</f>
        <v>23637.4960840656</v>
      </c>
      <c r="X193" s="85" t="n">
        <f aca="true">IF(X$5=0,W193,MAX(0,(W193-X$4)*(1+NORMINV(RAND(),INPUTS!$B$28,INPUTS!$B$29))))</f>
        <v>0</v>
      </c>
      <c r="Y193" s="85" t="n">
        <f aca="true">IF(Y$5=0,X193,MAX(0,(X193-Y$4)*(1+NORMINV(RAND(),INPUTS!$B$28,INPUTS!$B$29))))</f>
        <v>0</v>
      </c>
      <c r="Z193" s="85" t="n">
        <f aca="true">IF(Z$5=0,Y193,MAX(0,(Y193-Z$4)*(1+NORMINV(RAND(),INPUTS!$B$28,INPUTS!$B$29))))</f>
        <v>0</v>
      </c>
      <c r="AA193" s="85" t="n">
        <f aca="true">IF(AA$5=0,Z193,MAX(0,(Z193-AA$4)*(1+NORMINV(RAND(),INPUTS!$B$28,INPUTS!$B$29))))</f>
        <v>0</v>
      </c>
      <c r="AB193" s="85" t="n">
        <f aca="true">IF(AB$5=0,AA193,MAX(0,(AA193-AB$4)*(1+NORMINV(RAND(),INPUTS!$B$28,INPUTS!$B$29))))</f>
        <v>0</v>
      </c>
      <c r="AC193" s="85" t="n">
        <f aca="true">IF(AC$5=0,AB193,MAX(0,(AB193-AC$4)*(1+NORMINV(RAND(),INPUTS!$B$28,INPUTS!$B$29))))</f>
        <v>0</v>
      </c>
      <c r="AD193" s="85" t="n">
        <f aca="true">IF(AD$5=0,AC193,MAX(0,(AC193-AD$4)*(1+NORMINV(RAND(),INPUTS!$B$28,INPUTS!$B$29))))</f>
        <v>0</v>
      </c>
      <c r="AE193" s="85" t="n">
        <f aca="true">IF(AE$5=0,AD193,MAX(0,(AD193-AE$4)*(1+NORMINV(RAND(),INPUTS!$B$28,INPUTS!$B$29))))</f>
        <v>0</v>
      </c>
      <c r="AF193" s="85" t="n">
        <f aca="true">IF(AF$5=0,AE193,MAX(0,(AE193-AF$4)*(1+NORMINV(RAND(),INPUTS!$B$28,INPUTS!$B$29))))</f>
        <v>0</v>
      </c>
      <c r="AG193" s="85" t="n">
        <f aca="true">IF(AG$5=0,AF193,MAX(0,(AF193-AG$4)*(1+NORMINV(RAND(),INPUTS!$B$28,INPUTS!$B$29))))</f>
        <v>0</v>
      </c>
      <c r="AH193" s="85" t="n">
        <f aca="true">IF(AH$5=0,AG193,MAX(0,(AG193-AH$4)*(1+NORMINV(RAND(),INPUTS!$B$28,INPUTS!$B$29))))</f>
        <v>0</v>
      </c>
      <c r="AI193" s="85" t="n">
        <f aca="true">IF(AI$5=0,AH193,MAX(0,(AH193-AI$4)*(1+NORMINV(RAND(),INPUTS!$B$28,INPUTS!$B$29))))</f>
        <v>0</v>
      </c>
      <c r="AJ193" s="85" t="n">
        <f aca="true">IF(AJ$5=0,AI193,MAX(0,(AI193-AJ$4)*(1+NORMINV(RAND(),INPUTS!$B$28,INPUTS!$B$29))))</f>
        <v>0</v>
      </c>
      <c r="AK193" s="85" t="n">
        <f aca="true">IF(AK$5=0,AJ193,MAX(0,(AJ193-AK$4)*(1+NORMINV(RAND(),INPUTS!$B$28,INPUTS!$B$29))))</f>
        <v>0</v>
      </c>
      <c r="AL193" s="85" t="n">
        <f aca="true">IF(AL$5=0,AK193,MAX(0,(AK193-AL$4)*(1+NORMINV(RAND(),INPUTS!$B$28,INPUTS!$B$29))))</f>
        <v>0</v>
      </c>
      <c r="AM193" s="85" t="n">
        <f aca="true">IF(AM$5=0,AL193,MAX(0,(AL193-AM$4)*(1+NORMINV(RAND(),INPUTS!$B$28,INPUTS!$B$29))))</f>
        <v>0</v>
      </c>
      <c r="AN193" s="85" t="n">
        <f aca="true">IF(AN$5=0,AM193,MAX(0,(AM193-AN$4)*(1+NORMINV(RAND(),INPUTS!$B$28,INPUTS!$B$29))))</f>
        <v>0</v>
      </c>
      <c r="AO193" s="85" t="n">
        <f aca="true">IF(AO$5=0,AN193,MAX(0,(AN193-AO$4)*(1+NORMINV(RAND(),INPUTS!$B$28,INPUTS!$B$29))))</f>
        <v>0</v>
      </c>
      <c r="AP193" s="85" t="n">
        <f aca="true">IF(AP$5=0,AO193,MAX(0,(AO193-AP$4)*(1+NORMINV(RAND(),INPUTS!$B$28,INPUTS!$B$29))))</f>
        <v>0</v>
      </c>
    </row>
    <row r="194" customFormat="false" ht="15" hidden="false" customHeight="true" outlineLevel="0" collapsed="false">
      <c r="A194" s="83" t="n">
        <v>187</v>
      </c>
      <c r="B194" s="84" t="n">
        <f aca="false">LOOKUP(9.99E+307,C194:AP194)</f>
        <v>2571508.52535103</v>
      </c>
      <c r="C194" s="85" t="n">
        <f aca="true">IF(C$5=0,INPUTS!$B$19,MAX(0,(INPUTS!$B$19-C$4)*(1+NORMINV(RAND(),INPUTS!$B$28,INPUTS!$B$29))))</f>
        <v>1127399.47087333</v>
      </c>
      <c r="D194" s="85" t="n">
        <f aca="true">IF(D$5=0,C194,MAX(0,(C194-D$4)*(1+NORMINV(RAND(),INPUTS!$B$28,INPUTS!$B$29))))</f>
        <v>1294948.9016257</v>
      </c>
      <c r="E194" s="85" t="n">
        <f aca="true">IF(E$5=0,D194,MAX(0,(D194-E$4)*(1+NORMINV(RAND(),INPUTS!$B$28,INPUTS!$B$29))))</f>
        <v>1345630.34683387</v>
      </c>
      <c r="F194" s="85" t="n">
        <f aca="true">IF(F$5=0,E194,MAX(0,(E194-F$4)*(1+NORMINV(RAND(),INPUTS!$B$28,INPUTS!$B$29))))</f>
        <v>1359078.57394059</v>
      </c>
      <c r="G194" s="85" t="n">
        <f aca="true">IF(G$5=0,F194,MAX(0,(F194-G$4)*(1+NORMINV(RAND(),INPUTS!$B$28,INPUTS!$B$29))))</f>
        <v>1441248.16758211</v>
      </c>
      <c r="H194" s="85" t="n">
        <f aca="true">IF(H$5=0,G194,MAX(0,(G194-H$4)*(1+NORMINV(RAND(),INPUTS!$B$28,INPUTS!$B$29))))</f>
        <v>1801417.58940679</v>
      </c>
      <c r="I194" s="85" t="n">
        <f aca="true">IF(I$5=0,H194,MAX(0,(H194-I$4)*(1+NORMINV(RAND(),INPUTS!$B$28,INPUTS!$B$29))))</f>
        <v>1669357.64489324</v>
      </c>
      <c r="J194" s="85" t="n">
        <f aca="true">IF(J$5=0,I194,MAX(0,(I194-J$4)*(1+NORMINV(RAND(),INPUTS!$B$28,INPUTS!$B$29))))</f>
        <v>1530974.52495755</v>
      </c>
      <c r="K194" s="85" t="n">
        <f aca="true">IF(K$5=0,J194,MAX(0,(J194-K$4)*(1+NORMINV(RAND(),INPUTS!$B$28,INPUTS!$B$29))))</f>
        <v>1565402.62898097</v>
      </c>
      <c r="L194" s="85" t="n">
        <f aca="true">IF(L$5=0,K194,MAX(0,(K194-L$4)*(1+NORMINV(RAND(),INPUTS!$B$28,INPUTS!$B$29))))</f>
        <v>1519747.93282796</v>
      </c>
      <c r="M194" s="85" t="n">
        <f aca="true">IF(M$5=0,L194,MAX(0,(L194-M$4)*(1+NORMINV(RAND(),INPUTS!$B$28,INPUTS!$B$29))))</f>
        <v>1484383.15762218</v>
      </c>
      <c r="N194" s="85" t="n">
        <f aca="true">IF(N$5=0,M194,MAX(0,(M194-N$4)*(1+NORMINV(RAND(),INPUTS!$B$28,INPUTS!$B$29))))</f>
        <v>1589539.54015461</v>
      </c>
      <c r="O194" s="85" t="n">
        <f aca="true">IF(O$5=0,N194,MAX(0,(N194-O$4)*(1+NORMINV(RAND(),INPUTS!$B$28,INPUTS!$B$29))))</f>
        <v>2031209.56887454</v>
      </c>
      <c r="P194" s="85" t="n">
        <f aca="true">IF(P$5=0,O194,MAX(0,(O194-P$4)*(1+NORMINV(RAND(),INPUTS!$B$28,INPUTS!$B$29))))</f>
        <v>2087517.31909303</v>
      </c>
      <c r="Q194" s="85" t="n">
        <f aca="true">IF(Q$5=0,P194,MAX(0,(P194-Q$4)*(1+NORMINV(RAND(),INPUTS!$B$28,INPUTS!$B$29))))</f>
        <v>2113094.44970243</v>
      </c>
      <c r="R194" s="85" t="n">
        <f aca="true">IF(R$5=0,Q194,MAX(0,(Q194-R$4)*(1+NORMINV(RAND(),INPUTS!$B$28,INPUTS!$B$29))))</f>
        <v>2389503.913959</v>
      </c>
      <c r="S194" s="85" t="n">
        <f aca="true">IF(S$5=0,R194,MAX(0,(R194-S$4)*(1+NORMINV(RAND(),INPUTS!$B$28,INPUTS!$B$29))))</f>
        <v>2636615.54947778</v>
      </c>
      <c r="T194" s="85" t="n">
        <f aca="true">IF(T$5=0,S194,MAX(0,(S194-T$4)*(1+NORMINV(RAND(),INPUTS!$B$28,INPUTS!$B$29))))</f>
        <v>2600526.28995137</v>
      </c>
      <c r="U194" s="85" t="n">
        <f aca="true">IF(U$5=0,T194,MAX(0,(T194-U$4)*(1+NORMINV(RAND(),INPUTS!$B$28,INPUTS!$B$29))))</f>
        <v>2702483.32192502</v>
      </c>
      <c r="V194" s="85" t="n">
        <f aca="true">IF(V$5=0,U194,MAX(0,(U194-V$4)*(1+NORMINV(RAND(),INPUTS!$B$28,INPUTS!$B$29))))</f>
        <v>2352795.71018375</v>
      </c>
      <c r="W194" s="85" t="n">
        <f aca="true">IF(W$5=0,V194,MAX(0,(V194-W$4)*(1+NORMINV(RAND(),INPUTS!$B$28,INPUTS!$B$29))))</f>
        <v>2682497.19788616</v>
      </c>
      <c r="X194" s="85" t="n">
        <f aca="true">IF(X$5=0,W194,MAX(0,(W194-X$4)*(1+NORMINV(RAND(),INPUTS!$B$28,INPUTS!$B$29))))</f>
        <v>2584959.21446592</v>
      </c>
      <c r="Y194" s="85" t="n">
        <f aca="true">IF(Y$5=0,X194,MAX(0,(X194-Y$4)*(1+NORMINV(RAND(),INPUTS!$B$28,INPUTS!$B$29))))</f>
        <v>2206351.48910928</v>
      </c>
      <c r="Z194" s="85" t="n">
        <f aca="true">IF(Z$5=0,Y194,MAX(0,(Y194-Z$4)*(1+NORMINV(RAND(),INPUTS!$B$28,INPUTS!$B$29))))</f>
        <v>2568394.73171985</v>
      </c>
      <c r="AA194" s="85" t="n">
        <f aca="true">IF(AA$5=0,Z194,MAX(0,(Z194-AA$4)*(1+NORMINV(RAND(),INPUTS!$B$28,INPUTS!$B$29))))</f>
        <v>2300230.64050084</v>
      </c>
      <c r="AB194" s="85" t="n">
        <f aca="true">IF(AB$5=0,AA194,MAX(0,(AA194-AB$4)*(1+NORMINV(RAND(),INPUTS!$B$28,INPUTS!$B$29))))</f>
        <v>2431637.66350809</v>
      </c>
      <c r="AC194" s="85" t="n">
        <f aca="true">IF(AC$5=0,AB194,MAX(0,(AB194-AC$4)*(1+NORMINV(RAND(),INPUTS!$B$28,INPUTS!$B$29))))</f>
        <v>2189082.32596336</v>
      </c>
      <c r="AD194" s="85" t="n">
        <f aca="true">IF(AD$5=0,AC194,MAX(0,(AC194-AD$4)*(1+NORMINV(RAND(),INPUTS!$B$28,INPUTS!$B$29))))</f>
        <v>2163773.61899706</v>
      </c>
      <c r="AE194" s="85" t="n">
        <f aca="true">IF(AE$5=0,AD194,MAX(0,(AD194-AE$4)*(1+NORMINV(RAND(),INPUTS!$B$28,INPUTS!$B$29))))</f>
        <v>2608725.78118242</v>
      </c>
      <c r="AF194" s="85" t="n">
        <f aca="true">IF(AF$5=0,AE194,MAX(0,(AE194-AF$4)*(1+NORMINV(RAND(),INPUTS!$B$28,INPUTS!$B$29))))</f>
        <v>2188616.31112803</v>
      </c>
      <c r="AG194" s="85" t="n">
        <f aca="true">IF(AG$5=0,AF194,MAX(0,(AF194-AG$4)*(1+NORMINV(RAND(),INPUTS!$B$28,INPUTS!$B$29))))</f>
        <v>2358766.00952116</v>
      </c>
      <c r="AH194" s="85" t="n">
        <f aca="true">IF(AH$5=0,AG194,MAX(0,(AG194-AH$4)*(1+NORMINV(RAND(),INPUTS!$B$28,INPUTS!$B$29))))</f>
        <v>2146122.88635765</v>
      </c>
      <c r="AI194" s="85" t="n">
        <f aca="true">IF(AI$5=0,AH194,MAX(0,(AH194-AI$4)*(1+NORMINV(RAND(),INPUTS!$B$28,INPUTS!$B$29))))</f>
        <v>2036043.47216278</v>
      </c>
      <c r="AJ194" s="85" t="n">
        <f aca="true">IF(AJ$5=0,AI194,MAX(0,(AI194-AJ$4)*(1+NORMINV(RAND(),INPUTS!$B$28,INPUTS!$B$29))))</f>
        <v>2019666.99429055</v>
      </c>
      <c r="AK194" s="85" t="n">
        <f aca="true">IF(AK$5=0,AJ194,MAX(0,(AJ194-AK$4)*(1+NORMINV(RAND(),INPUTS!$B$28,INPUTS!$B$29))))</f>
        <v>2471711.87426812</v>
      </c>
      <c r="AL194" s="85" t="n">
        <f aca="true">IF(AL$5=0,AK194,MAX(0,(AK194-AL$4)*(1+NORMINV(RAND(),INPUTS!$B$28,INPUTS!$B$29))))</f>
        <v>2571508.52535103</v>
      </c>
      <c r="AM194" s="85" t="n">
        <f aca="true">IF(AM$5=0,AL194,MAX(0,(AL194-AM$4)*(1+NORMINV(RAND(),INPUTS!$B$28,INPUTS!$B$29))))</f>
        <v>2571508.52535103</v>
      </c>
      <c r="AN194" s="85" t="n">
        <f aca="true">IF(AN$5=0,AM194,MAX(0,(AM194-AN$4)*(1+NORMINV(RAND(),INPUTS!$B$28,INPUTS!$B$29))))</f>
        <v>2571508.52535103</v>
      </c>
      <c r="AO194" s="85" t="n">
        <f aca="true">IF(AO$5=0,AN194,MAX(0,(AN194-AO$4)*(1+NORMINV(RAND(),INPUTS!$B$28,INPUTS!$B$29))))</f>
        <v>2571508.52535103</v>
      </c>
      <c r="AP194" s="85" t="n">
        <f aca="true">IF(AP$5=0,AO194,MAX(0,(AO194-AP$4)*(1+NORMINV(RAND(),INPUTS!$B$28,INPUTS!$B$29))))</f>
        <v>2571508.52535103</v>
      </c>
    </row>
    <row r="195" customFormat="false" ht="15" hidden="false" customHeight="true" outlineLevel="0" collapsed="false">
      <c r="A195" s="83" t="n">
        <v>188</v>
      </c>
      <c r="B195" s="84" t="n">
        <f aca="false">LOOKUP(9.99E+307,C195:AP195)</f>
        <v>3033432.43587924</v>
      </c>
      <c r="C195" s="85" t="n">
        <f aca="true">IF(C$5=0,INPUTS!$B$19,MAX(0,(INPUTS!$B$19-C$4)*(1+NORMINV(RAND(),INPUTS!$B$28,INPUTS!$B$29))))</f>
        <v>1326858.48937542</v>
      </c>
      <c r="D195" s="85" t="n">
        <f aca="true">IF(D$5=0,C195,MAX(0,(C195-D$4)*(1+NORMINV(RAND(),INPUTS!$B$28,INPUTS!$B$29))))</f>
        <v>1264867.29752466</v>
      </c>
      <c r="E195" s="85" t="n">
        <f aca="true">IF(E$5=0,D195,MAX(0,(D195-E$4)*(1+NORMINV(RAND(),INPUTS!$B$28,INPUTS!$B$29))))</f>
        <v>1587014.40372301</v>
      </c>
      <c r="F195" s="85" t="n">
        <f aca="true">IF(F$5=0,E195,MAX(0,(E195-F$4)*(1+NORMINV(RAND(),INPUTS!$B$28,INPUTS!$B$29))))</f>
        <v>1552382.90372028</v>
      </c>
      <c r="G195" s="85" t="n">
        <f aca="true">IF(G$5=0,F195,MAX(0,(F195-G$4)*(1+NORMINV(RAND(),INPUTS!$B$28,INPUTS!$B$29))))</f>
        <v>1404831.57073691</v>
      </c>
      <c r="H195" s="85" t="n">
        <f aca="true">IF(H$5=0,G195,MAX(0,(G195-H$4)*(1+NORMINV(RAND(),INPUTS!$B$28,INPUTS!$B$29))))</f>
        <v>1707094.50868728</v>
      </c>
      <c r="I195" s="85" t="n">
        <f aca="true">IF(I$5=0,H195,MAX(0,(H195-I$4)*(1+NORMINV(RAND(),INPUTS!$B$28,INPUTS!$B$29))))</f>
        <v>1546557.17593024</v>
      </c>
      <c r="J195" s="85" t="n">
        <f aca="true">IF(J$5=0,I195,MAX(0,(I195-J$4)*(1+NORMINV(RAND(),INPUTS!$B$28,INPUTS!$B$29))))</f>
        <v>1429525.54859454</v>
      </c>
      <c r="K195" s="85" t="n">
        <f aca="true">IF(K$5=0,J195,MAX(0,(J195-K$4)*(1+NORMINV(RAND(),INPUTS!$B$28,INPUTS!$B$29))))</f>
        <v>1599447.84100069</v>
      </c>
      <c r="L195" s="85" t="n">
        <f aca="true">IF(L$5=0,K195,MAX(0,(K195-L$4)*(1+NORMINV(RAND(),INPUTS!$B$28,INPUTS!$B$29))))</f>
        <v>1647028.87577607</v>
      </c>
      <c r="M195" s="85" t="n">
        <f aca="true">IF(M$5=0,L195,MAX(0,(L195-M$4)*(1+NORMINV(RAND(),INPUTS!$B$28,INPUTS!$B$29))))</f>
        <v>1394238.03816728</v>
      </c>
      <c r="N195" s="85" t="n">
        <f aca="true">IF(N$5=0,M195,MAX(0,(M195-N$4)*(1+NORMINV(RAND(),INPUTS!$B$28,INPUTS!$B$29))))</f>
        <v>1602868.36708702</v>
      </c>
      <c r="O195" s="85" t="n">
        <f aca="true">IF(O$5=0,N195,MAX(0,(N195-O$4)*(1+NORMINV(RAND(),INPUTS!$B$28,INPUTS!$B$29))))</f>
        <v>1746892.5609846</v>
      </c>
      <c r="P195" s="85" t="n">
        <f aca="true">IF(P$5=0,O195,MAX(0,(O195-P$4)*(1+NORMINV(RAND(),INPUTS!$B$28,INPUTS!$B$29))))</f>
        <v>1732337.4048979</v>
      </c>
      <c r="Q195" s="85" t="n">
        <f aca="true">IF(Q$5=0,P195,MAX(0,(P195-Q$4)*(1+NORMINV(RAND(),INPUTS!$B$28,INPUTS!$B$29))))</f>
        <v>1669839.83504536</v>
      </c>
      <c r="R195" s="85" t="n">
        <f aca="true">IF(R$5=0,Q195,MAX(0,(Q195-R$4)*(1+NORMINV(RAND(),INPUTS!$B$28,INPUTS!$B$29))))</f>
        <v>1692070.06080715</v>
      </c>
      <c r="S195" s="85" t="n">
        <f aca="true">IF(S$5=0,R195,MAX(0,(R195-S$4)*(1+NORMINV(RAND(),INPUTS!$B$28,INPUTS!$B$29))))</f>
        <v>2009574.71515892</v>
      </c>
      <c r="T195" s="85" t="n">
        <f aca="true">IF(T$5=0,S195,MAX(0,(S195-T$4)*(1+NORMINV(RAND(),INPUTS!$B$28,INPUTS!$B$29))))</f>
        <v>2346784.11649917</v>
      </c>
      <c r="U195" s="85" t="n">
        <f aca="true">IF(U$5=0,T195,MAX(0,(T195-U$4)*(1+NORMINV(RAND(),INPUTS!$B$28,INPUTS!$B$29))))</f>
        <v>2156112.42073481</v>
      </c>
      <c r="V195" s="85" t="n">
        <f aca="true">IF(V$5=0,U195,MAX(0,(U195-V$4)*(1+NORMINV(RAND(),INPUTS!$B$28,INPUTS!$B$29))))</f>
        <v>2335047.42223329</v>
      </c>
      <c r="W195" s="85" t="n">
        <f aca="true">IF(W$5=0,V195,MAX(0,(V195-W$4)*(1+NORMINV(RAND(),INPUTS!$B$28,INPUTS!$B$29))))</f>
        <v>2423385.96840442</v>
      </c>
      <c r="X195" s="85" t="n">
        <f aca="true">IF(X$5=0,W195,MAX(0,(W195-X$4)*(1+NORMINV(RAND(),INPUTS!$B$28,INPUTS!$B$29))))</f>
        <v>3094949.28202617</v>
      </c>
      <c r="Y195" s="85" t="n">
        <f aca="true">IF(Y$5=0,X195,MAX(0,(X195-Y$4)*(1+NORMINV(RAND(),INPUTS!$B$28,INPUTS!$B$29))))</f>
        <v>3089083.08904179</v>
      </c>
      <c r="Z195" s="85" t="n">
        <f aca="true">IF(Z$5=0,Y195,MAX(0,(Y195-Z$4)*(1+NORMINV(RAND(),INPUTS!$B$28,INPUTS!$B$29))))</f>
        <v>2566800.59201479</v>
      </c>
      <c r="AA195" s="85" t="n">
        <f aca="true">IF(AA$5=0,Z195,MAX(0,(Z195-AA$4)*(1+NORMINV(RAND(),INPUTS!$B$28,INPUTS!$B$29))))</f>
        <v>2629865.92060397</v>
      </c>
      <c r="AB195" s="85" t="n">
        <f aca="true">IF(AB$5=0,AA195,MAX(0,(AA195-AB$4)*(1+NORMINV(RAND(),INPUTS!$B$28,INPUTS!$B$29))))</f>
        <v>2100348.36642077</v>
      </c>
      <c r="AC195" s="85" t="n">
        <f aca="true">IF(AC$5=0,AB195,MAX(0,(AB195-AC$4)*(1+NORMINV(RAND(),INPUTS!$B$28,INPUTS!$B$29))))</f>
        <v>2294617.64126276</v>
      </c>
      <c r="AD195" s="85" t="n">
        <f aca="true">IF(AD$5=0,AC195,MAX(0,(AC195-AD$4)*(1+NORMINV(RAND(),INPUTS!$B$28,INPUTS!$B$29))))</f>
        <v>2283336.818939</v>
      </c>
      <c r="AE195" s="85" t="n">
        <f aca="true">IF(AE$5=0,AD195,MAX(0,(AD195-AE$4)*(1+NORMINV(RAND(),INPUTS!$B$28,INPUTS!$B$29))))</f>
        <v>2918656.99590389</v>
      </c>
      <c r="AF195" s="85" t="n">
        <f aca="true">IF(AF$5=0,AE195,MAX(0,(AE195-AF$4)*(1+NORMINV(RAND(),INPUTS!$B$28,INPUTS!$B$29))))</f>
        <v>2680190.70252701</v>
      </c>
      <c r="AG195" s="85" t="n">
        <f aca="true">IF(AG$5=0,AF195,MAX(0,(AF195-AG$4)*(1+NORMINV(RAND(),INPUTS!$B$28,INPUTS!$B$29))))</f>
        <v>2745772.50386759</v>
      </c>
      <c r="AH195" s="85" t="n">
        <f aca="true">IF(AH$5=0,AG195,MAX(0,(AG195-AH$4)*(1+NORMINV(RAND(),INPUTS!$B$28,INPUTS!$B$29))))</f>
        <v>2903270.37734472</v>
      </c>
      <c r="AI195" s="85" t="n">
        <f aca="true">IF(AI$5=0,AH195,MAX(0,(AH195-AI$4)*(1+NORMINV(RAND(),INPUTS!$B$28,INPUTS!$B$29))))</f>
        <v>2856861.21866047</v>
      </c>
      <c r="AJ195" s="85" t="n">
        <f aca="true">IF(AJ$5=0,AI195,MAX(0,(AI195-AJ$4)*(1+NORMINV(RAND(),INPUTS!$B$28,INPUTS!$B$29))))</f>
        <v>3176617.49548898</v>
      </c>
      <c r="AK195" s="85" t="n">
        <f aca="true">IF(AK$5=0,AJ195,MAX(0,(AJ195-AK$4)*(1+NORMINV(RAND(),INPUTS!$B$28,INPUTS!$B$29))))</f>
        <v>2988369.06209089</v>
      </c>
      <c r="AL195" s="85" t="n">
        <f aca="true">IF(AL$5=0,AK195,MAX(0,(AK195-AL$4)*(1+NORMINV(RAND(),INPUTS!$B$28,INPUTS!$B$29))))</f>
        <v>3033432.43587924</v>
      </c>
      <c r="AM195" s="85" t="n">
        <f aca="true">IF(AM$5=0,AL195,MAX(0,(AL195-AM$4)*(1+NORMINV(RAND(),INPUTS!$B$28,INPUTS!$B$29))))</f>
        <v>3033432.43587924</v>
      </c>
      <c r="AN195" s="85" t="n">
        <f aca="true">IF(AN$5=0,AM195,MAX(0,(AM195-AN$4)*(1+NORMINV(RAND(),INPUTS!$B$28,INPUTS!$B$29))))</f>
        <v>3033432.43587924</v>
      </c>
      <c r="AO195" s="85" t="n">
        <f aca="true">IF(AO$5=0,AN195,MAX(0,(AN195-AO$4)*(1+NORMINV(RAND(),INPUTS!$B$28,INPUTS!$B$29))))</f>
        <v>3033432.43587924</v>
      </c>
      <c r="AP195" s="85" t="n">
        <f aca="true">IF(AP$5=0,AO195,MAX(0,(AO195-AP$4)*(1+NORMINV(RAND(),INPUTS!$B$28,INPUTS!$B$29))))</f>
        <v>3033432.43587924</v>
      </c>
    </row>
    <row r="196" customFormat="false" ht="15" hidden="false" customHeight="true" outlineLevel="0" collapsed="false">
      <c r="A196" s="83" t="n">
        <v>189</v>
      </c>
      <c r="B196" s="84" t="n">
        <f aca="false">LOOKUP(9.99E+307,C196:AP196)</f>
        <v>1901450.46431715</v>
      </c>
      <c r="C196" s="85" t="n">
        <f aca="true">IF(C$5=0,INPUTS!$B$19,MAX(0,(INPUTS!$B$19-C$4)*(1+NORMINV(RAND(),INPUTS!$B$28,INPUTS!$B$29))))</f>
        <v>1130927.64857767</v>
      </c>
      <c r="D196" s="85" t="n">
        <f aca="true">IF(D$5=0,C196,MAX(0,(C196-D$4)*(1+NORMINV(RAND(),INPUTS!$B$28,INPUTS!$B$29))))</f>
        <v>1259531.98607223</v>
      </c>
      <c r="E196" s="85" t="n">
        <f aca="true">IF(E$5=0,D196,MAX(0,(D196-E$4)*(1+NORMINV(RAND(),INPUTS!$B$28,INPUTS!$B$29))))</f>
        <v>1295007.07140806</v>
      </c>
      <c r="F196" s="85" t="n">
        <f aca="true">IF(F$5=0,E196,MAX(0,(E196-F$4)*(1+NORMINV(RAND(),INPUTS!$B$28,INPUTS!$B$29))))</f>
        <v>1335987.94256649</v>
      </c>
      <c r="G196" s="85" t="n">
        <f aca="true">IF(G$5=0,F196,MAX(0,(F196-G$4)*(1+NORMINV(RAND(),INPUTS!$B$28,INPUTS!$B$29))))</f>
        <v>1646604.63252211</v>
      </c>
      <c r="H196" s="85" t="n">
        <f aca="true">IF(H$5=0,G196,MAX(0,(G196-H$4)*(1+NORMINV(RAND(),INPUTS!$B$28,INPUTS!$B$29))))</f>
        <v>1757493.59203307</v>
      </c>
      <c r="I196" s="85" t="n">
        <f aca="true">IF(I$5=0,H196,MAX(0,(H196-I$4)*(1+NORMINV(RAND(),INPUTS!$B$28,INPUTS!$B$29))))</f>
        <v>1521914.03154541</v>
      </c>
      <c r="J196" s="85" t="n">
        <f aca="true">IF(J$5=0,I196,MAX(0,(I196-J$4)*(1+NORMINV(RAND(),INPUTS!$B$28,INPUTS!$B$29))))</f>
        <v>1477112.84946127</v>
      </c>
      <c r="K196" s="85" t="n">
        <f aca="true">IF(K$5=0,J196,MAX(0,(J196-K$4)*(1+NORMINV(RAND(),INPUTS!$B$28,INPUTS!$B$29))))</f>
        <v>1436587.81309437</v>
      </c>
      <c r="L196" s="85" t="n">
        <f aca="true">IF(L$5=0,K196,MAX(0,(K196-L$4)*(1+NORMINV(RAND(),INPUTS!$B$28,INPUTS!$B$29))))</f>
        <v>1415766.58172032</v>
      </c>
      <c r="M196" s="85" t="n">
        <f aca="true">IF(M$5=0,L196,MAX(0,(L196-M$4)*(1+NORMINV(RAND(),INPUTS!$B$28,INPUTS!$B$29))))</f>
        <v>1586634.38227915</v>
      </c>
      <c r="N196" s="85" t="n">
        <f aca="true">IF(N$5=0,M196,MAX(0,(M196-N$4)*(1+NORMINV(RAND(),INPUTS!$B$28,INPUTS!$B$29))))</f>
        <v>1627280.7149645</v>
      </c>
      <c r="O196" s="85" t="n">
        <f aca="true">IF(O$5=0,N196,MAX(0,(N196-O$4)*(1+NORMINV(RAND(),INPUTS!$B$28,INPUTS!$B$29))))</f>
        <v>1885609.74982546</v>
      </c>
      <c r="P196" s="85" t="n">
        <f aca="true">IF(P$5=0,O196,MAX(0,(O196-P$4)*(1+NORMINV(RAND(),INPUTS!$B$28,INPUTS!$B$29))))</f>
        <v>2116030.41996405</v>
      </c>
      <c r="Q196" s="85" t="n">
        <f aca="true">IF(Q$5=0,P196,MAX(0,(P196-Q$4)*(1+NORMINV(RAND(),INPUTS!$B$28,INPUTS!$B$29))))</f>
        <v>2063762.63427006</v>
      </c>
      <c r="R196" s="85" t="n">
        <f aca="true">IF(R$5=0,Q196,MAX(0,(Q196-R$4)*(1+NORMINV(RAND(),INPUTS!$B$28,INPUTS!$B$29))))</f>
        <v>2184513.22516834</v>
      </c>
      <c r="S196" s="85" t="n">
        <f aca="true">IF(S$5=0,R196,MAX(0,(R196-S$4)*(1+NORMINV(RAND(),INPUTS!$B$28,INPUTS!$B$29))))</f>
        <v>2249151.09698151</v>
      </c>
      <c r="T196" s="85" t="n">
        <f aca="true">IF(T$5=0,S196,MAX(0,(S196-T$4)*(1+NORMINV(RAND(),INPUTS!$B$28,INPUTS!$B$29))))</f>
        <v>2316731.93532226</v>
      </c>
      <c r="U196" s="85" t="n">
        <f aca="true">IF(U$5=0,T196,MAX(0,(T196-U$4)*(1+NORMINV(RAND(),INPUTS!$B$28,INPUTS!$B$29))))</f>
        <v>2357198.70671745</v>
      </c>
      <c r="V196" s="85" t="n">
        <f aca="true">IF(V$5=0,U196,MAX(0,(U196-V$4)*(1+NORMINV(RAND(),INPUTS!$B$28,INPUTS!$B$29))))</f>
        <v>2356866.9417578</v>
      </c>
      <c r="W196" s="85" t="n">
        <f aca="true">IF(W$5=0,V196,MAX(0,(V196-W$4)*(1+NORMINV(RAND(),INPUTS!$B$28,INPUTS!$B$29))))</f>
        <v>2462207.59512576</v>
      </c>
      <c r="X196" s="85" t="n">
        <f aca="true">IF(X$5=0,W196,MAX(0,(W196-X$4)*(1+NORMINV(RAND(),INPUTS!$B$28,INPUTS!$B$29))))</f>
        <v>2333754.27223042</v>
      </c>
      <c r="Y196" s="85" t="n">
        <f aca="true">IF(Y$5=0,X196,MAX(0,(X196-Y$4)*(1+NORMINV(RAND(),INPUTS!$B$28,INPUTS!$B$29))))</f>
        <v>1806795.18750953</v>
      </c>
      <c r="Z196" s="85" t="n">
        <f aca="true">IF(Z$5=0,Y196,MAX(0,(Y196-Z$4)*(1+NORMINV(RAND(),INPUTS!$B$28,INPUTS!$B$29))))</f>
        <v>2090680.40480237</v>
      </c>
      <c r="AA196" s="85" t="n">
        <f aca="true">IF(AA$5=0,Z196,MAX(0,(Z196-AA$4)*(1+NORMINV(RAND(),INPUTS!$B$28,INPUTS!$B$29))))</f>
        <v>1842435.04215737</v>
      </c>
      <c r="AB196" s="85" t="n">
        <f aca="true">IF(AB$5=0,AA196,MAX(0,(AA196-AB$4)*(1+NORMINV(RAND(),INPUTS!$B$28,INPUTS!$B$29))))</f>
        <v>1974414.82297096</v>
      </c>
      <c r="AC196" s="85" t="n">
        <f aca="true">IF(AC$5=0,AB196,MAX(0,(AB196-AC$4)*(1+NORMINV(RAND(),INPUTS!$B$28,INPUTS!$B$29))))</f>
        <v>2194225.34370678</v>
      </c>
      <c r="AD196" s="85" t="n">
        <f aca="true">IF(AD$5=0,AC196,MAX(0,(AC196-AD$4)*(1+NORMINV(RAND(),INPUTS!$B$28,INPUTS!$B$29))))</f>
        <v>1580961.40141432</v>
      </c>
      <c r="AE196" s="85" t="n">
        <f aca="true">IF(AE$5=0,AD196,MAX(0,(AD196-AE$4)*(1+NORMINV(RAND(),INPUTS!$B$28,INPUTS!$B$29))))</f>
        <v>1775594.68727071</v>
      </c>
      <c r="AF196" s="85" t="n">
        <f aca="true">IF(AF$5=0,AE196,MAX(0,(AE196-AF$4)*(1+NORMINV(RAND(),INPUTS!$B$28,INPUTS!$B$29))))</f>
        <v>2039651.76791661</v>
      </c>
      <c r="AG196" s="85" t="n">
        <f aca="true">IF(AG$5=0,AF196,MAX(0,(AF196-AG$4)*(1+NORMINV(RAND(),INPUTS!$B$28,INPUTS!$B$29))))</f>
        <v>2091333.89240172</v>
      </c>
      <c r="AH196" s="85" t="n">
        <f aca="true">IF(AH$5=0,AG196,MAX(0,(AG196-AH$4)*(1+NORMINV(RAND(),INPUTS!$B$28,INPUTS!$B$29))))</f>
        <v>2073263.32993929</v>
      </c>
      <c r="AI196" s="85" t="n">
        <f aca="true">IF(AI$5=0,AH196,MAX(0,(AH196-AI$4)*(1+NORMINV(RAND(),INPUTS!$B$28,INPUTS!$B$29))))</f>
        <v>1451657.44308978</v>
      </c>
      <c r="AJ196" s="85" t="n">
        <f aca="true">IF(AJ$5=0,AI196,MAX(0,(AI196-AJ$4)*(1+NORMINV(RAND(),INPUTS!$B$28,INPUTS!$B$29))))</f>
        <v>1495126.02093445</v>
      </c>
      <c r="AK196" s="85" t="n">
        <f aca="true">IF(AK$5=0,AJ196,MAX(0,(AJ196-AK$4)*(1+NORMINV(RAND(),INPUTS!$B$28,INPUTS!$B$29))))</f>
        <v>1562737.50251263</v>
      </c>
      <c r="AL196" s="85" t="n">
        <f aca="true">IF(AL$5=0,AK196,MAX(0,(AK196-AL$4)*(1+NORMINV(RAND(),INPUTS!$B$28,INPUTS!$B$29))))</f>
        <v>1901450.46431715</v>
      </c>
      <c r="AM196" s="85" t="n">
        <f aca="true">IF(AM$5=0,AL196,MAX(0,(AL196-AM$4)*(1+NORMINV(RAND(),INPUTS!$B$28,INPUTS!$B$29))))</f>
        <v>1901450.46431715</v>
      </c>
      <c r="AN196" s="85" t="n">
        <f aca="true">IF(AN$5=0,AM196,MAX(0,(AM196-AN$4)*(1+NORMINV(RAND(),INPUTS!$B$28,INPUTS!$B$29))))</f>
        <v>1901450.46431715</v>
      </c>
      <c r="AO196" s="85" t="n">
        <f aca="true">IF(AO$5=0,AN196,MAX(0,(AN196-AO$4)*(1+NORMINV(RAND(),INPUTS!$B$28,INPUTS!$B$29))))</f>
        <v>1901450.46431715</v>
      </c>
      <c r="AP196" s="85" t="n">
        <f aca="true">IF(AP$5=0,AO196,MAX(0,(AO196-AP$4)*(1+NORMINV(RAND(),INPUTS!$B$28,INPUTS!$B$29))))</f>
        <v>1901450.46431715</v>
      </c>
    </row>
    <row r="197" customFormat="false" ht="15" hidden="false" customHeight="true" outlineLevel="0" collapsed="false">
      <c r="A197" s="83" t="n">
        <v>190</v>
      </c>
      <c r="B197" s="84" t="n">
        <f aca="false">LOOKUP(9.99E+307,C197:AP197)</f>
        <v>0</v>
      </c>
      <c r="C197" s="85" t="n">
        <f aca="true">IF(C$5=0,INPUTS!$B$19,MAX(0,(INPUTS!$B$19-C$4)*(1+NORMINV(RAND(),INPUTS!$B$28,INPUTS!$B$29))))</f>
        <v>837797.001664755</v>
      </c>
      <c r="D197" s="85" t="n">
        <f aca="true">IF(D$5=0,C197,MAX(0,(C197-D$4)*(1+NORMINV(RAND(),INPUTS!$B$28,INPUTS!$B$29))))</f>
        <v>897917.923144385</v>
      </c>
      <c r="E197" s="85" t="n">
        <f aca="true">IF(E$5=0,D197,MAX(0,(D197-E$4)*(1+NORMINV(RAND(),INPUTS!$B$28,INPUTS!$B$29))))</f>
        <v>805372.01261546</v>
      </c>
      <c r="F197" s="85" t="n">
        <f aca="true">IF(F$5=0,E197,MAX(0,(E197-F$4)*(1+NORMINV(RAND(),INPUTS!$B$28,INPUTS!$B$29))))</f>
        <v>662558.135945239</v>
      </c>
      <c r="G197" s="85" t="n">
        <f aca="true">IF(G$5=0,F197,MAX(0,(F197-G$4)*(1+NORMINV(RAND(),INPUTS!$B$28,INPUTS!$B$29))))</f>
        <v>677242.2924085</v>
      </c>
      <c r="H197" s="85" t="n">
        <f aca="true">IF(H$5=0,G197,MAX(0,(G197-H$4)*(1+NORMINV(RAND(),INPUTS!$B$28,INPUTS!$B$29))))</f>
        <v>621148.601977593</v>
      </c>
      <c r="I197" s="85" t="n">
        <f aca="true">IF(I$5=0,H197,MAX(0,(H197-I$4)*(1+NORMINV(RAND(),INPUTS!$B$28,INPUTS!$B$29))))</f>
        <v>812054.697347789</v>
      </c>
      <c r="J197" s="85" t="n">
        <f aca="true">IF(J$5=0,I197,MAX(0,(I197-J$4)*(1+NORMINV(RAND(),INPUTS!$B$28,INPUTS!$B$29))))</f>
        <v>821291.867790514</v>
      </c>
      <c r="K197" s="85" t="n">
        <f aca="true">IF(K$5=0,J197,MAX(0,(J197-K$4)*(1+NORMINV(RAND(),INPUTS!$B$28,INPUTS!$B$29))))</f>
        <v>757830.460133081</v>
      </c>
      <c r="L197" s="85" t="n">
        <f aca="true">IF(L$5=0,K197,MAX(0,(K197-L$4)*(1+NORMINV(RAND(),INPUTS!$B$28,INPUTS!$B$29))))</f>
        <v>742844.541942216</v>
      </c>
      <c r="M197" s="85" t="n">
        <f aca="true">IF(M$5=0,L197,MAX(0,(L197-M$4)*(1+NORMINV(RAND(),INPUTS!$B$28,INPUTS!$B$29))))</f>
        <v>663004.847705904</v>
      </c>
      <c r="N197" s="85" t="n">
        <f aca="true">IF(N$5=0,M197,MAX(0,(M197-N$4)*(1+NORMINV(RAND(),INPUTS!$B$28,INPUTS!$B$29))))</f>
        <v>725700.543619552</v>
      </c>
      <c r="O197" s="85" t="n">
        <f aca="true">IF(O$5=0,N197,MAX(0,(N197-O$4)*(1+NORMINV(RAND(),INPUTS!$B$28,INPUTS!$B$29))))</f>
        <v>674584.912446771</v>
      </c>
      <c r="P197" s="85" t="n">
        <f aca="true">IF(P$5=0,O197,MAX(0,(O197-P$4)*(1+NORMINV(RAND(),INPUTS!$B$28,INPUTS!$B$29))))</f>
        <v>647632.090109107</v>
      </c>
      <c r="Q197" s="85" t="n">
        <f aca="true">IF(Q$5=0,P197,MAX(0,(P197-Q$4)*(1+NORMINV(RAND(),INPUTS!$B$28,INPUTS!$B$29))))</f>
        <v>620053.612418795</v>
      </c>
      <c r="R197" s="85" t="n">
        <f aca="true">IF(R$5=0,Q197,MAX(0,(Q197-R$4)*(1+NORMINV(RAND(),INPUTS!$B$28,INPUTS!$B$29))))</f>
        <v>570500.159513997</v>
      </c>
      <c r="S197" s="85" t="n">
        <f aca="true">IF(S$5=0,R197,MAX(0,(R197-S$4)*(1+NORMINV(RAND(),INPUTS!$B$28,INPUTS!$B$29))))</f>
        <v>481449.958173533</v>
      </c>
      <c r="T197" s="85" t="n">
        <f aca="true">IF(T$5=0,S197,MAX(0,(S197-T$4)*(1+NORMINV(RAND(),INPUTS!$B$28,INPUTS!$B$29))))</f>
        <v>349371.114276171</v>
      </c>
      <c r="U197" s="85" t="n">
        <f aca="true">IF(U$5=0,T197,MAX(0,(T197-U$4)*(1+NORMINV(RAND(),INPUTS!$B$28,INPUTS!$B$29))))</f>
        <v>306181.798904806</v>
      </c>
      <c r="V197" s="85" t="n">
        <f aca="true">IF(V$5=0,U197,MAX(0,(U197-V$4)*(1+NORMINV(RAND(),INPUTS!$B$28,INPUTS!$B$29))))</f>
        <v>232412.277854434</v>
      </c>
      <c r="W197" s="85" t="n">
        <f aca="true">IF(W$5=0,V197,MAX(0,(V197-W$4)*(1+NORMINV(RAND(),INPUTS!$B$28,INPUTS!$B$29))))</f>
        <v>173705.091258972</v>
      </c>
      <c r="X197" s="85" t="n">
        <f aca="true">IF(X$5=0,W197,MAX(0,(W197-X$4)*(1+NORMINV(RAND(),INPUTS!$B$28,INPUTS!$B$29))))</f>
        <v>114103.572484737</v>
      </c>
      <c r="Y197" s="85" t="n">
        <f aca="true">IF(Y$5=0,X197,MAX(0,(X197-Y$4)*(1+NORMINV(RAND(),INPUTS!$B$28,INPUTS!$B$29))))</f>
        <v>66371.456297237</v>
      </c>
      <c r="Z197" s="85" t="n">
        <f aca="true">IF(Z$5=0,Y197,MAX(0,(Y197-Z$4)*(1+NORMINV(RAND(),INPUTS!$B$28,INPUTS!$B$29))))</f>
        <v>7472.84243147957</v>
      </c>
      <c r="AA197" s="85" t="n">
        <f aca="true">IF(AA$5=0,Z197,MAX(0,(Z197-AA$4)*(1+NORMINV(RAND(),INPUTS!$B$28,INPUTS!$B$29))))</f>
        <v>0</v>
      </c>
      <c r="AB197" s="85" t="n">
        <f aca="true">IF(AB$5=0,AA197,MAX(0,(AA197-AB$4)*(1+NORMINV(RAND(),INPUTS!$B$28,INPUTS!$B$29))))</f>
        <v>0</v>
      </c>
      <c r="AC197" s="85" t="n">
        <f aca="true">IF(AC$5=0,AB197,MAX(0,(AB197-AC$4)*(1+NORMINV(RAND(),INPUTS!$B$28,INPUTS!$B$29))))</f>
        <v>0</v>
      </c>
      <c r="AD197" s="85" t="n">
        <f aca="true">IF(AD$5=0,AC197,MAX(0,(AC197-AD$4)*(1+NORMINV(RAND(),INPUTS!$B$28,INPUTS!$B$29))))</f>
        <v>0</v>
      </c>
      <c r="AE197" s="85" t="n">
        <f aca="true">IF(AE$5=0,AD197,MAX(0,(AD197-AE$4)*(1+NORMINV(RAND(),INPUTS!$B$28,INPUTS!$B$29))))</f>
        <v>0</v>
      </c>
      <c r="AF197" s="85" t="n">
        <f aca="true">IF(AF$5=0,AE197,MAX(0,(AE197-AF$4)*(1+NORMINV(RAND(),INPUTS!$B$28,INPUTS!$B$29))))</f>
        <v>0</v>
      </c>
      <c r="AG197" s="85" t="n">
        <f aca="true">IF(AG$5=0,AF197,MAX(0,(AF197-AG$4)*(1+NORMINV(RAND(),INPUTS!$B$28,INPUTS!$B$29))))</f>
        <v>0</v>
      </c>
      <c r="AH197" s="85" t="n">
        <f aca="true">IF(AH$5=0,AG197,MAX(0,(AG197-AH$4)*(1+NORMINV(RAND(),INPUTS!$B$28,INPUTS!$B$29))))</f>
        <v>0</v>
      </c>
      <c r="AI197" s="85" t="n">
        <f aca="true">IF(AI$5=0,AH197,MAX(0,(AH197-AI$4)*(1+NORMINV(RAND(),INPUTS!$B$28,INPUTS!$B$29))))</f>
        <v>0</v>
      </c>
      <c r="AJ197" s="85" t="n">
        <f aca="true">IF(AJ$5=0,AI197,MAX(0,(AI197-AJ$4)*(1+NORMINV(RAND(),INPUTS!$B$28,INPUTS!$B$29))))</f>
        <v>0</v>
      </c>
      <c r="AK197" s="85" t="n">
        <f aca="true">IF(AK$5=0,AJ197,MAX(0,(AJ197-AK$4)*(1+NORMINV(RAND(),INPUTS!$B$28,INPUTS!$B$29))))</f>
        <v>0</v>
      </c>
      <c r="AL197" s="85" t="n">
        <f aca="true">IF(AL$5=0,AK197,MAX(0,(AK197-AL$4)*(1+NORMINV(RAND(),INPUTS!$B$28,INPUTS!$B$29))))</f>
        <v>0</v>
      </c>
      <c r="AM197" s="85" t="n">
        <f aca="true">IF(AM$5=0,AL197,MAX(0,(AL197-AM$4)*(1+NORMINV(RAND(),INPUTS!$B$28,INPUTS!$B$29))))</f>
        <v>0</v>
      </c>
      <c r="AN197" s="85" t="n">
        <f aca="true">IF(AN$5=0,AM197,MAX(0,(AM197-AN$4)*(1+NORMINV(RAND(),INPUTS!$B$28,INPUTS!$B$29))))</f>
        <v>0</v>
      </c>
      <c r="AO197" s="85" t="n">
        <f aca="true">IF(AO$5=0,AN197,MAX(0,(AN197-AO$4)*(1+NORMINV(RAND(),INPUTS!$B$28,INPUTS!$B$29))))</f>
        <v>0</v>
      </c>
      <c r="AP197" s="85" t="n">
        <f aca="true">IF(AP$5=0,AO197,MAX(0,(AO197-AP$4)*(1+NORMINV(RAND(),INPUTS!$B$28,INPUTS!$B$29))))</f>
        <v>0</v>
      </c>
    </row>
    <row r="198" customFormat="false" ht="15" hidden="false" customHeight="true" outlineLevel="0" collapsed="false">
      <c r="A198" s="83" t="n">
        <v>191</v>
      </c>
      <c r="B198" s="84" t="n">
        <f aca="false">LOOKUP(9.99E+307,C198:AP198)</f>
        <v>166452.442023274</v>
      </c>
      <c r="C198" s="85" t="n">
        <f aca="true">IF(C$5=0,INPUTS!$B$19,MAX(0,(INPUTS!$B$19-C$4)*(1+NORMINV(RAND(),INPUTS!$B$28,INPUTS!$B$29))))</f>
        <v>1135618.27301244</v>
      </c>
      <c r="D198" s="85" t="n">
        <f aca="true">IF(D$5=0,C198,MAX(0,(C198-D$4)*(1+NORMINV(RAND(),INPUTS!$B$28,INPUTS!$B$29))))</f>
        <v>955773.456345723</v>
      </c>
      <c r="E198" s="85" t="n">
        <f aca="true">IF(E$5=0,D198,MAX(0,(D198-E$4)*(1+NORMINV(RAND(),INPUTS!$B$28,INPUTS!$B$29))))</f>
        <v>840268.008185835</v>
      </c>
      <c r="F198" s="85" t="n">
        <f aca="true">IF(F$5=0,E198,MAX(0,(E198-F$4)*(1+NORMINV(RAND(),INPUTS!$B$28,INPUTS!$B$29))))</f>
        <v>804454.277334262</v>
      </c>
      <c r="G198" s="85" t="n">
        <f aca="true">IF(G$5=0,F198,MAX(0,(F198-G$4)*(1+NORMINV(RAND(),INPUTS!$B$28,INPUTS!$B$29))))</f>
        <v>940749.43365304</v>
      </c>
      <c r="H198" s="85" t="n">
        <f aca="true">IF(H$5=0,G198,MAX(0,(G198-H$4)*(1+NORMINV(RAND(),INPUTS!$B$28,INPUTS!$B$29))))</f>
        <v>1074294.70324435</v>
      </c>
      <c r="I198" s="85" t="n">
        <f aca="true">IF(I$5=0,H198,MAX(0,(H198-I$4)*(1+NORMINV(RAND(),INPUTS!$B$28,INPUTS!$B$29))))</f>
        <v>1202567.96810029</v>
      </c>
      <c r="J198" s="85" t="n">
        <f aca="true">IF(J$5=0,I198,MAX(0,(I198-J$4)*(1+NORMINV(RAND(),INPUTS!$B$28,INPUTS!$B$29))))</f>
        <v>1461877.68411428</v>
      </c>
      <c r="K198" s="85" t="n">
        <f aca="true">IF(K$5=0,J198,MAX(0,(J198-K$4)*(1+NORMINV(RAND(),INPUTS!$B$28,INPUTS!$B$29))))</f>
        <v>1477812.27300657</v>
      </c>
      <c r="L198" s="85" t="n">
        <f aca="true">IF(L$5=0,K198,MAX(0,(K198-L$4)*(1+NORMINV(RAND(),INPUTS!$B$28,INPUTS!$B$29))))</f>
        <v>1273454.92102422</v>
      </c>
      <c r="M198" s="85" t="n">
        <f aca="true">IF(M$5=0,L198,MAX(0,(L198-M$4)*(1+NORMINV(RAND(),INPUTS!$B$28,INPUTS!$B$29))))</f>
        <v>1387336.56298925</v>
      </c>
      <c r="N198" s="85" t="n">
        <f aca="true">IF(N$5=0,M198,MAX(0,(M198-N$4)*(1+NORMINV(RAND(),INPUTS!$B$28,INPUTS!$B$29))))</f>
        <v>1621844.64450464</v>
      </c>
      <c r="O198" s="85" t="n">
        <f aca="true">IF(O$5=0,N198,MAX(0,(N198-O$4)*(1+NORMINV(RAND(),INPUTS!$B$28,INPUTS!$B$29))))</f>
        <v>1413755.77586988</v>
      </c>
      <c r="P198" s="85" t="n">
        <f aca="true">IF(P$5=0,O198,MAX(0,(O198-P$4)*(1+NORMINV(RAND(),INPUTS!$B$28,INPUTS!$B$29))))</f>
        <v>1255981.49780324</v>
      </c>
      <c r="Q198" s="85" t="n">
        <f aca="true">IF(Q$5=0,P198,MAX(0,(P198-Q$4)*(1+NORMINV(RAND(),INPUTS!$B$28,INPUTS!$B$29))))</f>
        <v>1348903.0990048</v>
      </c>
      <c r="R198" s="85" t="n">
        <f aca="true">IF(R$5=0,Q198,MAX(0,(Q198-R$4)*(1+NORMINV(RAND(),INPUTS!$B$28,INPUTS!$B$29))))</f>
        <v>1331973.58202441</v>
      </c>
      <c r="S198" s="85" t="n">
        <f aca="true">IF(S$5=0,R198,MAX(0,(R198-S$4)*(1+NORMINV(RAND(),INPUTS!$B$28,INPUTS!$B$29))))</f>
        <v>1185363.67392246</v>
      </c>
      <c r="T198" s="85" t="n">
        <f aca="true">IF(T$5=0,S198,MAX(0,(S198-T$4)*(1+NORMINV(RAND(),INPUTS!$B$28,INPUTS!$B$29))))</f>
        <v>1148570.82714662</v>
      </c>
      <c r="U198" s="85" t="n">
        <f aca="true">IF(U$5=0,T198,MAX(0,(T198-U$4)*(1+NORMINV(RAND(),INPUTS!$B$28,INPUTS!$B$29))))</f>
        <v>1098741.51817523</v>
      </c>
      <c r="V198" s="85" t="n">
        <f aca="true">IF(V$5=0,U198,MAX(0,(U198-V$4)*(1+NORMINV(RAND(),INPUTS!$B$28,INPUTS!$B$29))))</f>
        <v>1256676.91743469</v>
      </c>
      <c r="W198" s="85" t="n">
        <f aca="true">IF(W$5=0,V198,MAX(0,(V198-W$4)*(1+NORMINV(RAND(),INPUTS!$B$28,INPUTS!$B$29))))</f>
        <v>1210852.94085352</v>
      </c>
      <c r="X198" s="85" t="n">
        <f aca="true">IF(X$5=0,W198,MAX(0,(W198-X$4)*(1+NORMINV(RAND(),INPUTS!$B$28,INPUTS!$B$29))))</f>
        <v>1028230.08948418</v>
      </c>
      <c r="Y198" s="85" t="n">
        <f aca="true">IF(Y$5=0,X198,MAX(0,(X198-Y$4)*(1+NORMINV(RAND(),INPUTS!$B$28,INPUTS!$B$29))))</f>
        <v>898611.247267006</v>
      </c>
      <c r="Z198" s="85" t="n">
        <f aca="true">IF(Z$5=0,Y198,MAX(0,(Y198-Z$4)*(1+NORMINV(RAND(),INPUTS!$B$28,INPUTS!$B$29))))</f>
        <v>805571.48784757</v>
      </c>
      <c r="AA198" s="85" t="n">
        <f aca="true">IF(AA$5=0,Z198,MAX(0,(Z198-AA$4)*(1+NORMINV(RAND(),INPUTS!$B$28,INPUTS!$B$29))))</f>
        <v>691618.465202028</v>
      </c>
      <c r="AB198" s="85" t="n">
        <f aca="true">IF(AB$5=0,AA198,MAX(0,(AA198-AB$4)*(1+NORMINV(RAND(),INPUTS!$B$28,INPUTS!$B$29))))</f>
        <v>650059.216290544</v>
      </c>
      <c r="AC198" s="85" t="n">
        <f aca="true">IF(AC$5=0,AB198,MAX(0,(AB198-AC$4)*(1+NORMINV(RAND(),INPUTS!$B$28,INPUTS!$B$29))))</f>
        <v>710570.924191284</v>
      </c>
      <c r="AD198" s="85" t="n">
        <f aca="true">IF(AD$5=0,AC198,MAX(0,(AC198-AD$4)*(1+NORMINV(RAND(),INPUTS!$B$28,INPUTS!$B$29))))</f>
        <v>826252.018848577</v>
      </c>
      <c r="AE198" s="85" t="n">
        <f aca="true">IF(AE$5=0,AD198,MAX(0,(AD198-AE$4)*(1+NORMINV(RAND(),INPUTS!$B$28,INPUTS!$B$29))))</f>
        <v>725968.710920222</v>
      </c>
      <c r="AF198" s="85" t="n">
        <f aca="true">IF(AF$5=0,AE198,MAX(0,(AE198-AF$4)*(1+NORMINV(RAND(),INPUTS!$B$28,INPUTS!$B$29))))</f>
        <v>684973.48933233</v>
      </c>
      <c r="AG198" s="85" t="n">
        <f aca="true">IF(AG$5=0,AF198,MAX(0,(AF198-AG$4)*(1+NORMINV(RAND(),INPUTS!$B$28,INPUTS!$B$29))))</f>
        <v>565636.437827288</v>
      </c>
      <c r="AH198" s="85" t="n">
        <f aca="true">IF(AH$5=0,AG198,MAX(0,(AG198-AH$4)*(1+NORMINV(RAND(),INPUTS!$B$28,INPUTS!$B$29))))</f>
        <v>447887.944529009</v>
      </c>
      <c r="AI198" s="85" t="n">
        <f aca="true">IF(AI$5=0,AH198,MAX(0,(AH198-AI$4)*(1+NORMINV(RAND(),INPUTS!$B$28,INPUTS!$B$29))))</f>
        <v>398399.855782703</v>
      </c>
      <c r="AJ198" s="85" t="n">
        <f aca="true">IF(AJ$5=0,AI198,MAX(0,(AI198-AJ$4)*(1+NORMINV(RAND(),INPUTS!$B$28,INPUTS!$B$29))))</f>
        <v>355058.421739319</v>
      </c>
      <c r="AK198" s="85" t="n">
        <f aca="true">IF(AK$5=0,AJ198,MAX(0,(AJ198-AK$4)*(1+NORMINV(RAND(),INPUTS!$B$28,INPUTS!$B$29))))</f>
        <v>238128.06228837</v>
      </c>
      <c r="AL198" s="85" t="n">
        <f aca="true">IF(AL$5=0,AK198,MAX(0,(AK198-AL$4)*(1+NORMINV(RAND(),INPUTS!$B$28,INPUTS!$B$29))))</f>
        <v>166452.442023274</v>
      </c>
      <c r="AM198" s="85" t="n">
        <f aca="true">IF(AM$5=0,AL198,MAX(0,(AL198-AM$4)*(1+NORMINV(RAND(),INPUTS!$B$28,INPUTS!$B$29))))</f>
        <v>166452.442023274</v>
      </c>
      <c r="AN198" s="85" t="n">
        <f aca="true">IF(AN$5=0,AM198,MAX(0,(AM198-AN$4)*(1+NORMINV(RAND(),INPUTS!$B$28,INPUTS!$B$29))))</f>
        <v>166452.442023274</v>
      </c>
      <c r="AO198" s="85" t="n">
        <f aca="true">IF(AO$5=0,AN198,MAX(0,(AN198-AO$4)*(1+NORMINV(RAND(),INPUTS!$B$28,INPUTS!$B$29))))</f>
        <v>166452.442023274</v>
      </c>
      <c r="AP198" s="85" t="n">
        <f aca="true">IF(AP$5=0,AO198,MAX(0,(AO198-AP$4)*(1+NORMINV(RAND(),INPUTS!$B$28,INPUTS!$B$29))))</f>
        <v>166452.442023274</v>
      </c>
    </row>
    <row r="199" customFormat="false" ht="15" hidden="false" customHeight="true" outlineLevel="0" collapsed="false">
      <c r="A199" s="83" t="n">
        <v>192</v>
      </c>
      <c r="B199" s="84" t="n">
        <f aca="false">LOOKUP(9.99E+307,C199:AP199)</f>
        <v>5928636.53715542</v>
      </c>
      <c r="C199" s="85" t="n">
        <f aca="true">IF(C$5=0,INPUTS!$B$19,MAX(0,(INPUTS!$B$19-C$4)*(1+NORMINV(RAND(),INPUTS!$B$28,INPUTS!$B$29))))</f>
        <v>1462611.66006694</v>
      </c>
      <c r="D199" s="85" t="n">
        <f aca="true">IF(D$5=0,C199,MAX(0,(C199-D$4)*(1+NORMINV(RAND(),INPUTS!$B$28,INPUTS!$B$29))))</f>
        <v>1695300.53613923</v>
      </c>
      <c r="E199" s="85" t="n">
        <f aca="true">IF(E$5=0,D199,MAX(0,(D199-E$4)*(1+NORMINV(RAND(),INPUTS!$B$28,INPUTS!$B$29))))</f>
        <v>1729962.54260075</v>
      </c>
      <c r="F199" s="85" t="n">
        <f aca="true">IF(F$5=0,E199,MAX(0,(E199-F$4)*(1+NORMINV(RAND(),INPUTS!$B$28,INPUTS!$B$29))))</f>
        <v>1890318.13637593</v>
      </c>
      <c r="G199" s="85" t="n">
        <f aca="true">IF(G$5=0,F199,MAX(0,(F199-G$4)*(1+NORMINV(RAND(),INPUTS!$B$28,INPUTS!$B$29))))</f>
        <v>1928763.32315634</v>
      </c>
      <c r="H199" s="85" t="n">
        <f aca="true">IF(H$5=0,G199,MAX(0,(G199-H$4)*(1+NORMINV(RAND(),INPUTS!$B$28,INPUTS!$B$29))))</f>
        <v>2052660.64796623</v>
      </c>
      <c r="I199" s="85" t="n">
        <f aca="true">IF(I$5=0,H199,MAX(0,(H199-I$4)*(1+NORMINV(RAND(),INPUTS!$B$28,INPUTS!$B$29))))</f>
        <v>1952302.57760551</v>
      </c>
      <c r="J199" s="85" t="n">
        <f aca="true">IF(J$5=0,I199,MAX(0,(I199-J$4)*(1+NORMINV(RAND(),INPUTS!$B$28,INPUTS!$B$29))))</f>
        <v>1776017.83728234</v>
      </c>
      <c r="K199" s="85" t="n">
        <f aca="true">IF(K$5=0,J199,MAX(0,(J199-K$4)*(1+NORMINV(RAND(),INPUTS!$B$28,INPUTS!$B$29))))</f>
        <v>1964472.48181106</v>
      </c>
      <c r="L199" s="85" t="n">
        <f aca="true">IF(L$5=0,K199,MAX(0,(K199-L$4)*(1+NORMINV(RAND(),INPUTS!$B$28,INPUTS!$B$29))))</f>
        <v>1881381.2987633</v>
      </c>
      <c r="M199" s="85" t="n">
        <f aca="true">IF(M$5=0,L199,MAX(0,(L199-M$4)*(1+NORMINV(RAND(),INPUTS!$B$28,INPUTS!$B$29))))</f>
        <v>1804401.71953864</v>
      </c>
      <c r="N199" s="85" t="n">
        <f aca="true">IF(N$5=0,M199,MAX(0,(M199-N$4)*(1+NORMINV(RAND(),INPUTS!$B$28,INPUTS!$B$29))))</f>
        <v>1496398.66413992</v>
      </c>
      <c r="O199" s="85" t="n">
        <f aca="true">IF(O$5=0,N199,MAX(0,(N199-O$4)*(1+NORMINV(RAND(),INPUTS!$B$28,INPUTS!$B$29))))</f>
        <v>1509647.27108392</v>
      </c>
      <c r="P199" s="85" t="n">
        <f aca="true">IF(P$5=0,O199,MAX(0,(O199-P$4)*(1+NORMINV(RAND(),INPUTS!$B$28,INPUTS!$B$29))))</f>
        <v>1539251.08724473</v>
      </c>
      <c r="Q199" s="85" t="n">
        <f aca="true">IF(Q$5=0,P199,MAX(0,(P199-Q$4)*(1+NORMINV(RAND(),INPUTS!$B$28,INPUTS!$B$29))))</f>
        <v>2055734.26112068</v>
      </c>
      <c r="R199" s="85" t="n">
        <f aca="true">IF(R$5=0,Q199,MAX(0,(Q199-R$4)*(1+NORMINV(RAND(),INPUTS!$B$28,INPUTS!$B$29))))</f>
        <v>2276222.47307113</v>
      </c>
      <c r="S199" s="85" t="n">
        <f aca="true">IF(S$5=0,R199,MAX(0,(R199-S$4)*(1+NORMINV(RAND(),INPUTS!$B$28,INPUTS!$B$29))))</f>
        <v>2307547.18296203</v>
      </c>
      <c r="T199" s="85" t="n">
        <f aca="true">IF(T$5=0,S199,MAX(0,(S199-T$4)*(1+NORMINV(RAND(),INPUTS!$B$28,INPUTS!$B$29))))</f>
        <v>2560596.97877226</v>
      </c>
      <c r="U199" s="85" t="n">
        <f aca="true">IF(U$5=0,T199,MAX(0,(T199-U$4)*(1+NORMINV(RAND(),INPUTS!$B$28,INPUTS!$B$29))))</f>
        <v>2381056.61407023</v>
      </c>
      <c r="V199" s="85" t="n">
        <f aca="true">IF(V$5=0,U199,MAX(0,(U199-V$4)*(1+NORMINV(RAND(),INPUTS!$B$28,INPUTS!$B$29))))</f>
        <v>2465232.31163955</v>
      </c>
      <c r="W199" s="85" t="n">
        <f aca="true">IF(W$5=0,V199,MAX(0,(V199-W$4)*(1+NORMINV(RAND(),INPUTS!$B$28,INPUTS!$B$29))))</f>
        <v>2581289.92723727</v>
      </c>
      <c r="X199" s="85" t="n">
        <f aca="true">IF(X$5=0,W199,MAX(0,(W199-X$4)*(1+NORMINV(RAND(),INPUTS!$B$28,INPUTS!$B$29))))</f>
        <v>2669083.98418921</v>
      </c>
      <c r="Y199" s="85" t="n">
        <f aca="true">IF(Y$5=0,X199,MAX(0,(X199-Y$4)*(1+NORMINV(RAND(),INPUTS!$B$28,INPUTS!$B$29))))</f>
        <v>2230533.76953415</v>
      </c>
      <c r="Z199" s="85" t="n">
        <f aca="true">IF(Z$5=0,Y199,MAX(0,(Y199-Z$4)*(1+NORMINV(RAND(),INPUTS!$B$28,INPUTS!$B$29))))</f>
        <v>2555942.7610747</v>
      </c>
      <c r="AA199" s="85" t="n">
        <f aca="true">IF(AA$5=0,Z199,MAX(0,(Z199-AA$4)*(1+NORMINV(RAND(),INPUTS!$B$28,INPUTS!$B$29))))</f>
        <v>2457508.89316356</v>
      </c>
      <c r="AB199" s="85" t="n">
        <f aca="true">IF(AB$5=0,AA199,MAX(0,(AA199-AB$4)*(1+NORMINV(RAND(),INPUTS!$B$28,INPUTS!$B$29))))</f>
        <v>2800430.77006457</v>
      </c>
      <c r="AC199" s="85" t="n">
        <f aca="true">IF(AC$5=0,AB199,MAX(0,(AB199-AC$4)*(1+NORMINV(RAND(),INPUTS!$B$28,INPUTS!$B$29))))</f>
        <v>2421943.87251555</v>
      </c>
      <c r="AD199" s="85" t="n">
        <f aca="true">IF(AD$5=0,AC199,MAX(0,(AC199-AD$4)*(1+NORMINV(RAND(),INPUTS!$B$28,INPUTS!$B$29))))</f>
        <v>2400177.69766686</v>
      </c>
      <c r="AE199" s="85" t="n">
        <f aca="true">IF(AE$5=0,AD199,MAX(0,(AD199-AE$4)*(1+NORMINV(RAND(),INPUTS!$B$28,INPUTS!$B$29))))</f>
        <v>2540922.83578488</v>
      </c>
      <c r="AF199" s="85" t="n">
        <f aca="true">IF(AF$5=0,AE199,MAX(0,(AE199-AF$4)*(1+NORMINV(RAND(),INPUTS!$B$28,INPUTS!$B$29))))</f>
        <v>2886037.56432227</v>
      </c>
      <c r="AG199" s="85" t="n">
        <f aca="true">IF(AG$5=0,AF199,MAX(0,(AF199-AG$4)*(1+NORMINV(RAND(),INPUTS!$B$28,INPUTS!$B$29))))</f>
        <v>3018035.70822249</v>
      </c>
      <c r="AH199" s="85" t="n">
        <f aca="true">IF(AH$5=0,AG199,MAX(0,(AG199-AH$4)*(1+NORMINV(RAND(),INPUTS!$B$28,INPUTS!$B$29))))</f>
        <v>3553115.62071313</v>
      </c>
      <c r="AI199" s="85" t="n">
        <f aca="true">IF(AI$5=0,AH199,MAX(0,(AH199-AI$4)*(1+NORMINV(RAND(),INPUTS!$B$28,INPUTS!$B$29))))</f>
        <v>4380042.73197196</v>
      </c>
      <c r="AJ199" s="85" t="n">
        <f aca="true">IF(AJ$5=0,AI199,MAX(0,(AI199-AJ$4)*(1+NORMINV(RAND(),INPUTS!$B$28,INPUTS!$B$29))))</f>
        <v>4726384.28717458</v>
      </c>
      <c r="AK199" s="85" t="n">
        <f aca="true">IF(AK$5=0,AJ199,MAX(0,(AJ199-AK$4)*(1+NORMINV(RAND(),INPUTS!$B$28,INPUTS!$B$29))))</f>
        <v>5616929.52440739</v>
      </c>
      <c r="AL199" s="85" t="n">
        <f aca="true">IF(AL$5=0,AK199,MAX(0,(AK199-AL$4)*(1+NORMINV(RAND(),INPUTS!$B$28,INPUTS!$B$29))))</f>
        <v>5928636.53715542</v>
      </c>
      <c r="AM199" s="85" t="n">
        <f aca="true">IF(AM$5=0,AL199,MAX(0,(AL199-AM$4)*(1+NORMINV(RAND(),INPUTS!$B$28,INPUTS!$B$29))))</f>
        <v>5928636.53715542</v>
      </c>
      <c r="AN199" s="85" t="n">
        <f aca="true">IF(AN$5=0,AM199,MAX(0,(AM199-AN$4)*(1+NORMINV(RAND(),INPUTS!$B$28,INPUTS!$B$29))))</f>
        <v>5928636.53715542</v>
      </c>
      <c r="AO199" s="85" t="n">
        <f aca="true">IF(AO$5=0,AN199,MAX(0,(AN199-AO$4)*(1+NORMINV(RAND(),INPUTS!$B$28,INPUTS!$B$29))))</f>
        <v>5928636.53715542</v>
      </c>
      <c r="AP199" s="85" t="n">
        <f aca="true">IF(AP$5=0,AO199,MAX(0,(AO199-AP$4)*(1+NORMINV(RAND(),INPUTS!$B$28,INPUTS!$B$29))))</f>
        <v>5928636.53715542</v>
      </c>
    </row>
    <row r="200" customFormat="false" ht="15" hidden="false" customHeight="true" outlineLevel="0" collapsed="false">
      <c r="A200" s="83" t="n">
        <v>193</v>
      </c>
      <c r="B200" s="84" t="n">
        <f aca="false">LOOKUP(9.99E+307,C200:AP200)</f>
        <v>1456381.95310001</v>
      </c>
      <c r="C200" s="85" t="n">
        <f aca="true">IF(C$5=0,INPUTS!$B$19,MAX(0,(INPUTS!$B$19-C$4)*(1+NORMINV(RAND(),INPUTS!$B$28,INPUTS!$B$29))))</f>
        <v>1463440.10073417</v>
      </c>
      <c r="D200" s="85" t="n">
        <f aca="true">IF(D$5=0,C200,MAX(0,(C200-D$4)*(1+NORMINV(RAND(),INPUTS!$B$28,INPUTS!$B$29))))</f>
        <v>1601815.07229563</v>
      </c>
      <c r="E200" s="85" t="n">
        <f aca="true">IF(E$5=0,D200,MAX(0,(D200-E$4)*(1+NORMINV(RAND(),INPUTS!$B$28,INPUTS!$B$29))))</f>
        <v>1029910.77599506</v>
      </c>
      <c r="F200" s="85" t="n">
        <f aca="true">IF(F$5=0,E200,MAX(0,(E200-F$4)*(1+NORMINV(RAND(),INPUTS!$B$28,INPUTS!$B$29))))</f>
        <v>921408.29116811</v>
      </c>
      <c r="G200" s="85" t="n">
        <f aca="true">IF(G$5=0,F200,MAX(0,(F200-G$4)*(1+NORMINV(RAND(),INPUTS!$B$28,INPUTS!$B$29))))</f>
        <v>880025.146727292</v>
      </c>
      <c r="H200" s="85" t="n">
        <f aca="true">IF(H$5=0,G200,MAX(0,(G200-H$4)*(1+NORMINV(RAND(),INPUTS!$B$28,INPUTS!$B$29))))</f>
        <v>902323.880493803</v>
      </c>
      <c r="I200" s="85" t="n">
        <f aca="true">IF(I$5=0,H200,MAX(0,(H200-I$4)*(1+NORMINV(RAND(),INPUTS!$B$28,INPUTS!$B$29))))</f>
        <v>815529.379541706</v>
      </c>
      <c r="J200" s="85" t="n">
        <f aca="true">IF(J$5=0,I200,MAX(0,(I200-J$4)*(1+NORMINV(RAND(),INPUTS!$B$28,INPUTS!$B$29))))</f>
        <v>810817.156929647</v>
      </c>
      <c r="K200" s="85" t="n">
        <f aca="true">IF(K$5=0,J200,MAX(0,(J200-K$4)*(1+NORMINV(RAND(),INPUTS!$B$28,INPUTS!$B$29))))</f>
        <v>797171.106801101</v>
      </c>
      <c r="L200" s="85" t="n">
        <f aca="true">IF(L$5=0,K200,MAX(0,(K200-L$4)*(1+NORMINV(RAND(),INPUTS!$B$28,INPUTS!$B$29))))</f>
        <v>921161.495658513</v>
      </c>
      <c r="M200" s="85" t="n">
        <f aca="true">IF(M$5=0,L200,MAX(0,(L200-M$4)*(1+NORMINV(RAND(),INPUTS!$B$28,INPUTS!$B$29))))</f>
        <v>978053.129651671</v>
      </c>
      <c r="N200" s="85" t="n">
        <f aca="true">IF(N$5=0,M200,MAX(0,(M200-N$4)*(1+NORMINV(RAND(),INPUTS!$B$28,INPUTS!$B$29))))</f>
        <v>769890.371952893</v>
      </c>
      <c r="O200" s="85" t="n">
        <f aca="true">IF(O$5=0,N200,MAX(0,(N200-O$4)*(1+NORMINV(RAND(),INPUTS!$B$28,INPUTS!$B$29))))</f>
        <v>919340.686436024</v>
      </c>
      <c r="P200" s="85" t="n">
        <f aca="true">IF(P$5=0,O200,MAX(0,(O200-P$4)*(1+NORMINV(RAND(),INPUTS!$B$28,INPUTS!$B$29))))</f>
        <v>1106224.55184014</v>
      </c>
      <c r="Q200" s="85" t="n">
        <f aca="true">IF(Q$5=0,P200,MAX(0,(P200-Q$4)*(1+NORMINV(RAND(),INPUTS!$B$28,INPUTS!$B$29))))</f>
        <v>1160440.73726037</v>
      </c>
      <c r="R200" s="85" t="n">
        <f aca="true">IF(R$5=0,Q200,MAX(0,(Q200-R$4)*(1+NORMINV(RAND(),INPUTS!$B$28,INPUTS!$B$29))))</f>
        <v>1035101.79506237</v>
      </c>
      <c r="S200" s="85" t="n">
        <f aca="true">IF(S$5=0,R200,MAX(0,(R200-S$4)*(1+NORMINV(RAND(),INPUTS!$B$28,INPUTS!$B$29))))</f>
        <v>1163752.78213267</v>
      </c>
      <c r="T200" s="85" t="n">
        <f aca="true">IF(T$5=0,S200,MAX(0,(S200-T$4)*(1+NORMINV(RAND(),INPUTS!$B$28,INPUTS!$B$29))))</f>
        <v>999472.358859719</v>
      </c>
      <c r="U200" s="85" t="n">
        <f aca="true">IF(U$5=0,T200,MAX(0,(T200-U$4)*(1+NORMINV(RAND(),INPUTS!$B$28,INPUTS!$B$29))))</f>
        <v>1006081.24943556</v>
      </c>
      <c r="V200" s="85" t="n">
        <f aca="true">IF(V$5=0,U200,MAX(0,(U200-V$4)*(1+NORMINV(RAND(),INPUTS!$B$28,INPUTS!$B$29))))</f>
        <v>1047856.3173718</v>
      </c>
      <c r="W200" s="85" t="n">
        <f aca="true">IF(W$5=0,V200,MAX(0,(V200-W$4)*(1+NORMINV(RAND(),INPUTS!$B$28,INPUTS!$B$29))))</f>
        <v>1299684.31494964</v>
      </c>
      <c r="X200" s="85" t="n">
        <f aca="true">IF(X$5=0,W200,MAX(0,(W200-X$4)*(1+NORMINV(RAND(),INPUTS!$B$28,INPUTS!$B$29))))</f>
        <v>1601900.02255715</v>
      </c>
      <c r="Y200" s="85" t="n">
        <f aca="true">IF(Y$5=0,X200,MAX(0,(X200-Y$4)*(1+NORMINV(RAND(),INPUTS!$B$28,INPUTS!$B$29))))</f>
        <v>1768684.50424667</v>
      </c>
      <c r="Z200" s="85" t="n">
        <f aca="true">IF(Z$5=0,Y200,MAX(0,(Y200-Z$4)*(1+NORMINV(RAND(),INPUTS!$B$28,INPUTS!$B$29))))</f>
        <v>2051673.40259056</v>
      </c>
      <c r="AA200" s="85" t="n">
        <f aca="true">IF(AA$5=0,Z200,MAX(0,(Z200-AA$4)*(1+NORMINV(RAND(),INPUTS!$B$28,INPUTS!$B$29))))</f>
        <v>2090207.73632049</v>
      </c>
      <c r="AB200" s="85" t="n">
        <f aca="true">IF(AB$5=0,AA200,MAX(0,(AA200-AB$4)*(1+NORMINV(RAND(),INPUTS!$B$28,INPUTS!$B$29))))</f>
        <v>2036669.6262442</v>
      </c>
      <c r="AC200" s="85" t="n">
        <f aca="true">IF(AC$5=0,AB200,MAX(0,(AB200-AC$4)*(1+NORMINV(RAND(),INPUTS!$B$28,INPUTS!$B$29))))</f>
        <v>1842301.26835583</v>
      </c>
      <c r="AD200" s="85" t="n">
        <f aca="true">IF(AD$5=0,AC200,MAX(0,(AC200-AD$4)*(1+NORMINV(RAND(),INPUTS!$B$28,INPUTS!$B$29))))</f>
        <v>1498388.04386686</v>
      </c>
      <c r="AE200" s="85" t="n">
        <f aca="true">IF(AE$5=0,AD200,MAX(0,(AD200-AE$4)*(1+NORMINV(RAND(),INPUTS!$B$28,INPUTS!$B$29))))</f>
        <v>1486475.33214664</v>
      </c>
      <c r="AF200" s="85" t="n">
        <f aca="true">IF(AF$5=0,AE200,MAX(0,(AE200-AF$4)*(1+NORMINV(RAND(),INPUTS!$B$28,INPUTS!$B$29))))</f>
        <v>1671061.11827389</v>
      </c>
      <c r="AG200" s="85" t="n">
        <f aca="true">IF(AG$5=0,AF200,MAX(0,(AF200-AG$4)*(1+NORMINV(RAND(),INPUTS!$B$28,INPUTS!$B$29))))</f>
        <v>1897369.16997645</v>
      </c>
      <c r="AH200" s="85" t="n">
        <f aca="true">IF(AH$5=0,AG200,MAX(0,(AG200-AH$4)*(1+NORMINV(RAND(),INPUTS!$B$28,INPUTS!$B$29))))</f>
        <v>2122023.68677691</v>
      </c>
      <c r="AI200" s="85" t="n">
        <f aca="true">IF(AI$5=0,AH200,MAX(0,(AH200-AI$4)*(1+NORMINV(RAND(),INPUTS!$B$28,INPUTS!$B$29))))</f>
        <v>1802003.54352441</v>
      </c>
      <c r="AJ200" s="85" t="n">
        <f aca="true">IF(AJ$5=0,AI200,MAX(0,(AI200-AJ$4)*(1+NORMINV(RAND(),INPUTS!$B$28,INPUTS!$B$29))))</f>
        <v>1574013.33520187</v>
      </c>
      <c r="AK200" s="85" t="n">
        <f aca="true">IF(AK$5=0,AJ200,MAX(0,(AJ200-AK$4)*(1+NORMINV(RAND(),INPUTS!$B$28,INPUTS!$B$29))))</f>
        <v>1713680.44870868</v>
      </c>
      <c r="AL200" s="85" t="n">
        <f aca="true">IF(AL$5=0,AK200,MAX(0,(AK200-AL$4)*(1+NORMINV(RAND(),INPUTS!$B$28,INPUTS!$B$29))))</f>
        <v>1456381.95310001</v>
      </c>
      <c r="AM200" s="85" t="n">
        <f aca="true">IF(AM$5=0,AL200,MAX(0,(AL200-AM$4)*(1+NORMINV(RAND(),INPUTS!$B$28,INPUTS!$B$29))))</f>
        <v>1456381.95310001</v>
      </c>
      <c r="AN200" s="85" t="n">
        <f aca="true">IF(AN$5=0,AM200,MAX(0,(AM200-AN$4)*(1+NORMINV(RAND(),INPUTS!$B$28,INPUTS!$B$29))))</f>
        <v>1456381.95310001</v>
      </c>
      <c r="AO200" s="85" t="n">
        <f aca="true">IF(AO$5=0,AN200,MAX(0,(AN200-AO$4)*(1+NORMINV(RAND(),INPUTS!$B$28,INPUTS!$B$29))))</f>
        <v>1456381.95310001</v>
      </c>
      <c r="AP200" s="85" t="n">
        <f aca="true">IF(AP$5=0,AO200,MAX(0,(AO200-AP$4)*(1+NORMINV(RAND(),INPUTS!$B$28,INPUTS!$B$29))))</f>
        <v>1456381.95310001</v>
      </c>
    </row>
    <row r="201" customFormat="false" ht="15" hidden="false" customHeight="true" outlineLevel="0" collapsed="false">
      <c r="A201" s="83" t="n">
        <v>194</v>
      </c>
      <c r="B201" s="84" t="n">
        <f aca="false">LOOKUP(9.99E+307,C201:AP201)</f>
        <v>832979.736760127</v>
      </c>
      <c r="C201" s="85" t="n">
        <f aca="true">IF(C$5=0,INPUTS!$B$19,MAX(0,(INPUTS!$B$19-C$4)*(1+NORMINV(RAND(),INPUTS!$B$28,INPUTS!$B$29))))</f>
        <v>1179078.87958084</v>
      </c>
      <c r="D201" s="85" t="n">
        <f aca="true">IF(D$5=0,C201,MAX(0,(C201-D$4)*(1+NORMINV(RAND(),INPUTS!$B$28,INPUTS!$B$29))))</f>
        <v>1032288.09053612</v>
      </c>
      <c r="E201" s="85" t="n">
        <f aca="true">IF(E$5=0,D201,MAX(0,(D201-E$4)*(1+NORMINV(RAND(),INPUTS!$B$28,INPUTS!$B$29))))</f>
        <v>1086740.72598011</v>
      </c>
      <c r="F201" s="85" t="n">
        <f aca="true">IF(F$5=0,E201,MAX(0,(E201-F$4)*(1+NORMINV(RAND(),INPUTS!$B$28,INPUTS!$B$29))))</f>
        <v>1079855.9160534</v>
      </c>
      <c r="G201" s="85" t="n">
        <f aca="true">IF(G$5=0,F201,MAX(0,(F201-G$4)*(1+NORMINV(RAND(),INPUTS!$B$28,INPUTS!$B$29))))</f>
        <v>884522.054026477</v>
      </c>
      <c r="H201" s="85" t="n">
        <f aca="true">IF(H$5=0,G201,MAX(0,(G201-H$4)*(1+NORMINV(RAND(),INPUTS!$B$28,INPUTS!$B$29))))</f>
        <v>883426.6433342</v>
      </c>
      <c r="I201" s="85" t="n">
        <f aca="true">IF(I$5=0,H201,MAX(0,(H201-I$4)*(1+NORMINV(RAND(),INPUTS!$B$28,INPUTS!$B$29))))</f>
        <v>793579.162963213</v>
      </c>
      <c r="J201" s="85" t="n">
        <f aca="true">IF(J$5=0,I201,MAX(0,(I201-J$4)*(1+NORMINV(RAND(),INPUTS!$B$28,INPUTS!$B$29))))</f>
        <v>812321.646752178</v>
      </c>
      <c r="K201" s="85" t="n">
        <f aca="true">IF(K$5=0,J201,MAX(0,(J201-K$4)*(1+NORMINV(RAND(),INPUTS!$B$28,INPUTS!$B$29))))</f>
        <v>835578.690197925</v>
      </c>
      <c r="L201" s="85" t="n">
        <f aca="true">IF(L$5=0,K201,MAX(0,(K201-L$4)*(1+NORMINV(RAND(),INPUTS!$B$28,INPUTS!$B$29))))</f>
        <v>822154.309241202</v>
      </c>
      <c r="M201" s="85" t="n">
        <f aca="true">IF(M$5=0,L201,MAX(0,(L201-M$4)*(1+NORMINV(RAND(),INPUTS!$B$28,INPUTS!$B$29))))</f>
        <v>653872.081331777</v>
      </c>
      <c r="N201" s="85" t="n">
        <f aca="true">IF(N$5=0,M201,MAX(0,(M201-N$4)*(1+NORMINV(RAND(),INPUTS!$B$28,INPUTS!$B$29))))</f>
        <v>633513.438440637</v>
      </c>
      <c r="O201" s="85" t="n">
        <f aca="true">IF(O$5=0,N201,MAX(0,(N201-O$4)*(1+NORMINV(RAND(),INPUTS!$B$28,INPUTS!$B$29))))</f>
        <v>547066.632463889</v>
      </c>
      <c r="P201" s="85" t="n">
        <f aca="true">IF(P$5=0,O201,MAX(0,(O201-P$4)*(1+NORMINV(RAND(),INPUTS!$B$28,INPUTS!$B$29))))</f>
        <v>594383.430597857</v>
      </c>
      <c r="Q201" s="85" t="n">
        <f aca="true">IF(Q$5=0,P201,MAX(0,(P201-Q$4)*(1+NORMINV(RAND(),INPUTS!$B$28,INPUTS!$B$29))))</f>
        <v>752791.761314205</v>
      </c>
      <c r="R201" s="85" t="n">
        <f aca="true">IF(R$5=0,Q201,MAX(0,(Q201-R$4)*(1+NORMINV(RAND(),INPUTS!$B$28,INPUTS!$B$29))))</f>
        <v>713553.496048781</v>
      </c>
      <c r="S201" s="85" t="n">
        <f aca="true">IF(S$5=0,R201,MAX(0,(R201-S$4)*(1+NORMINV(RAND(),INPUTS!$B$28,INPUTS!$B$29))))</f>
        <v>747292.293818603</v>
      </c>
      <c r="T201" s="85" t="n">
        <f aca="true">IF(T$5=0,S201,MAX(0,(S201-T$4)*(1+NORMINV(RAND(),INPUTS!$B$28,INPUTS!$B$29))))</f>
        <v>852735.422025155</v>
      </c>
      <c r="U201" s="85" t="n">
        <f aca="true">IF(U$5=0,T201,MAX(0,(T201-U$4)*(1+NORMINV(RAND(),INPUTS!$B$28,INPUTS!$B$29))))</f>
        <v>795717.855762038</v>
      </c>
      <c r="V201" s="85" t="n">
        <f aca="true">IF(V$5=0,U201,MAX(0,(U201-V$4)*(1+NORMINV(RAND(),INPUTS!$B$28,INPUTS!$B$29))))</f>
        <v>861921.275146752</v>
      </c>
      <c r="W201" s="85" t="n">
        <f aca="true">IF(W$5=0,V201,MAX(0,(V201-W$4)*(1+NORMINV(RAND(),INPUTS!$B$28,INPUTS!$B$29))))</f>
        <v>888262.911634615</v>
      </c>
      <c r="X201" s="85" t="n">
        <f aca="true">IF(X$5=0,W201,MAX(0,(W201-X$4)*(1+NORMINV(RAND(),INPUTS!$B$28,INPUTS!$B$29))))</f>
        <v>813795.718857623</v>
      </c>
      <c r="Y201" s="85" t="n">
        <f aca="true">IF(Y$5=0,X201,MAX(0,(X201-Y$4)*(1+NORMINV(RAND(),INPUTS!$B$28,INPUTS!$B$29))))</f>
        <v>951472.246941954</v>
      </c>
      <c r="Z201" s="85" t="n">
        <f aca="true">IF(Z$5=0,Y201,MAX(0,(Y201-Z$4)*(1+NORMINV(RAND(),INPUTS!$B$28,INPUTS!$B$29))))</f>
        <v>877370.935837469</v>
      </c>
      <c r="AA201" s="85" t="n">
        <f aca="true">IF(AA$5=0,Z201,MAX(0,(Z201-AA$4)*(1+NORMINV(RAND(),INPUTS!$B$28,INPUTS!$B$29))))</f>
        <v>905602.040688434</v>
      </c>
      <c r="AB201" s="85" t="n">
        <f aca="true">IF(AB$5=0,AA201,MAX(0,(AA201-AB$4)*(1+NORMINV(RAND(),INPUTS!$B$28,INPUTS!$B$29))))</f>
        <v>810067.273345234</v>
      </c>
      <c r="AC201" s="85" t="n">
        <f aca="true">IF(AC$5=0,AB201,MAX(0,(AB201-AC$4)*(1+NORMINV(RAND(),INPUTS!$B$28,INPUTS!$B$29))))</f>
        <v>858698.174104656</v>
      </c>
      <c r="AD201" s="85" t="n">
        <f aca="true">IF(AD$5=0,AC201,MAX(0,(AC201-AD$4)*(1+NORMINV(RAND(),INPUTS!$B$28,INPUTS!$B$29))))</f>
        <v>1030856.59053395</v>
      </c>
      <c r="AE201" s="85" t="n">
        <f aca="true">IF(AE$5=0,AD201,MAX(0,(AD201-AE$4)*(1+NORMINV(RAND(),INPUTS!$B$28,INPUTS!$B$29))))</f>
        <v>970172.375207485</v>
      </c>
      <c r="AF201" s="85" t="n">
        <f aca="true">IF(AF$5=0,AE201,MAX(0,(AE201-AF$4)*(1+NORMINV(RAND(),INPUTS!$B$28,INPUTS!$B$29))))</f>
        <v>974312.2289516</v>
      </c>
      <c r="AG201" s="85" t="n">
        <f aca="true">IF(AG$5=0,AF201,MAX(0,(AF201-AG$4)*(1+NORMINV(RAND(),INPUTS!$B$28,INPUTS!$B$29))))</f>
        <v>945903.348246344</v>
      </c>
      <c r="AH201" s="85" t="n">
        <f aca="true">IF(AH$5=0,AG201,MAX(0,(AG201-AH$4)*(1+NORMINV(RAND(),INPUTS!$B$28,INPUTS!$B$29))))</f>
        <v>1032658.4280574</v>
      </c>
      <c r="AI201" s="85" t="n">
        <f aca="true">IF(AI$5=0,AH201,MAX(0,(AH201-AI$4)*(1+NORMINV(RAND(),INPUTS!$B$28,INPUTS!$B$29))))</f>
        <v>1075759.14754906</v>
      </c>
      <c r="AJ201" s="85" t="n">
        <f aca="true">IF(AJ$5=0,AI201,MAX(0,(AI201-AJ$4)*(1+NORMINV(RAND(),INPUTS!$B$28,INPUTS!$B$29))))</f>
        <v>933015.095036628</v>
      </c>
      <c r="AK201" s="85" t="n">
        <f aca="true">IF(AK$5=0,AJ201,MAX(0,(AJ201-AK$4)*(1+NORMINV(RAND(),INPUTS!$B$28,INPUTS!$B$29))))</f>
        <v>876230.079243268</v>
      </c>
      <c r="AL201" s="85" t="n">
        <f aca="true">IF(AL$5=0,AK201,MAX(0,(AK201-AL$4)*(1+NORMINV(RAND(),INPUTS!$B$28,INPUTS!$B$29))))</f>
        <v>832979.736760127</v>
      </c>
      <c r="AM201" s="85" t="n">
        <f aca="true">IF(AM$5=0,AL201,MAX(0,(AL201-AM$4)*(1+NORMINV(RAND(),INPUTS!$B$28,INPUTS!$B$29))))</f>
        <v>832979.736760127</v>
      </c>
      <c r="AN201" s="85" t="n">
        <f aca="true">IF(AN$5=0,AM201,MAX(0,(AM201-AN$4)*(1+NORMINV(RAND(),INPUTS!$B$28,INPUTS!$B$29))))</f>
        <v>832979.736760127</v>
      </c>
      <c r="AO201" s="85" t="n">
        <f aca="true">IF(AO$5=0,AN201,MAX(0,(AN201-AO$4)*(1+NORMINV(RAND(),INPUTS!$B$28,INPUTS!$B$29))))</f>
        <v>832979.736760127</v>
      </c>
      <c r="AP201" s="85" t="n">
        <f aca="true">IF(AP$5=0,AO201,MAX(0,(AO201-AP$4)*(1+NORMINV(RAND(),INPUTS!$B$28,INPUTS!$B$29))))</f>
        <v>832979.736760127</v>
      </c>
    </row>
    <row r="202" customFormat="false" ht="15" hidden="false" customHeight="true" outlineLevel="0" collapsed="false">
      <c r="A202" s="83" t="n">
        <v>195</v>
      </c>
      <c r="B202" s="84" t="n">
        <f aca="false">LOOKUP(9.99E+307,C202:AP202)</f>
        <v>322733.254893263</v>
      </c>
      <c r="C202" s="85" t="n">
        <f aca="true">IF(C$5=0,INPUTS!$B$19,MAX(0,(INPUTS!$B$19-C$4)*(1+NORMINV(RAND(),INPUTS!$B$28,INPUTS!$B$29))))</f>
        <v>1337910.69160642</v>
      </c>
      <c r="D202" s="85" t="n">
        <f aca="true">IF(D$5=0,C202,MAX(0,(C202-D$4)*(1+NORMINV(RAND(),INPUTS!$B$28,INPUTS!$B$29))))</f>
        <v>1600058.46886377</v>
      </c>
      <c r="E202" s="85" t="n">
        <f aca="true">IF(E$5=0,D202,MAX(0,(D202-E$4)*(1+NORMINV(RAND(),INPUTS!$B$28,INPUTS!$B$29))))</f>
        <v>1807091.20809697</v>
      </c>
      <c r="F202" s="85" t="n">
        <f aca="true">IF(F$5=0,E202,MAX(0,(E202-F$4)*(1+NORMINV(RAND(),INPUTS!$B$28,INPUTS!$B$29))))</f>
        <v>1646779.63162943</v>
      </c>
      <c r="G202" s="85" t="n">
        <f aca="true">IF(G$5=0,F202,MAX(0,(F202-G$4)*(1+NORMINV(RAND(),INPUTS!$B$28,INPUTS!$B$29))))</f>
        <v>1750818.27676923</v>
      </c>
      <c r="H202" s="85" t="n">
        <f aca="true">IF(H$5=0,G202,MAX(0,(G202-H$4)*(1+NORMINV(RAND(),INPUTS!$B$28,INPUTS!$B$29))))</f>
        <v>1786793.94870897</v>
      </c>
      <c r="I202" s="85" t="n">
        <f aca="true">IF(I$5=0,H202,MAX(0,(H202-I$4)*(1+NORMINV(RAND(),INPUTS!$B$28,INPUTS!$B$29))))</f>
        <v>2026342.93637297</v>
      </c>
      <c r="J202" s="85" t="n">
        <f aca="true">IF(J$5=0,I202,MAX(0,(I202-J$4)*(1+NORMINV(RAND(),INPUTS!$B$28,INPUTS!$B$29))))</f>
        <v>1831829.73070085</v>
      </c>
      <c r="K202" s="85" t="n">
        <f aca="true">IF(K$5=0,J202,MAX(0,(J202-K$4)*(1+NORMINV(RAND(),INPUTS!$B$28,INPUTS!$B$29))))</f>
        <v>1846664.62012154</v>
      </c>
      <c r="L202" s="85" t="n">
        <f aca="true">IF(L$5=0,K202,MAX(0,(K202-L$4)*(1+NORMINV(RAND(),INPUTS!$B$28,INPUTS!$B$29))))</f>
        <v>1620848.70737404</v>
      </c>
      <c r="M202" s="85" t="n">
        <f aca="true">IF(M$5=0,L202,MAX(0,(L202-M$4)*(1+NORMINV(RAND(),INPUTS!$B$28,INPUTS!$B$29))))</f>
        <v>1629751.42264577</v>
      </c>
      <c r="N202" s="85" t="n">
        <f aca="true">IF(N$5=0,M202,MAX(0,(M202-N$4)*(1+NORMINV(RAND(),INPUTS!$B$28,INPUTS!$B$29))))</f>
        <v>1499459.80601289</v>
      </c>
      <c r="O202" s="85" t="n">
        <f aca="true">IF(O$5=0,N202,MAX(0,(N202-O$4)*(1+NORMINV(RAND(),INPUTS!$B$28,INPUTS!$B$29))))</f>
        <v>1631135.52879464</v>
      </c>
      <c r="P202" s="85" t="n">
        <f aca="true">IF(P$5=0,O202,MAX(0,(O202-P$4)*(1+NORMINV(RAND(),INPUTS!$B$28,INPUTS!$B$29))))</f>
        <v>1411006.03837187</v>
      </c>
      <c r="Q202" s="85" t="n">
        <f aca="true">IF(Q$5=0,P202,MAX(0,(P202-Q$4)*(1+NORMINV(RAND(),INPUTS!$B$28,INPUTS!$B$29))))</f>
        <v>1248940.30987514</v>
      </c>
      <c r="R202" s="85" t="n">
        <f aca="true">IF(R$5=0,Q202,MAX(0,(Q202-R$4)*(1+NORMINV(RAND(),INPUTS!$B$28,INPUTS!$B$29))))</f>
        <v>1103018.29536778</v>
      </c>
      <c r="S202" s="85" t="n">
        <f aca="true">IF(S$5=0,R202,MAX(0,(R202-S$4)*(1+NORMINV(RAND(),INPUTS!$B$28,INPUTS!$B$29))))</f>
        <v>1021169.14455426</v>
      </c>
      <c r="T202" s="85" t="n">
        <f aca="true">IF(T$5=0,S202,MAX(0,(S202-T$4)*(1+NORMINV(RAND(),INPUTS!$B$28,INPUTS!$B$29))))</f>
        <v>1022554.06075159</v>
      </c>
      <c r="U202" s="85" t="n">
        <f aca="true">IF(U$5=0,T202,MAX(0,(T202-U$4)*(1+NORMINV(RAND(),INPUTS!$B$28,INPUTS!$B$29))))</f>
        <v>899749.882690372</v>
      </c>
      <c r="V202" s="85" t="n">
        <f aca="true">IF(V$5=0,U202,MAX(0,(U202-V$4)*(1+NORMINV(RAND(),INPUTS!$B$28,INPUTS!$B$29))))</f>
        <v>960178.895326124</v>
      </c>
      <c r="W202" s="85" t="n">
        <f aca="true">IF(W$5=0,V202,MAX(0,(V202-W$4)*(1+NORMINV(RAND(),INPUTS!$B$28,INPUTS!$B$29))))</f>
        <v>1200646.54278785</v>
      </c>
      <c r="X202" s="85" t="n">
        <f aca="true">IF(X$5=0,W202,MAX(0,(W202-X$4)*(1+NORMINV(RAND(),INPUTS!$B$28,INPUTS!$B$29))))</f>
        <v>833091.795975717</v>
      </c>
      <c r="Y202" s="85" t="n">
        <f aca="true">IF(Y$5=0,X202,MAX(0,(X202-Y$4)*(1+NORMINV(RAND(),INPUTS!$B$28,INPUTS!$B$29))))</f>
        <v>756611.072535052</v>
      </c>
      <c r="Z202" s="85" t="n">
        <f aca="true">IF(Z$5=0,Y202,MAX(0,(Y202-Z$4)*(1+NORMINV(RAND(),INPUTS!$B$28,INPUTS!$B$29))))</f>
        <v>819378.889561707</v>
      </c>
      <c r="AA202" s="85" t="n">
        <f aca="true">IF(AA$5=0,Z202,MAX(0,(Z202-AA$4)*(1+NORMINV(RAND(),INPUTS!$B$28,INPUTS!$B$29))))</f>
        <v>786082.376887794</v>
      </c>
      <c r="AB202" s="85" t="n">
        <f aca="true">IF(AB$5=0,AA202,MAX(0,(AA202-AB$4)*(1+NORMINV(RAND(),INPUTS!$B$28,INPUTS!$B$29))))</f>
        <v>610465.216451109</v>
      </c>
      <c r="AC202" s="85" t="n">
        <f aca="true">IF(AC$5=0,AB202,MAX(0,(AB202-AC$4)*(1+NORMINV(RAND(),INPUTS!$B$28,INPUTS!$B$29))))</f>
        <v>558033.554185172</v>
      </c>
      <c r="AD202" s="85" t="n">
        <f aca="true">IF(AD$5=0,AC202,MAX(0,(AC202-AD$4)*(1+NORMINV(RAND(),INPUTS!$B$28,INPUTS!$B$29))))</f>
        <v>633121.296966266</v>
      </c>
      <c r="AE202" s="85" t="n">
        <f aca="true">IF(AE$5=0,AD202,MAX(0,(AD202-AE$4)*(1+NORMINV(RAND(),INPUTS!$B$28,INPUTS!$B$29))))</f>
        <v>622445.51340929</v>
      </c>
      <c r="AF202" s="85" t="n">
        <f aca="true">IF(AF$5=0,AE202,MAX(0,(AE202-AF$4)*(1+NORMINV(RAND(),INPUTS!$B$28,INPUTS!$B$29))))</f>
        <v>540498.107321243</v>
      </c>
      <c r="AG202" s="85" t="n">
        <f aca="true">IF(AG$5=0,AF202,MAX(0,(AF202-AG$4)*(1+NORMINV(RAND(),INPUTS!$B$28,INPUTS!$B$29))))</f>
        <v>536269.333774906</v>
      </c>
      <c r="AH202" s="85" t="n">
        <f aca="true">IF(AH$5=0,AG202,MAX(0,(AG202-AH$4)*(1+NORMINV(RAND(),INPUTS!$B$28,INPUTS!$B$29))))</f>
        <v>556098.757540873</v>
      </c>
      <c r="AI202" s="85" t="n">
        <f aca="true">IF(AI$5=0,AH202,MAX(0,(AH202-AI$4)*(1+NORMINV(RAND(),INPUTS!$B$28,INPUTS!$B$29))))</f>
        <v>460124.629602369</v>
      </c>
      <c r="AJ202" s="85" t="n">
        <f aca="true">IF(AJ$5=0,AI202,MAX(0,(AI202-AJ$4)*(1+NORMINV(RAND(),INPUTS!$B$28,INPUTS!$B$29))))</f>
        <v>434456.392619398</v>
      </c>
      <c r="AK202" s="85" t="n">
        <f aca="true">IF(AK$5=0,AJ202,MAX(0,(AJ202-AK$4)*(1+NORMINV(RAND(),INPUTS!$B$28,INPUTS!$B$29))))</f>
        <v>363320.234715203</v>
      </c>
      <c r="AL202" s="85" t="n">
        <f aca="true">IF(AL$5=0,AK202,MAX(0,(AK202-AL$4)*(1+NORMINV(RAND(),INPUTS!$B$28,INPUTS!$B$29))))</f>
        <v>322733.254893263</v>
      </c>
      <c r="AM202" s="85" t="n">
        <f aca="true">IF(AM$5=0,AL202,MAX(0,(AL202-AM$4)*(1+NORMINV(RAND(),INPUTS!$B$28,INPUTS!$B$29))))</f>
        <v>322733.254893263</v>
      </c>
      <c r="AN202" s="85" t="n">
        <f aca="true">IF(AN$5=0,AM202,MAX(0,(AM202-AN$4)*(1+NORMINV(RAND(),INPUTS!$B$28,INPUTS!$B$29))))</f>
        <v>322733.254893263</v>
      </c>
      <c r="AO202" s="85" t="n">
        <f aca="true">IF(AO$5=0,AN202,MAX(0,(AN202-AO$4)*(1+NORMINV(RAND(),INPUTS!$B$28,INPUTS!$B$29))))</f>
        <v>322733.254893263</v>
      </c>
      <c r="AP202" s="85" t="n">
        <f aca="true">IF(AP$5=0,AO202,MAX(0,(AO202-AP$4)*(1+NORMINV(RAND(),INPUTS!$B$28,INPUTS!$B$29))))</f>
        <v>322733.254893263</v>
      </c>
    </row>
    <row r="203" customFormat="false" ht="15" hidden="false" customHeight="true" outlineLevel="0" collapsed="false">
      <c r="A203" s="83" t="n">
        <v>196</v>
      </c>
      <c r="B203" s="84" t="n">
        <f aca="false">LOOKUP(9.99E+307,C203:AP203)</f>
        <v>0</v>
      </c>
      <c r="C203" s="85" t="n">
        <f aca="true">IF(C$5=0,INPUTS!$B$19,MAX(0,(INPUTS!$B$19-C$4)*(1+NORMINV(RAND(),INPUTS!$B$28,INPUTS!$B$29))))</f>
        <v>1005157.62071089</v>
      </c>
      <c r="D203" s="85" t="n">
        <f aca="true">IF(D$5=0,C203,MAX(0,(C203-D$4)*(1+NORMINV(RAND(),INPUTS!$B$28,INPUTS!$B$29))))</f>
        <v>993223.451588281</v>
      </c>
      <c r="E203" s="85" t="n">
        <f aca="true">IF(E$5=0,D203,MAX(0,(D203-E$4)*(1+NORMINV(RAND(),INPUTS!$B$28,INPUTS!$B$29))))</f>
        <v>980909.330980018</v>
      </c>
      <c r="F203" s="85" t="n">
        <f aca="true">IF(F$5=0,E203,MAX(0,(E203-F$4)*(1+NORMINV(RAND(),INPUTS!$B$28,INPUTS!$B$29))))</f>
        <v>873165.328197639</v>
      </c>
      <c r="G203" s="85" t="n">
        <f aca="true">IF(G$5=0,F203,MAX(0,(F203-G$4)*(1+NORMINV(RAND(),INPUTS!$B$28,INPUTS!$B$29))))</f>
        <v>881226.312721612</v>
      </c>
      <c r="H203" s="85" t="n">
        <f aca="true">IF(H$5=0,G203,MAX(0,(G203-H$4)*(1+NORMINV(RAND(),INPUTS!$B$28,INPUTS!$B$29))))</f>
        <v>896737.467862403</v>
      </c>
      <c r="I203" s="85" t="n">
        <f aca="true">IF(I$5=0,H203,MAX(0,(H203-I$4)*(1+NORMINV(RAND(),INPUTS!$B$28,INPUTS!$B$29))))</f>
        <v>977123.254180179</v>
      </c>
      <c r="J203" s="85" t="n">
        <f aca="true">IF(J$5=0,I203,MAX(0,(I203-J$4)*(1+NORMINV(RAND(),INPUTS!$B$28,INPUTS!$B$29))))</f>
        <v>971960.933141954</v>
      </c>
      <c r="K203" s="85" t="n">
        <f aca="true">IF(K$5=0,J203,MAX(0,(J203-K$4)*(1+NORMINV(RAND(),INPUTS!$B$28,INPUTS!$B$29))))</f>
        <v>876804.489954484</v>
      </c>
      <c r="L203" s="85" t="n">
        <f aca="true">IF(L$5=0,K203,MAX(0,(K203-L$4)*(1+NORMINV(RAND(),INPUTS!$B$28,INPUTS!$B$29))))</f>
        <v>836773.74697915</v>
      </c>
      <c r="M203" s="85" t="n">
        <f aca="true">IF(M$5=0,L203,MAX(0,(L203-M$4)*(1+NORMINV(RAND(),INPUTS!$B$28,INPUTS!$B$29))))</f>
        <v>767880.390998406</v>
      </c>
      <c r="N203" s="85" t="n">
        <f aca="true">IF(N$5=0,M203,MAX(0,(M203-N$4)*(1+NORMINV(RAND(),INPUTS!$B$28,INPUTS!$B$29))))</f>
        <v>621450.998416293</v>
      </c>
      <c r="O203" s="85" t="n">
        <f aca="true">IF(O$5=0,N203,MAX(0,(N203-O$4)*(1+NORMINV(RAND(),INPUTS!$B$28,INPUTS!$B$29))))</f>
        <v>595088.45020586</v>
      </c>
      <c r="P203" s="85" t="n">
        <f aca="true">IF(P$5=0,O203,MAX(0,(O203-P$4)*(1+NORMINV(RAND(),INPUTS!$B$28,INPUTS!$B$29))))</f>
        <v>537697.359949159</v>
      </c>
      <c r="Q203" s="85" t="n">
        <f aca="true">IF(Q$5=0,P203,MAX(0,(P203-Q$4)*(1+NORMINV(RAND(),INPUTS!$B$28,INPUTS!$B$29))))</f>
        <v>426183.125833199</v>
      </c>
      <c r="R203" s="85" t="n">
        <f aca="true">IF(R$5=0,Q203,MAX(0,(Q203-R$4)*(1+NORMINV(RAND(),INPUTS!$B$28,INPUTS!$B$29))))</f>
        <v>399860.891707218</v>
      </c>
      <c r="S203" s="85" t="n">
        <f aca="true">IF(S$5=0,R203,MAX(0,(R203-S$4)*(1+NORMINV(RAND(),INPUTS!$B$28,INPUTS!$B$29))))</f>
        <v>405454.059222601</v>
      </c>
      <c r="T203" s="85" t="n">
        <f aca="true">IF(T$5=0,S203,MAX(0,(S203-T$4)*(1+NORMINV(RAND(),INPUTS!$B$28,INPUTS!$B$29))))</f>
        <v>385863.246395851</v>
      </c>
      <c r="U203" s="85" t="n">
        <f aca="true">IF(U$5=0,T203,MAX(0,(T203-U$4)*(1+NORMINV(RAND(),INPUTS!$B$28,INPUTS!$B$29))))</f>
        <v>471562.115868586</v>
      </c>
      <c r="V203" s="85" t="n">
        <f aca="true">IF(V$5=0,U203,MAX(0,(U203-V$4)*(1+NORMINV(RAND(),INPUTS!$B$28,INPUTS!$B$29))))</f>
        <v>453225.459409617</v>
      </c>
      <c r="W203" s="85" t="n">
        <f aca="true">IF(W$5=0,V203,MAX(0,(V203-W$4)*(1+NORMINV(RAND(),INPUTS!$B$28,INPUTS!$B$29))))</f>
        <v>356343.220433211</v>
      </c>
      <c r="X203" s="85" t="n">
        <f aca="true">IF(X$5=0,W203,MAX(0,(W203-X$4)*(1+NORMINV(RAND(),INPUTS!$B$28,INPUTS!$B$29))))</f>
        <v>304833.856184875</v>
      </c>
      <c r="Y203" s="85" t="n">
        <f aca="true">IF(Y$5=0,X203,MAX(0,(X203-Y$4)*(1+NORMINV(RAND(),INPUTS!$B$28,INPUTS!$B$29))))</f>
        <v>204002.734974556</v>
      </c>
      <c r="Z203" s="85" t="n">
        <f aca="true">IF(Z$5=0,Y203,MAX(0,(Y203-Z$4)*(1+NORMINV(RAND(),INPUTS!$B$28,INPUTS!$B$29))))</f>
        <v>158901.286786977</v>
      </c>
      <c r="AA203" s="85" t="n">
        <f aca="true">IF(AA$5=0,Z203,MAX(0,(Z203-AA$4)*(1+NORMINV(RAND(),INPUTS!$B$28,INPUTS!$B$29))))</f>
        <v>99768.4576217003</v>
      </c>
      <c r="AB203" s="85" t="n">
        <f aca="true">IF(AB$5=0,AA203,MAX(0,(AA203-AB$4)*(1+NORMINV(RAND(),INPUTS!$B$28,INPUTS!$B$29))))</f>
        <v>43497.1542679179</v>
      </c>
      <c r="AC203" s="85" t="n">
        <f aca="true">IF(AC$5=0,AB203,MAX(0,(AB203-AC$4)*(1+NORMINV(RAND(),INPUTS!$B$28,INPUTS!$B$29))))</f>
        <v>0</v>
      </c>
      <c r="AD203" s="85" t="n">
        <f aca="true">IF(AD$5=0,AC203,MAX(0,(AC203-AD$4)*(1+NORMINV(RAND(),INPUTS!$B$28,INPUTS!$B$29))))</f>
        <v>0</v>
      </c>
      <c r="AE203" s="85" t="n">
        <f aca="true">IF(AE$5=0,AD203,MAX(0,(AD203-AE$4)*(1+NORMINV(RAND(),INPUTS!$B$28,INPUTS!$B$29))))</f>
        <v>0</v>
      </c>
      <c r="AF203" s="85" t="n">
        <f aca="true">IF(AF$5=0,AE203,MAX(0,(AE203-AF$4)*(1+NORMINV(RAND(),INPUTS!$B$28,INPUTS!$B$29))))</f>
        <v>0</v>
      </c>
      <c r="AG203" s="85" t="n">
        <f aca="true">IF(AG$5=0,AF203,MAX(0,(AF203-AG$4)*(1+NORMINV(RAND(),INPUTS!$B$28,INPUTS!$B$29))))</f>
        <v>0</v>
      </c>
      <c r="AH203" s="85" t="n">
        <f aca="true">IF(AH$5=0,AG203,MAX(0,(AG203-AH$4)*(1+NORMINV(RAND(),INPUTS!$B$28,INPUTS!$B$29))))</f>
        <v>0</v>
      </c>
      <c r="AI203" s="85" t="n">
        <f aca="true">IF(AI$5=0,AH203,MAX(0,(AH203-AI$4)*(1+NORMINV(RAND(),INPUTS!$B$28,INPUTS!$B$29))))</f>
        <v>0</v>
      </c>
      <c r="AJ203" s="85" t="n">
        <f aca="true">IF(AJ$5=0,AI203,MAX(0,(AI203-AJ$4)*(1+NORMINV(RAND(),INPUTS!$B$28,INPUTS!$B$29))))</f>
        <v>0</v>
      </c>
      <c r="AK203" s="85" t="n">
        <f aca="true">IF(AK$5=0,AJ203,MAX(0,(AJ203-AK$4)*(1+NORMINV(RAND(),INPUTS!$B$28,INPUTS!$B$29))))</f>
        <v>0</v>
      </c>
      <c r="AL203" s="85" t="n">
        <f aca="true">IF(AL$5=0,AK203,MAX(0,(AK203-AL$4)*(1+NORMINV(RAND(),INPUTS!$B$28,INPUTS!$B$29))))</f>
        <v>0</v>
      </c>
      <c r="AM203" s="85" t="n">
        <f aca="true">IF(AM$5=0,AL203,MAX(0,(AL203-AM$4)*(1+NORMINV(RAND(),INPUTS!$B$28,INPUTS!$B$29))))</f>
        <v>0</v>
      </c>
      <c r="AN203" s="85" t="n">
        <f aca="true">IF(AN$5=0,AM203,MAX(0,(AM203-AN$4)*(1+NORMINV(RAND(),INPUTS!$B$28,INPUTS!$B$29))))</f>
        <v>0</v>
      </c>
      <c r="AO203" s="85" t="n">
        <f aca="true">IF(AO$5=0,AN203,MAX(0,(AN203-AO$4)*(1+NORMINV(RAND(),INPUTS!$B$28,INPUTS!$B$29))))</f>
        <v>0</v>
      </c>
      <c r="AP203" s="85" t="n">
        <f aca="true">IF(AP$5=0,AO203,MAX(0,(AO203-AP$4)*(1+NORMINV(RAND(),INPUTS!$B$28,INPUTS!$B$29))))</f>
        <v>0</v>
      </c>
    </row>
    <row r="204" customFormat="false" ht="15" hidden="false" customHeight="true" outlineLevel="0" collapsed="false">
      <c r="A204" s="83" t="n">
        <v>197</v>
      </c>
      <c r="B204" s="84" t="n">
        <f aca="false">LOOKUP(9.99E+307,C204:AP204)</f>
        <v>0</v>
      </c>
      <c r="C204" s="85" t="n">
        <f aca="true">IF(C$5=0,INPUTS!$B$19,MAX(0,(INPUTS!$B$19-C$4)*(1+NORMINV(RAND(),INPUTS!$B$28,INPUTS!$B$29))))</f>
        <v>1208732.57331641</v>
      </c>
      <c r="D204" s="85" t="n">
        <f aca="true">IF(D$5=0,C204,MAX(0,(C204-D$4)*(1+NORMINV(RAND(),INPUTS!$B$28,INPUTS!$B$29))))</f>
        <v>1000997.26775339</v>
      </c>
      <c r="E204" s="85" t="n">
        <f aca="true">IF(E$5=0,D204,MAX(0,(D204-E$4)*(1+NORMINV(RAND(),INPUTS!$B$28,INPUTS!$B$29))))</f>
        <v>955304.951473915</v>
      </c>
      <c r="F204" s="85" t="n">
        <f aca="true">IF(F$5=0,E204,MAX(0,(E204-F$4)*(1+NORMINV(RAND(),INPUTS!$B$28,INPUTS!$B$29))))</f>
        <v>886841.201670262</v>
      </c>
      <c r="G204" s="85" t="n">
        <f aca="true">IF(G$5=0,F204,MAX(0,(F204-G$4)*(1+NORMINV(RAND(),INPUTS!$B$28,INPUTS!$B$29))))</f>
        <v>975108.742590706</v>
      </c>
      <c r="H204" s="85" t="n">
        <f aca="true">IF(H$5=0,G204,MAX(0,(G204-H$4)*(1+NORMINV(RAND(),INPUTS!$B$28,INPUTS!$B$29))))</f>
        <v>912055.174997586</v>
      </c>
      <c r="I204" s="85" t="n">
        <f aca="true">IF(I$5=0,H204,MAX(0,(H204-I$4)*(1+NORMINV(RAND(),INPUTS!$B$28,INPUTS!$B$29))))</f>
        <v>827023.478731694</v>
      </c>
      <c r="J204" s="85" t="n">
        <f aca="true">IF(J$5=0,I204,MAX(0,(I204-J$4)*(1+NORMINV(RAND(),INPUTS!$B$28,INPUTS!$B$29))))</f>
        <v>776884.93175372</v>
      </c>
      <c r="K204" s="85" t="n">
        <f aca="true">IF(K$5=0,J204,MAX(0,(J204-K$4)*(1+NORMINV(RAND(),INPUTS!$B$28,INPUTS!$B$29))))</f>
        <v>638344.094363762</v>
      </c>
      <c r="L204" s="85" t="n">
        <f aca="true">IF(L$5=0,K204,MAX(0,(K204-L$4)*(1+NORMINV(RAND(),INPUTS!$B$28,INPUTS!$B$29))))</f>
        <v>549925.096040033</v>
      </c>
      <c r="M204" s="85" t="n">
        <f aca="true">IF(M$5=0,L204,MAX(0,(L204-M$4)*(1+NORMINV(RAND(),INPUTS!$B$28,INPUTS!$B$29))))</f>
        <v>504793.481213272</v>
      </c>
      <c r="N204" s="85" t="n">
        <f aca="true">IF(N$5=0,M204,MAX(0,(M204-N$4)*(1+NORMINV(RAND(),INPUTS!$B$28,INPUTS!$B$29))))</f>
        <v>494861.907921508</v>
      </c>
      <c r="O204" s="85" t="n">
        <f aca="true">IF(O$5=0,N204,MAX(0,(N204-O$4)*(1+NORMINV(RAND(),INPUTS!$B$28,INPUTS!$B$29))))</f>
        <v>510111.176292783</v>
      </c>
      <c r="P204" s="85" t="n">
        <f aca="true">IF(P$5=0,O204,MAX(0,(O204-P$4)*(1+NORMINV(RAND(),INPUTS!$B$28,INPUTS!$B$29))))</f>
        <v>505006.552233311</v>
      </c>
      <c r="Q204" s="85" t="n">
        <f aca="true">IF(Q$5=0,P204,MAX(0,(P204-Q$4)*(1+NORMINV(RAND(),INPUTS!$B$28,INPUTS!$B$29))))</f>
        <v>466681.061430987</v>
      </c>
      <c r="R204" s="85" t="n">
        <f aca="true">IF(R$5=0,Q204,MAX(0,(Q204-R$4)*(1+NORMINV(RAND(),INPUTS!$B$28,INPUTS!$B$29))))</f>
        <v>503569.778960263</v>
      </c>
      <c r="S204" s="85" t="n">
        <f aca="true">IF(S$5=0,R204,MAX(0,(R204-S$4)*(1+NORMINV(RAND(),INPUTS!$B$28,INPUTS!$B$29))))</f>
        <v>495474.442370772</v>
      </c>
      <c r="T204" s="85" t="n">
        <f aca="true">IF(T$5=0,S204,MAX(0,(S204-T$4)*(1+NORMINV(RAND(),INPUTS!$B$28,INPUTS!$B$29))))</f>
        <v>575810.089833073</v>
      </c>
      <c r="U204" s="85" t="n">
        <f aca="true">IF(U$5=0,T204,MAX(0,(T204-U$4)*(1+NORMINV(RAND(),INPUTS!$B$28,INPUTS!$B$29))))</f>
        <v>567653.839166022</v>
      </c>
      <c r="V204" s="85" t="n">
        <f aca="true">IF(V$5=0,U204,MAX(0,(U204-V$4)*(1+NORMINV(RAND(),INPUTS!$B$28,INPUTS!$B$29))))</f>
        <v>521351.294739078</v>
      </c>
      <c r="W204" s="85" t="n">
        <f aca="true">IF(W$5=0,V204,MAX(0,(V204-W$4)*(1+NORMINV(RAND(),INPUTS!$B$28,INPUTS!$B$29))))</f>
        <v>480520.068434328</v>
      </c>
      <c r="X204" s="85" t="n">
        <f aca="true">IF(X$5=0,W204,MAX(0,(W204-X$4)*(1+NORMINV(RAND(),INPUTS!$B$28,INPUTS!$B$29))))</f>
        <v>519866.743215723</v>
      </c>
      <c r="Y204" s="85" t="n">
        <f aca="true">IF(Y$5=0,X204,MAX(0,(X204-Y$4)*(1+NORMINV(RAND(),INPUTS!$B$28,INPUTS!$B$29))))</f>
        <v>516302.2190474</v>
      </c>
      <c r="Z204" s="85" t="n">
        <f aca="true">IF(Z$5=0,Y204,MAX(0,(Y204-Z$4)*(1+NORMINV(RAND(),INPUTS!$B$28,INPUTS!$B$29))))</f>
        <v>522814.660387057</v>
      </c>
      <c r="AA204" s="85" t="n">
        <f aca="true">IF(AA$5=0,Z204,MAX(0,(Z204-AA$4)*(1+NORMINV(RAND(),INPUTS!$B$28,INPUTS!$B$29))))</f>
        <v>550189.774574099</v>
      </c>
      <c r="AB204" s="85" t="n">
        <f aca="true">IF(AB$5=0,AA204,MAX(0,(AA204-AB$4)*(1+NORMINV(RAND(),INPUTS!$B$28,INPUTS!$B$29))))</f>
        <v>544719.410619949</v>
      </c>
      <c r="AC204" s="85" t="n">
        <f aca="true">IF(AC$5=0,AB204,MAX(0,(AB204-AC$4)*(1+NORMINV(RAND(),INPUTS!$B$28,INPUTS!$B$29))))</f>
        <v>463637.603877925</v>
      </c>
      <c r="AD204" s="85" t="n">
        <f aca="true">IF(AD$5=0,AC204,MAX(0,(AC204-AD$4)*(1+NORMINV(RAND(),INPUTS!$B$28,INPUTS!$B$29))))</f>
        <v>414043.641684264</v>
      </c>
      <c r="AE204" s="85" t="n">
        <f aca="true">IF(AE$5=0,AD204,MAX(0,(AD204-AE$4)*(1+NORMINV(RAND(),INPUTS!$B$28,INPUTS!$B$29))))</f>
        <v>324462.496074849</v>
      </c>
      <c r="AF204" s="85" t="n">
        <f aca="true">IF(AF$5=0,AE204,MAX(0,(AE204-AF$4)*(1+NORMINV(RAND(),INPUTS!$B$28,INPUTS!$B$29))))</f>
        <v>234714.517534161</v>
      </c>
      <c r="AG204" s="85" t="n">
        <f aca="true">IF(AG$5=0,AF204,MAX(0,(AF204-AG$4)*(1+NORMINV(RAND(),INPUTS!$B$28,INPUTS!$B$29))))</f>
        <v>162334.390880822</v>
      </c>
      <c r="AH204" s="85" t="n">
        <f aca="true">IF(AH$5=0,AG204,MAX(0,(AG204-AH$4)*(1+NORMINV(RAND(),INPUTS!$B$28,INPUTS!$B$29))))</f>
        <v>77889.2522083736</v>
      </c>
      <c r="AI204" s="85" t="n">
        <f aca="true">IF(AI$5=0,AH204,MAX(0,(AH204-AI$4)*(1+NORMINV(RAND(),INPUTS!$B$28,INPUTS!$B$29))))</f>
        <v>4165.96740550222</v>
      </c>
      <c r="AJ204" s="85" t="n">
        <f aca="true">IF(AJ$5=0,AI204,MAX(0,(AI204-AJ$4)*(1+NORMINV(RAND(),INPUTS!$B$28,INPUTS!$B$29))))</f>
        <v>0</v>
      </c>
      <c r="AK204" s="85" t="n">
        <f aca="true">IF(AK$5=0,AJ204,MAX(0,(AJ204-AK$4)*(1+NORMINV(RAND(),INPUTS!$B$28,INPUTS!$B$29))))</f>
        <v>0</v>
      </c>
      <c r="AL204" s="85" t="n">
        <f aca="true">IF(AL$5=0,AK204,MAX(0,(AK204-AL$4)*(1+NORMINV(RAND(),INPUTS!$B$28,INPUTS!$B$29))))</f>
        <v>0</v>
      </c>
      <c r="AM204" s="85" t="n">
        <f aca="true">IF(AM$5=0,AL204,MAX(0,(AL204-AM$4)*(1+NORMINV(RAND(),INPUTS!$B$28,INPUTS!$B$29))))</f>
        <v>0</v>
      </c>
      <c r="AN204" s="85" t="n">
        <f aca="true">IF(AN$5=0,AM204,MAX(0,(AM204-AN$4)*(1+NORMINV(RAND(),INPUTS!$B$28,INPUTS!$B$29))))</f>
        <v>0</v>
      </c>
      <c r="AO204" s="85" t="n">
        <f aca="true">IF(AO$5=0,AN204,MAX(0,(AN204-AO$4)*(1+NORMINV(RAND(),INPUTS!$B$28,INPUTS!$B$29))))</f>
        <v>0</v>
      </c>
      <c r="AP204" s="85" t="n">
        <f aca="true">IF(AP$5=0,AO204,MAX(0,(AO204-AP$4)*(1+NORMINV(RAND(),INPUTS!$B$28,INPUTS!$B$29))))</f>
        <v>0</v>
      </c>
    </row>
    <row r="205" customFormat="false" ht="15" hidden="false" customHeight="true" outlineLevel="0" collapsed="false">
      <c r="A205" s="83" t="n">
        <v>198</v>
      </c>
      <c r="B205" s="84" t="n">
        <f aca="false">LOOKUP(9.99E+307,C205:AP205)</f>
        <v>642352.169911344</v>
      </c>
      <c r="C205" s="85" t="n">
        <f aca="true">IF(C$5=0,INPUTS!$B$19,MAX(0,(INPUTS!$B$19-C$4)*(1+NORMINV(RAND(),INPUTS!$B$28,INPUTS!$B$29))))</f>
        <v>1253940.01617748</v>
      </c>
      <c r="D205" s="85" t="n">
        <f aca="true">IF(D$5=0,C205,MAX(0,(C205-D$4)*(1+NORMINV(RAND(),INPUTS!$B$28,INPUTS!$B$29))))</f>
        <v>1304447.48279739</v>
      </c>
      <c r="E205" s="85" t="n">
        <f aca="true">IF(E$5=0,D205,MAX(0,(D205-E$4)*(1+NORMINV(RAND(),INPUTS!$B$28,INPUTS!$B$29))))</f>
        <v>1595271.96831874</v>
      </c>
      <c r="F205" s="85" t="n">
        <f aca="true">IF(F$5=0,E205,MAX(0,(E205-F$4)*(1+NORMINV(RAND(),INPUTS!$B$28,INPUTS!$B$29))))</f>
        <v>1606583.07551987</v>
      </c>
      <c r="G205" s="85" t="n">
        <f aca="true">IF(G$5=0,F205,MAX(0,(F205-G$4)*(1+NORMINV(RAND(),INPUTS!$B$28,INPUTS!$B$29))))</f>
        <v>1623322.21919306</v>
      </c>
      <c r="H205" s="85" t="n">
        <f aca="true">IF(H$5=0,G205,MAX(0,(G205-H$4)*(1+NORMINV(RAND(),INPUTS!$B$28,INPUTS!$B$29))))</f>
        <v>1542591.41786406</v>
      </c>
      <c r="I205" s="85" t="n">
        <f aca="true">IF(I$5=0,H205,MAX(0,(H205-I$4)*(1+NORMINV(RAND(),INPUTS!$B$28,INPUTS!$B$29))))</f>
        <v>1131801.34510387</v>
      </c>
      <c r="J205" s="85" t="n">
        <f aca="true">IF(J$5=0,I205,MAX(0,(I205-J$4)*(1+NORMINV(RAND(),INPUTS!$B$28,INPUTS!$B$29))))</f>
        <v>1043302.52887695</v>
      </c>
      <c r="K205" s="85" t="n">
        <f aca="true">IF(K$5=0,J205,MAX(0,(J205-K$4)*(1+NORMINV(RAND(),INPUTS!$B$28,INPUTS!$B$29))))</f>
        <v>1032428.2628686</v>
      </c>
      <c r="L205" s="85" t="n">
        <f aca="true">IF(L$5=0,K205,MAX(0,(K205-L$4)*(1+NORMINV(RAND(),INPUTS!$B$28,INPUTS!$B$29))))</f>
        <v>1168262.31435299</v>
      </c>
      <c r="M205" s="85" t="n">
        <f aca="true">IF(M$5=0,L205,MAX(0,(L205-M$4)*(1+NORMINV(RAND(),INPUTS!$B$28,INPUTS!$B$29))))</f>
        <v>1116252.90796174</v>
      </c>
      <c r="N205" s="85" t="n">
        <f aca="true">IF(N$5=0,M205,MAX(0,(M205-N$4)*(1+NORMINV(RAND(),INPUTS!$B$28,INPUTS!$B$29))))</f>
        <v>918312.564189422</v>
      </c>
      <c r="O205" s="85" t="n">
        <f aca="true">IF(O$5=0,N205,MAX(0,(N205-O$4)*(1+NORMINV(RAND(),INPUTS!$B$28,INPUTS!$B$29))))</f>
        <v>945672.016241847</v>
      </c>
      <c r="P205" s="85" t="n">
        <f aca="true">IF(P$5=0,O205,MAX(0,(O205-P$4)*(1+NORMINV(RAND(),INPUTS!$B$28,INPUTS!$B$29))))</f>
        <v>965981.499934194</v>
      </c>
      <c r="Q205" s="85" t="n">
        <f aca="true">IF(Q$5=0,P205,MAX(0,(P205-Q$4)*(1+NORMINV(RAND(),INPUTS!$B$28,INPUTS!$B$29))))</f>
        <v>919305.826133369</v>
      </c>
      <c r="R205" s="85" t="n">
        <f aca="true">IF(R$5=0,Q205,MAX(0,(Q205-R$4)*(1+NORMINV(RAND(),INPUTS!$B$28,INPUTS!$B$29))))</f>
        <v>791558.302542167</v>
      </c>
      <c r="S205" s="85" t="n">
        <f aca="true">IF(S$5=0,R205,MAX(0,(R205-S$4)*(1+NORMINV(RAND(),INPUTS!$B$28,INPUTS!$B$29))))</f>
        <v>789981.873807981</v>
      </c>
      <c r="T205" s="85" t="n">
        <f aca="true">IF(T$5=0,S205,MAX(0,(S205-T$4)*(1+NORMINV(RAND(),INPUTS!$B$28,INPUTS!$B$29))))</f>
        <v>936656.562226315</v>
      </c>
      <c r="U205" s="85" t="n">
        <f aca="true">IF(U$5=0,T205,MAX(0,(T205-U$4)*(1+NORMINV(RAND(),INPUTS!$B$28,INPUTS!$B$29))))</f>
        <v>836112.700086056</v>
      </c>
      <c r="V205" s="85" t="n">
        <f aca="true">IF(V$5=0,U205,MAX(0,(U205-V$4)*(1+NORMINV(RAND(),INPUTS!$B$28,INPUTS!$B$29))))</f>
        <v>868504.384568213</v>
      </c>
      <c r="W205" s="85" t="n">
        <f aca="true">IF(W$5=0,V205,MAX(0,(V205-W$4)*(1+NORMINV(RAND(),INPUTS!$B$28,INPUTS!$B$29))))</f>
        <v>884891.277059483</v>
      </c>
      <c r="X205" s="85" t="n">
        <f aca="true">IF(X$5=0,W205,MAX(0,(W205-X$4)*(1+NORMINV(RAND(),INPUTS!$B$28,INPUTS!$B$29))))</f>
        <v>1042415.63817705</v>
      </c>
      <c r="Y205" s="85" t="n">
        <f aca="true">IF(Y$5=0,X205,MAX(0,(X205-Y$4)*(1+NORMINV(RAND(),INPUTS!$B$28,INPUTS!$B$29))))</f>
        <v>1163568.32092602</v>
      </c>
      <c r="Z205" s="85" t="n">
        <f aca="true">IF(Z$5=0,Y205,MAX(0,(Y205-Z$4)*(1+NORMINV(RAND(),INPUTS!$B$28,INPUTS!$B$29))))</f>
        <v>1159065.42483101</v>
      </c>
      <c r="AA205" s="85" t="n">
        <f aca="true">IF(AA$5=0,Z205,MAX(0,(Z205-AA$4)*(1+NORMINV(RAND(),INPUTS!$B$28,INPUTS!$B$29))))</f>
        <v>1069406.72693562</v>
      </c>
      <c r="AB205" s="85" t="n">
        <f aca="true">IF(AB$5=0,AA205,MAX(0,(AA205-AB$4)*(1+NORMINV(RAND(),INPUTS!$B$28,INPUTS!$B$29))))</f>
        <v>1218730.33848257</v>
      </c>
      <c r="AC205" s="85" t="n">
        <f aca="true">IF(AC$5=0,AB205,MAX(0,(AB205-AC$4)*(1+NORMINV(RAND(),INPUTS!$B$28,INPUTS!$B$29))))</f>
        <v>1045542.4538371</v>
      </c>
      <c r="AD205" s="85" t="n">
        <f aca="true">IF(AD$5=0,AC205,MAX(0,(AC205-AD$4)*(1+NORMINV(RAND(),INPUTS!$B$28,INPUTS!$B$29))))</f>
        <v>1055503.23219335</v>
      </c>
      <c r="AE205" s="85" t="n">
        <f aca="true">IF(AE$5=0,AD205,MAX(0,(AD205-AE$4)*(1+NORMINV(RAND(),INPUTS!$B$28,INPUTS!$B$29))))</f>
        <v>1056732.36602209</v>
      </c>
      <c r="AF205" s="85" t="n">
        <f aca="true">IF(AF$5=0,AE205,MAX(0,(AE205-AF$4)*(1+NORMINV(RAND(),INPUTS!$B$28,INPUTS!$B$29))))</f>
        <v>1092995.25930467</v>
      </c>
      <c r="AG205" s="85" t="n">
        <f aca="true">IF(AG$5=0,AF205,MAX(0,(AF205-AG$4)*(1+NORMINV(RAND(),INPUTS!$B$28,INPUTS!$B$29))))</f>
        <v>956959.759444296</v>
      </c>
      <c r="AH205" s="85" t="n">
        <f aca="true">IF(AH$5=0,AG205,MAX(0,(AG205-AH$4)*(1+NORMINV(RAND(),INPUTS!$B$28,INPUTS!$B$29))))</f>
        <v>930373.924538882</v>
      </c>
      <c r="AI205" s="85" t="n">
        <f aca="true">IF(AI$5=0,AH205,MAX(0,(AH205-AI$4)*(1+NORMINV(RAND(),INPUTS!$B$28,INPUTS!$B$29))))</f>
        <v>820451.81262361</v>
      </c>
      <c r="AJ205" s="85" t="n">
        <f aca="true">IF(AJ$5=0,AI205,MAX(0,(AI205-AJ$4)*(1+NORMINV(RAND(),INPUTS!$B$28,INPUTS!$B$29))))</f>
        <v>749245.493649462</v>
      </c>
      <c r="AK205" s="85" t="n">
        <f aca="true">IF(AK$5=0,AJ205,MAX(0,(AJ205-AK$4)*(1+NORMINV(RAND(),INPUTS!$B$28,INPUTS!$B$29))))</f>
        <v>703363.506787438</v>
      </c>
      <c r="AL205" s="85" t="n">
        <f aca="true">IF(AL$5=0,AK205,MAX(0,(AK205-AL$4)*(1+NORMINV(RAND(),INPUTS!$B$28,INPUTS!$B$29))))</f>
        <v>642352.169911344</v>
      </c>
      <c r="AM205" s="85" t="n">
        <f aca="true">IF(AM$5=0,AL205,MAX(0,(AL205-AM$4)*(1+NORMINV(RAND(),INPUTS!$B$28,INPUTS!$B$29))))</f>
        <v>642352.169911344</v>
      </c>
      <c r="AN205" s="85" t="n">
        <f aca="true">IF(AN$5=0,AM205,MAX(0,(AM205-AN$4)*(1+NORMINV(RAND(),INPUTS!$B$28,INPUTS!$B$29))))</f>
        <v>642352.169911344</v>
      </c>
      <c r="AO205" s="85" t="n">
        <f aca="true">IF(AO$5=0,AN205,MAX(0,(AN205-AO$4)*(1+NORMINV(RAND(),INPUTS!$B$28,INPUTS!$B$29))))</f>
        <v>642352.169911344</v>
      </c>
      <c r="AP205" s="85" t="n">
        <f aca="true">IF(AP$5=0,AO205,MAX(0,(AO205-AP$4)*(1+NORMINV(RAND(),INPUTS!$B$28,INPUTS!$B$29))))</f>
        <v>642352.169911344</v>
      </c>
    </row>
    <row r="206" customFormat="false" ht="15" hidden="false" customHeight="true" outlineLevel="0" collapsed="false">
      <c r="A206" s="83" t="n">
        <v>199</v>
      </c>
      <c r="B206" s="84" t="n">
        <f aca="false">LOOKUP(9.99E+307,C206:AP206)</f>
        <v>0</v>
      </c>
      <c r="C206" s="85" t="n">
        <f aca="true">IF(C$5=0,INPUTS!$B$19,MAX(0,(INPUTS!$B$19-C$4)*(1+NORMINV(RAND(),INPUTS!$B$28,INPUTS!$B$29))))</f>
        <v>1157585.84088318</v>
      </c>
      <c r="D206" s="85" t="n">
        <f aca="true">IF(D$5=0,C206,MAX(0,(C206-D$4)*(1+NORMINV(RAND(),INPUTS!$B$28,INPUTS!$B$29))))</f>
        <v>1148225.79240302</v>
      </c>
      <c r="E206" s="85" t="n">
        <f aca="true">IF(E$5=0,D206,MAX(0,(D206-E$4)*(1+NORMINV(RAND(),INPUTS!$B$28,INPUTS!$B$29))))</f>
        <v>1018316.85488748</v>
      </c>
      <c r="F206" s="85" t="n">
        <f aca="true">IF(F$5=0,E206,MAX(0,(E206-F$4)*(1+NORMINV(RAND(),INPUTS!$B$28,INPUTS!$B$29))))</f>
        <v>1008405.29202191</v>
      </c>
      <c r="G206" s="85" t="n">
        <f aca="true">IF(G$5=0,F206,MAX(0,(F206-G$4)*(1+NORMINV(RAND(),INPUTS!$B$28,INPUTS!$B$29))))</f>
        <v>907643.514341414</v>
      </c>
      <c r="H206" s="85" t="n">
        <f aca="true">IF(H$5=0,G206,MAX(0,(G206-H$4)*(1+NORMINV(RAND(),INPUTS!$B$28,INPUTS!$B$29))))</f>
        <v>832281.87374494</v>
      </c>
      <c r="I206" s="85" t="n">
        <f aca="true">IF(I$5=0,H206,MAX(0,(H206-I$4)*(1+NORMINV(RAND(),INPUTS!$B$28,INPUTS!$B$29))))</f>
        <v>539156.976627382</v>
      </c>
      <c r="J206" s="85" t="n">
        <f aca="true">IF(J$5=0,I206,MAX(0,(I206-J$4)*(1+NORMINV(RAND(),INPUTS!$B$28,INPUTS!$B$29))))</f>
        <v>499142.486786664</v>
      </c>
      <c r="K206" s="85" t="n">
        <f aca="true">IF(K$5=0,J206,MAX(0,(J206-K$4)*(1+NORMINV(RAND(),INPUTS!$B$28,INPUTS!$B$29))))</f>
        <v>487084.687466468</v>
      </c>
      <c r="L206" s="85" t="n">
        <f aca="true">IF(L$5=0,K206,MAX(0,(K206-L$4)*(1+NORMINV(RAND(),INPUTS!$B$28,INPUTS!$B$29))))</f>
        <v>459133.799423091</v>
      </c>
      <c r="M206" s="85" t="n">
        <f aca="true">IF(M$5=0,L206,MAX(0,(L206-M$4)*(1+NORMINV(RAND(),INPUTS!$B$28,INPUTS!$B$29))))</f>
        <v>368315.154071996</v>
      </c>
      <c r="N206" s="85" t="n">
        <f aca="true">IF(N$5=0,M206,MAX(0,(M206-N$4)*(1+NORMINV(RAND(),INPUTS!$B$28,INPUTS!$B$29))))</f>
        <v>266965.330377576</v>
      </c>
      <c r="O206" s="85" t="n">
        <f aca="true">IF(O$5=0,N206,MAX(0,(N206-O$4)*(1+NORMINV(RAND(),INPUTS!$B$28,INPUTS!$B$29))))</f>
        <v>230743.399532594</v>
      </c>
      <c r="P206" s="85" t="n">
        <f aca="true">IF(P$5=0,O206,MAX(0,(O206-P$4)*(1+NORMINV(RAND(),INPUTS!$B$28,INPUTS!$B$29))))</f>
        <v>223132.58328495</v>
      </c>
      <c r="Q206" s="85" t="n">
        <f aca="true">IF(Q$5=0,P206,MAX(0,(P206-Q$4)*(1+NORMINV(RAND(),INPUTS!$B$28,INPUTS!$B$29))))</f>
        <v>177772.817315843</v>
      </c>
      <c r="R206" s="85" t="n">
        <f aca="true">IF(R$5=0,Q206,MAX(0,(Q206-R$4)*(1+NORMINV(RAND(),INPUTS!$B$28,INPUTS!$B$29))))</f>
        <v>131539.305691572</v>
      </c>
      <c r="S206" s="85" t="n">
        <f aca="true">IF(S$5=0,R206,MAX(0,(R206-S$4)*(1+NORMINV(RAND(),INPUTS!$B$28,INPUTS!$B$29))))</f>
        <v>72958.3083874493</v>
      </c>
      <c r="T206" s="85" t="n">
        <f aca="true">IF(T$5=0,S206,MAX(0,(S206-T$4)*(1+NORMINV(RAND(),INPUTS!$B$28,INPUTS!$B$29))))</f>
        <v>23265.0415481521</v>
      </c>
      <c r="U206" s="85" t="n">
        <f aca="true">IF(U$5=0,T206,MAX(0,(T206-U$4)*(1+NORMINV(RAND(),INPUTS!$B$28,INPUTS!$B$29))))</f>
        <v>0</v>
      </c>
      <c r="V206" s="85" t="n">
        <f aca="true">IF(V$5=0,U206,MAX(0,(U206-V$4)*(1+NORMINV(RAND(),INPUTS!$B$28,INPUTS!$B$29))))</f>
        <v>0</v>
      </c>
      <c r="W206" s="85" t="n">
        <f aca="true">IF(W$5=0,V206,MAX(0,(V206-W$4)*(1+NORMINV(RAND(),INPUTS!$B$28,INPUTS!$B$29))))</f>
        <v>0</v>
      </c>
      <c r="X206" s="85" t="n">
        <f aca="true">IF(X$5=0,W206,MAX(0,(W206-X$4)*(1+NORMINV(RAND(),INPUTS!$B$28,INPUTS!$B$29))))</f>
        <v>0</v>
      </c>
      <c r="Y206" s="85" t="n">
        <f aca="true">IF(Y$5=0,X206,MAX(0,(X206-Y$4)*(1+NORMINV(RAND(),INPUTS!$B$28,INPUTS!$B$29))))</f>
        <v>0</v>
      </c>
      <c r="Z206" s="85" t="n">
        <f aca="true">IF(Z$5=0,Y206,MAX(0,(Y206-Z$4)*(1+NORMINV(RAND(),INPUTS!$B$28,INPUTS!$B$29))))</f>
        <v>0</v>
      </c>
      <c r="AA206" s="85" t="n">
        <f aca="true">IF(AA$5=0,Z206,MAX(0,(Z206-AA$4)*(1+NORMINV(RAND(),INPUTS!$B$28,INPUTS!$B$29))))</f>
        <v>0</v>
      </c>
      <c r="AB206" s="85" t="n">
        <f aca="true">IF(AB$5=0,AA206,MAX(0,(AA206-AB$4)*(1+NORMINV(RAND(),INPUTS!$B$28,INPUTS!$B$29))))</f>
        <v>0</v>
      </c>
      <c r="AC206" s="85" t="n">
        <f aca="true">IF(AC$5=0,AB206,MAX(0,(AB206-AC$4)*(1+NORMINV(RAND(),INPUTS!$B$28,INPUTS!$B$29))))</f>
        <v>0</v>
      </c>
      <c r="AD206" s="85" t="n">
        <f aca="true">IF(AD$5=0,AC206,MAX(0,(AC206-AD$4)*(1+NORMINV(RAND(),INPUTS!$B$28,INPUTS!$B$29))))</f>
        <v>0</v>
      </c>
      <c r="AE206" s="85" t="n">
        <f aca="true">IF(AE$5=0,AD206,MAX(0,(AD206-AE$4)*(1+NORMINV(RAND(),INPUTS!$B$28,INPUTS!$B$29))))</f>
        <v>0</v>
      </c>
      <c r="AF206" s="85" t="n">
        <f aca="true">IF(AF$5=0,AE206,MAX(0,(AE206-AF$4)*(1+NORMINV(RAND(),INPUTS!$B$28,INPUTS!$B$29))))</f>
        <v>0</v>
      </c>
      <c r="AG206" s="85" t="n">
        <f aca="true">IF(AG$5=0,AF206,MAX(0,(AF206-AG$4)*(1+NORMINV(RAND(),INPUTS!$B$28,INPUTS!$B$29))))</f>
        <v>0</v>
      </c>
      <c r="AH206" s="85" t="n">
        <f aca="true">IF(AH$5=0,AG206,MAX(0,(AG206-AH$4)*(1+NORMINV(RAND(),INPUTS!$B$28,INPUTS!$B$29))))</f>
        <v>0</v>
      </c>
      <c r="AI206" s="85" t="n">
        <f aca="true">IF(AI$5=0,AH206,MAX(0,(AH206-AI$4)*(1+NORMINV(RAND(),INPUTS!$B$28,INPUTS!$B$29))))</f>
        <v>0</v>
      </c>
      <c r="AJ206" s="85" t="n">
        <f aca="true">IF(AJ$5=0,AI206,MAX(0,(AI206-AJ$4)*(1+NORMINV(RAND(),INPUTS!$B$28,INPUTS!$B$29))))</f>
        <v>0</v>
      </c>
      <c r="AK206" s="85" t="n">
        <f aca="true">IF(AK$5=0,AJ206,MAX(0,(AJ206-AK$4)*(1+NORMINV(RAND(),INPUTS!$B$28,INPUTS!$B$29))))</f>
        <v>0</v>
      </c>
      <c r="AL206" s="85" t="n">
        <f aca="true">IF(AL$5=0,AK206,MAX(0,(AK206-AL$4)*(1+NORMINV(RAND(),INPUTS!$B$28,INPUTS!$B$29))))</f>
        <v>0</v>
      </c>
      <c r="AM206" s="85" t="n">
        <f aca="true">IF(AM$5=0,AL206,MAX(0,(AL206-AM$4)*(1+NORMINV(RAND(),INPUTS!$B$28,INPUTS!$B$29))))</f>
        <v>0</v>
      </c>
      <c r="AN206" s="85" t="n">
        <f aca="true">IF(AN$5=0,AM206,MAX(0,(AM206-AN$4)*(1+NORMINV(RAND(),INPUTS!$B$28,INPUTS!$B$29))))</f>
        <v>0</v>
      </c>
      <c r="AO206" s="85" t="n">
        <f aca="true">IF(AO$5=0,AN206,MAX(0,(AN206-AO$4)*(1+NORMINV(RAND(),INPUTS!$B$28,INPUTS!$B$29))))</f>
        <v>0</v>
      </c>
      <c r="AP206" s="85" t="n">
        <f aca="true">IF(AP$5=0,AO206,MAX(0,(AO206-AP$4)*(1+NORMINV(RAND(),INPUTS!$B$28,INPUTS!$B$29))))</f>
        <v>0</v>
      </c>
    </row>
    <row r="207" customFormat="false" ht="15" hidden="false" customHeight="true" outlineLevel="0" collapsed="false">
      <c r="A207" s="83" t="n">
        <v>200</v>
      </c>
      <c r="B207" s="84" t="n">
        <f aca="false">LOOKUP(9.99E+307,C207:AP207)</f>
        <v>4581154.76421834</v>
      </c>
      <c r="C207" s="85" t="n">
        <f aca="true">IF(C$5=0,INPUTS!$B$19,MAX(0,(INPUTS!$B$19-C$4)*(1+NORMINV(RAND(),INPUTS!$B$28,INPUTS!$B$29))))</f>
        <v>1261109.94374462</v>
      </c>
      <c r="D207" s="85" t="n">
        <f aca="true">IF(D$5=0,C207,MAX(0,(C207-D$4)*(1+NORMINV(RAND(),INPUTS!$B$28,INPUTS!$B$29))))</f>
        <v>1350301.01584768</v>
      </c>
      <c r="E207" s="85" t="n">
        <f aca="true">IF(E$5=0,D207,MAX(0,(D207-E$4)*(1+NORMINV(RAND(),INPUTS!$B$28,INPUTS!$B$29))))</f>
        <v>1336748.44273368</v>
      </c>
      <c r="F207" s="85" t="n">
        <f aca="true">IF(F$5=0,E207,MAX(0,(E207-F$4)*(1+NORMINV(RAND(),INPUTS!$B$28,INPUTS!$B$29))))</f>
        <v>1463606.39499668</v>
      </c>
      <c r="G207" s="85" t="n">
        <f aca="true">IF(G$5=0,F207,MAX(0,(F207-G$4)*(1+NORMINV(RAND(),INPUTS!$B$28,INPUTS!$B$29))))</f>
        <v>1066903.31605341</v>
      </c>
      <c r="H207" s="85" t="n">
        <f aca="true">IF(H$5=0,G207,MAX(0,(G207-H$4)*(1+NORMINV(RAND(),INPUTS!$B$28,INPUTS!$B$29))))</f>
        <v>1077534.54961927</v>
      </c>
      <c r="I207" s="85" t="n">
        <f aca="true">IF(I$5=0,H207,MAX(0,(H207-I$4)*(1+NORMINV(RAND(),INPUTS!$B$28,INPUTS!$B$29))))</f>
        <v>1086134.3709085</v>
      </c>
      <c r="J207" s="85" t="n">
        <f aca="true">IF(J$5=0,I207,MAX(0,(I207-J$4)*(1+NORMINV(RAND(),INPUTS!$B$28,INPUTS!$B$29))))</f>
        <v>1346695.62924174</v>
      </c>
      <c r="K207" s="85" t="n">
        <f aca="true">IF(K$5=0,J207,MAX(0,(J207-K$4)*(1+NORMINV(RAND(),INPUTS!$B$28,INPUTS!$B$29))))</f>
        <v>1432877.11585579</v>
      </c>
      <c r="L207" s="85" t="n">
        <f aca="true">IF(L$5=0,K207,MAX(0,(K207-L$4)*(1+NORMINV(RAND(),INPUTS!$B$28,INPUTS!$B$29))))</f>
        <v>1306062.44266827</v>
      </c>
      <c r="M207" s="85" t="n">
        <f aca="true">IF(M$5=0,L207,MAX(0,(L207-M$4)*(1+NORMINV(RAND(),INPUTS!$B$28,INPUTS!$B$29))))</f>
        <v>1335480.94573678</v>
      </c>
      <c r="N207" s="85" t="n">
        <f aca="true">IF(N$5=0,M207,MAX(0,(M207-N$4)*(1+NORMINV(RAND(),INPUTS!$B$28,INPUTS!$B$29))))</f>
        <v>1388018.91095109</v>
      </c>
      <c r="O207" s="85" t="n">
        <f aca="true">IF(O$5=0,N207,MAX(0,(N207-O$4)*(1+NORMINV(RAND(),INPUTS!$B$28,INPUTS!$B$29))))</f>
        <v>1365011.70190764</v>
      </c>
      <c r="P207" s="85" t="n">
        <f aca="true">IF(P$5=0,O207,MAX(0,(O207-P$4)*(1+NORMINV(RAND(),INPUTS!$B$28,INPUTS!$B$29))))</f>
        <v>1354274.80564145</v>
      </c>
      <c r="Q207" s="85" t="n">
        <f aca="true">IF(Q$5=0,P207,MAX(0,(P207-Q$4)*(1+NORMINV(RAND(),INPUTS!$B$28,INPUTS!$B$29))))</f>
        <v>1684401.09206087</v>
      </c>
      <c r="R207" s="85" t="n">
        <f aca="true">IF(R$5=0,Q207,MAX(0,(Q207-R$4)*(1+NORMINV(RAND(),INPUTS!$B$28,INPUTS!$B$29))))</f>
        <v>1406310.32478374</v>
      </c>
      <c r="S207" s="85" t="n">
        <f aca="true">IF(S$5=0,R207,MAX(0,(R207-S$4)*(1+NORMINV(RAND(),INPUTS!$B$28,INPUTS!$B$29))))</f>
        <v>1707213.27372838</v>
      </c>
      <c r="T207" s="85" t="n">
        <f aca="true">IF(T$5=0,S207,MAX(0,(S207-T$4)*(1+NORMINV(RAND(),INPUTS!$B$28,INPUTS!$B$29))))</f>
        <v>2131073.46341006</v>
      </c>
      <c r="U207" s="85" t="n">
        <f aca="true">IF(U$5=0,T207,MAX(0,(T207-U$4)*(1+NORMINV(RAND(),INPUTS!$B$28,INPUTS!$B$29))))</f>
        <v>2160098.21205578</v>
      </c>
      <c r="V207" s="85" t="n">
        <f aca="true">IF(V$5=0,U207,MAX(0,(U207-V$4)*(1+NORMINV(RAND(),INPUTS!$B$28,INPUTS!$B$29))))</f>
        <v>2073394.94518828</v>
      </c>
      <c r="W207" s="85" t="n">
        <f aca="true">IF(W$5=0,V207,MAX(0,(V207-W$4)*(1+NORMINV(RAND(),INPUTS!$B$28,INPUTS!$B$29))))</f>
        <v>2338829.02448318</v>
      </c>
      <c r="X207" s="85" t="n">
        <f aca="true">IF(X$5=0,W207,MAX(0,(W207-X$4)*(1+NORMINV(RAND(),INPUTS!$B$28,INPUTS!$B$29))))</f>
        <v>2131689.71809373</v>
      </c>
      <c r="Y207" s="85" t="n">
        <f aca="true">IF(Y$5=0,X207,MAX(0,(X207-Y$4)*(1+NORMINV(RAND(),INPUTS!$B$28,INPUTS!$B$29))))</f>
        <v>2386496.84423993</v>
      </c>
      <c r="Z207" s="85" t="n">
        <f aca="true">IF(Z$5=0,Y207,MAX(0,(Y207-Z$4)*(1+NORMINV(RAND(),INPUTS!$B$28,INPUTS!$B$29))))</f>
        <v>2492821.59182026</v>
      </c>
      <c r="AA207" s="85" t="n">
        <f aca="true">IF(AA$5=0,Z207,MAX(0,(Z207-AA$4)*(1+NORMINV(RAND(),INPUTS!$B$28,INPUTS!$B$29))))</f>
        <v>2387460.48121014</v>
      </c>
      <c r="AB207" s="85" t="n">
        <f aca="true">IF(AB$5=0,AA207,MAX(0,(AA207-AB$4)*(1+NORMINV(RAND(),INPUTS!$B$28,INPUTS!$B$29))))</f>
        <v>2777908.15452007</v>
      </c>
      <c r="AC207" s="85" t="n">
        <f aca="true">IF(AC$5=0,AB207,MAX(0,(AB207-AC$4)*(1+NORMINV(RAND(),INPUTS!$B$28,INPUTS!$B$29))))</f>
        <v>2443189.90944981</v>
      </c>
      <c r="AD207" s="85" t="n">
        <f aca="true">IF(AD$5=0,AC207,MAX(0,(AC207-AD$4)*(1+NORMINV(RAND(),INPUTS!$B$28,INPUTS!$B$29))))</f>
        <v>2391123.28035332</v>
      </c>
      <c r="AE207" s="85" t="n">
        <f aca="true">IF(AE$5=0,AD207,MAX(0,(AD207-AE$4)*(1+NORMINV(RAND(),INPUTS!$B$28,INPUTS!$B$29))))</f>
        <v>2866765.82674874</v>
      </c>
      <c r="AF207" s="85" t="n">
        <f aca="true">IF(AF$5=0,AE207,MAX(0,(AE207-AF$4)*(1+NORMINV(RAND(),INPUTS!$B$28,INPUTS!$B$29))))</f>
        <v>3160219.3618081</v>
      </c>
      <c r="AG207" s="85" t="n">
        <f aca="true">IF(AG$5=0,AF207,MAX(0,(AF207-AG$4)*(1+NORMINV(RAND(),INPUTS!$B$28,INPUTS!$B$29))))</f>
        <v>3633052.3201769</v>
      </c>
      <c r="AH207" s="85" t="n">
        <f aca="true">IF(AH$5=0,AG207,MAX(0,(AG207-AH$4)*(1+NORMINV(RAND(),INPUTS!$B$28,INPUTS!$B$29))))</f>
        <v>3262446.98587201</v>
      </c>
      <c r="AI207" s="85" t="n">
        <f aca="true">IF(AI$5=0,AH207,MAX(0,(AH207-AI$4)*(1+NORMINV(RAND(),INPUTS!$B$28,INPUTS!$B$29))))</f>
        <v>3910461.90817427</v>
      </c>
      <c r="AJ207" s="85" t="n">
        <f aca="true">IF(AJ$5=0,AI207,MAX(0,(AI207-AJ$4)*(1+NORMINV(RAND(),INPUTS!$B$28,INPUTS!$B$29))))</f>
        <v>3606451.68485654</v>
      </c>
      <c r="AK207" s="85" t="n">
        <f aca="true">IF(AK$5=0,AJ207,MAX(0,(AJ207-AK$4)*(1+NORMINV(RAND(),INPUTS!$B$28,INPUTS!$B$29))))</f>
        <v>4088175.47970512</v>
      </c>
      <c r="AL207" s="85" t="n">
        <f aca="true">IF(AL$5=0,AK207,MAX(0,(AK207-AL$4)*(1+NORMINV(RAND(),INPUTS!$B$28,INPUTS!$B$29))))</f>
        <v>4581154.76421834</v>
      </c>
      <c r="AM207" s="85" t="n">
        <f aca="true">IF(AM$5=0,AL207,MAX(0,(AL207-AM$4)*(1+NORMINV(RAND(),INPUTS!$B$28,INPUTS!$B$29))))</f>
        <v>4581154.76421834</v>
      </c>
      <c r="AN207" s="85" t="n">
        <f aca="true">IF(AN$5=0,AM207,MAX(0,(AM207-AN$4)*(1+NORMINV(RAND(),INPUTS!$B$28,INPUTS!$B$29))))</f>
        <v>4581154.76421834</v>
      </c>
      <c r="AO207" s="85" t="n">
        <f aca="true">IF(AO$5=0,AN207,MAX(0,(AN207-AO$4)*(1+NORMINV(RAND(),INPUTS!$B$28,INPUTS!$B$29))))</f>
        <v>4581154.76421834</v>
      </c>
      <c r="AP207" s="85" t="n">
        <f aca="true">IF(AP$5=0,AO207,MAX(0,(AO207-AP$4)*(1+NORMINV(RAND(),INPUTS!$B$28,INPUTS!$B$29))))</f>
        <v>4581154.76421834</v>
      </c>
    </row>
    <row r="209" customFormat="false" ht="15" hidden="false" customHeight="true" outlineLevel="0" collapsed="false">
      <c r="A209" s="18"/>
      <c r="B209" s="18"/>
      <c r="C209" s="18"/>
      <c r="D209" s="18"/>
    </row>
    <row r="210" customFormat="false" ht="27.75" hidden="false" customHeight="true" outlineLevel="0" collapsed="false">
      <c r="A210" s="86" t="s">
        <v>163</v>
      </c>
      <c r="B210" s="22"/>
      <c r="C210" s="22"/>
      <c r="D210" s="18"/>
    </row>
    <row r="211" customFormat="false" ht="25.5" hidden="false" customHeight="true" outlineLevel="0" collapsed="false">
      <c r="A211" s="26" t="s">
        <v>164</v>
      </c>
      <c r="B211" s="87" t="n">
        <f aca="false">COUNTIF(B8:B207,"&gt;0")/200</f>
        <v>0.705</v>
      </c>
      <c r="C211" s="18"/>
      <c r="D211" s="18"/>
    </row>
    <row r="212" customFormat="false" ht="21.75" hidden="false" customHeight="true" outlineLevel="0" collapsed="false">
      <c r="A212" s="23" t="s">
        <v>165</v>
      </c>
      <c r="B212" s="88" t="n">
        <f aca="false">MEDIAN(B8:B207)</f>
        <v>1158486.43385376</v>
      </c>
      <c r="C212" s="18"/>
      <c r="D212" s="18"/>
    </row>
    <row r="213" customFormat="false" ht="21.75" hidden="false" customHeight="true" outlineLevel="0" collapsed="false">
      <c r="A213" s="26" t="s">
        <v>166</v>
      </c>
      <c r="B213" s="89" t="n">
        <f aca="false">PERCENTILE(B8:B207,0.1)</f>
        <v>0</v>
      </c>
      <c r="C213" s="18"/>
      <c r="D213" s="18"/>
    </row>
    <row r="214" customFormat="false" ht="21.75" hidden="false" customHeight="true" outlineLevel="0" collapsed="false">
      <c r="A214" s="23" t="s">
        <v>167</v>
      </c>
      <c r="B214" s="90" t="n">
        <f aca="false">PERCENTILE(B8:B207,0.9)</f>
        <v>6838828.86668795</v>
      </c>
      <c r="C214" s="18"/>
      <c r="D214" s="18"/>
    </row>
    <row r="215" customFormat="false" ht="15" hidden="false" customHeight="true" outlineLevel="0" collapsed="false">
      <c r="A215" s="18"/>
      <c r="B215" s="18"/>
      <c r="C215" s="18"/>
      <c r="D215" s="18"/>
    </row>
    <row r="216" customFormat="false" ht="15" hidden="false" customHeight="true" outlineLevel="0" collapsed="false">
      <c r="A216" s="91" t="s">
        <v>168</v>
      </c>
      <c r="B216" s="18"/>
      <c r="C216" s="18"/>
      <c r="D216" s="18"/>
    </row>
    <row r="217" customFormat="false" ht="15" hidden="false" customHeight="true" outlineLevel="0" collapsed="false">
      <c r="A217" s="20"/>
      <c r="B217" s="20"/>
      <c r="C217" s="20"/>
      <c r="D217" s="2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68"/>
  </cols>
  <sheetData>
    <row r="1" customFormat="false" ht="30" hidden="false" customHeight="true" outlineLevel="0" collapsed="false">
      <c r="A1" s="42" t="s">
        <v>169</v>
      </c>
      <c r="B1" s="42"/>
      <c r="C1" s="42"/>
    </row>
    <row r="2" customFormat="false" ht="15.75" hidden="false" customHeight="true" outlineLevel="0" collapsed="false">
      <c r="A2" s="77" t="s">
        <v>170</v>
      </c>
      <c r="B2" s="20"/>
      <c r="C2" s="20"/>
    </row>
    <row r="3" customFormat="false" ht="15" hidden="false" customHeight="true" outlineLevel="0" collapsed="false">
      <c r="A3" s="20"/>
      <c r="B3" s="20"/>
      <c r="C3" s="20"/>
    </row>
    <row r="4" customFormat="false" ht="27.75" hidden="false" customHeight="true" outlineLevel="0" collapsed="false">
      <c r="A4" s="44" t="s">
        <v>171</v>
      </c>
      <c r="B4" s="44" t="s">
        <v>172</v>
      </c>
      <c r="C4" s="44" t="s">
        <v>173</v>
      </c>
    </row>
    <row r="5" customFormat="false" ht="33.75" hidden="false" customHeight="true" outlineLevel="0" collapsed="false">
      <c r="A5" s="92" t="s">
        <v>174</v>
      </c>
      <c r="B5" s="93" t="str">
        <f aca="false">IF(INPUTS!B33&lt;=0.04,"✓ OK","⚠ HIGH — "&amp;TEXT(INPUTS!B33,"0.0%"))</f>
        <v>⚠ HIGH — 4.5%</v>
      </c>
      <c r="C5" s="94" t="str">
        <f aca="false">IF(INPUTS!B33&lt;=0.04,"Initial rate "&amp;TEXT(INPUTS!B33,"0.0%")&amp;" within guideline.","Exceeds 4% rule. At a 35+ yr horizon target 3.3%. Reduce spending or grow portfolio.")</f>
        <v>Exceeds 4% rule. At a 35+ yr horizon target 3.3%. Reduce spending or grow portfolio.</v>
      </c>
    </row>
    <row r="6" customFormat="false" ht="33.75" hidden="false" customHeight="true" outlineLevel="0" collapsed="false">
      <c r="A6" s="95" t="s">
        <v>175</v>
      </c>
      <c r="B6" s="93" t="str">
        <f aca="false">IF(INPUTS!$B$32=0,"✓ FUNDED",IF(SUM(BRIDGE!J4:K18)=0,"✓ FUNDED","⚠ GAP"))</f>
        <v>✓ FUNDED</v>
      </c>
      <c r="C6" s="96" t="str">
        <f aca="false">IF(INPUTS!$B$32=0,"No bridge needed — retiring at or after 59½.",IF(SUM(BRIDGE!J4:K18)=0,"Taxable+cash covers every bridge year.","Bridge dips into Roth/401k — see BRIDGE cols J–K for which years."))</f>
        <v>Taxable+cash covers every bridge year.</v>
      </c>
    </row>
    <row r="7" customFormat="false" ht="33.75" hidden="false" customHeight="true" outlineLevel="0" collapsed="false">
      <c r="A7" s="92" t="s">
        <v>176</v>
      </c>
      <c r="B7" s="93" t="str">
        <f aca="false">IF(INPUTS!$B$32=0,"✓ CLEAN",IF(SUM(BRIDGE!K4:K18)=0,"✓ CLEAN","✗ PENALTY RISK"))</f>
        <v>✓ CLEAN</v>
      </c>
      <c r="C7" s="94" t="str">
        <f aca="false">IF(INPUTS!$B$32=0,"No bridge — no early 401k withdrawals needed.",IF(SUM(BRIDGE!K4:K18)=0,"No early 401k withdrawals.","401k tapped during bridge = 10% penalty unless using 72(t). Total: "&amp;TEXT(SUM(BRIDGE!K4:K18),"$#,##0")))</f>
        <v>No early 401k withdrawals.</v>
      </c>
    </row>
    <row r="8" customFormat="false" ht="33.75" hidden="false" customHeight="true" outlineLevel="0" collapsed="false">
      <c r="A8" s="95" t="s">
        <v>177</v>
      </c>
      <c r="B8" s="93" t="str">
        <f aca="false">IF(INPUTS!B18&gt;=INPUTS!B22,"✓ OK","⚠ THIN")</f>
        <v>✓ OK</v>
      </c>
      <c r="C8" s="96" t="str">
        <f aca="false">"Cash covers "&amp;TEXT(INPUTS!B18/INPUTS!B22,"0.0")&amp;" years of spending. 1–2 yrs protects against selling in a downturn."</f>
        <v>Cash covers 1.4 years of spending. 1–2 yrs protects against selling in a downturn.</v>
      </c>
    </row>
    <row r="9" customFormat="false" ht="33.75" hidden="false" customHeight="true" outlineLevel="0" collapsed="false">
      <c r="A9" s="92" t="s">
        <v>178</v>
      </c>
      <c r="B9" s="93" t="str">
        <f aca="false">IF(COUNTIF('ROTH LADDER'!G6:G20,"⚠*")=0,"✓ OK","⚠ "&amp;COUNTIF('ROTH LADDER'!G6:G20,"⚠*")&amp;" YR(S) OVER")</f>
        <v>✓ OK</v>
      </c>
      <c r="C9" s="94" t="str">
        <f aca="false">IF(COUNTIF('ROTH LADDER'!G6:G20,"⚠*")=0,"MAGI under est. 400% FPL cliff every bridge year.","Conversions push MAGI over the cliff in flagged years — trim those conversions. See ROTH LADDER col G.")</f>
        <v>MAGI under est. 400% FPL cliff every bridge year.</v>
      </c>
    </row>
    <row r="10" customFormat="false" ht="33.75" hidden="false" customHeight="true" outlineLevel="0" collapsed="false">
      <c r="A10" s="95" t="s">
        <v>179</v>
      </c>
      <c r="B10" s="93" t="str">
        <f aca="false">IF(INPUTS!B7&lt;70,"💡 CONSIDER 70","✓ MAXED")</f>
        <v>💡 CONSIDER 70</v>
      </c>
      <c r="C10" s="96" t="str">
        <f aca="false">IF(INPUTS!B7&lt;70,"Delaying from "&amp;INPUTS!B7&amp;" to 70 adds ~"&amp;TEXT(INPUTS!B25*0.08*(70-INPUTS!B7),"$#,##0")&amp;"/yr permanently (8%/yr).","Claiming at 70 = maximum benefit.")</f>
        <v>Delaying from 67 to 70 adds ~$5,760/yr permanently (8%/yr).</v>
      </c>
    </row>
    <row r="11" customFormat="false" ht="33.75" hidden="false" customHeight="true" outlineLevel="0" collapsed="false">
      <c r="A11" s="92" t="s">
        <v>180</v>
      </c>
      <c r="B11" s="93" t="str">
        <f aca="false">IF(INPUTS!B22+INPUTS!B24&lt;IF(INPUTS!B9="MFJ",212000,106000),"✓ OK","⚠ REVIEW")</f>
        <v>✓ OK</v>
      </c>
      <c r="C11" s="94" t="str">
        <f aca="false">"2026 IRMAA starts at "&amp;IF(INPUTS!B9="MFJ","$212,000 (MFJ)","$106,000 (Single)")&amp;" MAGI. Large Roth conversions near Medicare age can trigger surcharges."</f>
        <v>2026 IRMAA starts at $212,000 (MFJ) MAGI. Large Roth conversions near Medicare age can trigger surcharges.</v>
      </c>
    </row>
    <row r="12" customFormat="false" ht="33.75" hidden="false" customHeight="true" outlineLevel="0" collapsed="false">
      <c r="A12" s="95" t="s">
        <v>181</v>
      </c>
      <c r="B12" s="93" t="str">
        <f aca="false">IF(IFERROR('POST-59.5'!F42,0)&gt;0,"✓ FUNDED","✗ DEPLETED")</f>
        <v>✓ FUNDED</v>
      </c>
      <c r="C12" s="96" t="str">
        <f aca="false">IF(IFERROR('POST-59.5'!F42,0)&gt;0,"Projected "&amp;TEXT('POST-59.5'!F42,"$#,##0")&amp;" at age "&amp;INPUTS!B8&amp;".","Deterministic projection depletes — reduce spending or delay retirement.")</f>
        <v>Projected $2,880,896 at age 90.</v>
      </c>
    </row>
    <row r="13" customFormat="false" ht="33.75" hidden="false" customHeight="true" outlineLevel="0" collapsed="false">
      <c r="A13" s="92" t="s">
        <v>182</v>
      </c>
      <c r="B13" s="93" t="str">
        <f aca="false">IF('MONTE CARLO'!B211&gt;=0.8,"✓ "&amp;TEXT('MONTE CARLO'!B211,"0%"),"⚠ "&amp;TEXT('MONTE CARLO'!B211,"0%"))</f>
        <v>⚠ 71%</v>
      </c>
      <c r="C13" s="94" t="str">
        <f aca="false">IF('MONTE CARLO'!B211&gt;=0.9,"Robust across randomized sequences.",IF('MONTE CARLO'!B211&gt;=0.75,"Acceptable — needs spending flexibility in bad markets.","Fragile — plan fails too often under sequence risk."))</f>
        <v>Fragile — plan fails too often under sequence risk.</v>
      </c>
    </row>
    <row r="14" customFormat="false" ht="15" hidden="false" customHeight="true" outlineLevel="0" collapsed="false">
      <c r="A14" s="20"/>
      <c r="B14" s="20"/>
      <c r="C14" s="20"/>
    </row>
  </sheetData>
  <mergeCells count="1">
    <mergeCell ref="A1:C1"/>
  </mergeCells>
  <conditionalFormatting sqref="B5:B13">
    <cfRule type="expression" priority="2" aboveAverage="0" equalAverage="0" bottom="0" percent="0" rank="0" text="" dxfId="0">
      <formula>OR(NOT(ISERROR(SEARCH("DEPLETED",B5))),NOT(ISERROR(SEARCH("PENALTY",B5))))</formula>
    </cfRule>
    <cfRule type="expression" priority="3" aboveAverage="0" equalAverage="0" bottom="0" percent="0" rank="0" text="" dxfId="1">
      <formula>OR(NOT(ISERROR(SEARCH("HIGH",B5))),NOT(ISERROR(SEARCH("GAP",B5))),NOT(ISERROR(SEARCH("⚠",B5))))</formula>
    </cfRule>
    <cfRule type="expression" priority="4" aboveAverage="0" equalAverage="0" bottom="0" percent="0" rank="0" text="" dxfId="2">
      <formula>NOT(ISERROR(SEARCH("CONSIDER",B5)))</formula>
    </cfRule>
    <cfRule type="expression" priority="5" aboveAverage="0" equalAverage="0" bottom="0" percent="0" rank="0" text="" dxfId="3">
      <formula>OR(NOT(ISERROR(SEARCH("OK",B5))),NOT(ISERROR(SEARCH("FUNDED",B5))),NOT(ISERROR(SEARCH("CLEAN",B5))),NOT(ISERROR(SEARCH("MAXED",B5))))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5" min="4" style="1" width="12"/>
    <col collapsed="false" customWidth="true" hidden="false" outlineLevel="0" max="6" min="6" style="1" width="30"/>
  </cols>
  <sheetData>
    <row r="1" customFormat="false" ht="30" hidden="false" customHeight="true" outlineLevel="0" collapsed="false">
      <c r="A1" s="42" t="s">
        <v>183</v>
      </c>
      <c r="B1" s="42"/>
      <c r="C1" s="42"/>
      <c r="D1" s="42"/>
      <c r="E1" s="42"/>
      <c r="F1" s="42"/>
    </row>
    <row r="2" customFormat="false" ht="15.75" hidden="false" customHeight="true" outlineLevel="0" collapsed="false">
      <c r="A2" s="77" t="s">
        <v>184</v>
      </c>
      <c r="B2" s="20"/>
      <c r="C2" s="20"/>
      <c r="D2" s="20"/>
      <c r="E2" s="20"/>
      <c r="F2" s="20"/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</row>
    <row r="4" customFormat="false" ht="27.75" hidden="false" customHeight="true" outlineLevel="0" collapsed="false">
      <c r="A4" s="44" t="s">
        <v>185</v>
      </c>
      <c r="B4" s="44" t="s">
        <v>186</v>
      </c>
      <c r="C4" s="44" t="s">
        <v>187</v>
      </c>
      <c r="D4" s="44" t="s">
        <v>188</v>
      </c>
      <c r="E4" s="44" t="s">
        <v>189</v>
      </c>
      <c r="F4" s="44" t="s">
        <v>190</v>
      </c>
    </row>
    <row r="5" customFormat="false" ht="21.75" hidden="false" customHeight="true" outlineLevel="0" collapsed="false">
      <c r="A5" s="97" t="s">
        <v>191</v>
      </c>
      <c r="B5" s="98" t="n">
        <v>0.4</v>
      </c>
      <c r="C5" s="99" t="n">
        <f aca="false">INPUTS!B15*0.6+INPUTS!B16*0.55+INPUTS!B17*0.7</f>
        <v>672500</v>
      </c>
      <c r="D5" s="100" t="n">
        <f aca="false">C5/$C$11</f>
        <v>0.548979591836735</v>
      </c>
      <c r="E5" s="101" t="n">
        <f aca="false">D5-B5</f>
        <v>0.148979591836735</v>
      </c>
      <c r="F5" s="102" t="str">
        <f aca="false">IF(E5&lt;-0.05,"ADD — underweight",IF(E5&gt;0.05,"TRIM — overweight","Hold"))</f>
        <v>TRIM — overweight</v>
      </c>
    </row>
    <row r="6" customFormat="false" ht="21.75" hidden="false" customHeight="true" outlineLevel="0" collapsed="false">
      <c r="A6" s="103" t="s">
        <v>192</v>
      </c>
      <c r="B6" s="98" t="n">
        <v>0.15</v>
      </c>
      <c r="C6" s="104" t="n">
        <f aca="false">INPUTS!B15*0.25+INPUTS!B16*0.15</f>
        <v>185000</v>
      </c>
      <c r="D6" s="105" t="n">
        <f aca="false">C6/$C$11</f>
        <v>0.151020408163265</v>
      </c>
      <c r="E6" s="106" t="n">
        <f aca="false">D6-B6</f>
        <v>0.00102040816326532</v>
      </c>
      <c r="F6" s="107" t="str">
        <f aca="false">IF(E6&lt;-0.05,"ADD — underweight",IF(E6&gt;0.05,"TRIM — overweight","Hold"))</f>
        <v>Hold</v>
      </c>
    </row>
    <row r="7" customFormat="false" ht="21.75" hidden="false" customHeight="true" outlineLevel="0" collapsed="false">
      <c r="A7" s="97" t="s">
        <v>193</v>
      </c>
      <c r="B7" s="98" t="n">
        <v>0.05</v>
      </c>
      <c r="C7" s="99" t="n">
        <f aca="false">INPUTS!B17*0.3</f>
        <v>45000</v>
      </c>
      <c r="D7" s="100" t="n">
        <f aca="false">C7/$C$11</f>
        <v>0.036734693877551</v>
      </c>
      <c r="E7" s="101" t="n">
        <f aca="false">D7-B7</f>
        <v>-0.013265306122449</v>
      </c>
      <c r="F7" s="102" t="str">
        <f aca="false">IF(E7&lt;-0.05,"ADD — underweight",IF(E7&gt;0.05,"TRIM — overweight","Hold"))</f>
        <v>Hold</v>
      </c>
    </row>
    <row r="8" customFormat="false" ht="21.75" hidden="false" customHeight="true" outlineLevel="0" collapsed="false">
      <c r="A8" s="103" t="s">
        <v>194</v>
      </c>
      <c r="B8" s="98" t="n">
        <v>0.25</v>
      </c>
      <c r="C8" s="104" t="n">
        <f aca="false">INPUTS!B16*0.3</f>
        <v>195000</v>
      </c>
      <c r="D8" s="105" t="n">
        <f aca="false">C8/$C$11</f>
        <v>0.159183673469388</v>
      </c>
      <c r="E8" s="106" t="n">
        <f aca="false">D8-B8</f>
        <v>-0.0908163265306123</v>
      </c>
      <c r="F8" s="107" t="str">
        <f aca="false">IF(E8&lt;-0.05,"ADD — underweight",IF(E8&gt;0.05,"TRIM — overweight","Hold"))</f>
        <v>ADD — underweight</v>
      </c>
    </row>
    <row r="9" customFormat="false" ht="21.75" hidden="false" customHeight="true" outlineLevel="0" collapsed="false">
      <c r="A9" s="97" t="s">
        <v>195</v>
      </c>
      <c r="B9" s="98" t="n">
        <v>0.1</v>
      </c>
      <c r="C9" s="99" t="n">
        <f aca="false">INPUTS!B18</f>
        <v>75000</v>
      </c>
      <c r="D9" s="100" t="n">
        <f aca="false">C9/$C$11</f>
        <v>0.0612244897959184</v>
      </c>
      <c r="E9" s="101" t="n">
        <f aca="false">D9-B9</f>
        <v>-0.0387755102040816</v>
      </c>
      <c r="F9" s="102" t="str">
        <f aca="false">IF(E9&lt;-0.05,"ADD — underweight",IF(E9&gt;0.05,"TRIM — overweight","Hold"))</f>
        <v>Hold</v>
      </c>
    </row>
    <row r="10" customFormat="false" ht="21.75" hidden="false" customHeight="true" outlineLevel="0" collapsed="false">
      <c r="A10" s="103" t="s">
        <v>196</v>
      </c>
      <c r="B10" s="98" t="n">
        <v>0.05</v>
      </c>
      <c r="C10" s="104" t="n">
        <f aca="false">INPUTS!B15*0.15</f>
        <v>52500</v>
      </c>
      <c r="D10" s="105" t="n">
        <f aca="false">C10/$C$11</f>
        <v>0.0428571428571429</v>
      </c>
      <c r="E10" s="106" t="n">
        <f aca="false">D10-B10</f>
        <v>-0.00714285714285715</v>
      </c>
      <c r="F10" s="107" t="str">
        <f aca="false">IF(E10&lt;-0.05,"ADD — underweight",IF(E10&gt;0.05,"TRIM — overweight","Hold"))</f>
        <v>Hold</v>
      </c>
    </row>
    <row r="11" customFormat="false" ht="21.75" hidden="false" customHeight="true" outlineLevel="0" collapsed="false">
      <c r="A11" s="108" t="s">
        <v>197</v>
      </c>
      <c r="B11" s="109" t="n">
        <f aca="false">SUM(B5:B10)</f>
        <v>1</v>
      </c>
      <c r="C11" s="110" t="n">
        <f aca="false">SUM(C5:C10)</f>
        <v>1225000</v>
      </c>
      <c r="D11" s="111"/>
      <c r="E11" s="112"/>
      <c r="F11" s="113"/>
    </row>
    <row r="12" customFormat="false" ht="15" hidden="false" customHeight="true" outlineLevel="0" collapsed="false">
      <c r="A12" s="20"/>
      <c r="B12" s="20"/>
      <c r="C12" s="20"/>
      <c r="D12" s="20"/>
      <c r="E12" s="20"/>
      <c r="F12" s="20"/>
    </row>
    <row r="13" customFormat="false" ht="15" hidden="false" customHeight="true" outlineLevel="0" collapsed="false">
      <c r="A13" s="114" t="s">
        <v>198</v>
      </c>
      <c r="B13" s="20"/>
      <c r="C13" s="20"/>
      <c r="D13" s="20"/>
      <c r="E13" s="20"/>
      <c r="F13" s="2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2026-06-10T01:38:01Z</dcterms:created>
  <dc:creator>openpyxl</dc:creator>
  <dc:description/>
  <dc:language>en-US</dc:language>
  <cp:lastModifiedBy/>
  <dcterms:modified xsi:type="dcterms:W3CDTF">2026-06-12T13:14:28Z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