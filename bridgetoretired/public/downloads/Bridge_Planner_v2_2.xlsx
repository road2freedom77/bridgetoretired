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TART HERE" sheetId="2" state="visible" r:id="rId4"/>
    <sheet name="INPUTS" sheetId="3" state="visible" r:id="rId5"/>
    <sheet name="BRIDGE YEARS" sheetId="4" state="hidden" r:id="rId6"/>
    <sheet name="BRIDGE CLEAN" sheetId="5" state="visible" r:id="rId7"/>
    <sheet name="POST-59.5" sheetId="6" state="visible" r:id="rId8"/>
    <sheet name="PROJECTION" sheetId="7" state="visible" r:id="rId9"/>
    <sheet name="RISK FLAG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<sst xmlns="http://schemas.openxmlformats.org/spreadsheetml/2006/main" count="162" uniqueCount="123">
  <si>
    <t xml:space="preserve">🌉  EARLY RETIREMENT BRIDGE PLANNER  —  DASHBOARD</t>
  </si>
  <si>
    <t xml:space="preserve">v2.1  ·  bridgetoretired.com  ·  All figures pull live from INPUTS</t>
  </si>
  <si>
    <t xml:space="preserve">Edit INPUTS sheet to update everything  →  All charts and KPIs update automatically</t>
  </si>
  <si>
    <t xml:space="preserve">▸  KEY METRICS</t>
  </si>
  <si>
    <t xml:space="preserve">TOTAL PORTFOLIO</t>
  </si>
  <si>
    <t xml:space="preserve">BRIDGE YEARS</t>
  </si>
  <si>
    <t xml:space="preserve">ANNUAL SPENDING</t>
  </si>
  <si>
    <t xml:space="preserve">RETIRE YEAR</t>
  </si>
  <si>
    <t xml:space="preserve">at retirement</t>
  </si>
  <si>
    <t xml:space="preserve">until 59½</t>
  </si>
  <si>
    <t xml:space="preserve">inflation-adjusted</t>
  </si>
  <si>
    <t xml:space="preserve">target year</t>
  </si>
  <si>
    <t xml:space="preserve">▸  RISK FLAGS  —  Automatic Portfolio Health Check</t>
  </si>
  <si>
    <t xml:space="preserve">Bridge fully funded by taxable?</t>
  </si>
  <si>
    <t xml:space="preserve">Portfolio survives to life expectancy?</t>
  </si>
  <si>
    <t xml:space="preserve">Withdrawal rate ≤ 4%?</t>
  </si>
  <si>
    <t xml:space="preserve">Roth ladder opportunity?</t>
  </si>
  <si>
    <t xml:space="preserve">Ages valid?</t>
  </si>
  <si>
    <t xml:space="preserve">Sequence of returns risk?</t>
  </si>
  <si>
    <t xml:space="preserve">▸  YEAR-BY-YEAR PROJECTION  (Live — updates automatically with INPUTS)</t>
  </si>
  <si>
    <t xml:space="preserve">Year</t>
  </si>
  <si>
    <t xml:space="preserve">Age</t>
  </si>
  <si>
    <t xml:space="preserve">Taxable End</t>
  </si>
  <si>
    <t xml:space="preserve">401k End</t>
  </si>
  <si>
    <t xml:space="preserve">Roth End</t>
  </si>
  <si>
    <t xml:space="preserve">Total</t>
  </si>
  <si>
    <t xml:space="preserve">Withdrawal</t>
  </si>
  <si>
    <t xml:space="preserve">Phase</t>
  </si>
  <si>
    <t xml:space="preserve">'Bridge (Taxable)</t>
  </si>
  <si>
    <t xml:space="preserve">⚡  PRO v3 COMING SOON:  Monte Carlo Simulator · Tax Optimizer · ACA Subsidy Calculator · Roth Ladder Builder · PDF Report Export</t>
  </si>
  <si>
    <t xml:space="preserve">Get notified at bridgetoretired.com</t>
  </si>
  <si>
    <t xml:space="preserve">⚡  PRO VERSION UNLOCKS DEEPER PLANNING</t>
  </si>
  <si>
    <t xml:space="preserve">The free planner shows your bridge years and 5 risk checks. Pro adds tax modeling, Roth optimization, and expanded risk detection.</t>
  </si>
  <si>
    <t xml:space="preserve">📊  TAX ESTIMATE</t>
  </si>
  <si>
    <t xml:space="preserve">See exactly what you will owe federally each bridge year — bracket, effective rate, and after-tax withdrawal amount.</t>
  </si>
  <si>
    <t xml:space="preserve">🪜  ROTH LADDER</t>
  </si>
  <si>
    <t xml:space="preserve">Find your optimal annual Roth conversion amount. Remaining 12% bracket space, tax cost, and unlock schedule per rung.</t>
  </si>
  <si>
    <t xml:space="preserve">⚠️  ACA Cliff Warning</t>
  </si>
  <si>
    <t xml:space="preserve">Automatic flag if bridge income pushes MAGI above 400% FPL — losing all ACA premium tax credits.</t>
  </si>
  <si>
    <t xml:space="preserve">🏛️  SS Delay Impact</t>
  </si>
  <si>
    <t xml:space="preserve">Exact dollar increase from delaying Social Security to 70 — permanent and inflation-adjusted.</t>
  </si>
  <si>
    <t xml:space="preserve">📈  REBALANCE Tracker</t>
  </si>
  <si>
    <t xml:space="preserve">Annual target vs actual allocation by asset class with drift alerts and buy/sell signals.</t>
  </si>
  <si>
    <t xml:space="preserve">→  Upgrade to Pro at bridgetoretired.com/pricing</t>
  </si>
  <si>
    <t xml:space="preserve">🌉  EARLY RETIREMENT BRIDGE PLANNER</t>
  </si>
  <si>
    <t xml:space="preserve">v2.1  ·  Last updated: Feb 2026  ·  bridgetoretired.com</t>
  </si>
  <si>
    <t xml:space="preserve">Sheet</t>
  </si>
  <si>
    <t xml:space="preserve">What it does</t>
  </si>
  <si>
    <t xml:space="preserve">🗺️  DASHBOARD</t>
  </si>
  <si>
    <t xml:space="preserve">START HERE → KPI cards, charts, risk flags. Mission control.</t>
  </si>
  <si>
    <t xml:space="preserve">📋  INPUTS</t>
  </si>
  <si>
    <t xml:space="preserve">Enter your ages, balances &amp; assumptions. Everything else pulls from here.</t>
  </si>
  <si>
    <t xml:space="preserve">🌉  BRIDGE CLEAN</t>
  </si>
  <si>
    <t xml:space="preserve">Bridge years plan (age &lt; 59½). Taxable first, 401k grows untouched.</t>
  </si>
  <si>
    <t xml:space="preserve">📈  POST-59.5</t>
  </si>
  <si>
    <t xml:space="preserve">Post-59½ plan. 401k draws first. Roth preserved as long as possible.</t>
  </si>
  <si>
    <t xml:space="preserve">🗺️  PROJECTION</t>
  </si>
  <si>
    <t xml:space="preserve">Full lifetime summary from retirement to life expectancy.</t>
  </si>
  <si>
    <t xml:space="preserve">⚠️  RISK FLAGS</t>
  </si>
  <si>
    <t xml:space="preserve">Auto-checks: solvency, withdrawal rate, bridge coverage, sequence risk.</t>
  </si>
  <si>
    <t xml:space="preserve">⚡  PRO v3 COMING SOON — Monte Carlo · Tax Optimizer · PDF Reports</t>
  </si>
  <si>
    <t xml:space="preserve">Visit bridgetoretired.com to get notified</t>
  </si>
  <si>
    <t xml:space="preserve">EARLY RETIREMENT BRIDGE PLANNER</t>
  </si>
  <si>
    <t xml:space="preserve">TIMELINE</t>
  </si>
  <si>
    <t xml:space="preserve">Current Age</t>
  </si>
  <si>
    <t xml:space="preserve">Retire Year</t>
  </si>
  <si>
    <t xml:space="preserve">Retirement Age</t>
  </si>
  <si>
    <t xml:space="preserve">End Year</t>
  </si>
  <si>
    <t xml:space="preserve">Life Expectancy</t>
  </si>
  <si>
    <t xml:space="preserve">Bridge End Age</t>
  </si>
  <si>
    <t xml:space="preserve">Social Security Claim Age</t>
  </si>
  <si>
    <t xml:space="preserve">First Projection Year</t>
  </si>
  <si>
    <t xml:space="preserve">SS Annual Benefit ($/yr, today $)</t>
  </si>
  <si>
    <t xml:space="preserve">ACCOUNT BALANCES</t>
  </si>
  <si>
    <t xml:space="preserve">Taxable Brokerage ($)</t>
  </si>
  <si>
    <t xml:space="preserve">Traditional 401(k) ($)</t>
  </si>
  <si>
    <t xml:space="preserve">Roth IRA ($)</t>
  </si>
  <si>
    <t xml:space="preserve">Total Portfolio</t>
  </si>
  <si>
    <t xml:space="preserve">SPENDING &amp; ASSUMPTIONS</t>
  </si>
  <si>
    <t xml:space="preserve">Annual Spending Need ($/yr)</t>
  </si>
  <si>
    <t xml:space="preserve">Expected Annual Return (%)</t>
  </si>
  <si>
    <t xml:space="preserve">Inflation (%)</t>
  </si>
  <si>
    <t xml:space="preserve">Inflation-Adjust Spending?</t>
  </si>
  <si>
    <t xml:space="preserve">Yes</t>
  </si>
  <si>
    <t xml:space="preserve">Withdrawal Order</t>
  </si>
  <si>
    <t xml:space="preserve">Taxable → 401k → Roth</t>
  </si>
  <si>
    <t xml:space="preserve">RULES</t>
  </si>
  <si>
    <t xml:space="preserve">401(k) Penalty-Free Access Age</t>
  </si>
  <si>
    <t xml:space="preserve">Roth contributions (not earnings) can be withdrawn penalty-free at any age.</t>
  </si>
  <si>
    <t xml:space="preserve">Roth Use Toggle</t>
  </si>
  <si>
    <t xml:space="preserve">No (dropdown later)</t>
  </si>
  <si>
    <t xml:space="preserve">Starting Balance</t>
  </si>
  <si>
    <t xml:space="preserve">Account Used</t>
  </si>
  <si>
    <t xml:space="preserve">Ending Balance</t>
  </si>
  <si>
    <t xml:space="preserve">BRIDGE YEARS  (Age &lt; 59½) — Taxable First</t>
  </si>
  <si>
    <t xml:space="preserve">401(k) grows untouched. Roth used only if taxable is exhausted.</t>
  </si>
  <si>
    <t xml:space="preserve">Taxable Start</t>
  </si>
  <si>
    <t xml:space="preserve">401k Start</t>
  </si>
  <si>
    <t xml:space="preserve">Roth Start</t>
  </si>
  <si>
    <t xml:space="preserve">Total End</t>
  </si>
  <si>
    <t xml:space="preserve">TOTALS</t>
  </si>
  <si>
    <t xml:space="preserve">POST-59½  (401k Accessible)</t>
  </si>
  <si>
    <t xml:space="preserve">Draw from 401(k) first. Roth used only if 401k exhausted. Taxable continues to compound.</t>
  </si>
  <si>
    <t xml:space="preserve">Taxable</t>
  </si>
  <si>
    <t xml:space="preserve">FULL LIFETIME PROJECTION</t>
  </si>
  <si>
    <t xml:space="preserve">Annual Withdrawal</t>
  </si>
  <si>
    <t xml:space="preserve">Bridge (Taxable)</t>
  </si>
  <si>
    <t xml:space="preserve">⚠️  AUTOMATIC RISK FLAGS</t>
  </si>
  <si>
    <t xml:space="preserve">Risk Check</t>
  </si>
  <si>
    <t xml:space="preserve">Status</t>
  </si>
  <si>
    <t xml:space="preserve">Detail</t>
  </si>
  <si>
    <t xml:space="preserve">Taxable account fully funds bridge?</t>
  </si>
  <si>
    <t xml:space="preserve">Portfolio intact at life expectancy?</t>
  </si>
  <si>
    <t xml:space="preserve">Retirement age &gt; current age?</t>
  </si>
  <si>
    <t xml:space="preserve">Bridge years fully covered?</t>
  </si>
  <si>
    <t xml:space="preserve">⚡  Additional checks available in Pro:</t>
  </si>
  <si>
    <t xml:space="preserve">ACA subsidy cliff risk?</t>
  </si>
  <si>
    <t xml:space="preserve">🔒  PRO FEATURE</t>
  </si>
  <si>
    <t xml:space="preserve">Upgrade to check if bridge income eliminates ACA premium tax credits</t>
  </si>
  <si>
    <t xml:space="preserve">SS delay opportunity?</t>
  </si>
  <si>
    <t xml:space="preserve">Upgrade to see exact dollar impact of delaying Social Security to 70</t>
  </si>
  <si>
    <t xml:space="preserve">Roth conversion window?</t>
  </si>
  <si>
    <t xml:space="preserve">Upgrade to detect low-income bridge years optimal for Roth conversions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</si>
</sst>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&quot; yrs&quot;"/>
    <numFmt numFmtId="167" formatCode="0"/>
    <numFmt numFmtId="168" formatCode="@"/>
    <numFmt numFmtId="169" formatCode="0.0"/>
    <numFmt numFmtId="170" formatCode="0.0%"/>
    <numFmt numFmtId="171" formatCode="#,##0.00"/>
    <numFmt numFmtId="172" formatCode="\$#,##0.00"/>
  </numFmts>
  <fonts count="4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E8B84B"/>
      <name val="Arial"/>
      <family val="0"/>
      <charset val="1"/>
    </font>
    <font>
      <b val="true"/>
      <sz val="10"/>
      <color rgb="FFE8B84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20"/>
      <color rgb="FFE8B84B"/>
      <name val="Arial"/>
      <family val="0"/>
      <charset val="1"/>
    </font>
    <font>
      <b val="true"/>
      <sz val="20"/>
      <color rgb="FF2DD4BF"/>
      <name val="Arial"/>
      <family val="0"/>
      <charset val="1"/>
    </font>
    <font>
      <b val="true"/>
      <sz val="20"/>
      <color rgb="FF4ADE8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E8B84B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2DD4BF"/>
      <name val="Arial"/>
      <family val="0"/>
      <charset val="1"/>
    </font>
    <font>
      <b val="true"/>
      <sz val="10"/>
      <color rgb="FF0D1420"/>
      <name val="Arial"/>
      <family val="0"/>
      <charset val="1"/>
    </font>
    <font>
      <b val="true"/>
      <sz val="11"/>
      <color rgb="FFE8B84B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9"/>
      <color rgb="FFE8B84B"/>
      <name val="Arial"/>
      <family val="0"/>
      <charset val="1"/>
    </font>
    <font>
      <sz val="9"/>
      <color rgb="FFCCCCCC"/>
      <name val="Arial"/>
      <family val="0"/>
      <charset val="1"/>
    </font>
    <font>
      <b val="true"/>
      <sz val="18"/>
      <color rgb="FF000000"/>
      <name val="Arial"/>
      <family val="2"/>
    </font>
    <font>
      <sz val="10"/>
      <color rgb="FF000000"/>
      <name val="Arial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0D1420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666666"/>
      <name val="Cambria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3"/>
      <color rgb="FFFFFFFF"/>
      <name val="Cambria"/>
      <family val="0"/>
      <charset val="1"/>
    </font>
    <font>
      <i val="true"/>
      <sz val="11"/>
      <color rgb="FFE8B84B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C87000"/>
      <name val="Cambria"/>
      <family val="0"/>
      <charset val="1"/>
    </font>
    <font>
      <sz val="11"/>
      <color rgb="FF2E7D32"/>
      <name val="Cambria"/>
      <family val="0"/>
      <charset val="1"/>
    </font>
    <font>
      <b val="true"/>
      <sz val="9"/>
      <color rgb="FFFB923C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420"/>
        <bgColor rgb="FF141C28"/>
      </patternFill>
    </fill>
    <fill>
      <patternFill patternType="solid">
        <fgColor rgb="FF1E2A3A"/>
        <bgColor rgb="FF141C28"/>
      </patternFill>
    </fill>
    <fill>
      <patternFill patternType="solid">
        <fgColor rgb="FF141C28"/>
        <bgColor rgb="FF0D1420"/>
      </patternFill>
    </fill>
    <fill>
      <patternFill patternType="solid">
        <fgColor rgb="FFF5F0E8"/>
        <bgColor rgb="FFEAF4EA"/>
      </patternFill>
    </fill>
    <fill>
      <patternFill patternType="solid">
        <fgColor rgb="FFFFFFFF"/>
        <bgColor rgb="FFFFF8E6"/>
      </patternFill>
    </fill>
    <fill>
      <patternFill patternType="solid">
        <fgColor rgb="FFE8B84B"/>
        <bgColor rgb="FFFB923C"/>
      </patternFill>
    </fill>
    <fill>
      <patternFill patternType="solid">
        <fgColor rgb="FF4ADE80"/>
        <bgColor rgb="FF2DD4BF"/>
      </patternFill>
    </fill>
    <fill>
      <patternFill patternType="solid">
        <fgColor rgb="FFEDE6D6"/>
        <bgColor rgb="FFF5F0E8"/>
      </patternFill>
    </fill>
    <fill>
      <patternFill patternType="solid">
        <fgColor rgb="FFFFF8E6"/>
        <bgColor rgb="FFF5F0E8"/>
      </patternFill>
    </fill>
    <fill>
      <patternFill patternType="solid">
        <fgColor rgb="FFEAF4EA"/>
        <bgColor rgb="FFF5F0E8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>
        <color rgb="FFE8B84B"/>
      </top>
      <bottom/>
      <diagonal/>
    </border>
    <border diagonalUp="false" diagonalDown="false">
      <left/>
      <right/>
      <top style="medium">
        <color rgb="FF2DD4BF"/>
      </top>
      <bottom/>
      <diagonal/>
    </border>
    <border diagonalUp="false" diagonalDown="false">
      <left/>
      <right/>
      <top style="medium">
        <color rgb="FF4ADE80"/>
      </top>
      <bottom/>
      <diagonal/>
    </border>
    <border diagonalUp="false" diagonalDown="false">
      <left/>
      <right/>
      <top style="medium">
        <color rgb="FFFFFFF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3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3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3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6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6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3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3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3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3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3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8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8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1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3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A78BFA"/>
      <rgbColor rgb="FF993366"/>
      <rgbColor rgb="FFFFF8E6"/>
      <rgbColor rgb="FFEAF4EA"/>
      <rgbColor rgb="FF660066"/>
      <rgbColor rgb="FFF8717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4ADE80"/>
      <rgbColor rgb="FFF5F0E8"/>
      <rgbColor rgb="FFEDE6D6"/>
      <rgbColor rgb="FFFFFF99"/>
      <rgbColor rgb="FF95E0A0"/>
      <rgbColor rgb="FFFF99CC"/>
      <rgbColor rgb="FFAAAAAA"/>
      <rgbColor rgb="FFFFCC99"/>
      <rgbColor rgb="FF60A5FA"/>
      <rgbColor rgb="FF2DD4BF"/>
      <rgbColor rgb="FF99CC00"/>
      <rgbColor rgb="FFE8B84B"/>
      <rgbColor rgb="FFFB923C"/>
      <rgbColor rgb="FFC87000"/>
      <rgbColor rgb="FF666666"/>
      <rgbColor rgb="FF8B8B8B"/>
      <rgbColor rgb="FF003366"/>
      <rgbColor rgb="FF2E7D32"/>
      <rgbColor rgb="FF141C28"/>
      <rgbColor rgb="FF0D1420"/>
      <rgbColor rgb="FF993300"/>
      <rgbColor rgb="FF993366"/>
      <rgbColor rgb="FF555555"/>
      <rgbColor rgb="FF1E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Portfolio Balance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DASHBOARD!D18</c:f>
              <c:strCache>
                <c:ptCount val="1"/>
                <c:pt idx="0">
                  <c:v>Taxable End</c:v>
                </c:pt>
              </c:strCache>
            </c:strRef>
          </c:tx>
          <c:spPr>
            <a:solidFill>
              <a:srgbClr val="e8b84b"/>
            </a:solidFill>
            <a:ln w="18000">
              <a:solidFill>
                <a:srgbClr val="e8b8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DASHBOARD!$C$19:$C$53</c:f>
              <c:strCache>
                <c:ptCount val="35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  <c:pt idx="19">
                  <c:v>71</c:v>
                </c:pt>
                <c:pt idx="20">
                  <c:v>72</c:v>
                </c:pt>
                <c:pt idx="21">
                  <c:v>73</c:v>
                </c:pt>
                <c:pt idx="22">
                  <c:v>74</c:v>
                </c:pt>
                <c:pt idx="23">
                  <c:v>75</c:v>
                </c:pt>
                <c:pt idx="24">
                  <c:v>76</c:v>
                </c:pt>
                <c:pt idx="25">
                  <c:v>77</c:v>
                </c:pt>
                <c:pt idx="26">
                  <c:v>78</c:v>
                </c:pt>
                <c:pt idx="27">
                  <c:v>79</c:v>
                </c:pt>
                <c:pt idx="28">
                  <c:v>80</c:v>
                </c:pt>
                <c:pt idx="29">
                  <c:v>81</c:v>
                </c:pt>
                <c:pt idx="30">
                  <c:v>82</c:v>
                </c:pt>
                <c:pt idx="31">
                  <c:v>83</c:v>
                </c:pt>
                <c:pt idx="32">
                  <c:v>84</c:v>
                </c:pt>
                <c:pt idx="33">
                  <c:v>85</c:v>
                </c:pt>
                <c:pt idx="34">
                  <c:v>86</c:v>
                </c:pt>
              </c:strCache>
            </c:strRef>
          </c:cat>
          <c:val>
            <c:numRef>
              <c:f>DASHBOARD!$D$19:$D$53</c:f>
              <c:numCache>
                <c:formatCode>\$#,##0;"($"#,##0\);\-</c:formatCode>
                <c:ptCount val="35"/>
                <c:pt idx="0">
                  <c:v>84000</c:v>
                </c:pt>
                <c:pt idx="1">
                  <c:v>45150</c:v>
                </c:pt>
                <c:pt idx="2">
                  <c:v>3281.25000000001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DASHBOARD!E18</c:f>
              <c:strCache>
                <c:ptCount val="1"/>
                <c:pt idx="0">
                  <c:v>401k End</c:v>
                </c:pt>
              </c:strCache>
            </c:strRef>
          </c:tx>
          <c:spPr>
            <a:solidFill>
              <a:srgbClr val="2dd4bf"/>
            </a:solidFill>
            <a:ln w="18000">
              <a:solidFill>
                <a:srgbClr val="2dd4b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DASHBOARD!$C$19:$C$53</c:f>
              <c:strCache>
                <c:ptCount val="35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  <c:pt idx="19">
                  <c:v>71</c:v>
                </c:pt>
                <c:pt idx="20">
                  <c:v>72</c:v>
                </c:pt>
                <c:pt idx="21">
                  <c:v>73</c:v>
                </c:pt>
                <c:pt idx="22">
                  <c:v>74</c:v>
                </c:pt>
                <c:pt idx="23">
                  <c:v>75</c:v>
                </c:pt>
                <c:pt idx="24">
                  <c:v>76</c:v>
                </c:pt>
                <c:pt idx="25">
                  <c:v>77</c:v>
                </c:pt>
                <c:pt idx="26">
                  <c:v>78</c:v>
                </c:pt>
                <c:pt idx="27">
                  <c:v>79</c:v>
                </c:pt>
                <c:pt idx="28">
                  <c:v>80</c:v>
                </c:pt>
                <c:pt idx="29">
                  <c:v>81</c:v>
                </c:pt>
                <c:pt idx="30">
                  <c:v>82</c:v>
                </c:pt>
                <c:pt idx="31">
                  <c:v>83</c:v>
                </c:pt>
                <c:pt idx="32">
                  <c:v>84</c:v>
                </c:pt>
                <c:pt idx="33">
                  <c:v>85</c:v>
                </c:pt>
                <c:pt idx="34">
                  <c:v>86</c:v>
                </c:pt>
              </c:strCache>
            </c:strRef>
          </c:cat>
          <c:val>
            <c:numRef>
              <c:f>DASHBOARD!$E$19:$E$53</c:f>
              <c:numCache>
                <c:formatCode>\$#,##0;"($"#,##0\);\-</c:formatCode>
                <c:ptCount val="35"/>
                <c:pt idx="0">
                  <c:v>682500</c:v>
                </c:pt>
                <c:pt idx="1">
                  <c:v>716625</c:v>
                </c:pt>
                <c:pt idx="2">
                  <c:v>752456.25</c:v>
                </c:pt>
                <c:pt idx="3">
                  <c:v>790079.0625</c:v>
                </c:pt>
                <c:pt idx="4">
                  <c:v>829583.015625</c:v>
                </c:pt>
                <c:pt idx="5">
                  <c:v>849406.517285156</c:v>
                </c:pt>
                <c:pt idx="6">
                  <c:v>843169.719584473</c:v>
                </c:pt>
                <c:pt idx="7">
                  <c:v>835403.403909632</c:v>
                </c:pt>
                <c:pt idx="8">
                  <c:v>826000.652409697</c:v>
                </c:pt>
                <c:pt idx="9">
                  <c:v>814848.44029238</c:v>
                </c:pt>
                <c:pt idx="10">
                  <c:v>801827.311450752</c:v>
                </c:pt>
                <c:pt idx="11">
                  <c:v>786811.037395636</c:v>
                </c:pt>
                <c:pt idx="12">
                  <c:v>769666.258647074</c:v>
                </c:pt>
                <c:pt idx="13">
                  <c:v>750252.107695624</c:v>
                </c:pt>
                <c:pt idx="14">
                  <c:v>728419.812599507</c:v>
                </c:pt>
                <c:pt idx="15">
                  <c:v>704012.280236562</c:v>
                </c:pt>
                <c:pt idx="16">
                  <c:v>718156.792475965</c:v>
                </c:pt>
                <c:pt idx="17">
                  <c:v>732482.127783027</c:v>
                </c:pt>
                <c:pt idx="18">
                  <c:v>746984.167247523</c:v>
                </c:pt>
                <c:pt idx="19">
                  <c:v>761658.257012129</c:v>
                </c:pt>
                <c:pt idx="20">
                  <c:v>776499.17330002</c:v>
                </c:pt>
                <c:pt idx="21">
                  <c:v>791501.085488237</c:v>
                </c:pt>
                <c:pt idx="22">
                  <c:v>806657.517123947</c:v>
                </c:pt>
                <c:pt idx="23">
                  <c:v>821961.304775473</c:v>
                </c:pt>
                <c:pt idx="24">
                  <c:v>837404.55460446</c:v>
                </c:pt>
                <c:pt idx="25">
                  <c:v>852978.596539651</c:v>
                </c:pt>
                <c:pt idx="26">
                  <c:v>868673.935926726</c:v>
                </c:pt>
                <c:pt idx="27">
                  <c:v>884480.202522157</c:v>
                </c:pt>
                <c:pt idx="28">
                  <c:v>900386.096692337</c:v>
                </c:pt>
                <c:pt idx="29">
                  <c:v>916379.332672128</c:v>
                </c:pt>
                <c:pt idx="30">
                  <c:v>932446.578729538</c:v>
                </c:pt>
                <c:pt idx="31">
                  <c:v>948573.394075413</c:v>
                </c:pt>
                <c:pt idx="32">
                  <c:v>964744.162348817</c:v>
                </c:pt>
                <c:pt idx="33">
                  <c:v>980942.021500132</c:v>
                </c:pt>
                <c:pt idx="34">
                  <c:v>997148.789884859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DASHBOARD!F18</c:f>
              <c:strCache>
                <c:ptCount val="1"/>
                <c:pt idx="0">
                  <c:v>Roth End</c:v>
                </c:pt>
              </c:strCache>
            </c:strRef>
          </c:tx>
          <c:spPr>
            <a:solidFill>
              <a:srgbClr val="4ade80"/>
            </a:solidFill>
            <a:ln w="18000">
              <a:solidFill>
                <a:srgbClr val="4ade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DASHBOARD!$C$19:$C$53</c:f>
              <c:strCache>
                <c:ptCount val="35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  <c:pt idx="19">
                  <c:v>71</c:v>
                </c:pt>
                <c:pt idx="20">
                  <c:v>72</c:v>
                </c:pt>
                <c:pt idx="21">
                  <c:v>73</c:v>
                </c:pt>
                <c:pt idx="22">
                  <c:v>74</c:v>
                </c:pt>
                <c:pt idx="23">
                  <c:v>75</c:v>
                </c:pt>
                <c:pt idx="24">
                  <c:v>76</c:v>
                </c:pt>
                <c:pt idx="25">
                  <c:v>77</c:v>
                </c:pt>
                <c:pt idx="26">
                  <c:v>78</c:v>
                </c:pt>
                <c:pt idx="27">
                  <c:v>79</c:v>
                </c:pt>
                <c:pt idx="28">
                  <c:v>80</c:v>
                </c:pt>
                <c:pt idx="29">
                  <c:v>81</c:v>
                </c:pt>
                <c:pt idx="30">
                  <c:v>82</c:v>
                </c:pt>
                <c:pt idx="31">
                  <c:v>83</c:v>
                </c:pt>
                <c:pt idx="32">
                  <c:v>84</c:v>
                </c:pt>
                <c:pt idx="33">
                  <c:v>85</c:v>
                </c:pt>
                <c:pt idx="34">
                  <c:v>86</c:v>
                </c:pt>
              </c:strCache>
            </c:strRef>
          </c:cat>
          <c:val>
            <c:numRef>
              <c:f>DASHBOARD!$F$19:$F$53</c:f>
              <c:numCache>
                <c:formatCode>\$#,##0;"($"#,##0\);\-</c:formatCode>
                <c:ptCount val="35"/>
                <c:pt idx="0">
                  <c:v>94500</c:v>
                </c:pt>
                <c:pt idx="1">
                  <c:v>99225</c:v>
                </c:pt>
                <c:pt idx="2">
                  <c:v>104186.25</c:v>
                </c:pt>
                <c:pt idx="3">
                  <c:v>67611.46875</c:v>
                </c:pt>
                <c:pt idx="4">
                  <c:v>24631.9007812501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DASHBOARD!G18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78bfa"/>
            </a:solidFill>
            <a:ln w="18000">
              <a:solidFill>
                <a:srgbClr val="a78bf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DASHBOARD!$C$19:$C$53</c:f>
              <c:strCache>
                <c:ptCount val="35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  <c:pt idx="19">
                  <c:v>71</c:v>
                </c:pt>
                <c:pt idx="20">
                  <c:v>72</c:v>
                </c:pt>
                <c:pt idx="21">
                  <c:v>73</c:v>
                </c:pt>
                <c:pt idx="22">
                  <c:v>74</c:v>
                </c:pt>
                <c:pt idx="23">
                  <c:v>75</c:v>
                </c:pt>
                <c:pt idx="24">
                  <c:v>76</c:v>
                </c:pt>
                <c:pt idx="25">
                  <c:v>77</c:v>
                </c:pt>
                <c:pt idx="26">
                  <c:v>78</c:v>
                </c:pt>
                <c:pt idx="27">
                  <c:v>79</c:v>
                </c:pt>
                <c:pt idx="28">
                  <c:v>80</c:v>
                </c:pt>
                <c:pt idx="29">
                  <c:v>81</c:v>
                </c:pt>
                <c:pt idx="30">
                  <c:v>82</c:v>
                </c:pt>
                <c:pt idx="31">
                  <c:v>83</c:v>
                </c:pt>
                <c:pt idx="32">
                  <c:v>84</c:v>
                </c:pt>
                <c:pt idx="33">
                  <c:v>85</c:v>
                </c:pt>
                <c:pt idx="34">
                  <c:v>86</c:v>
                </c:pt>
              </c:strCache>
            </c:strRef>
          </c:cat>
          <c:val>
            <c:numRef>
              <c:f>DASHBOARD!$G$19:$G$53</c:f>
              <c:numCache>
                <c:formatCode>\$#,##0;"($"#,##0\);\-</c:formatCode>
                <c:ptCount val="35"/>
                <c:pt idx="0">
                  <c:v>861000</c:v>
                </c:pt>
                <c:pt idx="1">
                  <c:v>861000</c:v>
                </c:pt>
                <c:pt idx="2">
                  <c:v>859923.75</c:v>
                </c:pt>
                <c:pt idx="3">
                  <c:v>857690.53125</c:v>
                </c:pt>
                <c:pt idx="4">
                  <c:v>854214.91640625</c:v>
                </c:pt>
                <c:pt idx="5">
                  <c:v>849406.517285156</c:v>
                </c:pt>
                <c:pt idx="6">
                  <c:v>843169.719584473</c:v>
                </c:pt>
                <c:pt idx="7">
                  <c:v>835403.403909632</c:v>
                </c:pt>
                <c:pt idx="8">
                  <c:v>826000.652409697</c:v>
                </c:pt>
                <c:pt idx="9">
                  <c:v>814848.44029238</c:v>
                </c:pt>
                <c:pt idx="10">
                  <c:v>801827.311450752</c:v>
                </c:pt>
                <c:pt idx="11">
                  <c:v>786811.037395636</c:v>
                </c:pt>
                <c:pt idx="12">
                  <c:v>769666.258647074</c:v>
                </c:pt>
                <c:pt idx="13">
                  <c:v>750252.107695624</c:v>
                </c:pt>
                <c:pt idx="14">
                  <c:v>728419.812599507</c:v>
                </c:pt>
                <c:pt idx="15">
                  <c:v>704012.280236562</c:v>
                </c:pt>
                <c:pt idx="16">
                  <c:v>718156.792475965</c:v>
                </c:pt>
                <c:pt idx="17">
                  <c:v>732482.127783027</c:v>
                </c:pt>
                <c:pt idx="18">
                  <c:v>746984.167247523</c:v>
                </c:pt>
                <c:pt idx="19">
                  <c:v>761658.257012129</c:v>
                </c:pt>
                <c:pt idx="20">
                  <c:v>776499.17330002</c:v>
                </c:pt>
                <c:pt idx="21">
                  <c:v>791501.085488237</c:v>
                </c:pt>
                <c:pt idx="22">
                  <c:v>806657.517123947</c:v>
                </c:pt>
                <c:pt idx="23">
                  <c:v>821961.304775473</c:v>
                </c:pt>
                <c:pt idx="24">
                  <c:v>837404.55460446</c:v>
                </c:pt>
                <c:pt idx="25">
                  <c:v>852978.596539651</c:v>
                </c:pt>
                <c:pt idx="26">
                  <c:v>868673.935926726</c:v>
                </c:pt>
                <c:pt idx="27">
                  <c:v>884480.202522157</c:v>
                </c:pt>
                <c:pt idx="28">
                  <c:v>900386.096692337</c:v>
                </c:pt>
                <c:pt idx="29">
                  <c:v>916379.332672128</c:v>
                </c:pt>
                <c:pt idx="30">
                  <c:v>932446.578729538</c:v>
                </c:pt>
                <c:pt idx="31">
                  <c:v>948573.394075413</c:v>
                </c:pt>
                <c:pt idx="32">
                  <c:v>964744.162348817</c:v>
                </c:pt>
                <c:pt idx="33">
                  <c:v>980942.021500132</c:v>
                </c:pt>
                <c:pt idx="34">
                  <c:v>997148.789884859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058981"/>
        <c:axId val="37701400"/>
      </c:lineChart>
      <c:catAx>
        <c:axId val="93058981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7701400"/>
        <c:crosses val="autoZero"/>
        <c:auto val="1"/>
        <c:lblAlgn val="ctr"/>
        <c:lblOffset val="100"/>
        <c:noMultiLvlLbl val="0"/>
      </c:catAx>
      <c:valAx>
        <c:axId val="3770140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;&quot;($&quot;#,##0\);\-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30589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Annual Withdrawal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DASHBOARD!H18</c:f>
              <c:strCache>
                <c:ptCount val="1"/>
                <c:pt idx="0">
                  <c:v>Withdrawal</c:v>
                </c:pt>
              </c:strCache>
            </c:strRef>
          </c:tx>
          <c:spPr>
            <a:solidFill>
              <a:srgbClr val="e8b84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DASHBOARD!$C$19:$C$53</c:f>
              <c:strCache>
                <c:ptCount val="35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  <c:pt idx="19">
                  <c:v>71</c:v>
                </c:pt>
                <c:pt idx="20">
                  <c:v>72</c:v>
                </c:pt>
                <c:pt idx="21">
                  <c:v>73</c:v>
                </c:pt>
                <c:pt idx="22">
                  <c:v>74</c:v>
                </c:pt>
                <c:pt idx="23">
                  <c:v>75</c:v>
                </c:pt>
                <c:pt idx="24">
                  <c:v>76</c:v>
                </c:pt>
                <c:pt idx="25">
                  <c:v>77</c:v>
                </c:pt>
                <c:pt idx="26">
                  <c:v>78</c:v>
                </c:pt>
                <c:pt idx="27">
                  <c:v>79</c:v>
                </c:pt>
                <c:pt idx="28">
                  <c:v>80</c:v>
                </c:pt>
                <c:pt idx="29">
                  <c:v>81</c:v>
                </c:pt>
                <c:pt idx="30">
                  <c:v>82</c:v>
                </c:pt>
                <c:pt idx="31">
                  <c:v>83</c:v>
                </c:pt>
                <c:pt idx="32">
                  <c:v>84</c:v>
                </c:pt>
                <c:pt idx="33">
                  <c:v>85</c:v>
                </c:pt>
                <c:pt idx="34">
                  <c:v>86</c:v>
                </c:pt>
              </c:strCache>
            </c:strRef>
          </c:cat>
          <c:val>
            <c:numRef>
              <c:f>DASHBOARD!$H$19:$H$53</c:f>
              <c:numCache>
                <c:formatCode>\$#,##0;"($"#,##0\);\-</c:formatCode>
                <c:ptCount val="35"/>
                <c:pt idx="0">
                  <c:v>40000</c:v>
                </c:pt>
                <c:pt idx="1">
                  <c:v>41000</c:v>
                </c:pt>
                <c:pt idx="2">
                  <c:v>42025</c:v>
                </c:pt>
                <c:pt idx="3">
                  <c:v>43075.625</c:v>
                </c:pt>
                <c:pt idx="4">
                  <c:v>44152.515625</c:v>
                </c:pt>
                <c:pt idx="5">
                  <c:v>45256.328515625</c:v>
                </c:pt>
                <c:pt idx="6">
                  <c:v>46387.7367285156</c:v>
                </c:pt>
                <c:pt idx="7">
                  <c:v>47547.4301467285</c:v>
                </c:pt>
                <c:pt idx="8">
                  <c:v>48736.1159003967</c:v>
                </c:pt>
                <c:pt idx="9">
                  <c:v>49954.5187979066</c:v>
                </c:pt>
                <c:pt idx="10">
                  <c:v>51203.3817678543</c:v>
                </c:pt>
                <c:pt idx="11">
                  <c:v>52483.4663120506</c:v>
                </c:pt>
                <c:pt idx="12">
                  <c:v>53795.5529698519</c:v>
                </c:pt>
                <c:pt idx="13">
                  <c:v>55140.4417940982</c:v>
                </c:pt>
                <c:pt idx="14">
                  <c:v>56518.9528389506</c:v>
                </c:pt>
                <c:pt idx="15">
                  <c:v>57931.9266599244</c:v>
                </c:pt>
                <c:pt idx="16">
                  <c:v>20053.430259453</c:v>
                </c:pt>
                <c:pt idx="17">
                  <c:v>20554.7660159393</c:v>
                </c:pt>
                <c:pt idx="18">
                  <c:v>21068.6351663378</c:v>
                </c:pt>
                <c:pt idx="19">
                  <c:v>21595.3510454963</c:v>
                </c:pt>
                <c:pt idx="20">
                  <c:v>22135.2348216337</c:v>
                </c:pt>
                <c:pt idx="21">
                  <c:v>22688.6156921745</c:v>
                </c:pt>
                <c:pt idx="22">
                  <c:v>23255.8310844789</c:v>
                </c:pt>
                <c:pt idx="23">
                  <c:v>23837.2268615908</c:v>
                </c:pt>
                <c:pt idx="24">
                  <c:v>24433.1575331306</c:v>
                </c:pt>
                <c:pt idx="25">
                  <c:v>25043.9864714589</c:v>
                </c:pt>
                <c:pt idx="26">
                  <c:v>25670.0861332454</c:v>
                </c:pt>
                <c:pt idx="27">
                  <c:v>26311.8382865765</c:v>
                </c:pt>
                <c:pt idx="28">
                  <c:v>26969.6342437409</c:v>
                </c:pt>
                <c:pt idx="29">
                  <c:v>27643.8750998344</c:v>
                </c:pt>
                <c:pt idx="30">
                  <c:v>28334.9719773303</c:v>
                </c:pt>
                <c:pt idx="31">
                  <c:v>29043.3462767635</c:v>
                </c:pt>
                <c:pt idx="32">
                  <c:v>29769.4299336826</c:v>
                </c:pt>
                <c:pt idx="33">
                  <c:v>30513.6656820247</c:v>
                </c:pt>
                <c:pt idx="34">
                  <c:v>31276.5073240753</c:v>
                </c:pt>
              </c:numCache>
            </c:numRef>
          </c:val>
        </c:ser>
        <c:gapWidth val="150"/>
        <c:overlap val="0"/>
        <c:axId val="5217386"/>
        <c:axId val="33082735"/>
      </c:barChart>
      <c:catAx>
        <c:axId val="5217386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3082735"/>
        <c:crosses val="autoZero"/>
        <c:auto val="1"/>
        <c:lblAlgn val="ctr"/>
        <c:lblOffset val="100"/>
        <c:noMultiLvlLbl val="0"/>
      </c:catAx>
      <c:valAx>
        <c:axId val="3308273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;&quot;($&quot;#,##0\);\-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2173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54</xdr:row>
      <xdr:rowOff>0</xdr:rowOff>
    </xdr:from>
    <xdr:to>
      <xdr:col>8</xdr:col>
      <xdr:colOff>24840</xdr:colOff>
      <xdr:row>70</xdr:row>
      <xdr:rowOff>301680</xdr:rowOff>
    </xdr:to>
    <xdr:graphicFrame>
      <xdr:nvGraphicFramePr>
        <xdr:cNvPr id="0" name="Chart 1"/>
        <xdr:cNvGraphicFramePr/>
      </xdr:nvGraphicFramePr>
      <xdr:xfrm>
        <a:off x="211320" y="11829960"/>
        <a:ext cx="791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54</xdr:row>
      <xdr:rowOff>0</xdr:rowOff>
    </xdr:from>
    <xdr:to>
      <xdr:col>15</xdr:col>
      <xdr:colOff>269280</xdr:colOff>
      <xdr:row>70</xdr:row>
      <xdr:rowOff>301680</xdr:rowOff>
    </xdr:to>
    <xdr:graphicFrame>
      <xdr:nvGraphicFramePr>
        <xdr:cNvPr id="1" name="Chart 2"/>
        <xdr:cNvGraphicFramePr/>
      </xdr:nvGraphicFramePr>
      <xdr:xfrm>
        <a:off x="9092520" y="11829960"/>
        <a:ext cx="50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84B"/>
    <pageSetUpPr fitToPage="false"/>
  </sheetPr>
  <dimension ref="A1:N8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6" min="3" style="1" width="16"/>
    <col collapsed="false" customWidth="true" hidden="false" outlineLevel="0" max="13" min="7" style="1" width="14"/>
    <col collapsed="false" customWidth="true" hidden="false" outlineLevel="0" max="14" min="14" style="1" width="3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9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8" hidden="false" customHeight="true" outlineLevel="0" collapsed="false"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8" hidden="false" customHeight="true" outlineLevel="0" collapsed="false">
      <c r="B5" s="6" t="s">
        <v>4</v>
      </c>
      <c r="C5" s="6"/>
      <c r="D5" s="6"/>
      <c r="E5" s="7" t="s">
        <v>5</v>
      </c>
      <c r="F5" s="7"/>
      <c r="G5" s="7"/>
      <c r="H5" s="8" t="s">
        <v>6</v>
      </c>
      <c r="I5" s="8"/>
      <c r="J5" s="8"/>
      <c r="K5" s="9" t="s">
        <v>7</v>
      </c>
      <c r="L5" s="9"/>
      <c r="M5" s="9"/>
    </row>
    <row r="6" customFormat="false" ht="18" hidden="false" customHeight="true" outlineLevel="0" collapsed="false">
      <c r="B6" s="10" t="n">
        <f aca="false">INPUTS!B11+INPUTS!B12+INPUTS!B13</f>
        <v>860000</v>
      </c>
      <c r="C6" s="10"/>
      <c r="D6" s="10"/>
      <c r="E6" s="11" t="n">
        <f aca="false">INPUTS!B24-INPUTS!B5</f>
        <v>7.5</v>
      </c>
      <c r="F6" s="11"/>
      <c r="G6" s="11"/>
      <c r="H6" s="12" t="n">
        <f aca="false">INPUTS!B17</f>
        <v>40000</v>
      </c>
      <c r="I6" s="12"/>
      <c r="J6" s="12"/>
      <c r="K6" s="13" t="n">
        <f aca="false">INPUTS!E4</f>
        <v>2030</v>
      </c>
      <c r="L6" s="13"/>
      <c r="M6" s="13"/>
    </row>
    <row r="7" customFormat="false" ht="18" hidden="false" customHeight="true" outlineLevel="0" collapsed="false">
      <c r="B7" s="10"/>
      <c r="C7" s="10"/>
      <c r="D7" s="10"/>
      <c r="E7" s="11"/>
      <c r="F7" s="11"/>
      <c r="G7" s="11"/>
      <c r="H7" s="12"/>
      <c r="I7" s="12"/>
      <c r="J7" s="12"/>
      <c r="K7" s="13"/>
      <c r="L7" s="13"/>
      <c r="M7" s="13"/>
    </row>
    <row r="8" customFormat="false" ht="18" hidden="false" customHeight="true" outlineLevel="0" collapsed="false">
      <c r="B8" s="14" t="s">
        <v>8</v>
      </c>
      <c r="C8" s="14"/>
      <c r="D8" s="14"/>
      <c r="E8" s="14" t="s">
        <v>9</v>
      </c>
      <c r="F8" s="14"/>
      <c r="G8" s="14"/>
      <c r="H8" s="14" t="s">
        <v>10</v>
      </c>
      <c r="I8" s="14"/>
      <c r="J8" s="14"/>
      <c r="K8" s="14" t="s">
        <v>11</v>
      </c>
      <c r="L8" s="14"/>
      <c r="M8" s="14"/>
    </row>
    <row r="9" customFormat="false" ht="18" hidden="false" customHeight="true" outlineLevel="0" collapsed="false"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customFormat="false" ht="19.5" hidden="false" customHeight="true" outlineLevel="0" collapsed="false">
      <c r="B10" s="5" t="s">
        <v>12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false" ht="19.5" hidden="false" customHeight="true" outlineLevel="0" collapsed="false">
      <c r="B11" s="15" t="s">
        <v>13</v>
      </c>
      <c r="C11" s="15"/>
      <c r="D11" s="15"/>
      <c r="E11" s="16" t="str">
        <f aca="false">IF(INPUTS!B11&gt;=(INPUTS!B17*(INPUTS!B24-INPUTS!B5)),"✅  FUNDED — Taxable covers all bridge years","⚠️  GAP — Review Roth contributions or Rule 72(t)")</f>
        <v>⚠️  GAP — Review Roth contributions or Rule 72(t)</v>
      </c>
      <c r="F11" s="16"/>
      <c r="G11" s="16"/>
      <c r="H11" s="16"/>
      <c r="I11" s="16"/>
      <c r="J11" s="16"/>
      <c r="K11" s="16"/>
      <c r="L11" s="16"/>
      <c r="M11" s="16"/>
      <c r="N11" s="16"/>
    </row>
    <row r="12" customFormat="false" ht="19.5" hidden="false" customHeight="true" outlineLevel="0" collapsed="false">
      <c r="B12" s="17" t="s">
        <v>14</v>
      </c>
      <c r="C12" s="17"/>
      <c r="D12" s="17"/>
      <c r="E12" s="18" t="str">
        <f aca="false">IFERROR(IF(PROJECTION!C41&gt;0,"✅  SOLVENT — Portfolio intact at life expectancy","❌  DEPLETED — Reduce spending or increase savings"),"✅  SOLVENT")</f>
        <v>✅  SOLVENT — Portfolio intact at life expectancy</v>
      </c>
      <c r="F12" s="18"/>
      <c r="G12" s="18"/>
      <c r="H12" s="18"/>
      <c r="I12" s="18"/>
      <c r="J12" s="18"/>
      <c r="K12" s="18"/>
      <c r="L12" s="18"/>
      <c r="M12" s="18"/>
      <c r="N12" s="18"/>
    </row>
    <row r="13" customFormat="false" ht="19.5" hidden="false" customHeight="true" outlineLevel="0" collapsed="false">
      <c r="B13" s="15" t="s">
        <v>15</v>
      </c>
      <c r="C13" s="15"/>
      <c r="D13" s="15"/>
      <c r="E13" s="16" t="str">
        <f aca="false">IF((INPUTS!B11+INPUTS!B12+INPUTS!B13)&gt;0,IF(INPUTS!B17/(INPUTS!B11+INPUTS!B12+INPUTS!B13)&lt;=0.04,"✅  SAFE — "&amp;TEXT(INPUTS!B17/(INPUTS!B11+INPUTS!B12+INPUTS!B13),"0.0%")&amp;" withdrawal rate","⚠️  HIGH — "&amp;TEXT(INPUTS!B17/(INPUTS!B11+INPUTS!B12+INPUTS!B13),"0.0%")&amp;" exceeds 4% guideline"),"-")</f>
        <v>⚠️  HIGH — 4.7% exceeds 4% guideline</v>
      </c>
      <c r="F13" s="16"/>
      <c r="G13" s="16"/>
      <c r="H13" s="16"/>
      <c r="I13" s="16"/>
      <c r="J13" s="16"/>
      <c r="K13" s="16"/>
      <c r="L13" s="16"/>
      <c r="M13" s="16"/>
      <c r="N13" s="16"/>
    </row>
    <row r="14" customFormat="false" ht="19.5" hidden="false" customHeight="true" outlineLevel="0" collapsed="false">
      <c r="B14" s="17" t="s">
        <v>16</v>
      </c>
      <c r="C14" s="17"/>
      <c r="D14" s="17"/>
      <c r="E14" s="18" t="str">
        <f aca="false">IF(INPUTS!B11&gt;(INPUTS!B17*5),"✅  LOW URGENCY — Strong taxable buffer","⚠️  REVIEW — Roth conversions recommended in low-income bridge years")</f>
        <v>⚠️  REVIEW — Roth conversions recommended in low-income bridge years</v>
      </c>
      <c r="F14" s="18"/>
      <c r="G14" s="18"/>
      <c r="H14" s="18"/>
      <c r="I14" s="18"/>
      <c r="J14" s="18"/>
      <c r="K14" s="18"/>
      <c r="L14" s="18"/>
      <c r="M14" s="18"/>
      <c r="N14" s="18"/>
    </row>
    <row r="15" customFormat="false" ht="19.5" hidden="false" customHeight="true" outlineLevel="0" collapsed="false">
      <c r="B15" s="15" t="s">
        <v>17</v>
      </c>
      <c r="C15" s="15"/>
      <c r="D15" s="15"/>
      <c r="E15" s="16" t="str">
        <f aca="false">IF(AND(INPUTS!B5&gt;INPUTS!B4,INPUTS!B6&gt;INPUTS!B5),"✅  VALID — All ages correctly sequenced","❌  ERROR — Check that retire age &gt; current age &gt; life expectancy")</f>
        <v>✅  VALID — All ages correctly sequenced</v>
      </c>
      <c r="F15" s="16"/>
      <c r="G15" s="16"/>
      <c r="H15" s="16"/>
      <c r="I15" s="16"/>
      <c r="J15" s="16"/>
      <c r="K15" s="16"/>
      <c r="L15" s="16"/>
      <c r="M15" s="16"/>
      <c r="N15" s="16"/>
    </row>
    <row r="16" customFormat="false" ht="19.5" hidden="false" customHeight="true" outlineLevel="0" collapsed="false">
      <c r="B16" s="17" t="s">
        <v>18</v>
      </c>
      <c r="C16" s="17"/>
      <c r="D16" s="17"/>
      <c r="E16" s="18" t="str">
        <f aca="false">IF(INPUTS!B11&gt;=(INPUTS!B17*2),"✅  BUFFERED — 2+ years cash equivalent in taxable","⚠️  RISK — Consider holding 1-2 years spending in cash/bonds")</f>
        <v>✅  BUFFERED — 2+ years cash equivalent in taxable</v>
      </c>
      <c r="F16" s="18"/>
      <c r="G16" s="18"/>
      <c r="H16" s="18"/>
      <c r="I16" s="18"/>
      <c r="J16" s="18"/>
      <c r="K16" s="18"/>
      <c r="L16" s="18"/>
      <c r="M16" s="18"/>
      <c r="N16" s="18"/>
    </row>
    <row r="17" customFormat="false" ht="19.5" hidden="false" customHeight="true" outlineLevel="0" collapsed="false">
      <c r="B17" s="5" t="s">
        <v>19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18" hidden="false" customHeight="true" outlineLevel="0" collapsed="false">
      <c r="B18" s="19" t="s">
        <v>20</v>
      </c>
      <c r="C18" s="19" t="s">
        <v>21</v>
      </c>
      <c r="D18" s="19" t="s">
        <v>22</v>
      </c>
      <c r="E18" s="19" t="s">
        <v>23</v>
      </c>
      <c r="F18" s="19" t="s">
        <v>24</v>
      </c>
      <c r="G18" s="19" t="s">
        <v>25</v>
      </c>
      <c r="H18" s="19" t="s">
        <v>26</v>
      </c>
      <c r="I18" s="19" t="s">
        <v>27</v>
      </c>
    </row>
    <row r="19" customFormat="false" ht="15.75" hidden="false" customHeight="true" outlineLevel="0" collapsed="false">
      <c r="B19" s="20" t="n">
        <f aca="false">'BRIDGE CLEAN'!A4</f>
        <v>2030</v>
      </c>
      <c r="C19" s="20" t="n">
        <f aca="false">'BRIDGE CLEAN'!B4</f>
        <v>52</v>
      </c>
      <c r="D19" s="21" t="n">
        <f aca="false">'BRIDGE CLEAN'!G4</f>
        <v>84000</v>
      </c>
      <c r="E19" s="21" t="n">
        <f aca="false">'BRIDGE CLEAN'!H4</f>
        <v>682500</v>
      </c>
      <c r="F19" s="21" t="n">
        <f aca="false">'BRIDGE CLEAN'!I4</f>
        <v>94500</v>
      </c>
      <c r="G19" s="21" t="n">
        <f aca="false">'BRIDGE CLEAN'!J4</f>
        <v>861000</v>
      </c>
      <c r="H19" s="21" t="n">
        <f aca="false">'BRIDGE CLEAN'!F4</f>
        <v>40000</v>
      </c>
      <c r="I19" s="22" t="s">
        <v>28</v>
      </c>
    </row>
    <row r="20" customFormat="false" ht="15.75" hidden="false" customHeight="true" outlineLevel="0" collapsed="false">
      <c r="B20" s="23" t="n">
        <f aca="false">'BRIDGE CLEAN'!A5</f>
        <v>2031</v>
      </c>
      <c r="C20" s="23" t="n">
        <f aca="false">'BRIDGE CLEAN'!B5</f>
        <v>53</v>
      </c>
      <c r="D20" s="24" t="n">
        <f aca="false">'BRIDGE CLEAN'!G5</f>
        <v>45150</v>
      </c>
      <c r="E20" s="24" t="n">
        <f aca="false">'BRIDGE CLEAN'!H5</f>
        <v>716625</v>
      </c>
      <c r="F20" s="24" t="n">
        <f aca="false">'BRIDGE CLEAN'!I5</f>
        <v>99225</v>
      </c>
      <c r="G20" s="24" t="n">
        <f aca="false">'BRIDGE CLEAN'!J5</f>
        <v>861000</v>
      </c>
      <c r="H20" s="24" t="n">
        <f aca="false">'BRIDGE CLEAN'!F5</f>
        <v>41000</v>
      </c>
      <c r="I20" s="25" t="s">
        <v>28</v>
      </c>
    </row>
    <row r="21" customFormat="false" ht="15.75" hidden="false" customHeight="true" outlineLevel="0" collapsed="false">
      <c r="B21" s="20" t="n">
        <f aca="false">'BRIDGE CLEAN'!A6</f>
        <v>2032</v>
      </c>
      <c r="C21" s="20" t="n">
        <f aca="false">'BRIDGE CLEAN'!B6</f>
        <v>54</v>
      </c>
      <c r="D21" s="21" t="n">
        <f aca="false">'BRIDGE CLEAN'!G6</f>
        <v>3281.25000000001</v>
      </c>
      <c r="E21" s="21" t="n">
        <f aca="false">'BRIDGE CLEAN'!H6</f>
        <v>752456.25</v>
      </c>
      <c r="F21" s="21" t="n">
        <f aca="false">'BRIDGE CLEAN'!I6</f>
        <v>104186.25</v>
      </c>
      <c r="G21" s="21" t="n">
        <f aca="false">'BRIDGE CLEAN'!J6</f>
        <v>859923.75</v>
      </c>
      <c r="H21" s="21" t="n">
        <f aca="false">'BRIDGE CLEAN'!F6</f>
        <v>42025</v>
      </c>
      <c r="I21" s="22" t="s">
        <v>28</v>
      </c>
    </row>
    <row r="22" customFormat="false" ht="15.75" hidden="false" customHeight="true" outlineLevel="0" collapsed="false">
      <c r="B22" s="23" t="n">
        <f aca="false">'BRIDGE CLEAN'!A7</f>
        <v>2033</v>
      </c>
      <c r="C22" s="23" t="n">
        <f aca="false">'BRIDGE CLEAN'!B7</f>
        <v>55</v>
      </c>
      <c r="D22" s="24" t="n">
        <f aca="false">'BRIDGE CLEAN'!G7</f>
        <v>0</v>
      </c>
      <c r="E22" s="24" t="n">
        <f aca="false">'BRIDGE CLEAN'!H7</f>
        <v>790079.0625</v>
      </c>
      <c r="F22" s="24" t="n">
        <f aca="false">'BRIDGE CLEAN'!I7</f>
        <v>67611.46875</v>
      </c>
      <c r="G22" s="24" t="n">
        <f aca="false">'BRIDGE CLEAN'!J7</f>
        <v>857690.53125</v>
      </c>
      <c r="H22" s="24" t="n">
        <f aca="false">'BRIDGE CLEAN'!F7</f>
        <v>43075.625</v>
      </c>
      <c r="I22" s="25" t="s">
        <v>28</v>
      </c>
    </row>
    <row r="23" customFormat="false" ht="15.75" hidden="false" customHeight="true" outlineLevel="0" collapsed="false">
      <c r="B23" s="20" t="n">
        <f aca="false">'BRIDGE CLEAN'!A8</f>
        <v>2034</v>
      </c>
      <c r="C23" s="20" t="n">
        <f aca="false">'BRIDGE CLEAN'!B8</f>
        <v>56</v>
      </c>
      <c r="D23" s="21" t="n">
        <f aca="false">'BRIDGE CLEAN'!G8</f>
        <v>0</v>
      </c>
      <c r="E23" s="21" t="n">
        <f aca="false">'BRIDGE CLEAN'!H8</f>
        <v>829583.015625</v>
      </c>
      <c r="F23" s="21" t="n">
        <f aca="false">'BRIDGE CLEAN'!I8</f>
        <v>24631.9007812501</v>
      </c>
      <c r="G23" s="21" t="n">
        <f aca="false">'BRIDGE CLEAN'!J8</f>
        <v>854214.91640625</v>
      </c>
      <c r="H23" s="21" t="n">
        <f aca="false">'BRIDGE CLEAN'!F8</f>
        <v>44152.515625</v>
      </c>
      <c r="I23" s="22" t="s">
        <v>28</v>
      </c>
    </row>
    <row r="24" customFormat="false" ht="15.75" hidden="false" customHeight="true" outlineLevel="0" collapsed="false">
      <c r="B24" s="23" t="n">
        <f aca="false">'BRIDGE CLEAN'!A9</f>
        <v>2035</v>
      </c>
      <c r="C24" s="23" t="n">
        <f aca="false">'BRIDGE CLEAN'!B9</f>
        <v>57</v>
      </c>
      <c r="D24" s="24" t="n">
        <f aca="false">'BRIDGE CLEAN'!G9</f>
        <v>0</v>
      </c>
      <c r="E24" s="24" t="n">
        <f aca="false">'BRIDGE CLEAN'!H9</f>
        <v>849406.517285156</v>
      </c>
      <c r="F24" s="24" t="n">
        <f aca="false">'BRIDGE CLEAN'!I9</f>
        <v>0</v>
      </c>
      <c r="G24" s="24" t="n">
        <f aca="false">'BRIDGE CLEAN'!J9</f>
        <v>849406.517285156</v>
      </c>
      <c r="H24" s="24" t="n">
        <f aca="false">'BRIDGE CLEAN'!F9</f>
        <v>45256.328515625</v>
      </c>
      <c r="I24" s="25" t="s">
        <v>28</v>
      </c>
    </row>
    <row r="25" customFormat="false" ht="15.75" hidden="false" customHeight="true" outlineLevel="0" collapsed="false">
      <c r="B25" s="20" t="n">
        <f aca="false">'BRIDGE CLEAN'!A10</f>
        <v>2036</v>
      </c>
      <c r="C25" s="20" t="n">
        <f aca="false">'BRIDGE CLEAN'!B10</f>
        <v>58</v>
      </c>
      <c r="D25" s="21" t="n">
        <f aca="false">'BRIDGE CLEAN'!G10</f>
        <v>0</v>
      </c>
      <c r="E25" s="21" t="n">
        <f aca="false">'BRIDGE CLEAN'!H10</f>
        <v>843169.719584473</v>
      </c>
      <c r="F25" s="21" t="n">
        <f aca="false">'BRIDGE CLEAN'!I10</f>
        <v>0</v>
      </c>
      <c r="G25" s="21" t="n">
        <f aca="false">'BRIDGE CLEAN'!J10</f>
        <v>843169.719584473</v>
      </c>
      <c r="H25" s="21" t="n">
        <f aca="false">'BRIDGE CLEAN'!F10</f>
        <v>46387.7367285156</v>
      </c>
      <c r="I25" s="22" t="s">
        <v>28</v>
      </c>
    </row>
    <row r="26" customFormat="false" ht="15.75" hidden="false" customHeight="true" outlineLevel="0" collapsed="false">
      <c r="B26" s="23" t="n">
        <f aca="false">'BRIDGE CLEAN'!A11</f>
        <v>2037</v>
      </c>
      <c r="C26" s="23" t="n">
        <f aca="false">'BRIDGE CLEAN'!B11</f>
        <v>59</v>
      </c>
      <c r="D26" s="24" t="n">
        <f aca="false">'BRIDGE CLEAN'!G11</f>
        <v>0</v>
      </c>
      <c r="E26" s="24" t="n">
        <f aca="false">'BRIDGE CLEAN'!H11</f>
        <v>835403.403909632</v>
      </c>
      <c r="F26" s="24" t="n">
        <f aca="false">'BRIDGE CLEAN'!I11</f>
        <v>0</v>
      </c>
      <c r="G26" s="24" t="n">
        <f aca="false">'BRIDGE CLEAN'!J11</f>
        <v>835403.403909632</v>
      </c>
      <c r="H26" s="24" t="n">
        <f aca="false">'BRIDGE CLEAN'!F11</f>
        <v>47547.4301467285</v>
      </c>
      <c r="I26" s="25" t="s">
        <v>28</v>
      </c>
    </row>
    <row r="27" customFormat="false" ht="15.75" hidden="false" customHeight="true" outlineLevel="0" collapsed="false">
      <c r="B27" s="26" t="n">
        <f aca="false">'POST-59.5'!A4</f>
        <v>2038</v>
      </c>
      <c r="C27" s="26" t="n">
        <f aca="false">'POST-59.5'!B4</f>
        <v>59.5</v>
      </c>
      <c r="D27" s="21" t="n">
        <f aca="false">'POST-59.5'!G4</f>
        <v>0</v>
      </c>
      <c r="E27" s="21" t="n">
        <f aca="false">'POST-59.5'!H4</f>
        <v>826000.652409697</v>
      </c>
      <c r="F27" s="21" t="n">
        <f aca="false">'POST-59.5'!I4</f>
        <v>0</v>
      </c>
      <c r="G27" s="21" t="n">
        <f aca="false">'POST-59.5'!J4</f>
        <v>826000.652409697</v>
      </c>
      <c r="H27" s="21" t="n">
        <f aca="false">'POST-59.5'!F4</f>
        <v>48736.1159003967</v>
      </c>
      <c r="I27" s="22" t="str">
        <f aca="false">IF('POST-59.5'!B4&gt;=INPUTS!B7,"Post-SS","Post-59½")</f>
        <v>Post-59½</v>
      </c>
    </row>
    <row r="28" customFormat="false" ht="15.75" hidden="false" customHeight="true" outlineLevel="0" collapsed="false">
      <c r="B28" s="27" t="n">
        <f aca="false">'POST-59.5'!A5</f>
        <v>2039</v>
      </c>
      <c r="C28" s="27" t="n">
        <f aca="false">'POST-59.5'!B5</f>
        <v>60.5</v>
      </c>
      <c r="D28" s="24" t="n">
        <f aca="false">'POST-59.5'!G5</f>
        <v>0</v>
      </c>
      <c r="E28" s="24" t="n">
        <f aca="false">'POST-59.5'!H5</f>
        <v>814848.44029238</v>
      </c>
      <c r="F28" s="24" t="n">
        <f aca="false">'POST-59.5'!I5</f>
        <v>0</v>
      </c>
      <c r="G28" s="24" t="n">
        <f aca="false">'POST-59.5'!J5</f>
        <v>814848.44029238</v>
      </c>
      <c r="H28" s="24" t="n">
        <f aca="false">'POST-59.5'!F5</f>
        <v>49954.5187979066</v>
      </c>
      <c r="I28" s="25" t="str">
        <f aca="false">IF('POST-59.5'!B5&gt;=INPUTS!B7,"Post-SS","Post-59½")</f>
        <v>Post-59½</v>
      </c>
    </row>
    <row r="29" customFormat="false" ht="15.75" hidden="false" customHeight="true" outlineLevel="0" collapsed="false">
      <c r="B29" s="26" t="n">
        <f aca="false">'POST-59.5'!A6</f>
        <v>2040</v>
      </c>
      <c r="C29" s="26" t="n">
        <f aca="false">'POST-59.5'!B6</f>
        <v>61.5</v>
      </c>
      <c r="D29" s="21" t="n">
        <f aca="false">'POST-59.5'!G6</f>
        <v>0</v>
      </c>
      <c r="E29" s="21" t="n">
        <f aca="false">'POST-59.5'!H6</f>
        <v>801827.311450752</v>
      </c>
      <c r="F29" s="21" t="n">
        <f aca="false">'POST-59.5'!I6</f>
        <v>0</v>
      </c>
      <c r="G29" s="21" t="n">
        <f aca="false">'POST-59.5'!J6</f>
        <v>801827.311450752</v>
      </c>
      <c r="H29" s="21" t="n">
        <f aca="false">'POST-59.5'!F6</f>
        <v>51203.3817678543</v>
      </c>
      <c r="I29" s="22" t="str">
        <f aca="false">IF('POST-59.5'!B6&gt;=INPUTS!B7,"Post-SS","Post-59½")</f>
        <v>Post-59½</v>
      </c>
    </row>
    <row r="30" customFormat="false" ht="15.75" hidden="false" customHeight="true" outlineLevel="0" collapsed="false">
      <c r="B30" s="27" t="n">
        <f aca="false">'POST-59.5'!A7</f>
        <v>2041</v>
      </c>
      <c r="C30" s="27" t="n">
        <f aca="false">'POST-59.5'!B7</f>
        <v>62.5</v>
      </c>
      <c r="D30" s="24" t="n">
        <f aca="false">'POST-59.5'!G7</f>
        <v>0</v>
      </c>
      <c r="E30" s="24" t="n">
        <f aca="false">'POST-59.5'!H7</f>
        <v>786811.037395636</v>
      </c>
      <c r="F30" s="24" t="n">
        <f aca="false">'POST-59.5'!I7</f>
        <v>0</v>
      </c>
      <c r="G30" s="24" t="n">
        <f aca="false">'POST-59.5'!J7</f>
        <v>786811.037395636</v>
      </c>
      <c r="H30" s="24" t="n">
        <f aca="false">'POST-59.5'!F7</f>
        <v>52483.4663120506</v>
      </c>
      <c r="I30" s="25" t="str">
        <f aca="false">IF('POST-59.5'!B7&gt;=INPUTS!B7,"Post-SS","Post-59½")</f>
        <v>Post-59½</v>
      </c>
    </row>
    <row r="31" customFormat="false" ht="15.75" hidden="false" customHeight="true" outlineLevel="0" collapsed="false">
      <c r="B31" s="26" t="n">
        <f aca="false">'POST-59.5'!A8</f>
        <v>2042</v>
      </c>
      <c r="C31" s="26" t="n">
        <f aca="false">'POST-59.5'!B8</f>
        <v>63.5</v>
      </c>
      <c r="D31" s="21" t="n">
        <f aca="false">'POST-59.5'!G8</f>
        <v>0</v>
      </c>
      <c r="E31" s="21" t="n">
        <f aca="false">'POST-59.5'!H8</f>
        <v>769666.258647074</v>
      </c>
      <c r="F31" s="21" t="n">
        <f aca="false">'POST-59.5'!I8</f>
        <v>0</v>
      </c>
      <c r="G31" s="21" t="n">
        <f aca="false">'POST-59.5'!J8</f>
        <v>769666.258647074</v>
      </c>
      <c r="H31" s="21" t="n">
        <f aca="false">'POST-59.5'!F8</f>
        <v>53795.5529698519</v>
      </c>
      <c r="I31" s="22" t="str">
        <f aca="false">IF('POST-59.5'!B8&gt;=INPUTS!B7,"Post-SS","Post-59½")</f>
        <v>Post-59½</v>
      </c>
    </row>
    <row r="32" customFormat="false" ht="15.75" hidden="false" customHeight="true" outlineLevel="0" collapsed="false">
      <c r="B32" s="27" t="n">
        <f aca="false">'POST-59.5'!A9</f>
        <v>2043</v>
      </c>
      <c r="C32" s="27" t="n">
        <f aca="false">'POST-59.5'!B9</f>
        <v>64.5</v>
      </c>
      <c r="D32" s="24" t="n">
        <f aca="false">'POST-59.5'!G9</f>
        <v>0</v>
      </c>
      <c r="E32" s="24" t="n">
        <f aca="false">'POST-59.5'!H9</f>
        <v>750252.107695624</v>
      </c>
      <c r="F32" s="24" t="n">
        <f aca="false">'POST-59.5'!I9</f>
        <v>0</v>
      </c>
      <c r="G32" s="24" t="n">
        <f aca="false">'POST-59.5'!J9</f>
        <v>750252.107695624</v>
      </c>
      <c r="H32" s="24" t="n">
        <f aca="false">'POST-59.5'!F9</f>
        <v>55140.4417940982</v>
      </c>
      <c r="I32" s="25" t="str">
        <f aca="false">IF('POST-59.5'!B9&gt;=INPUTS!B7,"Post-SS","Post-59½")</f>
        <v>Post-59½</v>
      </c>
    </row>
    <row r="33" customFormat="false" ht="15.75" hidden="false" customHeight="true" outlineLevel="0" collapsed="false">
      <c r="B33" s="26" t="n">
        <f aca="false">'POST-59.5'!A10</f>
        <v>2044</v>
      </c>
      <c r="C33" s="26" t="n">
        <f aca="false">'POST-59.5'!B10</f>
        <v>65.5</v>
      </c>
      <c r="D33" s="21" t="n">
        <f aca="false">'POST-59.5'!G10</f>
        <v>0</v>
      </c>
      <c r="E33" s="21" t="n">
        <f aca="false">'POST-59.5'!H10</f>
        <v>728419.812599507</v>
      </c>
      <c r="F33" s="21" t="n">
        <f aca="false">'POST-59.5'!I10</f>
        <v>0</v>
      </c>
      <c r="G33" s="21" t="n">
        <f aca="false">'POST-59.5'!J10</f>
        <v>728419.812599507</v>
      </c>
      <c r="H33" s="21" t="n">
        <f aca="false">'POST-59.5'!F10</f>
        <v>56518.9528389506</v>
      </c>
      <c r="I33" s="22" t="str">
        <f aca="false">IF('POST-59.5'!B10&gt;=INPUTS!B7,"Post-SS","Post-59½")</f>
        <v>Post-59½</v>
      </c>
    </row>
    <row r="34" customFormat="false" ht="15.75" hidden="false" customHeight="true" outlineLevel="0" collapsed="false">
      <c r="B34" s="27" t="n">
        <f aca="false">'POST-59.5'!A11</f>
        <v>2045</v>
      </c>
      <c r="C34" s="27" t="n">
        <f aca="false">'POST-59.5'!B11</f>
        <v>66.5</v>
      </c>
      <c r="D34" s="24" t="n">
        <f aca="false">'POST-59.5'!G11</f>
        <v>0</v>
      </c>
      <c r="E34" s="24" t="n">
        <f aca="false">'POST-59.5'!H11</f>
        <v>704012.280236562</v>
      </c>
      <c r="F34" s="24" t="n">
        <f aca="false">'POST-59.5'!I11</f>
        <v>0</v>
      </c>
      <c r="G34" s="24" t="n">
        <f aca="false">'POST-59.5'!J11</f>
        <v>704012.280236562</v>
      </c>
      <c r="H34" s="24" t="n">
        <f aca="false">'POST-59.5'!F11</f>
        <v>57931.9266599244</v>
      </c>
      <c r="I34" s="25" t="str">
        <f aca="false">IF('POST-59.5'!B11&gt;=INPUTS!B7,"Post-SS","Post-59½")</f>
        <v>Post-59½</v>
      </c>
    </row>
    <row r="35" customFormat="false" ht="15.75" hidden="false" customHeight="true" outlineLevel="0" collapsed="false">
      <c r="B35" s="26" t="n">
        <f aca="false">'POST-59.5'!A12</f>
        <v>2046</v>
      </c>
      <c r="C35" s="26" t="n">
        <f aca="false">'POST-59.5'!B12</f>
        <v>67.5</v>
      </c>
      <c r="D35" s="21" t="n">
        <f aca="false">'POST-59.5'!G12</f>
        <v>0</v>
      </c>
      <c r="E35" s="21" t="n">
        <f aca="false">'POST-59.5'!H12</f>
        <v>718156.792475965</v>
      </c>
      <c r="F35" s="21" t="n">
        <f aca="false">'POST-59.5'!I12</f>
        <v>0</v>
      </c>
      <c r="G35" s="21" t="n">
        <f aca="false">'POST-59.5'!J12</f>
        <v>718156.792475965</v>
      </c>
      <c r="H35" s="21" t="n">
        <f aca="false">'POST-59.5'!F12</f>
        <v>20053.430259453</v>
      </c>
      <c r="I35" s="22" t="str">
        <f aca="false">IF('POST-59.5'!B12&gt;=INPUTS!B7,"Post-SS","Post-59½")</f>
        <v>Post-SS</v>
      </c>
    </row>
    <row r="36" customFormat="false" ht="15.75" hidden="false" customHeight="true" outlineLevel="0" collapsed="false">
      <c r="B36" s="27" t="n">
        <f aca="false">'POST-59.5'!A13</f>
        <v>2047</v>
      </c>
      <c r="C36" s="27" t="n">
        <f aca="false">'POST-59.5'!B13</f>
        <v>68.5</v>
      </c>
      <c r="D36" s="24" t="n">
        <f aca="false">'POST-59.5'!G13</f>
        <v>0</v>
      </c>
      <c r="E36" s="24" t="n">
        <f aca="false">'POST-59.5'!H13</f>
        <v>732482.127783027</v>
      </c>
      <c r="F36" s="24" t="n">
        <f aca="false">'POST-59.5'!I13</f>
        <v>0</v>
      </c>
      <c r="G36" s="24" t="n">
        <f aca="false">'POST-59.5'!J13</f>
        <v>732482.127783027</v>
      </c>
      <c r="H36" s="24" t="n">
        <f aca="false">'POST-59.5'!F13</f>
        <v>20554.7660159393</v>
      </c>
      <c r="I36" s="25" t="str">
        <f aca="false">IF('POST-59.5'!B13&gt;=INPUTS!B7,"Post-SS","Post-59½")</f>
        <v>Post-SS</v>
      </c>
    </row>
    <row r="37" customFormat="false" ht="15.75" hidden="false" customHeight="true" outlineLevel="0" collapsed="false">
      <c r="B37" s="26" t="n">
        <f aca="false">'POST-59.5'!A14</f>
        <v>2048</v>
      </c>
      <c r="C37" s="26" t="n">
        <f aca="false">'POST-59.5'!B14</f>
        <v>69.5</v>
      </c>
      <c r="D37" s="21" t="n">
        <f aca="false">'POST-59.5'!G14</f>
        <v>0</v>
      </c>
      <c r="E37" s="21" t="n">
        <f aca="false">'POST-59.5'!H14</f>
        <v>746984.167247523</v>
      </c>
      <c r="F37" s="21" t="n">
        <f aca="false">'POST-59.5'!I14</f>
        <v>0</v>
      </c>
      <c r="G37" s="21" t="n">
        <f aca="false">'POST-59.5'!J14</f>
        <v>746984.167247523</v>
      </c>
      <c r="H37" s="21" t="n">
        <f aca="false">'POST-59.5'!F14</f>
        <v>21068.6351663378</v>
      </c>
      <c r="I37" s="22" t="str">
        <f aca="false">IF('POST-59.5'!B14&gt;=INPUTS!B7,"Post-SS","Post-59½")</f>
        <v>Post-SS</v>
      </c>
    </row>
    <row r="38" customFormat="false" ht="15.75" hidden="false" customHeight="true" outlineLevel="0" collapsed="false">
      <c r="B38" s="27" t="n">
        <f aca="false">'POST-59.5'!A15</f>
        <v>2049</v>
      </c>
      <c r="C38" s="27" t="n">
        <f aca="false">'POST-59.5'!B15</f>
        <v>70.5</v>
      </c>
      <c r="D38" s="24" t="n">
        <f aca="false">'POST-59.5'!G15</f>
        <v>0</v>
      </c>
      <c r="E38" s="24" t="n">
        <f aca="false">'POST-59.5'!H15</f>
        <v>761658.257012129</v>
      </c>
      <c r="F38" s="24" t="n">
        <f aca="false">'POST-59.5'!I15</f>
        <v>0</v>
      </c>
      <c r="G38" s="24" t="n">
        <f aca="false">'POST-59.5'!J15</f>
        <v>761658.257012129</v>
      </c>
      <c r="H38" s="24" t="n">
        <f aca="false">'POST-59.5'!F15</f>
        <v>21595.3510454963</v>
      </c>
      <c r="I38" s="25" t="str">
        <f aca="false">IF('POST-59.5'!B15&gt;=INPUTS!B7,"Post-SS","Post-59½")</f>
        <v>Post-SS</v>
      </c>
    </row>
    <row r="39" customFormat="false" ht="15.75" hidden="false" customHeight="true" outlineLevel="0" collapsed="false">
      <c r="B39" s="26" t="n">
        <f aca="false">'POST-59.5'!A16</f>
        <v>2050</v>
      </c>
      <c r="C39" s="26" t="n">
        <f aca="false">'POST-59.5'!B16</f>
        <v>71.5</v>
      </c>
      <c r="D39" s="21" t="n">
        <f aca="false">'POST-59.5'!G16</f>
        <v>0</v>
      </c>
      <c r="E39" s="21" t="n">
        <f aca="false">'POST-59.5'!H16</f>
        <v>776499.17330002</v>
      </c>
      <c r="F39" s="21" t="n">
        <f aca="false">'POST-59.5'!I16</f>
        <v>0</v>
      </c>
      <c r="G39" s="21" t="n">
        <f aca="false">'POST-59.5'!J16</f>
        <v>776499.17330002</v>
      </c>
      <c r="H39" s="21" t="n">
        <f aca="false">'POST-59.5'!F16</f>
        <v>22135.2348216337</v>
      </c>
      <c r="I39" s="22" t="str">
        <f aca="false">IF('POST-59.5'!B16&gt;=INPUTS!B7,"Post-SS","Post-59½")</f>
        <v>Post-SS</v>
      </c>
    </row>
    <row r="40" customFormat="false" ht="15.75" hidden="false" customHeight="true" outlineLevel="0" collapsed="false">
      <c r="B40" s="27" t="n">
        <f aca="false">'POST-59.5'!A17</f>
        <v>2051</v>
      </c>
      <c r="C40" s="27" t="n">
        <f aca="false">'POST-59.5'!B17</f>
        <v>72.5</v>
      </c>
      <c r="D40" s="24" t="n">
        <f aca="false">'POST-59.5'!G17</f>
        <v>0</v>
      </c>
      <c r="E40" s="24" t="n">
        <f aca="false">'POST-59.5'!H17</f>
        <v>791501.085488237</v>
      </c>
      <c r="F40" s="24" t="n">
        <f aca="false">'POST-59.5'!I17</f>
        <v>0</v>
      </c>
      <c r="G40" s="24" t="n">
        <f aca="false">'POST-59.5'!J17</f>
        <v>791501.085488237</v>
      </c>
      <c r="H40" s="24" t="n">
        <f aca="false">'POST-59.5'!F17</f>
        <v>22688.6156921745</v>
      </c>
      <c r="I40" s="25" t="str">
        <f aca="false">IF('POST-59.5'!B17&gt;=INPUTS!B7,"Post-SS","Post-59½")</f>
        <v>Post-SS</v>
      </c>
    </row>
    <row r="41" customFormat="false" ht="15.75" hidden="false" customHeight="true" outlineLevel="0" collapsed="false">
      <c r="B41" s="26" t="n">
        <f aca="false">'POST-59.5'!A18</f>
        <v>2052</v>
      </c>
      <c r="C41" s="26" t="n">
        <f aca="false">'POST-59.5'!B18</f>
        <v>73.5</v>
      </c>
      <c r="D41" s="21" t="n">
        <f aca="false">'POST-59.5'!G18</f>
        <v>0</v>
      </c>
      <c r="E41" s="21" t="n">
        <f aca="false">'POST-59.5'!H18</f>
        <v>806657.517123947</v>
      </c>
      <c r="F41" s="21" t="n">
        <f aca="false">'POST-59.5'!I18</f>
        <v>0</v>
      </c>
      <c r="G41" s="21" t="n">
        <f aca="false">'POST-59.5'!J18</f>
        <v>806657.517123947</v>
      </c>
      <c r="H41" s="21" t="n">
        <f aca="false">'POST-59.5'!F18</f>
        <v>23255.8310844789</v>
      </c>
      <c r="I41" s="22" t="str">
        <f aca="false">IF('POST-59.5'!B18&gt;=INPUTS!B7,"Post-SS","Post-59½")</f>
        <v>Post-SS</v>
      </c>
    </row>
    <row r="42" customFormat="false" ht="15.75" hidden="false" customHeight="true" outlineLevel="0" collapsed="false">
      <c r="B42" s="27" t="n">
        <f aca="false">'POST-59.5'!A19</f>
        <v>2053</v>
      </c>
      <c r="C42" s="27" t="n">
        <f aca="false">'POST-59.5'!B19</f>
        <v>74.5</v>
      </c>
      <c r="D42" s="24" t="n">
        <f aca="false">'POST-59.5'!G19</f>
        <v>0</v>
      </c>
      <c r="E42" s="24" t="n">
        <f aca="false">'POST-59.5'!H19</f>
        <v>821961.304775473</v>
      </c>
      <c r="F42" s="24" t="n">
        <f aca="false">'POST-59.5'!I19</f>
        <v>0</v>
      </c>
      <c r="G42" s="24" t="n">
        <f aca="false">'POST-59.5'!J19</f>
        <v>821961.304775473</v>
      </c>
      <c r="H42" s="24" t="n">
        <f aca="false">'POST-59.5'!F19</f>
        <v>23837.2268615908</v>
      </c>
      <c r="I42" s="25" t="str">
        <f aca="false">IF('POST-59.5'!B19&gt;=INPUTS!B7,"Post-SS","Post-59½")</f>
        <v>Post-SS</v>
      </c>
    </row>
    <row r="43" customFormat="false" ht="15.75" hidden="false" customHeight="true" outlineLevel="0" collapsed="false">
      <c r="B43" s="26" t="n">
        <f aca="false">'POST-59.5'!A20</f>
        <v>2054</v>
      </c>
      <c r="C43" s="26" t="n">
        <f aca="false">'POST-59.5'!B20</f>
        <v>75.5</v>
      </c>
      <c r="D43" s="21" t="n">
        <f aca="false">'POST-59.5'!G20</f>
        <v>0</v>
      </c>
      <c r="E43" s="21" t="n">
        <f aca="false">'POST-59.5'!H20</f>
        <v>837404.55460446</v>
      </c>
      <c r="F43" s="21" t="n">
        <f aca="false">'POST-59.5'!I20</f>
        <v>0</v>
      </c>
      <c r="G43" s="21" t="n">
        <f aca="false">'POST-59.5'!J20</f>
        <v>837404.55460446</v>
      </c>
      <c r="H43" s="21" t="n">
        <f aca="false">'POST-59.5'!F20</f>
        <v>24433.1575331306</v>
      </c>
      <c r="I43" s="22" t="str">
        <f aca="false">IF('POST-59.5'!B20&gt;=INPUTS!B7,"Post-SS","Post-59½")</f>
        <v>Post-SS</v>
      </c>
    </row>
    <row r="44" customFormat="false" ht="15.75" hidden="false" customHeight="true" outlineLevel="0" collapsed="false">
      <c r="B44" s="27" t="n">
        <f aca="false">'POST-59.5'!A21</f>
        <v>2055</v>
      </c>
      <c r="C44" s="27" t="n">
        <f aca="false">'POST-59.5'!B21</f>
        <v>76.5</v>
      </c>
      <c r="D44" s="24" t="n">
        <f aca="false">'POST-59.5'!G21</f>
        <v>0</v>
      </c>
      <c r="E44" s="24" t="n">
        <f aca="false">'POST-59.5'!H21</f>
        <v>852978.596539651</v>
      </c>
      <c r="F44" s="24" t="n">
        <f aca="false">'POST-59.5'!I21</f>
        <v>0</v>
      </c>
      <c r="G44" s="24" t="n">
        <f aca="false">'POST-59.5'!J21</f>
        <v>852978.596539651</v>
      </c>
      <c r="H44" s="24" t="n">
        <f aca="false">'POST-59.5'!F21</f>
        <v>25043.9864714589</v>
      </c>
      <c r="I44" s="25" t="str">
        <f aca="false">IF('POST-59.5'!B21&gt;=INPUTS!B7,"Post-SS","Post-59½")</f>
        <v>Post-SS</v>
      </c>
    </row>
    <row r="45" customFormat="false" ht="15.75" hidden="false" customHeight="true" outlineLevel="0" collapsed="false">
      <c r="B45" s="26" t="n">
        <f aca="false">'POST-59.5'!A22</f>
        <v>2056</v>
      </c>
      <c r="C45" s="26" t="n">
        <f aca="false">'POST-59.5'!B22</f>
        <v>77.5</v>
      </c>
      <c r="D45" s="21" t="n">
        <f aca="false">'POST-59.5'!G22</f>
        <v>0</v>
      </c>
      <c r="E45" s="21" t="n">
        <f aca="false">'POST-59.5'!H22</f>
        <v>868673.935926726</v>
      </c>
      <c r="F45" s="21" t="n">
        <f aca="false">'POST-59.5'!I22</f>
        <v>0</v>
      </c>
      <c r="G45" s="21" t="n">
        <f aca="false">'POST-59.5'!J22</f>
        <v>868673.935926726</v>
      </c>
      <c r="H45" s="21" t="n">
        <f aca="false">'POST-59.5'!F22</f>
        <v>25670.0861332454</v>
      </c>
      <c r="I45" s="22" t="str">
        <f aca="false">IF('POST-59.5'!B22&gt;=INPUTS!B7,"Post-SS","Post-59½")</f>
        <v>Post-SS</v>
      </c>
    </row>
    <row r="46" customFormat="false" ht="15.75" hidden="false" customHeight="true" outlineLevel="0" collapsed="false">
      <c r="B46" s="27" t="n">
        <f aca="false">'POST-59.5'!A23</f>
        <v>2057</v>
      </c>
      <c r="C46" s="27" t="n">
        <f aca="false">'POST-59.5'!B23</f>
        <v>78.5</v>
      </c>
      <c r="D46" s="24" t="n">
        <f aca="false">'POST-59.5'!G23</f>
        <v>0</v>
      </c>
      <c r="E46" s="24" t="n">
        <f aca="false">'POST-59.5'!H23</f>
        <v>884480.202522157</v>
      </c>
      <c r="F46" s="24" t="n">
        <f aca="false">'POST-59.5'!I23</f>
        <v>0</v>
      </c>
      <c r="G46" s="24" t="n">
        <f aca="false">'POST-59.5'!J23</f>
        <v>884480.202522157</v>
      </c>
      <c r="H46" s="24" t="n">
        <f aca="false">'POST-59.5'!F23</f>
        <v>26311.8382865765</v>
      </c>
      <c r="I46" s="25" t="str">
        <f aca="false">IF('POST-59.5'!B23&gt;=INPUTS!B7,"Post-SS","Post-59½")</f>
        <v>Post-SS</v>
      </c>
    </row>
    <row r="47" customFormat="false" ht="15.75" hidden="false" customHeight="true" outlineLevel="0" collapsed="false">
      <c r="B47" s="26" t="n">
        <f aca="false">'POST-59.5'!A24</f>
        <v>2058</v>
      </c>
      <c r="C47" s="26" t="n">
        <f aca="false">'POST-59.5'!B24</f>
        <v>79.5</v>
      </c>
      <c r="D47" s="21" t="n">
        <f aca="false">'POST-59.5'!G24</f>
        <v>0</v>
      </c>
      <c r="E47" s="21" t="n">
        <f aca="false">'POST-59.5'!H24</f>
        <v>900386.096692337</v>
      </c>
      <c r="F47" s="21" t="n">
        <f aca="false">'POST-59.5'!I24</f>
        <v>0</v>
      </c>
      <c r="G47" s="21" t="n">
        <f aca="false">'POST-59.5'!J24</f>
        <v>900386.096692337</v>
      </c>
      <c r="H47" s="21" t="n">
        <f aca="false">'POST-59.5'!F24</f>
        <v>26969.6342437409</v>
      </c>
      <c r="I47" s="22" t="str">
        <f aca="false">IF('POST-59.5'!B24&gt;=INPUTS!B7,"Post-SS","Post-59½")</f>
        <v>Post-SS</v>
      </c>
    </row>
    <row r="48" customFormat="false" ht="15.75" hidden="false" customHeight="true" outlineLevel="0" collapsed="false">
      <c r="B48" s="27" t="n">
        <f aca="false">'POST-59.5'!A25</f>
        <v>2059</v>
      </c>
      <c r="C48" s="27" t="n">
        <f aca="false">'POST-59.5'!B25</f>
        <v>80.5</v>
      </c>
      <c r="D48" s="24" t="n">
        <f aca="false">'POST-59.5'!G25</f>
        <v>0</v>
      </c>
      <c r="E48" s="24" t="n">
        <f aca="false">'POST-59.5'!H25</f>
        <v>916379.332672128</v>
      </c>
      <c r="F48" s="24" t="n">
        <f aca="false">'POST-59.5'!I25</f>
        <v>0</v>
      </c>
      <c r="G48" s="24" t="n">
        <f aca="false">'POST-59.5'!J25</f>
        <v>916379.332672128</v>
      </c>
      <c r="H48" s="24" t="n">
        <f aca="false">'POST-59.5'!F25</f>
        <v>27643.8750998344</v>
      </c>
      <c r="I48" s="25" t="str">
        <f aca="false">IF('POST-59.5'!B25&gt;=INPUTS!B7,"Post-SS","Post-59½")</f>
        <v>Post-SS</v>
      </c>
    </row>
    <row r="49" customFormat="false" ht="15.75" hidden="false" customHeight="true" outlineLevel="0" collapsed="false">
      <c r="B49" s="26" t="n">
        <f aca="false">'POST-59.5'!A26</f>
        <v>2060</v>
      </c>
      <c r="C49" s="26" t="n">
        <f aca="false">'POST-59.5'!B26</f>
        <v>81.5</v>
      </c>
      <c r="D49" s="21" t="n">
        <f aca="false">'POST-59.5'!G26</f>
        <v>0</v>
      </c>
      <c r="E49" s="21" t="n">
        <f aca="false">'POST-59.5'!H26</f>
        <v>932446.578729538</v>
      </c>
      <c r="F49" s="21" t="n">
        <f aca="false">'POST-59.5'!I26</f>
        <v>0</v>
      </c>
      <c r="G49" s="21" t="n">
        <f aca="false">'POST-59.5'!J26</f>
        <v>932446.578729538</v>
      </c>
      <c r="H49" s="21" t="n">
        <f aca="false">'POST-59.5'!F26</f>
        <v>28334.9719773303</v>
      </c>
      <c r="I49" s="22" t="str">
        <f aca="false">IF('POST-59.5'!B26&gt;=INPUTS!B7,"Post-SS","Post-59½")</f>
        <v>Post-SS</v>
      </c>
    </row>
    <row r="50" customFormat="false" ht="15.75" hidden="false" customHeight="true" outlineLevel="0" collapsed="false">
      <c r="B50" s="27" t="n">
        <f aca="false">'POST-59.5'!A27</f>
        <v>2061</v>
      </c>
      <c r="C50" s="27" t="n">
        <f aca="false">'POST-59.5'!B27</f>
        <v>82.5</v>
      </c>
      <c r="D50" s="24" t="n">
        <f aca="false">'POST-59.5'!G27</f>
        <v>0</v>
      </c>
      <c r="E50" s="24" t="n">
        <f aca="false">'POST-59.5'!H27</f>
        <v>948573.394075413</v>
      </c>
      <c r="F50" s="24" t="n">
        <f aca="false">'POST-59.5'!I27</f>
        <v>0</v>
      </c>
      <c r="G50" s="24" t="n">
        <f aca="false">'POST-59.5'!J27</f>
        <v>948573.394075413</v>
      </c>
      <c r="H50" s="24" t="n">
        <f aca="false">'POST-59.5'!F27</f>
        <v>29043.3462767635</v>
      </c>
      <c r="I50" s="25" t="str">
        <f aca="false">IF('POST-59.5'!B27&gt;=INPUTS!B7,"Post-SS","Post-59½")</f>
        <v>Post-SS</v>
      </c>
    </row>
    <row r="51" customFormat="false" ht="15.75" hidden="false" customHeight="true" outlineLevel="0" collapsed="false">
      <c r="B51" s="26" t="n">
        <f aca="false">'POST-59.5'!A28</f>
        <v>2062</v>
      </c>
      <c r="C51" s="26" t="n">
        <f aca="false">'POST-59.5'!B28</f>
        <v>83.5</v>
      </c>
      <c r="D51" s="21" t="n">
        <f aca="false">'POST-59.5'!G28</f>
        <v>0</v>
      </c>
      <c r="E51" s="21" t="n">
        <f aca="false">'POST-59.5'!H28</f>
        <v>964744.162348817</v>
      </c>
      <c r="F51" s="21" t="n">
        <f aca="false">'POST-59.5'!I28</f>
        <v>0</v>
      </c>
      <c r="G51" s="21" t="n">
        <f aca="false">'POST-59.5'!J28</f>
        <v>964744.162348817</v>
      </c>
      <c r="H51" s="21" t="n">
        <f aca="false">'POST-59.5'!F28</f>
        <v>29769.4299336826</v>
      </c>
      <c r="I51" s="22" t="str">
        <f aca="false">IF('POST-59.5'!B28&gt;=INPUTS!B7,"Post-SS","Post-59½")</f>
        <v>Post-SS</v>
      </c>
    </row>
    <row r="52" customFormat="false" ht="15.75" hidden="false" customHeight="true" outlineLevel="0" collapsed="false">
      <c r="B52" s="27" t="n">
        <f aca="false">'POST-59.5'!A29</f>
        <v>2063</v>
      </c>
      <c r="C52" s="27" t="n">
        <f aca="false">'POST-59.5'!B29</f>
        <v>84.5</v>
      </c>
      <c r="D52" s="24" t="n">
        <f aca="false">'POST-59.5'!G29</f>
        <v>0</v>
      </c>
      <c r="E52" s="24" t="n">
        <f aca="false">'POST-59.5'!H29</f>
        <v>980942.021500132</v>
      </c>
      <c r="F52" s="24" t="n">
        <f aca="false">'POST-59.5'!I29</f>
        <v>0</v>
      </c>
      <c r="G52" s="24" t="n">
        <f aca="false">'POST-59.5'!J29</f>
        <v>980942.021500132</v>
      </c>
      <c r="H52" s="24" t="n">
        <f aca="false">'POST-59.5'!F29</f>
        <v>30513.6656820247</v>
      </c>
      <c r="I52" s="25" t="str">
        <f aca="false">IF('POST-59.5'!B29&gt;=INPUTS!B7,"Post-SS","Post-59½")</f>
        <v>Post-SS</v>
      </c>
    </row>
    <row r="53" customFormat="false" ht="15.75" hidden="false" customHeight="true" outlineLevel="0" collapsed="false">
      <c r="B53" s="26" t="n">
        <f aca="false">'POST-59.5'!A30</f>
        <v>2064</v>
      </c>
      <c r="C53" s="26" t="n">
        <f aca="false">'POST-59.5'!B30</f>
        <v>85.5</v>
      </c>
      <c r="D53" s="21" t="n">
        <f aca="false">'POST-59.5'!G30</f>
        <v>0</v>
      </c>
      <c r="E53" s="21" t="n">
        <f aca="false">'POST-59.5'!H30</f>
        <v>997148.789884859</v>
      </c>
      <c r="F53" s="21" t="n">
        <f aca="false">'POST-59.5'!I30</f>
        <v>0</v>
      </c>
      <c r="G53" s="21" t="n">
        <f aca="false">'POST-59.5'!J30</f>
        <v>997148.789884859</v>
      </c>
      <c r="H53" s="21" t="n">
        <f aca="false">'POST-59.5'!F30</f>
        <v>31276.5073240753</v>
      </c>
      <c r="I53" s="22" t="str">
        <f aca="false">IF('POST-59.5'!B30&gt;=INPUTS!B7,"Post-SS","Post-59½")</f>
        <v>Post-SS</v>
      </c>
    </row>
    <row r="54" customFormat="false" ht="19.5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25.5" hidden="false" customHeight="true" outlineLevel="0" collapsed="false">
      <c r="B71" s="28" t="s">
        <v>29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</row>
    <row r="72" customFormat="false" ht="19.5" hidden="false" customHeight="true" outlineLevel="0" collapsed="false">
      <c r="B72" s="29" t="s">
        <v>30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</row>
    <row r="73" customFormat="false" ht="18" hidden="false" customHeight="true" outlineLevel="0" collapsed="false"/>
    <row r="74" customFormat="false" ht="18" hidden="false" customHeight="true" outlineLevel="0" collapsed="false"/>
    <row r="75" customFormat="false" ht="24" hidden="false" customHeight="true" outlineLevel="0" collapsed="false">
      <c r="A75" s="30" t="s">
        <v>31</v>
      </c>
      <c r="B75" s="30"/>
      <c r="C75" s="30"/>
      <c r="D75" s="30"/>
      <c r="E75" s="30"/>
      <c r="F75" s="30"/>
      <c r="G75" s="30"/>
      <c r="H75" s="30"/>
    </row>
    <row r="76" customFormat="false" ht="19.5" hidden="false" customHeight="true" outlineLevel="0" collapsed="false">
      <c r="A76" s="31" t="s">
        <v>32</v>
      </c>
      <c r="B76" s="31"/>
      <c r="C76" s="31"/>
      <c r="D76" s="31"/>
      <c r="E76" s="31"/>
      <c r="F76" s="31"/>
      <c r="G76" s="31"/>
      <c r="H76" s="31"/>
    </row>
    <row r="77" customFormat="false" ht="25.5" hidden="false" customHeight="true" outlineLevel="0" collapsed="false">
      <c r="A77" s="32" t="s">
        <v>33</v>
      </c>
      <c r="B77" s="33" t="s">
        <v>34</v>
      </c>
      <c r="C77" s="33"/>
      <c r="D77" s="33"/>
      <c r="E77" s="33"/>
      <c r="F77" s="33"/>
      <c r="G77" s="33"/>
      <c r="H77" s="33"/>
    </row>
    <row r="78" customFormat="false" ht="25.5" hidden="false" customHeight="true" outlineLevel="0" collapsed="false">
      <c r="A78" s="32" t="s">
        <v>35</v>
      </c>
      <c r="B78" s="33" t="s">
        <v>36</v>
      </c>
      <c r="C78" s="33"/>
      <c r="D78" s="33"/>
      <c r="E78" s="33"/>
      <c r="F78" s="33"/>
      <c r="G78" s="33"/>
      <c r="H78" s="33"/>
    </row>
    <row r="79" customFormat="false" ht="25.5" hidden="false" customHeight="true" outlineLevel="0" collapsed="false">
      <c r="A79" s="32" t="s">
        <v>37</v>
      </c>
      <c r="B79" s="33" t="s">
        <v>38</v>
      </c>
      <c r="C79" s="33"/>
      <c r="D79" s="33"/>
      <c r="E79" s="33"/>
      <c r="F79" s="33"/>
      <c r="G79" s="33"/>
      <c r="H79" s="33"/>
    </row>
    <row r="80" customFormat="false" ht="25.5" hidden="false" customHeight="true" outlineLevel="0" collapsed="false">
      <c r="A80" s="32" t="s">
        <v>39</v>
      </c>
      <c r="B80" s="33" t="s">
        <v>40</v>
      </c>
      <c r="C80" s="33"/>
      <c r="D80" s="33"/>
      <c r="E80" s="33"/>
      <c r="F80" s="33"/>
      <c r="G80" s="33"/>
      <c r="H80" s="33"/>
    </row>
    <row r="81" customFormat="false" ht="25.5" hidden="false" customHeight="true" outlineLevel="0" collapsed="false">
      <c r="A81" s="32" t="s">
        <v>41</v>
      </c>
      <c r="B81" s="33" t="s">
        <v>42</v>
      </c>
      <c r="C81" s="33"/>
      <c r="D81" s="33"/>
      <c r="E81" s="33"/>
      <c r="F81" s="33"/>
      <c r="G81" s="33"/>
      <c r="H81" s="33"/>
    </row>
    <row r="82" customFormat="false" ht="25.5" hidden="false" customHeight="true" outlineLevel="0" collapsed="false">
      <c r="A82" s="28" t="s">
        <v>43</v>
      </c>
      <c r="B82" s="28"/>
      <c r="C82" s="28"/>
      <c r="D82" s="28"/>
      <c r="E82" s="28"/>
      <c r="F82" s="28"/>
      <c r="G82" s="28"/>
      <c r="H82" s="28"/>
    </row>
  </sheetData>
  <mergeCells count="40">
    <mergeCell ref="A1:N1"/>
    <mergeCell ref="A2:N2"/>
    <mergeCell ref="A3:N3"/>
    <mergeCell ref="B4:N4"/>
    <mergeCell ref="B5:D5"/>
    <mergeCell ref="E5:G5"/>
    <mergeCell ref="H5:J5"/>
    <mergeCell ref="K5:M5"/>
    <mergeCell ref="B6:D7"/>
    <mergeCell ref="E6:G7"/>
    <mergeCell ref="H6:J7"/>
    <mergeCell ref="K6:M7"/>
    <mergeCell ref="B8:D9"/>
    <mergeCell ref="E8:G9"/>
    <mergeCell ref="H8:J9"/>
    <mergeCell ref="K8:M9"/>
    <mergeCell ref="B10:N10"/>
    <mergeCell ref="B11:D11"/>
    <mergeCell ref="E11:N11"/>
    <mergeCell ref="B12:D12"/>
    <mergeCell ref="E12:N12"/>
    <mergeCell ref="B13:D13"/>
    <mergeCell ref="E13:N13"/>
    <mergeCell ref="B14:D14"/>
    <mergeCell ref="E14:N14"/>
    <mergeCell ref="B15:D15"/>
    <mergeCell ref="E15:N15"/>
    <mergeCell ref="B16:D16"/>
    <mergeCell ref="E16:N16"/>
    <mergeCell ref="B17:N17"/>
    <mergeCell ref="B71:N71"/>
    <mergeCell ref="B72:N72"/>
    <mergeCell ref="A75:H75"/>
    <mergeCell ref="A76:H76"/>
    <mergeCell ref="B77:H77"/>
    <mergeCell ref="B78:H78"/>
    <mergeCell ref="B79:H79"/>
    <mergeCell ref="B80:H80"/>
    <mergeCell ref="B81:H81"/>
    <mergeCell ref="A82:H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4"/>
  </cols>
  <sheetData>
    <row r="1" customFormat="false" ht="42" hidden="false" customHeight="true" outlineLevel="0" collapsed="false">
      <c r="A1" s="2" t="s">
        <v>44</v>
      </c>
      <c r="B1" s="2"/>
    </row>
    <row r="2" customFormat="false" ht="15.75" hidden="false" customHeight="true" outlineLevel="0" collapsed="false">
      <c r="A2" s="3" t="s">
        <v>45</v>
      </c>
      <c r="B2" s="3"/>
    </row>
    <row r="3" customFormat="false" ht="15.75" hidden="false" customHeight="true" outlineLevel="0" collapsed="false">
      <c r="A3" s="34" t="s">
        <v>46</v>
      </c>
      <c r="B3" s="35" t="s">
        <v>47</v>
      </c>
    </row>
    <row r="4" customFormat="false" ht="21.75" hidden="false" customHeight="true" outlineLevel="0" collapsed="false">
      <c r="A4" s="36" t="s">
        <v>48</v>
      </c>
      <c r="B4" s="37" t="s">
        <v>49</v>
      </c>
    </row>
    <row r="5" customFormat="false" ht="21.75" hidden="false" customHeight="true" outlineLevel="0" collapsed="false">
      <c r="A5" s="38" t="s">
        <v>50</v>
      </c>
      <c r="B5" s="39" t="s">
        <v>51</v>
      </c>
    </row>
    <row r="6" customFormat="false" ht="21.75" hidden="false" customHeight="true" outlineLevel="0" collapsed="false">
      <c r="A6" s="40" t="s">
        <v>52</v>
      </c>
      <c r="B6" s="41" t="s">
        <v>53</v>
      </c>
    </row>
    <row r="7" customFormat="false" ht="21.75" hidden="false" customHeight="true" outlineLevel="0" collapsed="false">
      <c r="A7" s="38" t="s">
        <v>54</v>
      </c>
      <c r="B7" s="39" t="s">
        <v>55</v>
      </c>
    </row>
    <row r="8" customFormat="false" ht="21.75" hidden="false" customHeight="true" outlineLevel="0" collapsed="false">
      <c r="A8" s="40" t="s">
        <v>56</v>
      </c>
      <c r="B8" s="41" t="s">
        <v>57</v>
      </c>
    </row>
    <row r="9" customFormat="false" ht="21.75" hidden="false" customHeight="true" outlineLevel="0" collapsed="false">
      <c r="A9" s="38" t="s">
        <v>58</v>
      </c>
      <c r="B9" s="39" t="s">
        <v>59</v>
      </c>
    </row>
    <row r="11" customFormat="false" ht="25.5" hidden="false" customHeight="true" outlineLevel="0" collapsed="false">
      <c r="A11" s="28" t="s">
        <v>60</v>
      </c>
      <c r="B11" s="28"/>
    </row>
    <row r="12" customFormat="false" ht="15.75" hidden="false" customHeight="true" outlineLevel="0" collapsed="false">
      <c r="A12" s="29" t="s">
        <v>61</v>
      </c>
      <c r="B12" s="29"/>
    </row>
  </sheetData>
  <mergeCells count="4">
    <mergeCell ref="A1:B1"/>
    <mergeCell ref="A2:B2"/>
    <mergeCell ref="A11:B11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D4BF"/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3" min="3" style="1" width="3"/>
    <col collapsed="false" customWidth="true" hidden="false" outlineLevel="0" max="4" min="4" style="1" width="24"/>
    <col collapsed="false" customWidth="true" hidden="false" outlineLevel="0" max="5" min="5" style="1" width="16"/>
  </cols>
  <sheetData>
    <row r="1" customFormat="false" ht="36" hidden="false" customHeight="true" outlineLevel="0" collapsed="false">
      <c r="A1" s="42" t="s">
        <v>62</v>
      </c>
      <c r="B1" s="42"/>
      <c r="C1" s="42"/>
      <c r="D1" s="42"/>
      <c r="E1" s="42"/>
    </row>
    <row r="3" customFormat="false" ht="15.75" hidden="false" customHeight="true" outlineLevel="0" collapsed="false">
      <c r="A3" s="43" t="s">
        <v>63</v>
      </c>
      <c r="B3" s="43"/>
      <c r="C3" s="43"/>
      <c r="D3" s="43"/>
      <c r="E3" s="43"/>
    </row>
    <row r="4" customFormat="false" ht="15.75" hidden="false" customHeight="true" outlineLevel="0" collapsed="false">
      <c r="A4" s="44" t="s">
        <v>64</v>
      </c>
      <c r="B4" s="45" t="n">
        <v>48</v>
      </c>
      <c r="D4" s="46" t="s">
        <v>65</v>
      </c>
      <c r="E4" s="47" t="n">
        <f aca="false">B8+(B5-B4)</f>
        <v>2030</v>
      </c>
    </row>
    <row r="5" customFormat="false" ht="15.75" hidden="false" customHeight="true" outlineLevel="0" collapsed="false">
      <c r="A5" s="48" t="s">
        <v>66</v>
      </c>
      <c r="B5" s="49" t="n">
        <v>52</v>
      </c>
      <c r="D5" s="50" t="s">
        <v>67</v>
      </c>
      <c r="E5" s="51" t="n">
        <f aca="false">B8+(B6-B4)</f>
        <v>2068</v>
      </c>
    </row>
    <row r="6" customFormat="false" ht="15.75" hidden="false" customHeight="true" outlineLevel="0" collapsed="false">
      <c r="A6" s="44" t="s">
        <v>68</v>
      </c>
      <c r="B6" s="45" t="n">
        <v>90</v>
      </c>
      <c r="D6" s="46" t="s">
        <v>69</v>
      </c>
      <c r="E6" s="52" t="n">
        <f aca="false">B24</f>
        <v>59.5</v>
      </c>
    </row>
    <row r="7" customFormat="false" ht="15.75" hidden="false" customHeight="true" outlineLevel="0" collapsed="false">
      <c r="A7" s="48" t="s">
        <v>70</v>
      </c>
      <c r="B7" s="49" t="n">
        <v>67</v>
      </c>
    </row>
    <row r="8" customFormat="false" ht="15.75" hidden="false" customHeight="true" outlineLevel="0" collapsed="false">
      <c r="A8" s="44" t="s">
        <v>71</v>
      </c>
      <c r="B8" s="45" t="n">
        <v>2026</v>
      </c>
    </row>
    <row r="9" customFormat="false" ht="15.75" hidden="false" customHeight="false" outlineLevel="0" collapsed="false">
      <c r="A9" s="53" t="s">
        <v>72</v>
      </c>
      <c r="B9" s="54" t="n">
        <v>24000</v>
      </c>
    </row>
    <row r="10" customFormat="false" ht="15.75" hidden="false" customHeight="true" outlineLevel="0" collapsed="false">
      <c r="A10" s="43" t="s">
        <v>73</v>
      </c>
      <c r="B10" s="43"/>
      <c r="C10" s="43"/>
      <c r="D10" s="43"/>
      <c r="E10" s="43"/>
    </row>
    <row r="11" customFormat="false" ht="15.75" hidden="false" customHeight="true" outlineLevel="0" collapsed="false">
      <c r="A11" s="44" t="s">
        <v>74</v>
      </c>
      <c r="B11" s="55" t="n">
        <v>120000</v>
      </c>
    </row>
    <row r="12" customFormat="false" ht="15.75" hidden="false" customHeight="true" outlineLevel="0" collapsed="false">
      <c r="A12" s="48" t="s">
        <v>75</v>
      </c>
      <c r="B12" s="56" t="n">
        <v>650000</v>
      </c>
    </row>
    <row r="13" customFormat="false" ht="15.75" hidden="false" customHeight="true" outlineLevel="0" collapsed="false">
      <c r="A13" s="44" t="s">
        <v>76</v>
      </c>
      <c r="B13" s="55" t="n">
        <v>90000</v>
      </c>
    </row>
    <row r="14" customFormat="false" ht="15.75" hidden="false" customHeight="true" outlineLevel="0" collapsed="false">
      <c r="A14" s="57" t="s">
        <v>77</v>
      </c>
      <c r="B14" s="58" t="n">
        <f aca="false">B11+B12+B13</f>
        <v>860000</v>
      </c>
    </row>
    <row r="16" customFormat="false" ht="15.75" hidden="false" customHeight="true" outlineLevel="0" collapsed="false">
      <c r="A16" s="43" t="s">
        <v>78</v>
      </c>
      <c r="B16" s="43"/>
      <c r="C16" s="43"/>
      <c r="D16" s="43"/>
      <c r="E16" s="43"/>
    </row>
    <row r="17" customFormat="false" ht="15.75" hidden="false" customHeight="true" outlineLevel="0" collapsed="false">
      <c r="A17" s="44" t="s">
        <v>79</v>
      </c>
      <c r="B17" s="55" t="n">
        <v>40000</v>
      </c>
    </row>
    <row r="18" customFormat="false" ht="15.75" hidden="false" customHeight="true" outlineLevel="0" collapsed="false">
      <c r="A18" s="48" t="s">
        <v>80</v>
      </c>
      <c r="B18" s="59" t="n">
        <v>0.05</v>
      </c>
    </row>
    <row r="19" customFormat="false" ht="15.75" hidden="false" customHeight="true" outlineLevel="0" collapsed="false">
      <c r="A19" s="44" t="s">
        <v>81</v>
      </c>
      <c r="B19" s="60" t="n">
        <v>0.025</v>
      </c>
    </row>
    <row r="20" customFormat="false" ht="15.75" hidden="false" customHeight="true" outlineLevel="0" collapsed="false">
      <c r="A20" s="48" t="s">
        <v>82</v>
      </c>
      <c r="B20" s="61" t="s">
        <v>83</v>
      </c>
    </row>
    <row r="21" customFormat="false" ht="15.75" hidden="false" customHeight="true" outlineLevel="0" collapsed="false">
      <c r="A21" s="44" t="s">
        <v>84</v>
      </c>
      <c r="B21" s="62" t="s">
        <v>85</v>
      </c>
    </row>
    <row r="23" customFormat="false" ht="15.75" hidden="false" customHeight="true" outlineLevel="0" collapsed="false">
      <c r="A23" s="43" t="s">
        <v>86</v>
      </c>
      <c r="B23" s="43"/>
      <c r="C23" s="43"/>
      <c r="D23" s="43"/>
      <c r="E23" s="43"/>
    </row>
    <row r="24" customFormat="false" ht="15.75" hidden="false" customHeight="true" outlineLevel="0" collapsed="false">
      <c r="A24" s="48" t="s">
        <v>87</v>
      </c>
      <c r="B24" s="63" t="n">
        <v>59.5</v>
      </c>
    </row>
    <row r="25" customFormat="false" ht="14.25" hidden="false" customHeight="true" outlineLevel="0" collapsed="false">
      <c r="A25" s="64" t="s">
        <v>88</v>
      </c>
      <c r="B25" s="64"/>
      <c r="C25" s="64"/>
      <c r="D25" s="64"/>
      <c r="E25" s="64"/>
    </row>
    <row r="26" customFormat="false" ht="15.75" hidden="false" customHeight="true" outlineLevel="0" collapsed="false">
      <c r="A26" s="65" t="s">
        <v>89</v>
      </c>
      <c r="B26" s="65" t="s">
        <v>90</v>
      </c>
    </row>
  </sheetData>
  <mergeCells count="6">
    <mergeCell ref="A1:E1"/>
    <mergeCell ref="A3:E3"/>
    <mergeCell ref="A10:E10"/>
    <mergeCell ref="A16:E16"/>
    <mergeCell ref="A23:E23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E0A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3" min="3" style="1" width="15.51"/>
  </cols>
  <sheetData>
    <row r="1" customFormat="false" ht="15.75" hidden="false" customHeight="true" outlineLevel="0" collapsed="false">
      <c r="A1" s="66" t="s">
        <v>20</v>
      </c>
      <c r="B1" s="66" t="s">
        <v>21</v>
      </c>
      <c r="C1" s="67" t="s">
        <v>91</v>
      </c>
      <c r="D1" s="67" t="s">
        <v>26</v>
      </c>
      <c r="E1" s="66" t="s">
        <v>92</v>
      </c>
      <c r="F1" s="67" t="s">
        <v>93</v>
      </c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customFormat="false" ht="15.75" hidden="false" customHeight="true" outlineLevel="0" collapsed="false">
      <c r="A2" s="68" t="n">
        <f aca="false">INPUTS!E4</f>
        <v>2030</v>
      </c>
      <c r="B2" s="65" t="n">
        <f aca="false" t="array" ref="B2:B1000">IF(A2:A1000="",,INPUTS!B4+(A2:A1000-INPUTS!B8))</f>
        <v>52</v>
      </c>
      <c r="C2" s="69" t="n">
        <f aca="false">INPUTS!B11+INPUTS!B12+INPUTS!B13</f>
        <v>860000</v>
      </c>
      <c r="D2" s="69" t="n">
        <f aca="false" t="array" ref="D2:D1000">IF(A2:A1000="",,VALUE(INPUTS!B17))</f>
        <v>40000</v>
      </c>
      <c r="E2" s="65" t="str">
        <f aca="false" t="array" ref="E2:E1000">IF(A2:A1000="",,"Taxable")</f>
        <v>Taxable</v>
      </c>
      <c r="F2" s="69" t="n">
        <f aca="false">(C2-D2)*(1+INPUTS!B18)</f>
        <v>861000</v>
      </c>
    </row>
    <row r="3" customFormat="false" ht="15.75" hidden="false" customHeight="true" outlineLevel="0" collapsed="false">
      <c r="A3" s="65" t="n">
        <f aca="false">A2+1</f>
        <v>2031</v>
      </c>
      <c r="B3" s="65" t="n">
        <v>53</v>
      </c>
      <c r="C3" s="69" t="n">
        <f aca="false">F2</f>
        <v>861000</v>
      </c>
      <c r="D3" s="69" t="n">
        <v>40000</v>
      </c>
      <c r="E3" s="65" t="str">
        <v>Taxable</v>
      </c>
      <c r="F3" s="69" t="n">
        <f aca="false">IFERROR((C3-D3)*(1+INPUTS!B18),"")</f>
        <v>862050</v>
      </c>
    </row>
    <row r="4" customFormat="false" ht="15.75" hidden="false" customHeight="true" outlineLevel="0" collapsed="false">
      <c r="A4" s="65" t="n">
        <f aca="false">A3+1</f>
        <v>2032</v>
      </c>
      <c r="B4" s="65" t="n">
        <v>54</v>
      </c>
      <c r="C4" s="69" t="n">
        <f aca="false">F3</f>
        <v>862050</v>
      </c>
      <c r="D4" s="69" t="n">
        <v>40000</v>
      </c>
      <c r="E4" s="65" t="str">
        <v>Taxable</v>
      </c>
      <c r="F4" s="69" t="n">
        <f aca="false">IFERROR((C4-D4)*(1+INPUTS!B19),"")</f>
        <v>842601.25</v>
      </c>
    </row>
    <row r="5" customFormat="false" ht="15.75" hidden="false" customHeight="true" outlineLevel="0" collapsed="false">
      <c r="A5" s="65" t="n">
        <f aca="false">A4+1</f>
        <v>2033</v>
      </c>
      <c r="B5" s="65" t="n">
        <v>55</v>
      </c>
      <c r="C5" s="69" t="n">
        <f aca="false">F4</f>
        <v>842601.25</v>
      </c>
      <c r="D5" s="69" t="n">
        <v>40000</v>
      </c>
      <c r="E5" s="65" t="str">
        <v>Taxable</v>
      </c>
      <c r="F5" s="69" t="str">
        <f aca="false">IFERROR((C5-D5)*(1+INPUTS!B20),"")</f>
        <v/>
      </c>
      <c r="J5" s="69"/>
    </row>
    <row r="6" customFormat="false" ht="15.75" hidden="false" customHeight="true" outlineLevel="0" collapsed="false">
      <c r="A6" s="65" t="n">
        <f aca="false">A5+1</f>
        <v>2034</v>
      </c>
      <c r="B6" s="65" t="n">
        <v>56</v>
      </c>
      <c r="C6" s="69" t="str">
        <f aca="false">F5</f>
        <v/>
      </c>
      <c r="D6" s="69" t="n">
        <v>40000</v>
      </c>
      <c r="E6" s="65" t="str">
        <v>Taxable</v>
      </c>
      <c r="F6" s="69" t="str">
        <f aca="false">IFERROR((C6-D6)*(1+INPUTS!B21),"")</f>
        <v/>
      </c>
    </row>
    <row r="7" customFormat="false" ht="15.75" hidden="false" customHeight="true" outlineLevel="0" collapsed="false">
      <c r="A7" s="65" t="n">
        <f aca="false">A6+1</f>
        <v>2035</v>
      </c>
      <c r="B7" s="65" t="n">
        <v>57</v>
      </c>
      <c r="C7" s="69" t="str">
        <f aca="false">F6</f>
        <v/>
      </c>
      <c r="D7" s="69" t="n">
        <v>40000</v>
      </c>
      <c r="E7" s="65" t="str">
        <v>Taxable</v>
      </c>
      <c r="F7" s="69" t="str">
        <f aca="false">IFERROR((C7-D7)*(1+INPUTS!B22),"")</f>
        <v/>
      </c>
    </row>
    <row r="8" customFormat="false" ht="15.75" hidden="false" customHeight="true" outlineLevel="0" collapsed="false">
      <c r="A8" s="65" t="n">
        <f aca="false">A7+1</f>
        <v>2036</v>
      </c>
      <c r="B8" s="65" t="n">
        <v>58</v>
      </c>
      <c r="C8" s="69" t="str">
        <f aca="false">F7</f>
        <v/>
      </c>
      <c r="D8" s="69" t="n">
        <v>40000</v>
      </c>
      <c r="E8" s="65" t="str">
        <v>Taxable</v>
      </c>
      <c r="F8" s="69" t="str">
        <f aca="false">IFERROR((C8-D8)*(1+INPUTS!B23),"")</f>
        <v/>
      </c>
    </row>
    <row r="9" customFormat="false" ht="15.75" hidden="false" customHeight="true" outlineLevel="0" collapsed="false">
      <c r="A9" s="65" t="n">
        <f aca="false">A8+1</f>
        <v>2037</v>
      </c>
      <c r="B9" s="65" t="n">
        <v>59</v>
      </c>
      <c r="C9" s="69" t="str">
        <f aca="false">F8</f>
        <v/>
      </c>
      <c r="D9" s="69" t="n">
        <v>40000</v>
      </c>
      <c r="E9" s="65" t="str">
        <v>Taxable</v>
      </c>
      <c r="F9" s="69" t="str">
        <f aca="false">IFERROR((C9-D9)*(1+INPUTS!B24),"")</f>
        <v/>
      </c>
    </row>
    <row r="10" customFormat="false" ht="15.75" hidden="false" customHeight="true" outlineLevel="0" collapsed="false">
      <c r="B10" s="65" t="n">
        <v>0</v>
      </c>
      <c r="C10" s="69"/>
      <c r="D10" s="69" t="n">
        <v>0</v>
      </c>
      <c r="E10" s="65" t="n">
        <v>0</v>
      </c>
      <c r="F10" s="69"/>
    </row>
    <row r="11" customFormat="false" ht="15.75" hidden="false" customHeight="true" outlineLevel="0" collapsed="false">
      <c r="B11" s="65" t="n">
        <v>0</v>
      </c>
      <c r="C11" s="69"/>
      <c r="D11" s="69" t="n">
        <v>0</v>
      </c>
      <c r="E11" s="65" t="n">
        <v>0</v>
      </c>
      <c r="F11" s="69"/>
    </row>
    <row r="12" customFormat="false" ht="15.75" hidden="false" customHeight="true" outlineLevel="0" collapsed="false">
      <c r="B12" s="65" t="n">
        <v>0</v>
      </c>
      <c r="C12" s="69"/>
      <c r="D12" s="69" t="n">
        <v>0</v>
      </c>
      <c r="E12" s="65" t="n">
        <v>0</v>
      </c>
      <c r="F12" s="69"/>
    </row>
    <row r="13" customFormat="false" ht="15.75" hidden="false" customHeight="true" outlineLevel="0" collapsed="false">
      <c r="B13" s="65" t="n">
        <v>0</v>
      </c>
      <c r="C13" s="69"/>
      <c r="D13" s="69" t="n">
        <v>0</v>
      </c>
      <c r="E13" s="65" t="n">
        <v>0</v>
      </c>
      <c r="F13" s="69"/>
    </row>
    <row r="14" customFormat="false" ht="15.75" hidden="false" customHeight="true" outlineLevel="0" collapsed="false">
      <c r="B14" s="65" t="n">
        <v>0</v>
      </c>
      <c r="C14" s="69"/>
      <c r="D14" s="69" t="n">
        <v>0</v>
      </c>
      <c r="E14" s="65" t="n">
        <v>0</v>
      </c>
      <c r="F14" s="69"/>
    </row>
    <row r="15" customFormat="false" ht="15.75" hidden="false" customHeight="true" outlineLevel="0" collapsed="false">
      <c r="B15" s="65" t="n">
        <v>0</v>
      </c>
      <c r="C15" s="69"/>
      <c r="D15" s="69" t="n">
        <v>0</v>
      </c>
      <c r="E15" s="65" t="n">
        <v>0</v>
      </c>
      <c r="F15" s="69"/>
    </row>
    <row r="16" customFormat="false" ht="15.75" hidden="false" customHeight="true" outlineLevel="0" collapsed="false">
      <c r="B16" s="65" t="n">
        <v>0</v>
      </c>
      <c r="C16" s="69"/>
      <c r="D16" s="69" t="n">
        <v>0</v>
      </c>
      <c r="E16" s="65" t="n">
        <v>0</v>
      </c>
      <c r="F16" s="69"/>
    </row>
    <row r="17" customFormat="false" ht="15.75" hidden="false" customHeight="true" outlineLevel="0" collapsed="false">
      <c r="B17" s="65" t="n">
        <v>0</v>
      </c>
      <c r="C17" s="69"/>
      <c r="D17" s="69" t="n">
        <v>0</v>
      </c>
      <c r="E17" s="65" t="n">
        <v>0</v>
      </c>
      <c r="F17" s="69"/>
    </row>
    <row r="18" customFormat="false" ht="15.75" hidden="false" customHeight="true" outlineLevel="0" collapsed="false">
      <c r="B18" s="65" t="n">
        <v>0</v>
      </c>
      <c r="C18" s="69"/>
      <c r="D18" s="69" t="n">
        <v>0</v>
      </c>
      <c r="E18" s="65" t="n">
        <v>0</v>
      </c>
      <c r="F18" s="69"/>
    </row>
    <row r="19" customFormat="false" ht="15.75" hidden="false" customHeight="true" outlineLevel="0" collapsed="false">
      <c r="B19" s="65" t="n">
        <v>0</v>
      </c>
      <c r="C19" s="69"/>
      <c r="D19" s="69" t="n">
        <v>0</v>
      </c>
      <c r="E19" s="65" t="n">
        <v>0</v>
      </c>
      <c r="F19" s="69"/>
    </row>
    <row r="20" customFormat="false" ht="15.75" hidden="false" customHeight="true" outlineLevel="0" collapsed="false">
      <c r="B20" s="65" t="n">
        <v>0</v>
      </c>
      <c r="C20" s="69"/>
      <c r="D20" s="69" t="n">
        <v>0</v>
      </c>
      <c r="E20" s="65" t="n">
        <v>0</v>
      </c>
      <c r="F20" s="69"/>
    </row>
    <row r="21" customFormat="false" ht="15.75" hidden="false" customHeight="true" outlineLevel="0" collapsed="false">
      <c r="B21" s="65" t="n">
        <v>0</v>
      </c>
      <c r="C21" s="69"/>
      <c r="D21" s="69" t="n">
        <v>0</v>
      </c>
      <c r="E21" s="65" t="n">
        <v>0</v>
      </c>
      <c r="F21" s="69"/>
    </row>
    <row r="22" customFormat="false" ht="15.75" hidden="false" customHeight="true" outlineLevel="0" collapsed="false">
      <c r="B22" s="65" t="n">
        <v>0</v>
      </c>
      <c r="C22" s="69"/>
      <c r="D22" s="69" t="n">
        <v>0</v>
      </c>
      <c r="E22" s="65" t="n">
        <v>0</v>
      </c>
      <c r="F22" s="69"/>
    </row>
    <row r="23" customFormat="false" ht="15.75" hidden="false" customHeight="true" outlineLevel="0" collapsed="false">
      <c r="B23" s="65" t="n">
        <v>0</v>
      </c>
      <c r="C23" s="69"/>
      <c r="D23" s="69" t="n">
        <v>0</v>
      </c>
      <c r="E23" s="65" t="n">
        <v>0</v>
      </c>
      <c r="F23" s="69"/>
    </row>
    <row r="24" customFormat="false" ht="15.75" hidden="false" customHeight="true" outlineLevel="0" collapsed="false">
      <c r="B24" s="65" t="n">
        <v>0</v>
      </c>
      <c r="C24" s="69"/>
      <c r="D24" s="69" t="n">
        <v>0</v>
      </c>
      <c r="E24" s="65" t="n">
        <v>0</v>
      </c>
      <c r="F24" s="69"/>
    </row>
    <row r="25" customFormat="false" ht="15.75" hidden="false" customHeight="true" outlineLevel="0" collapsed="false">
      <c r="B25" s="65" t="n">
        <v>0</v>
      </c>
      <c r="C25" s="69"/>
      <c r="D25" s="69" t="n">
        <v>0</v>
      </c>
      <c r="E25" s="65" t="n">
        <v>0</v>
      </c>
      <c r="F25" s="69"/>
    </row>
    <row r="26" customFormat="false" ht="15.75" hidden="false" customHeight="true" outlineLevel="0" collapsed="false">
      <c r="B26" s="65" t="n">
        <v>0</v>
      </c>
      <c r="C26" s="69"/>
      <c r="D26" s="69" t="n">
        <v>0</v>
      </c>
      <c r="E26" s="65" t="n">
        <v>0</v>
      </c>
      <c r="F26" s="69"/>
    </row>
    <row r="27" customFormat="false" ht="15.75" hidden="false" customHeight="true" outlineLevel="0" collapsed="false">
      <c r="B27" s="65" t="n">
        <v>0</v>
      </c>
      <c r="C27" s="69"/>
      <c r="D27" s="69" t="n">
        <v>0</v>
      </c>
      <c r="E27" s="65" t="n">
        <v>0</v>
      </c>
      <c r="F27" s="69"/>
    </row>
    <row r="28" customFormat="false" ht="15.75" hidden="false" customHeight="true" outlineLevel="0" collapsed="false">
      <c r="B28" s="65" t="n">
        <v>0</v>
      </c>
      <c r="C28" s="69"/>
      <c r="D28" s="69" t="n">
        <v>0</v>
      </c>
      <c r="E28" s="65" t="n">
        <v>0</v>
      </c>
      <c r="F28" s="69"/>
    </row>
    <row r="29" customFormat="false" ht="15.75" hidden="false" customHeight="true" outlineLevel="0" collapsed="false">
      <c r="B29" s="65" t="n">
        <v>0</v>
      </c>
      <c r="C29" s="69"/>
      <c r="D29" s="69" t="n">
        <v>0</v>
      </c>
      <c r="E29" s="65" t="n">
        <v>0</v>
      </c>
      <c r="F29" s="69"/>
    </row>
    <row r="30" customFormat="false" ht="15.75" hidden="false" customHeight="true" outlineLevel="0" collapsed="false">
      <c r="B30" s="65" t="n">
        <v>0</v>
      </c>
      <c r="C30" s="69"/>
      <c r="D30" s="69" t="n">
        <v>0</v>
      </c>
      <c r="E30" s="65" t="n">
        <v>0</v>
      </c>
      <c r="F30" s="69"/>
    </row>
    <row r="31" customFormat="false" ht="15.75" hidden="false" customHeight="true" outlineLevel="0" collapsed="false">
      <c r="B31" s="65" t="n">
        <v>0</v>
      </c>
      <c r="C31" s="69"/>
      <c r="D31" s="69" t="n">
        <v>0</v>
      </c>
      <c r="E31" s="65" t="n">
        <v>0</v>
      </c>
      <c r="F31" s="69"/>
    </row>
    <row r="32" customFormat="false" ht="15.75" hidden="false" customHeight="true" outlineLevel="0" collapsed="false">
      <c r="B32" s="65" t="n">
        <v>0</v>
      </c>
      <c r="C32" s="69"/>
      <c r="D32" s="69" t="n">
        <v>0</v>
      </c>
      <c r="E32" s="65" t="n">
        <v>0</v>
      </c>
      <c r="F32" s="69"/>
    </row>
    <row r="33" customFormat="false" ht="15.75" hidden="false" customHeight="true" outlineLevel="0" collapsed="false">
      <c r="B33" s="65" t="n">
        <v>0</v>
      </c>
      <c r="C33" s="69"/>
      <c r="D33" s="69" t="n">
        <v>0</v>
      </c>
      <c r="E33" s="65" t="n">
        <v>0</v>
      </c>
      <c r="F33" s="69"/>
    </row>
    <row r="34" customFormat="false" ht="15.75" hidden="false" customHeight="true" outlineLevel="0" collapsed="false">
      <c r="B34" s="65" t="n">
        <v>0</v>
      </c>
      <c r="C34" s="69"/>
      <c r="D34" s="69" t="n">
        <v>0</v>
      </c>
      <c r="E34" s="65" t="n">
        <v>0</v>
      </c>
      <c r="F34" s="69"/>
    </row>
    <row r="35" customFormat="false" ht="15.75" hidden="false" customHeight="true" outlineLevel="0" collapsed="false">
      <c r="B35" s="65" t="n">
        <v>0</v>
      </c>
      <c r="C35" s="69"/>
      <c r="D35" s="69" t="n">
        <v>0</v>
      </c>
      <c r="E35" s="65" t="n">
        <v>0</v>
      </c>
      <c r="F35" s="69"/>
    </row>
    <row r="36" customFormat="false" ht="15.75" hidden="false" customHeight="true" outlineLevel="0" collapsed="false">
      <c r="B36" s="65" t="n">
        <v>0</v>
      </c>
      <c r="C36" s="69"/>
      <c r="D36" s="69" t="n">
        <v>0</v>
      </c>
      <c r="E36" s="65" t="n">
        <v>0</v>
      </c>
      <c r="F36" s="69"/>
    </row>
    <row r="37" customFormat="false" ht="15.75" hidden="false" customHeight="true" outlineLevel="0" collapsed="false">
      <c r="B37" s="65" t="n">
        <v>0</v>
      </c>
      <c r="C37" s="69"/>
      <c r="D37" s="69" t="n">
        <v>0</v>
      </c>
      <c r="E37" s="65" t="n">
        <v>0</v>
      </c>
      <c r="F37" s="69"/>
    </row>
    <row r="38" customFormat="false" ht="15.75" hidden="false" customHeight="true" outlineLevel="0" collapsed="false">
      <c r="B38" s="65" t="n">
        <v>0</v>
      </c>
      <c r="C38" s="69"/>
      <c r="D38" s="69" t="n">
        <v>0</v>
      </c>
      <c r="E38" s="65" t="n">
        <v>0</v>
      </c>
      <c r="F38" s="69"/>
    </row>
    <row r="39" customFormat="false" ht="15.75" hidden="false" customHeight="true" outlineLevel="0" collapsed="false">
      <c r="B39" s="65" t="n">
        <v>0</v>
      </c>
      <c r="C39" s="69"/>
      <c r="D39" s="69" t="n">
        <v>0</v>
      </c>
      <c r="E39" s="65" t="n">
        <v>0</v>
      </c>
      <c r="F39" s="69"/>
    </row>
    <row r="40" customFormat="false" ht="15.75" hidden="false" customHeight="true" outlineLevel="0" collapsed="false">
      <c r="B40" s="65" t="n">
        <v>0</v>
      </c>
      <c r="C40" s="69"/>
      <c r="D40" s="69" t="n">
        <v>0</v>
      </c>
      <c r="E40" s="65" t="n">
        <v>0</v>
      </c>
      <c r="F40" s="69"/>
    </row>
    <row r="41" customFormat="false" ht="15.75" hidden="false" customHeight="true" outlineLevel="0" collapsed="false">
      <c r="B41" s="65" t="n">
        <v>0</v>
      </c>
      <c r="C41" s="69"/>
      <c r="D41" s="69" t="n">
        <v>0</v>
      </c>
      <c r="E41" s="65" t="n">
        <v>0</v>
      </c>
      <c r="F41" s="69"/>
    </row>
    <row r="42" customFormat="false" ht="15.75" hidden="false" customHeight="true" outlineLevel="0" collapsed="false">
      <c r="B42" s="65" t="n">
        <v>0</v>
      </c>
      <c r="C42" s="69"/>
      <c r="D42" s="69" t="n">
        <v>0</v>
      </c>
      <c r="E42" s="65" t="n">
        <v>0</v>
      </c>
      <c r="F42" s="69"/>
    </row>
    <row r="43" customFormat="false" ht="15.75" hidden="false" customHeight="true" outlineLevel="0" collapsed="false">
      <c r="B43" s="65" t="n">
        <v>0</v>
      </c>
      <c r="C43" s="69"/>
      <c r="D43" s="69" t="n">
        <v>0</v>
      </c>
      <c r="E43" s="65" t="n">
        <v>0</v>
      </c>
      <c r="F43" s="69"/>
    </row>
    <row r="44" customFormat="false" ht="15.75" hidden="false" customHeight="true" outlineLevel="0" collapsed="false">
      <c r="B44" s="65" t="n">
        <v>0</v>
      </c>
      <c r="C44" s="69"/>
      <c r="D44" s="69" t="n">
        <v>0</v>
      </c>
      <c r="E44" s="65" t="n">
        <v>0</v>
      </c>
      <c r="F44" s="69"/>
    </row>
    <row r="45" customFormat="false" ht="15.75" hidden="false" customHeight="true" outlineLevel="0" collapsed="false">
      <c r="B45" s="65" t="n">
        <v>0</v>
      </c>
      <c r="C45" s="69"/>
      <c r="D45" s="69" t="n">
        <v>0</v>
      </c>
      <c r="E45" s="65" t="n">
        <v>0</v>
      </c>
      <c r="F45" s="69"/>
    </row>
    <row r="46" customFormat="false" ht="15.75" hidden="false" customHeight="true" outlineLevel="0" collapsed="false">
      <c r="B46" s="65" t="n">
        <v>0</v>
      </c>
      <c r="C46" s="69"/>
      <c r="D46" s="69" t="n">
        <v>0</v>
      </c>
      <c r="E46" s="65" t="n">
        <v>0</v>
      </c>
      <c r="F46" s="69"/>
    </row>
    <row r="47" customFormat="false" ht="15.75" hidden="false" customHeight="true" outlineLevel="0" collapsed="false">
      <c r="B47" s="65" t="n">
        <v>0</v>
      </c>
      <c r="C47" s="69"/>
      <c r="D47" s="69" t="n">
        <v>0</v>
      </c>
      <c r="E47" s="65" t="n">
        <v>0</v>
      </c>
      <c r="F47" s="69"/>
    </row>
    <row r="48" customFormat="false" ht="15.75" hidden="false" customHeight="true" outlineLevel="0" collapsed="false">
      <c r="B48" s="65" t="n">
        <v>0</v>
      </c>
      <c r="C48" s="69"/>
      <c r="D48" s="69" t="n">
        <v>0</v>
      </c>
      <c r="E48" s="65" t="n">
        <v>0</v>
      </c>
      <c r="F48" s="69"/>
    </row>
    <row r="49" customFormat="false" ht="15.75" hidden="false" customHeight="true" outlineLevel="0" collapsed="false">
      <c r="B49" s="65" t="n">
        <v>0</v>
      </c>
      <c r="C49" s="69"/>
      <c r="D49" s="69" t="n">
        <v>0</v>
      </c>
      <c r="E49" s="65" t="n">
        <v>0</v>
      </c>
      <c r="F49" s="69"/>
    </row>
    <row r="50" customFormat="false" ht="15.75" hidden="false" customHeight="true" outlineLevel="0" collapsed="false">
      <c r="B50" s="65" t="n">
        <v>0</v>
      </c>
      <c r="C50" s="69"/>
      <c r="D50" s="69" t="n">
        <v>0</v>
      </c>
      <c r="E50" s="65" t="n">
        <v>0</v>
      </c>
      <c r="F50" s="69"/>
    </row>
    <row r="51" customFormat="false" ht="15.75" hidden="false" customHeight="true" outlineLevel="0" collapsed="false">
      <c r="B51" s="65" t="n">
        <v>0</v>
      </c>
      <c r="C51" s="69"/>
      <c r="D51" s="69" t="n">
        <v>0</v>
      </c>
      <c r="E51" s="65" t="n">
        <v>0</v>
      </c>
      <c r="F51" s="69"/>
    </row>
    <row r="52" customFormat="false" ht="15.75" hidden="false" customHeight="true" outlineLevel="0" collapsed="false">
      <c r="B52" s="65" t="n">
        <v>0</v>
      </c>
      <c r="C52" s="69"/>
      <c r="D52" s="69" t="n">
        <v>0</v>
      </c>
      <c r="E52" s="65" t="n">
        <v>0</v>
      </c>
      <c r="F52" s="69"/>
    </row>
    <row r="53" customFormat="false" ht="15.75" hidden="false" customHeight="true" outlineLevel="0" collapsed="false">
      <c r="B53" s="65" t="n">
        <v>0</v>
      </c>
      <c r="C53" s="69"/>
      <c r="D53" s="69" t="n">
        <v>0</v>
      </c>
      <c r="E53" s="65" t="n">
        <v>0</v>
      </c>
      <c r="F53" s="69"/>
    </row>
    <row r="54" customFormat="false" ht="15.75" hidden="false" customHeight="true" outlineLevel="0" collapsed="false">
      <c r="B54" s="65" t="n">
        <v>0</v>
      </c>
      <c r="C54" s="69"/>
      <c r="D54" s="69" t="n">
        <v>0</v>
      </c>
      <c r="E54" s="65" t="n">
        <v>0</v>
      </c>
      <c r="F54" s="69"/>
    </row>
    <row r="55" customFormat="false" ht="15.75" hidden="false" customHeight="true" outlineLevel="0" collapsed="false">
      <c r="B55" s="65" t="n">
        <v>0</v>
      </c>
      <c r="C55" s="69"/>
      <c r="D55" s="69" t="n">
        <v>0</v>
      </c>
      <c r="E55" s="65" t="n">
        <v>0</v>
      </c>
      <c r="F55" s="69"/>
    </row>
    <row r="56" customFormat="false" ht="15.75" hidden="false" customHeight="true" outlineLevel="0" collapsed="false">
      <c r="B56" s="65" t="n">
        <v>0</v>
      </c>
      <c r="C56" s="69"/>
      <c r="D56" s="69" t="n">
        <v>0</v>
      </c>
      <c r="E56" s="65" t="n">
        <v>0</v>
      </c>
      <c r="F56" s="69"/>
    </row>
    <row r="57" customFormat="false" ht="15.75" hidden="false" customHeight="true" outlineLevel="0" collapsed="false">
      <c r="B57" s="65" t="n">
        <v>0</v>
      </c>
      <c r="C57" s="69"/>
      <c r="D57" s="69" t="n">
        <v>0</v>
      </c>
      <c r="E57" s="65" t="n">
        <v>0</v>
      </c>
      <c r="F57" s="69"/>
    </row>
    <row r="58" customFormat="false" ht="15.75" hidden="false" customHeight="true" outlineLevel="0" collapsed="false">
      <c r="B58" s="65" t="n">
        <v>0</v>
      </c>
      <c r="C58" s="69"/>
      <c r="D58" s="69" t="n">
        <v>0</v>
      </c>
      <c r="E58" s="65" t="n">
        <v>0</v>
      </c>
      <c r="F58" s="69"/>
    </row>
    <row r="59" customFormat="false" ht="15.75" hidden="false" customHeight="true" outlineLevel="0" collapsed="false">
      <c r="B59" s="65" t="n">
        <v>0</v>
      </c>
      <c r="C59" s="69"/>
      <c r="D59" s="69" t="n">
        <v>0</v>
      </c>
      <c r="E59" s="65" t="n">
        <v>0</v>
      </c>
      <c r="F59" s="69"/>
    </row>
    <row r="60" customFormat="false" ht="15.75" hidden="false" customHeight="true" outlineLevel="0" collapsed="false">
      <c r="B60" s="65" t="n">
        <v>0</v>
      </c>
      <c r="C60" s="69"/>
      <c r="D60" s="69" t="n">
        <v>0</v>
      </c>
      <c r="E60" s="65" t="n">
        <v>0</v>
      </c>
      <c r="F60" s="69"/>
    </row>
    <row r="61" customFormat="false" ht="15.75" hidden="false" customHeight="true" outlineLevel="0" collapsed="false">
      <c r="B61" s="65" t="n">
        <v>0</v>
      </c>
      <c r="C61" s="69"/>
      <c r="D61" s="69" t="n">
        <v>0</v>
      </c>
      <c r="E61" s="65" t="n">
        <v>0</v>
      </c>
      <c r="F61" s="69"/>
    </row>
    <row r="62" customFormat="false" ht="15.75" hidden="false" customHeight="true" outlineLevel="0" collapsed="false">
      <c r="B62" s="65" t="n">
        <v>0</v>
      </c>
      <c r="C62" s="69"/>
      <c r="D62" s="69" t="n">
        <v>0</v>
      </c>
      <c r="E62" s="65" t="n">
        <v>0</v>
      </c>
      <c r="F62" s="69"/>
    </row>
    <row r="63" customFormat="false" ht="15.75" hidden="false" customHeight="true" outlineLevel="0" collapsed="false">
      <c r="B63" s="65" t="n">
        <v>0</v>
      </c>
      <c r="C63" s="69"/>
      <c r="D63" s="69" t="n">
        <v>0</v>
      </c>
      <c r="E63" s="65" t="n">
        <v>0</v>
      </c>
      <c r="F63" s="69"/>
    </row>
    <row r="64" customFormat="false" ht="15.75" hidden="false" customHeight="true" outlineLevel="0" collapsed="false">
      <c r="B64" s="65" t="n">
        <v>0</v>
      </c>
      <c r="C64" s="69"/>
      <c r="D64" s="69" t="n">
        <v>0</v>
      </c>
      <c r="E64" s="65" t="n">
        <v>0</v>
      </c>
      <c r="F64" s="69"/>
    </row>
    <row r="65" customFormat="false" ht="15.75" hidden="false" customHeight="true" outlineLevel="0" collapsed="false">
      <c r="B65" s="65" t="n">
        <v>0</v>
      </c>
      <c r="C65" s="69"/>
      <c r="D65" s="69" t="n">
        <v>0</v>
      </c>
      <c r="E65" s="65" t="n">
        <v>0</v>
      </c>
      <c r="F65" s="69"/>
    </row>
    <row r="66" customFormat="false" ht="15.75" hidden="false" customHeight="true" outlineLevel="0" collapsed="false">
      <c r="B66" s="65" t="n">
        <v>0</v>
      </c>
      <c r="C66" s="69"/>
      <c r="D66" s="69" t="n">
        <v>0</v>
      </c>
      <c r="E66" s="65" t="n">
        <v>0</v>
      </c>
      <c r="F66" s="69"/>
    </row>
    <row r="67" customFormat="false" ht="15.75" hidden="false" customHeight="true" outlineLevel="0" collapsed="false">
      <c r="B67" s="65" t="n">
        <v>0</v>
      </c>
      <c r="C67" s="69"/>
      <c r="D67" s="69" t="n">
        <v>0</v>
      </c>
      <c r="E67" s="65" t="n">
        <v>0</v>
      </c>
      <c r="F67" s="69"/>
    </row>
    <row r="68" customFormat="false" ht="15.75" hidden="false" customHeight="true" outlineLevel="0" collapsed="false">
      <c r="B68" s="65" t="n">
        <v>0</v>
      </c>
      <c r="C68" s="69"/>
      <c r="D68" s="69" t="n">
        <v>0</v>
      </c>
      <c r="E68" s="65" t="n">
        <v>0</v>
      </c>
      <c r="F68" s="69"/>
    </row>
    <row r="69" customFormat="false" ht="15.75" hidden="false" customHeight="true" outlineLevel="0" collapsed="false">
      <c r="B69" s="65" t="n">
        <v>0</v>
      </c>
      <c r="C69" s="69"/>
      <c r="D69" s="69" t="n">
        <v>0</v>
      </c>
      <c r="E69" s="65" t="n">
        <v>0</v>
      </c>
      <c r="F69" s="69"/>
    </row>
    <row r="70" customFormat="false" ht="15.75" hidden="false" customHeight="true" outlineLevel="0" collapsed="false">
      <c r="B70" s="65" t="n">
        <v>0</v>
      </c>
      <c r="C70" s="69"/>
      <c r="D70" s="69" t="n">
        <v>0</v>
      </c>
      <c r="E70" s="65" t="n">
        <v>0</v>
      </c>
      <c r="F70" s="69"/>
    </row>
    <row r="71" customFormat="false" ht="15.75" hidden="false" customHeight="true" outlineLevel="0" collapsed="false">
      <c r="B71" s="65" t="n">
        <v>0</v>
      </c>
      <c r="C71" s="69"/>
      <c r="D71" s="69" t="n">
        <v>0</v>
      </c>
      <c r="E71" s="65" t="n">
        <v>0</v>
      </c>
      <c r="F71" s="69"/>
    </row>
    <row r="72" customFormat="false" ht="15.75" hidden="false" customHeight="true" outlineLevel="0" collapsed="false">
      <c r="B72" s="65" t="n">
        <v>0</v>
      </c>
      <c r="C72" s="69"/>
      <c r="D72" s="69" t="n">
        <v>0</v>
      </c>
      <c r="E72" s="65" t="n">
        <v>0</v>
      </c>
      <c r="F72" s="69"/>
    </row>
    <row r="73" customFormat="false" ht="15.75" hidden="false" customHeight="true" outlineLevel="0" collapsed="false">
      <c r="B73" s="65" t="n">
        <v>0</v>
      </c>
      <c r="C73" s="69"/>
      <c r="D73" s="69" t="n">
        <v>0</v>
      </c>
      <c r="E73" s="65" t="n">
        <v>0</v>
      </c>
      <c r="F73" s="69"/>
    </row>
    <row r="74" customFormat="false" ht="15.75" hidden="false" customHeight="true" outlineLevel="0" collapsed="false">
      <c r="B74" s="65" t="n">
        <v>0</v>
      </c>
      <c r="C74" s="69"/>
      <c r="D74" s="69" t="n">
        <v>0</v>
      </c>
      <c r="E74" s="65" t="n">
        <v>0</v>
      </c>
      <c r="F74" s="69"/>
    </row>
    <row r="75" customFormat="false" ht="15.75" hidden="false" customHeight="true" outlineLevel="0" collapsed="false">
      <c r="B75" s="65" t="n">
        <v>0</v>
      </c>
      <c r="C75" s="69"/>
      <c r="D75" s="69" t="n">
        <v>0</v>
      </c>
      <c r="E75" s="65" t="n">
        <v>0</v>
      </c>
      <c r="F75" s="69"/>
    </row>
    <row r="76" customFormat="false" ht="15.75" hidden="false" customHeight="true" outlineLevel="0" collapsed="false">
      <c r="B76" s="65" t="n">
        <v>0</v>
      </c>
      <c r="C76" s="69"/>
      <c r="D76" s="69" t="n">
        <v>0</v>
      </c>
      <c r="E76" s="65" t="n">
        <v>0</v>
      </c>
      <c r="F76" s="69"/>
    </row>
    <row r="77" customFormat="false" ht="15.75" hidden="false" customHeight="true" outlineLevel="0" collapsed="false">
      <c r="B77" s="65" t="n">
        <v>0</v>
      </c>
      <c r="C77" s="69"/>
      <c r="D77" s="69" t="n">
        <v>0</v>
      </c>
      <c r="E77" s="65" t="n">
        <v>0</v>
      </c>
      <c r="F77" s="69"/>
    </row>
    <row r="78" customFormat="false" ht="15.75" hidden="false" customHeight="true" outlineLevel="0" collapsed="false">
      <c r="B78" s="65" t="n">
        <v>0</v>
      </c>
      <c r="C78" s="69"/>
      <c r="D78" s="69" t="n">
        <v>0</v>
      </c>
      <c r="E78" s="65" t="n">
        <v>0</v>
      </c>
      <c r="F78" s="69"/>
    </row>
    <row r="79" customFormat="false" ht="15.75" hidden="false" customHeight="true" outlineLevel="0" collapsed="false">
      <c r="B79" s="65" t="n">
        <v>0</v>
      </c>
      <c r="C79" s="69"/>
      <c r="D79" s="69" t="n">
        <v>0</v>
      </c>
      <c r="E79" s="65" t="n">
        <v>0</v>
      </c>
      <c r="F79" s="69"/>
    </row>
    <row r="80" customFormat="false" ht="15.75" hidden="false" customHeight="true" outlineLevel="0" collapsed="false">
      <c r="B80" s="65" t="n">
        <v>0</v>
      </c>
      <c r="C80" s="69"/>
      <c r="D80" s="69" t="n">
        <v>0</v>
      </c>
      <c r="E80" s="65" t="n">
        <v>0</v>
      </c>
      <c r="F80" s="69"/>
    </row>
    <row r="81" customFormat="false" ht="15.75" hidden="false" customHeight="true" outlineLevel="0" collapsed="false">
      <c r="B81" s="65" t="n">
        <v>0</v>
      </c>
      <c r="C81" s="69"/>
      <c r="D81" s="69" t="n">
        <v>0</v>
      </c>
      <c r="E81" s="65" t="n">
        <v>0</v>
      </c>
      <c r="F81" s="69"/>
    </row>
    <row r="82" customFormat="false" ht="15.75" hidden="false" customHeight="true" outlineLevel="0" collapsed="false">
      <c r="B82" s="65" t="n">
        <v>0</v>
      </c>
      <c r="C82" s="69"/>
      <c r="D82" s="69" t="n">
        <v>0</v>
      </c>
      <c r="E82" s="65" t="n">
        <v>0</v>
      </c>
      <c r="F82" s="69"/>
    </row>
    <row r="83" customFormat="false" ht="15.75" hidden="false" customHeight="true" outlineLevel="0" collapsed="false">
      <c r="B83" s="65" t="n">
        <v>0</v>
      </c>
      <c r="C83" s="69"/>
      <c r="D83" s="69" t="n">
        <v>0</v>
      </c>
      <c r="E83" s="65" t="n">
        <v>0</v>
      </c>
      <c r="F83" s="69"/>
    </row>
    <row r="84" customFormat="false" ht="15.75" hidden="false" customHeight="true" outlineLevel="0" collapsed="false">
      <c r="B84" s="65" t="n">
        <v>0</v>
      </c>
      <c r="C84" s="69"/>
      <c r="D84" s="69" t="n">
        <v>0</v>
      </c>
      <c r="E84" s="65" t="n">
        <v>0</v>
      </c>
      <c r="F84" s="69"/>
    </row>
    <row r="85" customFormat="false" ht="15.75" hidden="false" customHeight="true" outlineLevel="0" collapsed="false">
      <c r="B85" s="65" t="n">
        <v>0</v>
      </c>
      <c r="C85" s="69"/>
      <c r="D85" s="69" t="n">
        <v>0</v>
      </c>
      <c r="E85" s="65" t="n">
        <v>0</v>
      </c>
      <c r="F85" s="69"/>
    </row>
    <row r="86" customFormat="false" ht="15.75" hidden="false" customHeight="true" outlineLevel="0" collapsed="false">
      <c r="B86" s="65" t="n">
        <v>0</v>
      </c>
      <c r="C86" s="69"/>
      <c r="D86" s="69" t="n">
        <v>0</v>
      </c>
      <c r="E86" s="65" t="n">
        <v>0</v>
      </c>
      <c r="F86" s="69"/>
    </row>
    <row r="87" customFormat="false" ht="15.75" hidden="false" customHeight="true" outlineLevel="0" collapsed="false">
      <c r="B87" s="65" t="n">
        <v>0</v>
      </c>
      <c r="C87" s="69"/>
      <c r="D87" s="69" t="n">
        <v>0</v>
      </c>
      <c r="E87" s="65" t="n">
        <v>0</v>
      </c>
      <c r="F87" s="69"/>
    </row>
    <row r="88" customFormat="false" ht="15.75" hidden="false" customHeight="true" outlineLevel="0" collapsed="false">
      <c r="B88" s="65" t="n">
        <v>0</v>
      </c>
      <c r="C88" s="69"/>
      <c r="D88" s="69" t="n">
        <v>0</v>
      </c>
      <c r="E88" s="65" t="n">
        <v>0</v>
      </c>
      <c r="F88" s="69"/>
    </row>
    <row r="89" customFormat="false" ht="15.75" hidden="false" customHeight="true" outlineLevel="0" collapsed="false">
      <c r="B89" s="65" t="n">
        <v>0</v>
      </c>
      <c r="C89" s="69"/>
      <c r="D89" s="69" t="n">
        <v>0</v>
      </c>
      <c r="E89" s="65" t="n">
        <v>0</v>
      </c>
      <c r="F89" s="69"/>
    </row>
    <row r="90" customFormat="false" ht="15.75" hidden="false" customHeight="true" outlineLevel="0" collapsed="false">
      <c r="B90" s="65" t="n">
        <v>0</v>
      </c>
      <c r="C90" s="69"/>
      <c r="D90" s="69" t="n">
        <v>0</v>
      </c>
      <c r="E90" s="65" t="n">
        <v>0</v>
      </c>
      <c r="F90" s="69"/>
    </row>
    <row r="91" customFormat="false" ht="15.75" hidden="false" customHeight="true" outlineLevel="0" collapsed="false">
      <c r="B91" s="65" t="n">
        <v>0</v>
      </c>
      <c r="C91" s="69"/>
      <c r="D91" s="69" t="n">
        <v>0</v>
      </c>
      <c r="E91" s="65" t="n">
        <v>0</v>
      </c>
      <c r="F91" s="69"/>
    </row>
    <row r="92" customFormat="false" ht="15.75" hidden="false" customHeight="true" outlineLevel="0" collapsed="false">
      <c r="B92" s="65" t="n">
        <v>0</v>
      </c>
      <c r="C92" s="69"/>
      <c r="D92" s="69" t="n">
        <v>0</v>
      </c>
      <c r="E92" s="65" t="n">
        <v>0</v>
      </c>
      <c r="F92" s="69"/>
    </row>
    <row r="93" customFormat="false" ht="15.75" hidden="false" customHeight="true" outlineLevel="0" collapsed="false">
      <c r="B93" s="65" t="n">
        <v>0</v>
      </c>
      <c r="C93" s="69"/>
      <c r="D93" s="69" t="n">
        <v>0</v>
      </c>
      <c r="E93" s="65" t="n">
        <v>0</v>
      </c>
      <c r="F93" s="69"/>
    </row>
    <row r="94" customFormat="false" ht="15.75" hidden="false" customHeight="true" outlineLevel="0" collapsed="false">
      <c r="B94" s="65" t="n">
        <v>0</v>
      </c>
      <c r="C94" s="69"/>
      <c r="D94" s="69" t="n">
        <v>0</v>
      </c>
      <c r="E94" s="65" t="n">
        <v>0</v>
      </c>
      <c r="F94" s="69"/>
    </row>
    <row r="95" customFormat="false" ht="15.75" hidden="false" customHeight="true" outlineLevel="0" collapsed="false">
      <c r="B95" s="65" t="n">
        <v>0</v>
      </c>
      <c r="C95" s="69"/>
      <c r="D95" s="69" t="n">
        <v>0</v>
      </c>
      <c r="E95" s="65" t="n">
        <v>0</v>
      </c>
      <c r="F95" s="69"/>
    </row>
    <row r="96" customFormat="false" ht="15.75" hidden="false" customHeight="true" outlineLevel="0" collapsed="false">
      <c r="B96" s="65" t="n">
        <v>0</v>
      </c>
      <c r="C96" s="69"/>
      <c r="D96" s="69" t="n">
        <v>0</v>
      </c>
      <c r="E96" s="65" t="n">
        <v>0</v>
      </c>
      <c r="F96" s="69"/>
    </row>
    <row r="97" customFormat="false" ht="15.75" hidden="false" customHeight="true" outlineLevel="0" collapsed="false">
      <c r="B97" s="65" t="n">
        <v>0</v>
      </c>
      <c r="C97" s="69"/>
      <c r="D97" s="69" t="n">
        <v>0</v>
      </c>
      <c r="E97" s="65" t="n">
        <v>0</v>
      </c>
      <c r="F97" s="69"/>
    </row>
    <row r="98" customFormat="false" ht="15.75" hidden="false" customHeight="true" outlineLevel="0" collapsed="false">
      <c r="B98" s="65" t="n">
        <v>0</v>
      </c>
      <c r="C98" s="69"/>
      <c r="D98" s="69" t="n">
        <v>0</v>
      </c>
      <c r="E98" s="65" t="n">
        <v>0</v>
      </c>
      <c r="F98" s="69"/>
    </row>
    <row r="99" customFormat="false" ht="15.75" hidden="false" customHeight="true" outlineLevel="0" collapsed="false">
      <c r="B99" s="65" t="n">
        <v>0</v>
      </c>
      <c r="C99" s="69"/>
      <c r="D99" s="69" t="n">
        <v>0</v>
      </c>
      <c r="E99" s="65" t="n">
        <v>0</v>
      </c>
      <c r="F99" s="69"/>
    </row>
    <row r="100" customFormat="false" ht="15.75" hidden="false" customHeight="true" outlineLevel="0" collapsed="false">
      <c r="B100" s="65" t="n">
        <v>0</v>
      </c>
      <c r="C100" s="69"/>
      <c r="D100" s="69" t="n">
        <v>0</v>
      </c>
      <c r="E100" s="65" t="n">
        <v>0</v>
      </c>
      <c r="F100" s="69"/>
    </row>
    <row r="101" customFormat="false" ht="15.75" hidden="false" customHeight="true" outlineLevel="0" collapsed="false">
      <c r="B101" s="65" t="n">
        <v>0</v>
      </c>
      <c r="C101" s="69"/>
      <c r="D101" s="69" t="n">
        <v>0</v>
      </c>
      <c r="E101" s="65" t="n">
        <v>0</v>
      </c>
      <c r="F101" s="69"/>
    </row>
    <row r="102" customFormat="false" ht="15.75" hidden="false" customHeight="true" outlineLevel="0" collapsed="false">
      <c r="B102" s="65" t="n">
        <v>0</v>
      </c>
      <c r="C102" s="69"/>
      <c r="D102" s="69" t="n">
        <v>0</v>
      </c>
      <c r="E102" s="65" t="n">
        <v>0</v>
      </c>
      <c r="F102" s="69"/>
    </row>
    <row r="103" customFormat="false" ht="15.75" hidden="false" customHeight="true" outlineLevel="0" collapsed="false">
      <c r="B103" s="65" t="n">
        <v>0</v>
      </c>
      <c r="C103" s="69"/>
      <c r="D103" s="69" t="n">
        <v>0</v>
      </c>
      <c r="E103" s="65" t="n">
        <v>0</v>
      </c>
      <c r="F103" s="69"/>
    </row>
    <row r="104" customFormat="false" ht="15.75" hidden="false" customHeight="true" outlineLevel="0" collapsed="false">
      <c r="B104" s="65" t="n">
        <v>0</v>
      </c>
      <c r="C104" s="69"/>
      <c r="D104" s="69" t="n">
        <v>0</v>
      </c>
      <c r="E104" s="65" t="n">
        <v>0</v>
      </c>
      <c r="F104" s="69"/>
    </row>
    <row r="105" customFormat="false" ht="15.75" hidden="false" customHeight="true" outlineLevel="0" collapsed="false">
      <c r="B105" s="65" t="n">
        <v>0</v>
      </c>
      <c r="C105" s="69"/>
      <c r="D105" s="69" t="n">
        <v>0</v>
      </c>
      <c r="E105" s="65" t="n">
        <v>0</v>
      </c>
      <c r="F105" s="69"/>
    </row>
    <row r="106" customFormat="false" ht="15.75" hidden="false" customHeight="true" outlineLevel="0" collapsed="false">
      <c r="B106" s="65" t="n">
        <v>0</v>
      </c>
      <c r="C106" s="69"/>
      <c r="D106" s="69" t="n">
        <v>0</v>
      </c>
      <c r="E106" s="65" t="n">
        <v>0</v>
      </c>
      <c r="F106" s="69"/>
    </row>
    <row r="107" customFormat="false" ht="15.75" hidden="false" customHeight="true" outlineLevel="0" collapsed="false">
      <c r="B107" s="65" t="n">
        <v>0</v>
      </c>
      <c r="C107" s="69"/>
      <c r="D107" s="69" t="n">
        <v>0</v>
      </c>
      <c r="E107" s="65" t="n">
        <v>0</v>
      </c>
      <c r="F107" s="69"/>
    </row>
    <row r="108" customFormat="false" ht="15.75" hidden="false" customHeight="true" outlineLevel="0" collapsed="false">
      <c r="B108" s="65" t="n">
        <v>0</v>
      </c>
      <c r="C108" s="69"/>
      <c r="D108" s="69" t="n">
        <v>0</v>
      </c>
      <c r="E108" s="65" t="n">
        <v>0</v>
      </c>
      <c r="F108" s="69"/>
    </row>
    <row r="109" customFormat="false" ht="15.75" hidden="false" customHeight="true" outlineLevel="0" collapsed="false">
      <c r="B109" s="65" t="n">
        <v>0</v>
      </c>
      <c r="C109" s="69"/>
      <c r="D109" s="69" t="n">
        <v>0</v>
      </c>
      <c r="E109" s="65" t="n">
        <v>0</v>
      </c>
      <c r="F109" s="69"/>
    </row>
    <row r="110" customFormat="false" ht="15.75" hidden="false" customHeight="true" outlineLevel="0" collapsed="false">
      <c r="B110" s="65" t="n">
        <v>0</v>
      </c>
      <c r="C110" s="69"/>
      <c r="D110" s="69" t="n">
        <v>0</v>
      </c>
      <c r="E110" s="65" t="n">
        <v>0</v>
      </c>
      <c r="F110" s="69"/>
    </row>
    <row r="111" customFormat="false" ht="15.75" hidden="false" customHeight="true" outlineLevel="0" collapsed="false">
      <c r="B111" s="65" t="n">
        <v>0</v>
      </c>
      <c r="C111" s="69"/>
      <c r="D111" s="69" t="n">
        <v>0</v>
      </c>
      <c r="E111" s="65" t="n">
        <v>0</v>
      </c>
      <c r="F111" s="69"/>
    </row>
    <row r="112" customFormat="false" ht="15.75" hidden="false" customHeight="true" outlineLevel="0" collapsed="false">
      <c r="B112" s="65" t="n">
        <v>0</v>
      </c>
      <c r="C112" s="69"/>
      <c r="D112" s="69" t="n">
        <v>0</v>
      </c>
      <c r="E112" s="65" t="n">
        <v>0</v>
      </c>
      <c r="F112" s="69"/>
    </row>
    <row r="113" customFormat="false" ht="15.75" hidden="false" customHeight="true" outlineLevel="0" collapsed="false">
      <c r="B113" s="65" t="n">
        <v>0</v>
      </c>
      <c r="C113" s="69"/>
      <c r="D113" s="69" t="n">
        <v>0</v>
      </c>
      <c r="E113" s="65" t="n">
        <v>0</v>
      </c>
      <c r="F113" s="69"/>
    </row>
    <row r="114" customFormat="false" ht="15.75" hidden="false" customHeight="true" outlineLevel="0" collapsed="false">
      <c r="B114" s="65" t="n">
        <v>0</v>
      </c>
      <c r="C114" s="69"/>
      <c r="D114" s="69" t="n">
        <v>0</v>
      </c>
      <c r="E114" s="65" t="n">
        <v>0</v>
      </c>
      <c r="F114" s="69"/>
    </row>
    <row r="115" customFormat="false" ht="15.75" hidden="false" customHeight="true" outlineLevel="0" collapsed="false">
      <c r="B115" s="65" t="n">
        <v>0</v>
      </c>
      <c r="C115" s="69"/>
      <c r="D115" s="69" t="n">
        <v>0</v>
      </c>
      <c r="E115" s="65" t="n">
        <v>0</v>
      </c>
      <c r="F115" s="69"/>
    </row>
    <row r="116" customFormat="false" ht="15.75" hidden="false" customHeight="true" outlineLevel="0" collapsed="false">
      <c r="B116" s="65" t="n">
        <v>0</v>
      </c>
      <c r="C116" s="69"/>
      <c r="D116" s="69" t="n">
        <v>0</v>
      </c>
      <c r="E116" s="65" t="n">
        <v>0</v>
      </c>
      <c r="F116" s="69"/>
    </row>
    <row r="117" customFormat="false" ht="15.75" hidden="false" customHeight="true" outlineLevel="0" collapsed="false">
      <c r="B117" s="65" t="n">
        <v>0</v>
      </c>
      <c r="C117" s="69"/>
      <c r="D117" s="69" t="n">
        <v>0</v>
      </c>
      <c r="E117" s="65" t="n">
        <v>0</v>
      </c>
      <c r="F117" s="69"/>
    </row>
    <row r="118" customFormat="false" ht="15.75" hidden="false" customHeight="true" outlineLevel="0" collapsed="false">
      <c r="B118" s="65" t="n">
        <v>0</v>
      </c>
      <c r="C118" s="69"/>
      <c r="D118" s="69" t="n">
        <v>0</v>
      </c>
      <c r="E118" s="65" t="n">
        <v>0</v>
      </c>
      <c r="F118" s="69"/>
    </row>
    <row r="119" customFormat="false" ht="15.75" hidden="false" customHeight="true" outlineLevel="0" collapsed="false">
      <c r="B119" s="65" t="n">
        <v>0</v>
      </c>
      <c r="C119" s="69"/>
      <c r="D119" s="69" t="n">
        <v>0</v>
      </c>
      <c r="E119" s="65" t="n">
        <v>0</v>
      </c>
      <c r="F119" s="69"/>
    </row>
    <row r="120" customFormat="false" ht="15.75" hidden="false" customHeight="true" outlineLevel="0" collapsed="false">
      <c r="B120" s="65" t="n">
        <v>0</v>
      </c>
      <c r="C120" s="69"/>
      <c r="D120" s="69" t="n">
        <v>0</v>
      </c>
      <c r="E120" s="65" t="n">
        <v>0</v>
      </c>
      <c r="F120" s="69"/>
    </row>
    <row r="121" customFormat="false" ht="15.75" hidden="false" customHeight="true" outlineLevel="0" collapsed="false">
      <c r="B121" s="65" t="n">
        <v>0</v>
      </c>
      <c r="C121" s="69"/>
      <c r="D121" s="69" t="n">
        <v>0</v>
      </c>
      <c r="E121" s="65" t="n">
        <v>0</v>
      </c>
      <c r="F121" s="69"/>
    </row>
    <row r="122" customFormat="false" ht="15.75" hidden="false" customHeight="true" outlineLevel="0" collapsed="false">
      <c r="B122" s="65" t="n">
        <v>0</v>
      </c>
      <c r="C122" s="69"/>
      <c r="D122" s="69" t="n">
        <v>0</v>
      </c>
      <c r="E122" s="65" t="n">
        <v>0</v>
      </c>
      <c r="F122" s="69"/>
    </row>
    <row r="123" customFormat="false" ht="15.75" hidden="false" customHeight="true" outlineLevel="0" collapsed="false">
      <c r="B123" s="65" t="n">
        <v>0</v>
      </c>
      <c r="C123" s="69"/>
      <c r="D123" s="69" t="n">
        <v>0</v>
      </c>
      <c r="E123" s="65" t="n">
        <v>0</v>
      </c>
      <c r="F123" s="69"/>
    </row>
    <row r="124" customFormat="false" ht="15.75" hidden="false" customHeight="true" outlineLevel="0" collapsed="false">
      <c r="B124" s="65" t="n">
        <v>0</v>
      </c>
      <c r="C124" s="69"/>
      <c r="D124" s="69" t="n">
        <v>0</v>
      </c>
      <c r="E124" s="65" t="n">
        <v>0</v>
      </c>
      <c r="F124" s="69"/>
    </row>
    <row r="125" customFormat="false" ht="15.75" hidden="false" customHeight="true" outlineLevel="0" collapsed="false">
      <c r="B125" s="65" t="n">
        <v>0</v>
      </c>
      <c r="C125" s="69"/>
      <c r="D125" s="69" t="n">
        <v>0</v>
      </c>
      <c r="E125" s="65" t="n">
        <v>0</v>
      </c>
      <c r="F125" s="69"/>
    </row>
    <row r="126" customFormat="false" ht="15.75" hidden="false" customHeight="true" outlineLevel="0" collapsed="false">
      <c r="B126" s="65" t="n">
        <v>0</v>
      </c>
      <c r="C126" s="69"/>
      <c r="D126" s="69" t="n">
        <v>0</v>
      </c>
      <c r="E126" s="65" t="n">
        <v>0</v>
      </c>
      <c r="F126" s="69"/>
    </row>
    <row r="127" customFormat="false" ht="15.75" hidden="false" customHeight="true" outlineLevel="0" collapsed="false">
      <c r="B127" s="65" t="n">
        <v>0</v>
      </c>
      <c r="C127" s="69"/>
      <c r="D127" s="69" t="n">
        <v>0</v>
      </c>
      <c r="E127" s="65" t="n">
        <v>0</v>
      </c>
      <c r="F127" s="69"/>
    </row>
    <row r="128" customFormat="false" ht="15.75" hidden="false" customHeight="true" outlineLevel="0" collapsed="false">
      <c r="B128" s="65" t="n">
        <v>0</v>
      </c>
      <c r="C128" s="69"/>
      <c r="D128" s="69" t="n">
        <v>0</v>
      </c>
      <c r="E128" s="65" t="n">
        <v>0</v>
      </c>
      <c r="F128" s="69"/>
    </row>
    <row r="129" customFormat="false" ht="15.75" hidden="false" customHeight="true" outlineLevel="0" collapsed="false">
      <c r="B129" s="65" t="n">
        <v>0</v>
      </c>
      <c r="C129" s="69"/>
      <c r="D129" s="69" t="n">
        <v>0</v>
      </c>
      <c r="E129" s="65" t="n">
        <v>0</v>
      </c>
      <c r="F129" s="69"/>
    </row>
    <row r="130" customFormat="false" ht="15.75" hidden="false" customHeight="true" outlineLevel="0" collapsed="false">
      <c r="B130" s="65" t="n">
        <v>0</v>
      </c>
      <c r="C130" s="69"/>
      <c r="D130" s="69" t="n">
        <v>0</v>
      </c>
      <c r="E130" s="65" t="n">
        <v>0</v>
      </c>
      <c r="F130" s="69"/>
    </row>
    <row r="131" customFormat="false" ht="15.75" hidden="false" customHeight="true" outlineLevel="0" collapsed="false">
      <c r="B131" s="65" t="n">
        <v>0</v>
      </c>
      <c r="C131" s="69"/>
      <c r="D131" s="69" t="n">
        <v>0</v>
      </c>
      <c r="E131" s="65" t="n">
        <v>0</v>
      </c>
      <c r="F131" s="69"/>
    </row>
    <row r="132" customFormat="false" ht="15.75" hidden="false" customHeight="true" outlineLevel="0" collapsed="false">
      <c r="B132" s="65" t="n">
        <v>0</v>
      </c>
      <c r="C132" s="69"/>
      <c r="D132" s="69" t="n">
        <v>0</v>
      </c>
      <c r="E132" s="65" t="n">
        <v>0</v>
      </c>
      <c r="F132" s="69"/>
    </row>
    <row r="133" customFormat="false" ht="15.75" hidden="false" customHeight="true" outlineLevel="0" collapsed="false">
      <c r="B133" s="65" t="n">
        <v>0</v>
      </c>
      <c r="C133" s="69"/>
      <c r="D133" s="69" t="n">
        <v>0</v>
      </c>
      <c r="E133" s="65" t="n">
        <v>0</v>
      </c>
      <c r="F133" s="69"/>
    </row>
    <row r="134" customFormat="false" ht="15.75" hidden="false" customHeight="true" outlineLevel="0" collapsed="false">
      <c r="B134" s="65" t="n">
        <v>0</v>
      </c>
      <c r="C134" s="69"/>
      <c r="D134" s="69" t="n">
        <v>0</v>
      </c>
      <c r="E134" s="65" t="n">
        <v>0</v>
      </c>
      <c r="F134" s="69"/>
    </row>
    <row r="135" customFormat="false" ht="15.75" hidden="false" customHeight="true" outlineLevel="0" collapsed="false">
      <c r="B135" s="65" t="n">
        <v>0</v>
      </c>
      <c r="C135" s="69"/>
      <c r="D135" s="69" t="n">
        <v>0</v>
      </c>
      <c r="E135" s="65" t="n">
        <v>0</v>
      </c>
      <c r="F135" s="69"/>
    </row>
    <row r="136" customFormat="false" ht="15.75" hidden="false" customHeight="true" outlineLevel="0" collapsed="false">
      <c r="B136" s="65" t="n">
        <v>0</v>
      </c>
      <c r="C136" s="69"/>
      <c r="D136" s="69" t="n">
        <v>0</v>
      </c>
      <c r="E136" s="65" t="n">
        <v>0</v>
      </c>
      <c r="F136" s="69"/>
    </row>
    <row r="137" customFormat="false" ht="15.75" hidden="false" customHeight="true" outlineLevel="0" collapsed="false">
      <c r="B137" s="65" t="n">
        <v>0</v>
      </c>
      <c r="C137" s="69"/>
      <c r="D137" s="69" t="n">
        <v>0</v>
      </c>
      <c r="E137" s="65" t="n">
        <v>0</v>
      </c>
      <c r="F137" s="69"/>
    </row>
    <row r="138" customFormat="false" ht="15.75" hidden="false" customHeight="true" outlineLevel="0" collapsed="false">
      <c r="B138" s="65" t="n">
        <v>0</v>
      </c>
      <c r="C138" s="69"/>
      <c r="D138" s="69" t="n">
        <v>0</v>
      </c>
      <c r="E138" s="65" t="n">
        <v>0</v>
      </c>
      <c r="F138" s="69"/>
    </row>
    <row r="139" customFormat="false" ht="15.75" hidden="false" customHeight="true" outlineLevel="0" collapsed="false">
      <c r="B139" s="65" t="n">
        <v>0</v>
      </c>
      <c r="C139" s="69"/>
      <c r="D139" s="69" t="n">
        <v>0</v>
      </c>
      <c r="E139" s="65" t="n">
        <v>0</v>
      </c>
      <c r="F139" s="69"/>
    </row>
    <row r="140" customFormat="false" ht="15.75" hidden="false" customHeight="true" outlineLevel="0" collapsed="false">
      <c r="B140" s="65" t="n">
        <v>0</v>
      </c>
      <c r="C140" s="69"/>
      <c r="D140" s="69" t="n">
        <v>0</v>
      </c>
      <c r="E140" s="65" t="n">
        <v>0</v>
      </c>
      <c r="F140" s="69"/>
    </row>
    <row r="141" customFormat="false" ht="15.75" hidden="false" customHeight="true" outlineLevel="0" collapsed="false">
      <c r="B141" s="65" t="n">
        <v>0</v>
      </c>
      <c r="C141" s="69"/>
      <c r="D141" s="69" t="n">
        <v>0</v>
      </c>
      <c r="E141" s="65" t="n">
        <v>0</v>
      </c>
      <c r="F141" s="69"/>
    </row>
    <row r="142" customFormat="false" ht="15.75" hidden="false" customHeight="true" outlineLevel="0" collapsed="false">
      <c r="B142" s="65" t="n">
        <v>0</v>
      </c>
      <c r="C142" s="69"/>
      <c r="D142" s="69" t="n">
        <v>0</v>
      </c>
      <c r="E142" s="65" t="n">
        <v>0</v>
      </c>
      <c r="F142" s="69"/>
    </row>
    <row r="143" customFormat="false" ht="15.75" hidden="false" customHeight="true" outlineLevel="0" collapsed="false">
      <c r="B143" s="65" t="n">
        <v>0</v>
      </c>
      <c r="C143" s="69"/>
      <c r="D143" s="69" t="n">
        <v>0</v>
      </c>
      <c r="E143" s="65" t="n">
        <v>0</v>
      </c>
      <c r="F143" s="69"/>
    </row>
    <row r="144" customFormat="false" ht="15.75" hidden="false" customHeight="true" outlineLevel="0" collapsed="false">
      <c r="B144" s="65" t="n">
        <v>0</v>
      </c>
      <c r="C144" s="69"/>
      <c r="D144" s="69" t="n">
        <v>0</v>
      </c>
      <c r="E144" s="65" t="n">
        <v>0</v>
      </c>
      <c r="F144" s="69"/>
    </row>
    <row r="145" customFormat="false" ht="15.75" hidden="false" customHeight="true" outlineLevel="0" collapsed="false">
      <c r="B145" s="65" t="n">
        <v>0</v>
      </c>
      <c r="C145" s="69"/>
      <c r="D145" s="69" t="n">
        <v>0</v>
      </c>
      <c r="E145" s="65" t="n">
        <v>0</v>
      </c>
      <c r="F145" s="69"/>
    </row>
    <row r="146" customFormat="false" ht="15.75" hidden="false" customHeight="true" outlineLevel="0" collapsed="false">
      <c r="B146" s="65" t="n">
        <v>0</v>
      </c>
      <c r="C146" s="69"/>
      <c r="D146" s="69" t="n">
        <v>0</v>
      </c>
      <c r="E146" s="65" t="n">
        <v>0</v>
      </c>
      <c r="F146" s="69"/>
    </row>
    <row r="147" customFormat="false" ht="15.75" hidden="false" customHeight="true" outlineLevel="0" collapsed="false">
      <c r="B147" s="65" t="n">
        <v>0</v>
      </c>
      <c r="C147" s="69"/>
      <c r="D147" s="69" t="n">
        <v>0</v>
      </c>
      <c r="E147" s="65" t="n">
        <v>0</v>
      </c>
      <c r="F147" s="69"/>
    </row>
    <row r="148" customFormat="false" ht="15.75" hidden="false" customHeight="true" outlineLevel="0" collapsed="false">
      <c r="B148" s="65" t="n">
        <v>0</v>
      </c>
      <c r="C148" s="69"/>
      <c r="D148" s="69" t="n">
        <v>0</v>
      </c>
      <c r="E148" s="65" t="n">
        <v>0</v>
      </c>
      <c r="F148" s="69"/>
    </row>
    <row r="149" customFormat="false" ht="15.75" hidden="false" customHeight="true" outlineLevel="0" collapsed="false">
      <c r="B149" s="65" t="n">
        <v>0</v>
      </c>
      <c r="C149" s="69"/>
      <c r="D149" s="69" t="n">
        <v>0</v>
      </c>
      <c r="E149" s="65" t="n">
        <v>0</v>
      </c>
      <c r="F149" s="69"/>
    </row>
    <row r="150" customFormat="false" ht="15.75" hidden="false" customHeight="true" outlineLevel="0" collapsed="false">
      <c r="B150" s="65" t="n">
        <v>0</v>
      </c>
      <c r="C150" s="69"/>
      <c r="D150" s="69" t="n">
        <v>0</v>
      </c>
      <c r="E150" s="65" t="n">
        <v>0</v>
      </c>
      <c r="F150" s="69"/>
    </row>
    <row r="151" customFormat="false" ht="15.75" hidden="false" customHeight="true" outlineLevel="0" collapsed="false">
      <c r="B151" s="65" t="n">
        <v>0</v>
      </c>
      <c r="C151" s="69"/>
      <c r="D151" s="69" t="n">
        <v>0</v>
      </c>
      <c r="E151" s="65" t="n">
        <v>0</v>
      </c>
      <c r="F151" s="69"/>
    </row>
    <row r="152" customFormat="false" ht="15.75" hidden="false" customHeight="true" outlineLevel="0" collapsed="false">
      <c r="B152" s="65" t="n">
        <v>0</v>
      </c>
      <c r="C152" s="69"/>
      <c r="D152" s="69" t="n">
        <v>0</v>
      </c>
      <c r="E152" s="65" t="n">
        <v>0</v>
      </c>
      <c r="F152" s="69"/>
    </row>
    <row r="153" customFormat="false" ht="15.75" hidden="false" customHeight="true" outlineLevel="0" collapsed="false">
      <c r="B153" s="65" t="n">
        <v>0</v>
      </c>
      <c r="C153" s="69"/>
      <c r="D153" s="69" t="n">
        <v>0</v>
      </c>
      <c r="E153" s="65" t="n">
        <v>0</v>
      </c>
      <c r="F153" s="69"/>
    </row>
    <row r="154" customFormat="false" ht="15.75" hidden="false" customHeight="true" outlineLevel="0" collapsed="false">
      <c r="B154" s="65" t="n">
        <v>0</v>
      </c>
      <c r="C154" s="69"/>
      <c r="D154" s="69" t="n">
        <v>0</v>
      </c>
      <c r="E154" s="65" t="n">
        <v>0</v>
      </c>
      <c r="F154" s="69"/>
    </row>
    <row r="155" customFormat="false" ht="15.75" hidden="false" customHeight="true" outlineLevel="0" collapsed="false">
      <c r="B155" s="65" t="n">
        <v>0</v>
      </c>
      <c r="C155" s="69"/>
      <c r="D155" s="69" t="n">
        <v>0</v>
      </c>
      <c r="E155" s="65" t="n">
        <v>0</v>
      </c>
      <c r="F155" s="69"/>
    </row>
    <row r="156" customFormat="false" ht="15.75" hidden="false" customHeight="true" outlineLevel="0" collapsed="false">
      <c r="B156" s="65" t="n">
        <v>0</v>
      </c>
      <c r="C156" s="69"/>
      <c r="D156" s="69" t="n">
        <v>0</v>
      </c>
      <c r="E156" s="65" t="n">
        <v>0</v>
      </c>
      <c r="F156" s="69"/>
    </row>
    <row r="157" customFormat="false" ht="15.75" hidden="false" customHeight="true" outlineLevel="0" collapsed="false">
      <c r="B157" s="65" t="n">
        <v>0</v>
      </c>
      <c r="C157" s="69"/>
      <c r="D157" s="69" t="n">
        <v>0</v>
      </c>
      <c r="E157" s="65" t="n">
        <v>0</v>
      </c>
      <c r="F157" s="69"/>
    </row>
    <row r="158" customFormat="false" ht="15.75" hidden="false" customHeight="true" outlineLevel="0" collapsed="false">
      <c r="B158" s="65" t="n">
        <v>0</v>
      </c>
      <c r="C158" s="69"/>
      <c r="D158" s="69" t="n">
        <v>0</v>
      </c>
      <c r="E158" s="65" t="n">
        <v>0</v>
      </c>
      <c r="F158" s="69"/>
    </row>
    <row r="159" customFormat="false" ht="15.75" hidden="false" customHeight="true" outlineLevel="0" collapsed="false">
      <c r="B159" s="65" t="n">
        <v>0</v>
      </c>
      <c r="C159" s="69"/>
      <c r="D159" s="69" t="n">
        <v>0</v>
      </c>
      <c r="E159" s="65" t="n">
        <v>0</v>
      </c>
      <c r="F159" s="69"/>
    </row>
    <row r="160" customFormat="false" ht="15.75" hidden="false" customHeight="true" outlineLevel="0" collapsed="false">
      <c r="B160" s="65" t="n">
        <v>0</v>
      </c>
      <c r="C160" s="69"/>
      <c r="D160" s="69" t="n">
        <v>0</v>
      </c>
      <c r="E160" s="65" t="n">
        <v>0</v>
      </c>
      <c r="F160" s="69"/>
    </row>
    <row r="161" customFormat="false" ht="15.75" hidden="false" customHeight="true" outlineLevel="0" collapsed="false">
      <c r="B161" s="65" t="n">
        <v>0</v>
      </c>
      <c r="C161" s="69"/>
      <c r="D161" s="69" t="n">
        <v>0</v>
      </c>
      <c r="E161" s="65" t="n">
        <v>0</v>
      </c>
      <c r="F161" s="69"/>
    </row>
    <row r="162" customFormat="false" ht="15.75" hidden="false" customHeight="true" outlineLevel="0" collapsed="false">
      <c r="B162" s="65" t="n">
        <v>0</v>
      </c>
      <c r="C162" s="69"/>
      <c r="D162" s="69" t="n">
        <v>0</v>
      </c>
      <c r="E162" s="65" t="n">
        <v>0</v>
      </c>
      <c r="F162" s="69"/>
    </row>
    <row r="163" customFormat="false" ht="15.75" hidden="false" customHeight="true" outlineLevel="0" collapsed="false">
      <c r="B163" s="65" t="n">
        <v>0</v>
      </c>
      <c r="C163" s="69"/>
      <c r="D163" s="69" t="n">
        <v>0</v>
      </c>
      <c r="E163" s="65" t="n">
        <v>0</v>
      </c>
      <c r="F163" s="69"/>
    </row>
    <row r="164" customFormat="false" ht="15.75" hidden="false" customHeight="true" outlineLevel="0" collapsed="false">
      <c r="B164" s="65" t="n">
        <v>0</v>
      </c>
      <c r="C164" s="69"/>
      <c r="D164" s="69" t="n">
        <v>0</v>
      </c>
      <c r="E164" s="65" t="n">
        <v>0</v>
      </c>
      <c r="F164" s="69"/>
    </row>
    <row r="165" customFormat="false" ht="15.75" hidden="false" customHeight="true" outlineLevel="0" collapsed="false">
      <c r="B165" s="65" t="n">
        <v>0</v>
      </c>
      <c r="C165" s="69"/>
      <c r="D165" s="69" t="n">
        <v>0</v>
      </c>
      <c r="E165" s="65" t="n">
        <v>0</v>
      </c>
      <c r="F165" s="69"/>
    </row>
    <row r="166" customFormat="false" ht="15.75" hidden="false" customHeight="true" outlineLevel="0" collapsed="false">
      <c r="B166" s="65" t="n">
        <v>0</v>
      </c>
      <c r="C166" s="69"/>
      <c r="D166" s="69" t="n">
        <v>0</v>
      </c>
      <c r="E166" s="65" t="n">
        <v>0</v>
      </c>
      <c r="F166" s="69"/>
    </row>
    <row r="167" customFormat="false" ht="15.75" hidden="false" customHeight="true" outlineLevel="0" collapsed="false">
      <c r="B167" s="65" t="n">
        <v>0</v>
      </c>
      <c r="C167" s="69"/>
      <c r="D167" s="69" t="n">
        <v>0</v>
      </c>
      <c r="E167" s="65" t="n">
        <v>0</v>
      </c>
      <c r="F167" s="69"/>
    </row>
    <row r="168" customFormat="false" ht="15.75" hidden="false" customHeight="true" outlineLevel="0" collapsed="false">
      <c r="B168" s="65" t="n">
        <v>0</v>
      </c>
      <c r="C168" s="69"/>
      <c r="D168" s="69" t="n">
        <v>0</v>
      </c>
      <c r="E168" s="65" t="n">
        <v>0</v>
      </c>
      <c r="F168" s="69"/>
    </row>
    <row r="169" customFormat="false" ht="15.75" hidden="false" customHeight="true" outlineLevel="0" collapsed="false">
      <c r="B169" s="65" t="n">
        <v>0</v>
      </c>
      <c r="C169" s="69"/>
      <c r="D169" s="69" t="n">
        <v>0</v>
      </c>
      <c r="E169" s="65" t="n">
        <v>0</v>
      </c>
      <c r="F169" s="69"/>
    </row>
    <row r="170" customFormat="false" ht="15.75" hidden="false" customHeight="true" outlineLevel="0" collapsed="false">
      <c r="B170" s="65" t="n">
        <v>0</v>
      </c>
      <c r="C170" s="69"/>
      <c r="D170" s="69" t="n">
        <v>0</v>
      </c>
      <c r="E170" s="65" t="n">
        <v>0</v>
      </c>
      <c r="F170" s="69"/>
    </row>
    <row r="171" customFormat="false" ht="15.75" hidden="false" customHeight="true" outlineLevel="0" collapsed="false">
      <c r="B171" s="65" t="n">
        <v>0</v>
      </c>
      <c r="C171" s="69"/>
      <c r="D171" s="69" t="n">
        <v>0</v>
      </c>
      <c r="E171" s="65" t="n">
        <v>0</v>
      </c>
      <c r="F171" s="69"/>
    </row>
    <row r="172" customFormat="false" ht="15.75" hidden="false" customHeight="true" outlineLevel="0" collapsed="false">
      <c r="B172" s="65" t="n">
        <v>0</v>
      </c>
      <c r="C172" s="69"/>
      <c r="D172" s="69" t="n">
        <v>0</v>
      </c>
      <c r="E172" s="65" t="n">
        <v>0</v>
      </c>
      <c r="F172" s="69"/>
    </row>
    <row r="173" customFormat="false" ht="15.75" hidden="false" customHeight="true" outlineLevel="0" collapsed="false">
      <c r="B173" s="65" t="n">
        <v>0</v>
      </c>
      <c r="C173" s="69"/>
      <c r="D173" s="69" t="n">
        <v>0</v>
      </c>
      <c r="E173" s="65" t="n">
        <v>0</v>
      </c>
      <c r="F173" s="69"/>
    </row>
    <row r="174" customFormat="false" ht="15.75" hidden="false" customHeight="true" outlineLevel="0" collapsed="false">
      <c r="B174" s="65" t="n">
        <v>0</v>
      </c>
      <c r="C174" s="69"/>
      <c r="D174" s="69" t="n">
        <v>0</v>
      </c>
      <c r="E174" s="65" t="n">
        <v>0</v>
      </c>
      <c r="F174" s="69"/>
    </row>
    <row r="175" customFormat="false" ht="15.75" hidden="false" customHeight="true" outlineLevel="0" collapsed="false">
      <c r="B175" s="65" t="n">
        <v>0</v>
      </c>
      <c r="C175" s="69"/>
      <c r="D175" s="69" t="n">
        <v>0</v>
      </c>
      <c r="E175" s="65" t="n">
        <v>0</v>
      </c>
      <c r="F175" s="69"/>
    </row>
    <row r="176" customFormat="false" ht="15.75" hidden="false" customHeight="true" outlineLevel="0" collapsed="false">
      <c r="B176" s="65" t="n">
        <v>0</v>
      </c>
      <c r="C176" s="69"/>
      <c r="D176" s="69" t="n">
        <v>0</v>
      </c>
      <c r="E176" s="65" t="n">
        <v>0</v>
      </c>
      <c r="F176" s="69"/>
    </row>
    <row r="177" customFormat="false" ht="15.75" hidden="false" customHeight="true" outlineLevel="0" collapsed="false">
      <c r="B177" s="65" t="n">
        <v>0</v>
      </c>
      <c r="C177" s="69"/>
      <c r="D177" s="69" t="n">
        <v>0</v>
      </c>
      <c r="E177" s="65" t="n">
        <v>0</v>
      </c>
      <c r="F177" s="69"/>
    </row>
    <row r="178" customFormat="false" ht="15.75" hidden="false" customHeight="true" outlineLevel="0" collapsed="false">
      <c r="B178" s="65" t="n">
        <v>0</v>
      </c>
      <c r="C178" s="69"/>
      <c r="D178" s="69" t="n">
        <v>0</v>
      </c>
      <c r="E178" s="65" t="n">
        <v>0</v>
      </c>
      <c r="F178" s="69"/>
    </row>
    <row r="179" customFormat="false" ht="15.75" hidden="false" customHeight="true" outlineLevel="0" collapsed="false">
      <c r="B179" s="65" t="n">
        <v>0</v>
      </c>
      <c r="C179" s="69"/>
      <c r="D179" s="69" t="n">
        <v>0</v>
      </c>
      <c r="E179" s="65" t="n">
        <v>0</v>
      </c>
      <c r="F179" s="69"/>
    </row>
    <row r="180" customFormat="false" ht="15.75" hidden="false" customHeight="true" outlineLevel="0" collapsed="false">
      <c r="B180" s="65" t="n">
        <v>0</v>
      </c>
      <c r="C180" s="69"/>
      <c r="D180" s="69" t="n">
        <v>0</v>
      </c>
      <c r="E180" s="65" t="n">
        <v>0</v>
      </c>
      <c r="F180" s="69"/>
    </row>
    <row r="181" customFormat="false" ht="15.75" hidden="false" customHeight="true" outlineLevel="0" collapsed="false">
      <c r="B181" s="65" t="n">
        <v>0</v>
      </c>
      <c r="C181" s="69"/>
      <c r="D181" s="69" t="n">
        <v>0</v>
      </c>
      <c r="E181" s="65" t="n">
        <v>0</v>
      </c>
      <c r="F181" s="69"/>
    </row>
    <row r="182" customFormat="false" ht="15.75" hidden="false" customHeight="true" outlineLevel="0" collapsed="false">
      <c r="B182" s="65" t="n">
        <v>0</v>
      </c>
      <c r="C182" s="69"/>
      <c r="D182" s="69" t="n">
        <v>0</v>
      </c>
      <c r="E182" s="65" t="n">
        <v>0</v>
      </c>
      <c r="F182" s="69"/>
    </row>
    <row r="183" customFormat="false" ht="15.75" hidden="false" customHeight="true" outlineLevel="0" collapsed="false">
      <c r="B183" s="65" t="n">
        <v>0</v>
      </c>
      <c r="C183" s="69"/>
      <c r="D183" s="69" t="n">
        <v>0</v>
      </c>
      <c r="E183" s="65" t="n">
        <v>0</v>
      </c>
      <c r="F183" s="69"/>
    </row>
    <row r="184" customFormat="false" ht="15.75" hidden="false" customHeight="true" outlineLevel="0" collapsed="false">
      <c r="B184" s="65" t="n">
        <v>0</v>
      </c>
      <c r="C184" s="69"/>
      <c r="D184" s="69" t="n">
        <v>0</v>
      </c>
      <c r="E184" s="65" t="n">
        <v>0</v>
      </c>
      <c r="F184" s="69"/>
    </row>
    <row r="185" customFormat="false" ht="15.75" hidden="false" customHeight="true" outlineLevel="0" collapsed="false">
      <c r="B185" s="65" t="n">
        <v>0</v>
      </c>
      <c r="C185" s="69"/>
      <c r="D185" s="69" t="n">
        <v>0</v>
      </c>
      <c r="E185" s="65" t="n">
        <v>0</v>
      </c>
      <c r="F185" s="69"/>
    </row>
    <row r="186" customFormat="false" ht="15.75" hidden="false" customHeight="true" outlineLevel="0" collapsed="false">
      <c r="B186" s="65" t="n">
        <v>0</v>
      </c>
      <c r="C186" s="69"/>
      <c r="D186" s="69" t="n">
        <v>0</v>
      </c>
      <c r="E186" s="65" t="n">
        <v>0</v>
      </c>
      <c r="F186" s="69"/>
    </row>
    <row r="187" customFormat="false" ht="15.75" hidden="false" customHeight="true" outlineLevel="0" collapsed="false">
      <c r="B187" s="65" t="n">
        <v>0</v>
      </c>
      <c r="C187" s="69"/>
      <c r="D187" s="69" t="n">
        <v>0</v>
      </c>
      <c r="E187" s="65" t="n">
        <v>0</v>
      </c>
      <c r="F187" s="69"/>
    </row>
    <row r="188" customFormat="false" ht="15.75" hidden="false" customHeight="true" outlineLevel="0" collapsed="false">
      <c r="B188" s="65" t="n">
        <v>0</v>
      </c>
      <c r="C188" s="69"/>
      <c r="D188" s="69" t="n">
        <v>0</v>
      </c>
      <c r="E188" s="65" t="n">
        <v>0</v>
      </c>
      <c r="F188" s="69"/>
    </row>
    <row r="189" customFormat="false" ht="15.75" hidden="false" customHeight="true" outlineLevel="0" collapsed="false">
      <c r="B189" s="65" t="n">
        <v>0</v>
      </c>
      <c r="C189" s="69"/>
      <c r="D189" s="69" t="n">
        <v>0</v>
      </c>
      <c r="E189" s="65" t="n">
        <v>0</v>
      </c>
      <c r="F189" s="69"/>
    </row>
    <row r="190" customFormat="false" ht="15.75" hidden="false" customHeight="true" outlineLevel="0" collapsed="false">
      <c r="B190" s="65" t="n">
        <v>0</v>
      </c>
      <c r="C190" s="69"/>
      <c r="D190" s="69" t="n">
        <v>0</v>
      </c>
      <c r="E190" s="65" t="n">
        <v>0</v>
      </c>
      <c r="F190" s="69"/>
    </row>
    <row r="191" customFormat="false" ht="15.75" hidden="false" customHeight="true" outlineLevel="0" collapsed="false">
      <c r="B191" s="65" t="n">
        <v>0</v>
      </c>
      <c r="C191" s="69"/>
      <c r="D191" s="69" t="n">
        <v>0</v>
      </c>
      <c r="E191" s="65" t="n">
        <v>0</v>
      </c>
      <c r="F191" s="69"/>
    </row>
    <row r="192" customFormat="false" ht="15.75" hidden="false" customHeight="true" outlineLevel="0" collapsed="false">
      <c r="B192" s="65" t="n">
        <v>0</v>
      </c>
      <c r="C192" s="69"/>
      <c r="D192" s="69" t="n">
        <v>0</v>
      </c>
      <c r="E192" s="65" t="n">
        <v>0</v>
      </c>
      <c r="F192" s="69"/>
    </row>
    <row r="193" customFormat="false" ht="15.75" hidden="false" customHeight="true" outlineLevel="0" collapsed="false">
      <c r="B193" s="65" t="n">
        <v>0</v>
      </c>
      <c r="C193" s="69"/>
      <c r="D193" s="69" t="n">
        <v>0</v>
      </c>
      <c r="E193" s="65" t="n">
        <v>0</v>
      </c>
      <c r="F193" s="69"/>
    </row>
    <row r="194" customFormat="false" ht="15.75" hidden="false" customHeight="true" outlineLevel="0" collapsed="false">
      <c r="B194" s="65" t="n">
        <v>0</v>
      </c>
      <c r="C194" s="69"/>
      <c r="D194" s="69" t="n">
        <v>0</v>
      </c>
      <c r="E194" s="65" t="n">
        <v>0</v>
      </c>
      <c r="F194" s="69"/>
    </row>
    <row r="195" customFormat="false" ht="15.75" hidden="false" customHeight="true" outlineLevel="0" collapsed="false">
      <c r="B195" s="65" t="n">
        <v>0</v>
      </c>
      <c r="C195" s="69"/>
      <c r="D195" s="69" t="n">
        <v>0</v>
      </c>
      <c r="E195" s="65" t="n">
        <v>0</v>
      </c>
      <c r="F195" s="69"/>
    </row>
    <row r="196" customFormat="false" ht="15.75" hidden="false" customHeight="true" outlineLevel="0" collapsed="false">
      <c r="B196" s="65" t="n">
        <v>0</v>
      </c>
      <c r="C196" s="69"/>
      <c r="D196" s="69" t="n">
        <v>0</v>
      </c>
      <c r="E196" s="65" t="n">
        <v>0</v>
      </c>
      <c r="F196" s="69"/>
    </row>
    <row r="197" customFormat="false" ht="15.75" hidden="false" customHeight="true" outlineLevel="0" collapsed="false">
      <c r="B197" s="65" t="n">
        <v>0</v>
      </c>
      <c r="C197" s="69"/>
      <c r="D197" s="69" t="n">
        <v>0</v>
      </c>
      <c r="E197" s="65" t="n">
        <v>0</v>
      </c>
      <c r="F197" s="69"/>
    </row>
    <row r="198" customFormat="false" ht="15.75" hidden="false" customHeight="true" outlineLevel="0" collapsed="false">
      <c r="B198" s="65" t="n">
        <v>0</v>
      </c>
      <c r="C198" s="69"/>
      <c r="D198" s="69" t="n">
        <v>0</v>
      </c>
      <c r="E198" s="65" t="n">
        <v>0</v>
      </c>
      <c r="F198" s="69"/>
    </row>
    <row r="199" customFormat="false" ht="15.75" hidden="false" customHeight="true" outlineLevel="0" collapsed="false">
      <c r="B199" s="65" t="n">
        <v>0</v>
      </c>
      <c r="C199" s="69"/>
      <c r="D199" s="69" t="n">
        <v>0</v>
      </c>
      <c r="E199" s="65" t="n">
        <v>0</v>
      </c>
      <c r="F199" s="69"/>
    </row>
    <row r="200" customFormat="false" ht="15.75" hidden="false" customHeight="true" outlineLevel="0" collapsed="false">
      <c r="B200" s="65" t="n">
        <v>0</v>
      </c>
      <c r="C200" s="69"/>
      <c r="D200" s="69" t="n">
        <v>0</v>
      </c>
      <c r="E200" s="65" t="n">
        <v>0</v>
      </c>
      <c r="F200" s="69"/>
    </row>
    <row r="201" customFormat="false" ht="15.75" hidden="false" customHeight="true" outlineLevel="0" collapsed="false">
      <c r="B201" s="65" t="n">
        <v>0</v>
      </c>
      <c r="C201" s="69"/>
      <c r="D201" s="69" t="n">
        <v>0</v>
      </c>
      <c r="E201" s="65" t="n">
        <v>0</v>
      </c>
      <c r="F201" s="69"/>
    </row>
    <row r="202" customFormat="false" ht="15.75" hidden="false" customHeight="true" outlineLevel="0" collapsed="false">
      <c r="B202" s="65" t="n">
        <v>0</v>
      </c>
      <c r="C202" s="69"/>
      <c r="D202" s="69" t="n">
        <v>0</v>
      </c>
      <c r="E202" s="65" t="n">
        <v>0</v>
      </c>
      <c r="F202" s="69"/>
    </row>
    <row r="203" customFormat="false" ht="15.75" hidden="false" customHeight="true" outlineLevel="0" collapsed="false">
      <c r="B203" s="65" t="n">
        <v>0</v>
      </c>
      <c r="C203" s="69"/>
      <c r="D203" s="69" t="n">
        <v>0</v>
      </c>
      <c r="E203" s="65" t="n">
        <v>0</v>
      </c>
      <c r="F203" s="69"/>
    </row>
    <row r="204" customFormat="false" ht="15.75" hidden="false" customHeight="true" outlineLevel="0" collapsed="false">
      <c r="B204" s="65" t="n">
        <v>0</v>
      </c>
      <c r="C204" s="69"/>
      <c r="D204" s="69" t="n">
        <v>0</v>
      </c>
      <c r="E204" s="65" t="n">
        <v>0</v>
      </c>
      <c r="F204" s="69"/>
    </row>
    <row r="205" customFormat="false" ht="15.75" hidden="false" customHeight="true" outlineLevel="0" collapsed="false">
      <c r="B205" s="65" t="n">
        <v>0</v>
      </c>
      <c r="C205" s="69"/>
      <c r="D205" s="69" t="n">
        <v>0</v>
      </c>
      <c r="E205" s="65" t="n">
        <v>0</v>
      </c>
      <c r="F205" s="69"/>
    </row>
    <row r="206" customFormat="false" ht="15.75" hidden="false" customHeight="true" outlineLevel="0" collapsed="false">
      <c r="B206" s="65" t="n">
        <v>0</v>
      </c>
      <c r="C206" s="69"/>
      <c r="D206" s="69" t="n">
        <v>0</v>
      </c>
      <c r="E206" s="65" t="n">
        <v>0</v>
      </c>
      <c r="F206" s="69"/>
    </row>
    <row r="207" customFormat="false" ht="15.75" hidden="false" customHeight="true" outlineLevel="0" collapsed="false">
      <c r="B207" s="65" t="n">
        <v>0</v>
      </c>
      <c r="C207" s="69"/>
      <c r="D207" s="69" t="n">
        <v>0</v>
      </c>
      <c r="E207" s="65" t="n">
        <v>0</v>
      </c>
      <c r="F207" s="69"/>
    </row>
    <row r="208" customFormat="false" ht="15.75" hidden="false" customHeight="true" outlineLevel="0" collapsed="false">
      <c r="B208" s="65" t="n">
        <v>0</v>
      </c>
      <c r="C208" s="69"/>
      <c r="D208" s="69" t="n">
        <v>0</v>
      </c>
      <c r="E208" s="65" t="n">
        <v>0</v>
      </c>
      <c r="F208" s="69"/>
    </row>
    <row r="209" customFormat="false" ht="15.75" hidden="false" customHeight="true" outlineLevel="0" collapsed="false">
      <c r="B209" s="65" t="n">
        <v>0</v>
      </c>
      <c r="C209" s="69"/>
      <c r="D209" s="69" t="n">
        <v>0</v>
      </c>
      <c r="E209" s="65" t="n">
        <v>0</v>
      </c>
      <c r="F209" s="69"/>
    </row>
    <row r="210" customFormat="false" ht="15.75" hidden="false" customHeight="true" outlineLevel="0" collapsed="false">
      <c r="B210" s="65" t="n">
        <v>0</v>
      </c>
      <c r="C210" s="69"/>
      <c r="D210" s="69" t="n">
        <v>0</v>
      </c>
      <c r="E210" s="65" t="n">
        <v>0</v>
      </c>
      <c r="F210" s="69"/>
    </row>
    <row r="211" customFormat="false" ht="15.75" hidden="false" customHeight="true" outlineLevel="0" collapsed="false">
      <c r="B211" s="65" t="n">
        <v>0</v>
      </c>
      <c r="C211" s="69"/>
      <c r="D211" s="69" t="n">
        <v>0</v>
      </c>
      <c r="E211" s="65" t="n">
        <v>0</v>
      </c>
      <c r="F211" s="69"/>
    </row>
    <row r="212" customFormat="false" ht="15.75" hidden="false" customHeight="true" outlineLevel="0" collapsed="false">
      <c r="B212" s="65" t="n">
        <v>0</v>
      </c>
      <c r="C212" s="69"/>
      <c r="D212" s="69" t="n">
        <v>0</v>
      </c>
      <c r="E212" s="65" t="n">
        <v>0</v>
      </c>
      <c r="F212" s="69"/>
    </row>
    <row r="213" customFormat="false" ht="15.75" hidden="false" customHeight="true" outlineLevel="0" collapsed="false">
      <c r="B213" s="65" t="n">
        <v>0</v>
      </c>
      <c r="C213" s="69"/>
      <c r="D213" s="69" t="n">
        <v>0</v>
      </c>
      <c r="E213" s="65" t="n">
        <v>0</v>
      </c>
      <c r="F213" s="69"/>
    </row>
    <row r="214" customFormat="false" ht="15.75" hidden="false" customHeight="true" outlineLevel="0" collapsed="false">
      <c r="B214" s="65" t="n">
        <v>0</v>
      </c>
      <c r="C214" s="69"/>
      <c r="D214" s="69" t="n">
        <v>0</v>
      </c>
      <c r="E214" s="65" t="n">
        <v>0</v>
      </c>
      <c r="F214" s="69"/>
    </row>
    <row r="215" customFormat="false" ht="15.75" hidden="false" customHeight="true" outlineLevel="0" collapsed="false">
      <c r="B215" s="65" t="n">
        <v>0</v>
      </c>
      <c r="C215" s="69"/>
      <c r="D215" s="69" t="n">
        <v>0</v>
      </c>
      <c r="E215" s="65" t="n">
        <v>0</v>
      </c>
      <c r="F215" s="69"/>
    </row>
    <row r="216" customFormat="false" ht="15.75" hidden="false" customHeight="true" outlineLevel="0" collapsed="false">
      <c r="B216" s="65" t="n">
        <v>0</v>
      </c>
      <c r="C216" s="69"/>
      <c r="D216" s="69" t="n">
        <v>0</v>
      </c>
      <c r="E216" s="65" t="n">
        <v>0</v>
      </c>
      <c r="F216" s="69"/>
    </row>
    <row r="217" customFormat="false" ht="15.75" hidden="false" customHeight="true" outlineLevel="0" collapsed="false">
      <c r="B217" s="65" t="n">
        <v>0</v>
      </c>
      <c r="C217" s="69"/>
      <c r="D217" s="69" t="n">
        <v>0</v>
      </c>
      <c r="E217" s="65" t="n">
        <v>0</v>
      </c>
      <c r="F217" s="69"/>
    </row>
    <row r="218" customFormat="false" ht="15.75" hidden="false" customHeight="true" outlineLevel="0" collapsed="false">
      <c r="B218" s="65" t="n">
        <v>0</v>
      </c>
      <c r="C218" s="69"/>
      <c r="D218" s="69" t="n">
        <v>0</v>
      </c>
      <c r="E218" s="65" t="n">
        <v>0</v>
      </c>
      <c r="F218" s="69"/>
    </row>
    <row r="219" customFormat="false" ht="15.75" hidden="false" customHeight="true" outlineLevel="0" collapsed="false">
      <c r="B219" s="65" t="n">
        <v>0</v>
      </c>
      <c r="C219" s="69"/>
      <c r="D219" s="69" t="n">
        <v>0</v>
      </c>
      <c r="E219" s="65" t="n">
        <v>0</v>
      </c>
      <c r="F219" s="69"/>
    </row>
    <row r="220" customFormat="false" ht="15.75" hidden="false" customHeight="true" outlineLevel="0" collapsed="false">
      <c r="B220" s="65" t="n">
        <v>0</v>
      </c>
      <c r="C220" s="69"/>
      <c r="D220" s="69" t="n">
        <v>0</v>
      </c>
      <c r="E220" s="65" t="n">
        <v>0</v>
      </c>
      <c r="F220" s="69"/>
    </row>
    <row r="221" customFormat="false" ht="15.75" hidden="false" customHeight="true" outlineLevel="0" collapsed="false">
      <c r="B221" s="65" t="n">
        <v>0</v>
      </c>
      <c r="C221" s="69"/>
      <c r="D221" s="69" t="n">
        <v>0</v>
      </c>
      <c r="E221" s="65" t="n">
        <v>0</v>
      </c>
      <c r="F221" s="69"/>
    </row>
    <row r="222" customFormat="false" ht="15.75" hidden="false" customHeight="true" outlineLevel="0" collapsed="false">
      <c r="B222" s="65" t="n">
        <v>0</v>
      </c>
      <c r="C222" s="69"/>
      <c r="D222" s="69" t="n">
        <v>0</v>
      </c>
      <c r="E222" s="65" t="n">
        <v>0</v>
      </c>
      <c r="F222" s="69"/>
    </row>
    <row r="223" customFormat="false" ht="15.75" hidden="false" customHeight="true" outlineLevel="0" collapsed="false">
      <c r="B223" s="65" t="n">
        <v>0</v>
      </c>
      <c r="C223" s="69"/>
      <c r="D223" s="69" t="n">
        <v>0</v>
      </c>
      <c r="E223" s="65" t="n">
        <v>0</v>
      </c>
      <c r="F223" s="69"/>
    </row>
    <row r="224" customFormat="false" ht="15.75" hidden="false" customHeight="true" outlineLevel="0" collapsed="false">
      <c r="B224" s="65" t="n">
        <v>0</v>
      </c>
      <c r="C224" s="69"/>
      <c r="D224" s="69" t="n">
        <v>0</v>
      </c>
      <c r="E224" s="65" t="n">
        <v>0</v>
      </c>
      <c r="F224" s="69"/>
    </row>
    <row r="225" customFormat="false" ht="15.75" hidden="false" customHeight="true" outlineLevel="0" collapsed="false">
      <c r="B225" s="65" t="n">
        <v>0</v>
      </c>
      <c r="C225" s="69"/>
      <c r="D225" s="69" t="n">
        <v>0</v>
      </c>
      <c r="E225" s="65" t="n">
        <v>0</v>
      </c>
      <c r="F225" s="69"/>
    </row>
    <row r="226" customFormat="false" ht="15.75" hidden="false" customHeight="true" outlineLevel="0" collapsed="false">
      <c r="B226" s="65" t="n">
        <v>0</v>
      </c>
      <c r="C226" s="69"/>
      <c r="D226" s="69" t="n">
        <v>0</v>
      </c>
      <c r="E226" s="65" t="n">
        <v>0</v>
      </c>
      <c r="F226" s="69"/>
    </row>
    <row r="227" customFormat="false" ht="15.75" hidden="false" customHeight="true" outlineLevel="0" collapsed="false">
      <c r="B227" s="65" t="n">
        <v>0</v>
      </c>
      <c r="C227" s="69"/>
      <c r="D227" s="69" t="n">
        <v>0</v>
      </c>
      <c r="E227" s="65" t="n">
        <v>0</v>
      </c>
      <c r="F227" s="69"/>
    </row>
    <row r="228" customFormat="false" ht="15.75" hidden="false" customHeight="true" outlineLevel="0" collapsed="false">
      <c r="B228" s="65" t="n">
        <v>0</v>
      </c>
      <c r="C228" s="69"/>
      <c r="D228" s="69" t="n">
        <v>0</v>
      </c>
      <c r="E228" s="65" t="n">
        <v>0</v>
      </c>
      <c r="F228" s="69"/>
    </row>
    <row r="229" customFormat="false" ht="15.75" hidden="false" customHeight="true" outlineLevel="0" collapsed="false">
      <c r="B229" s="65" t="n">
        <v>0</v>
      </c>
      <c r="C229" s="69"/>
      <c r="D229" s="69" t="n">
        <v>0</v>
      </c>
      <c r="E229" s="65" t="n">
        <v>0</v>
      </c>
      <c r="F229" s="69"/>
    </row>
    <row r="230" customFormat="false" ht="15.75" hidden="false" customHeight="true" outlineLevel="0" collapsed="false">
      <c r="B230" s="65" t="n">
        <v>0</v>
      </c>
      <c r="C230" s="69"/>
      <c r="D230" s="69" t="n">
        <v>0</v>
      </c>
      <c r="E230" s="65" t="n">
        <v>0</v>
      </c>
      <c r="F230" s="69"/>
    </row>
    <row r="231" customFormat="false" ht="15.75" hidden="false" customHeight="true" outlineLevel="0" collapsed="false">
      <c r="B231" s="65" t="n">
        <v>0</v>
      </c>
      <c r="C231" s="69"/>
      <c r="D231" s="69" t="n">
        <v>0</v>
      </c>
      <c r="E231" s="65" t="n">
        <v>0</v>
      </c>
      <c r="F231" s="69"/>
    </row>
    <row r="232" customFormat="false" ht="15.75" hidden="false" customHeight="true" outlineLevel="0" collapsed="false">
      <c r="B232" s="65" t="n">
        <v>0</v>
      </c>
      <c r="C232" s="69"/>
      <c r="D232" s="69" t="n">
        <v>0</v>
      </c>
      <c r="E232" s="65" t="n">
        <v>0</v>
      </c>
      <c r="F232" s="69"/>
    </row>
    <row r="233" customFormat="false" ht="15.75" hidden="false" customHeight="true" outlineLevel="0" collapsed="false">
      <c r="B233" s="65" t="n">
        <v>0</v>
      </c>
      <c r="C233" s="69"/>
      <c r="D233" s="69" t="n">
        <v>0</v>
      </c>
      <c r="E233" s="65" t="n">
        <v>0</v>
      </c>
      <c r="F233" s="69"/>
    </row>
    <row r="234" customFormat="false" ht="15.75" hidden="false" customHeight="true" outlineLevel="0" collapsed="false">
      <c r="B234" s="65" t="n">
        <v>0</v>
      </c>
      <c r="C234" s="69"/>
      <c r="D234" s="69" t="n">
        <v>0</v>
      </c>
      <c r="E234" s="65" t="n">
        <v>0</v>
      </c>
      <c r="F234" s="69"/>
    </row>
    <row r="235" customFormat="false" ht="15.75" hidden="false" customHeight="true" outlineLevel="0" collapsed="false">
      <c r="B235" s="65" t="n">
        <v>0</v>
      </c>
      <c r="C235" s="69"/>
      <c r="D235" s="69" t="n">
        <v>0</v>
      </c>
      <c r="E235" s="65" t="n">
        <v>0</v>
      </c>
      <c r="F235" s="69"/>
    </row>
    <row r="236" customFormat="false" ht="15.75" hidden="false" customHeight="true" outlineLevel="0" collapsed="false">
      <c r="B236" s="65" t="n">
        <v>0</v>
      </c>
      <c r="C236" s="69"/>
      <c r="D236" s="69" t="n">
        <v>0</v>
      </c>
      <c r="E236" s="65" t="n">
        <v>0</v>
      </c>
      <c r="F236" s="69"/>
    </row>
    <row r="237" customFormat="false" ht="15.75" hidden="false" customHeight="true" outlineLevel="0" collapsed="false">
      <c r="B237" s="65" t="n">
        <v>0</v>
      </c>
      <c r="C237" s="69"/>
      <c r="D237" s="69" t="n">
        <v>0</v>
      </c>
      <c r="E237" s="65" t="n">
        <v>0</v>
      </c>
      <c r="F237" s="69"/>
    </row>
    <row r="238" customFormat="false" ht="15.75" hidden="false" customHeight="true" outlineLevel="0" collapsed="false">
      <c r="B238" s="65" t="n">
        <v>0</v>
      </c>
      <c r="C238" s="69"/>
      <c r="D238" s="69" t="n">
        <v>0</v>
      </c>
      <c r="E238" s="65" t="n">
        <v>0</v>
      </c>
      <c r="F238" s="69"/>
    </row>
    <row r="239" customFormat="false" ht="15.75" hidden="false" customHeight="true" outlineLevel="0" collapsed="false">
      <c r="B239" s="65" t="n">
        <v>0</v>
      </c>
      <c r="C239" s="69"/>
      <c r="D239" s="69" t="n">
        <v>0</v>
      </c>
      <c r="E239" s="65" t="n">
        <v>0</v>
      </c>
      <c r="F239" s="69"/>
    </row>
    <row r="240" customFormat="false" ht="15.75" hidden="false" customHeight="true" outlineLevel="0" collapsed="false">
      <c r="B240" s="65" t="n">
        <v>0</v>
      </c>
      <c r="C240" s="69"/>
      <c r="D240" s="69" t="n">
        <v>0</v>
      </c>
      <c r="E240" s="65" t="n">
        <v>0</v>
      </c>
      <c r="F240" s="69"/>
    </row>
    <row r="241" customFormat="false" ht="15.75" hidden="false" customHeight="true" outlineLevel="0" collapsed="false">
      <c r="B241" s="65" t="n">
        <v>0</v>
      </c>
      <c r="C241" s="69"/>
      <c r="D241" s="69" t="n">
        <v>0</v>
      </c>
      <c r="E241" s="65" t="n">
        <v>0</v>
      </c>
      <c r="F241" s="69"/>
    </row>
    <row r="242" customFormat="false" ht="15.75" hidden="false" customHeight="true" outlineLevel="0" collapsed="false">
      <c r="B242" s="65" t="n">
        <v>0</v>
      </c>
      <c r="C242" s="69"/>
      <c r="D242" s="69" t="n">
        <v>0</v>
      </c>
      <c r="E242" s="65" t="n">
        <v>0</v>
      </c>
      <c r="F242" s="69"/>
    </row>
    <row r="243" customFormat="false" ht="15.75" hidden="false" customHeight="true" outlineLevel="0" collapsed="false">
      <c r="B243" s="65" t="n">
        <v>0</v>
      </c>
      <c r="C243" s="69"/>
      <c r="D243" s="69" t="n">
        <v>0</v>
      </c>
      <c r="E243" s="65" t="n">
        <v>0</v>
      </c>
      <c r="F243" s="69"/>
    </row>
    <row r="244" customFormat="false" ht="15.75" hidden="false" customHeight="true" outlineLevel="0" collapsed="false">
      <c r="B244" s="65" t="n">
        <v>0</v>
      </c>
      <c r="C244" s="69"/>
      <c r="D244" s="69" t="n">
        <v>0</v>
      </c>
      <c r="E244" s="65" t="n">
        <v>0</v>
      </c>
      <c r="F244" s="69"/>
    </row>
    <row r="245" customFormat="false" ht="15.75" hidden="false" customHeight="true" outlineLevel="0" collapsed="false">
      <c r="B245" s="65" t="n">
        <v>0</v>
      </c>
      <c r="C245" s="69"/>
      <c r="D245" s="69" t="n">
        <v>0</v>
      </c>
      <c r="E245" s="65" t="n">
        <v>0</v>
      </c>
      <c r="F245" s="69"/>
    </row>
    <row r="246" customFormat="false" ht="15.75" hidden="false" customHeight="true" outlineLevel="0" collapsed="false">
      <c r="B246" s="65" t="n">
        <v>0</v>
      </c>
      <c r="C246" s="69"/>
      <c r="D246" s="69" t="n">
        <v>0</v>
      </c>
      <c r="E246" s="65" t="n">
        <v>0</v>
      </c>
      <c r="F246" s="69"/>
    </row>
    <row r="247" customFormat="false" ht="15.75" hidden="false" customHeight="true" outlineLevel="0" collapsed="false">
      <c r="B247" s="65" t="n">
        <v>0</v>
      </c>
      <c r="C247" s="69"/>
      <c r="D247" s="69" t="n">
        <v>0</v>
      </c>
      <c r="E247" s="65" t="n">
        <v>0</v>
      </c>
      <c r="F247" s="69"/>
    </row>
    <row r="248" customFormat="false" ht="15.75" hidden="false" customHeight="true" outlineLevel="0" collapsed="false">
      <c r="B248" s="65" t="n">
        <v>0</v>
      </c>
      <c r="C248" s="69"/>
      <c r="D248" s="69" t="n">
        <v>0</v>
      </c>
      <c r="E248" s="65" t="n">
        <v>0</v>
      </c>
      <c r="F248" s="69"/>
    </row>
    <row r="249" customFormat="false" ht="15.75" hidden="false" customHeight="true" outlineLevel="0" collapsed="false">
      <c r="B249" s="65" t="n">
        <v>0</v>
      </c>
      <c r="C249" s="69"/>
      <c r="D249" s="69" t="n">
        <v>0</v>
      </c>
      <c r="E249" s="65" t="n">
        <v>0</v>
      </c>
      <c r="F249" s="69"/>
    </row>
    <row r="250" customFormat="false" ht="15.75" hidden="false" customHeight="true" outlineLevel="0" collapsed="false">
      <c r="B250" s="65" t="n">
        <v>0</v>
      </c>
      <c r="C250" s="69"/>
      <c r="D250" s="69" t="n">
        <v>0</v>
      </c>
      <c r="E250" s="65" t="n">
        <v>0</v>
      </c>
      <c r="F250" s="69"/>
    </row>
    <row r="251" customFormat="false" ht="15.75" hidden="false" customHeight="true" outlineLevel="0" collapsed="false">
      <c r="B251" s="65" t="n">
        <v>0</v>
      </c>
      <c r="C251" s="69"/>
      <c r="D251" s="69" t="n">
        <v>0</v>
      </c>
      <c r="E251" s="65" t="n">
        <v>0</v>
      </c>
      <c r="F251" s="69"/>
    </row>
    <row r="252" customFormat="false" ht="15.75" hidden="false" customHeight="true" outlineLevel="0" collapsed="false">
      <c r="B252" s="65" t="n">
        <v>0</v>
      </c>
      <c r="C252" s="69"/>
      <c r="D252" s="69" t="n">
        <v>0</v>
      </c>
      <c r="E252" s="65" t="n">
        <v>0</v>
      </c>
      <c r="F252" s="69"/>
    </row>
    <row r="253" customFormat="false" ht="15.75" hidden="false" customHeight="true" outlineLevel="0" collapsed="false">
      <c r="B253" s="65" t="n">
        <v>0</v>
      </c>
      <c r="C253" s="69"/>
      <c r="D253" s="69" t="n">
        <v>0</v>
      </c>
      <c r="E253" s="65" t="n">
        <v>0</v>
      </c>
      <c r="F253" s="69"/>
    </row>
    <row r="254" customFormat="false" ht="15.75" hidden="false" customHeight="true" outlineLevel="0" collapsed="false">
      <c r="B254" s="65" t="n">
        <v>0</v>
      </c>
      <c r="C254" s="69"/>
      <c r="D254" s="69" t="n">
        <v>0</v>
      </c>
      <c r="E254" s="65" t="n">
        <v>0</v>
      </c>
      <c r="F254" s="69"/>
    </row>
    <row r="255" customFormat="false" ht="15.75" hidden="false" customHeight="true" outlineLevel="0" collapsed="false">
      <c r="B255" s="65" t="n">
        <v>0</v>
      </c>
      <c r="C255" s="69"/>
      <c r="D255" s="69" t="n">
        <v>0</v>
      </c>
      <c r="E255" s="65" t="n">
        <v>0</v>
      </c>
      <c r="F255" s="69"/>
    </row>
    <row r="256" customFormat="false" ht="15.75" hidden="false" customHeight="true" outlineLevel="0" collapsed="false">
      <c r="B256" s="65" t="n">
        <v>0</v>
      </c>
      <c r="C256" s="69"/>
      <c r="D256" s="69" t="n">
        <v>0</v>
      </c>
      <c r="E256" s="65" t="n">
        <v>0</v>
      </c>
      <c r="F256" s="69"/>
    </row>
    <row r="257" customFormat="false" ht="15.75" hidden="false" customHeight="true" outlineLevel="0" collapsed="false">
      <c r="B257" s="65" t="n">
        <v>0</v>
      </c>
      <c r="C257" s="69"/>
      <c r="D257" s="69" t="n">
        <v>0</v>
      </c>
      <c r="E257" s="65" t="n">
        <v>0</v>
      </c>
      <c r="F257" s="69"/>
    </row>
    <row r="258" customFormat="false" ht="15.75" hidden="false" customHeight="true" outlineLevel="0" collapsed="false">
      <c r="B258" s="65" t="n">
        <v>0</v>
      </c>
      <c r="C258" s="69"/>
      <c r="D258" s="69" t="n">
        <v>0</v>
      </c>
      <c r="E258" s="65" t="n">
        <v>0</v>
      </c>
      <c r="F258" s="69"/>
    </row>
    <row r="259" customFormat="false" ht="15.75" hidden="false" customHeight="true" outlineLevel="0" collapsed="false">
      <c r="B259" s="65" t="n">
        <v>0</v>
      </c>
      <c r="C259" s="69"/>
      <c r="D259" s="69" t="n">
        <v>0</v>
      </c>
      <c r="E259" s="65" t="n">
        <v>0</v>
      </c>
      <c r="F259" s="69"/>
    </row>
    <row r="260" customFormat="false" ht="15.75" hidden="false" customHeight="true" outlineLevel="0" collapsed="false">
      <c r="B260" s="65" t="n">
        <v>0</v>
      </c>
      <c r="C260" s="69"/>
      <c r="D260" s="69" t="n">
        <v>0</v>
      </c>
      <c r="E260" s="65" t="n">
        <v>0</v>
      </c>
      <c r="F260" s="69"/>
    </row>
    <row r="261" customFormat="false" ht="15.75" hidden="false" customHeight="true" outlineLevel="0" collapsed="false">
      <c r="B261" s="65" t="n">
        <v>0</v>
      </c>
      <c r="C261" s="69"/>
      <c r="D261" s="69" t="n">
        <v>0</v>
      </c>
      <c r="E261" s="65" t="n">
        <v>0</v>
      </c>
      <c r="F261" s="69"/>
    </row>
    <row r="262" customFormat="false" ht="15.75" hidden="false" customHeight="true" outlineLevel="0" collapsed="false">
      <c r="B262" s="65" t="n">
        <v>0</v>
      </c>
      <c r="C262" s="69"/>
      <c r="D262" s="69" t="n">
        <v>0</v>
      </c>
      <c r="E262" s="65" t="n">
        <v>0</v>
      </c>
      <c r="F262" s="69"/>
    </row>
    <row r="263" customFormat="false" ht="15.75" hidden="false" customHeight="true" outlineLevel="0" collapsed="false">
      <c r="B263" s="65" t="n">
        <v>0</v>
      </c>
      <c r="C263" s="69"/>
      <c r="D263" s="69" t="n">
        <v>0</v>
      </c>
      <c r="E263" s="65" t="n">
        <v>0</v>
      </c>
      <c r="F263" s="69"/>
    </row>
    <row r="264" customFormat="false" ht="15.75" hidden="false" customHeight="true" outlineLevel="0" collapsed="false">
      <c r="B264" s="65" t="n">
        <v>0</v>
      </c>
      <c r="C264" s="69"/>
      <c r="D264" s="69" t="n">
        <v>0</v>
      </c>
      <c r="E264" s="65" t="n">
        <v>0</v>
      </c>
      <c r="F264" s="69"/>
    </row>
    <row r="265" customFormat="false" ht="15.75" hidden="false" customHeight="true" outlineLevel="0" collapsed="false">
      <c r="B265" s="65" t="n">
        <v>0</v>
      </c>
      <c r="C265" s="69"/>
      <c r="D265" s="69" t="n">
        <v>0</v>
      </c>
      <c r="E265" s="65" t="n">
        <v>0</v>
      </c>
      <c r="F265" s="69"/>
    </row>
    <row r="266" customFormat="false" ht="15.75" hidden="false" customHeight="true" outlineLevel="0" collapsed="false">
      <c r="B266" s="65" t="n">
        <v>0</v>
      </c>
      <c r="C266" s="69"/>
      <c r="D266" s="69" t="n">
        <v>0</v>
      </c>
      <c r="E266" s="65" t="n">
        <v>0</v>
      </c>
      <c r="F266" s="69"/>
    </row>
    <row r="267" customFormat="false" ht="15.75" hidden="false" customHeight="true" outlineLevel="0" collapsed="false">
      <c r="B267" s="65" t="n">
        <v>0</v>
      </c>
      <c r="C267" s="69"/>
      <c r="D267" s="69" t="n">
        <v>0</v>
      </c>
      <c r="E267" s="65" t="n">
        <v>0</v>
      </c>
      <c r="F267" s="69"/>
    </row>
    <row r="268" customFormat="false" ht="15.75" hidden="false" customHeight="true" outlineLevel="0" collapsed="false">
      <c r="B268" s="65" t="n">
        <v>0</v>
      </c>
      <c r="C268" s="69"/>
      <c r="D268" s="69" t="n">
        <v>0</v>
      </c>
      <c r="E268" s="65" t="n">
        <v>0</v>
      </c>
      <c r="F268" s="69"/>
    </row>
    <row r="269" customFormat="false" ht="15.75" hidden="false" customHeight="true" outlineLevel="0" collapsed="false">
      <c r="B269" s="65" t="n">
        <v>0</v>
      </c>
      <c r="C269" s="69"/>
      <c r="D269" s="69" t="n">
        <v>0</v>
      </c>
      <c r="E269" s="65" t="n">
        <v>0</v>
      </c>
      <c r="F269" s="69"/>
    </row>
    <row r="270" customFormat="false" ht="15.75" hidden="false" customHeight="true" outlineLevel="0" collapsed="false">
      <c r="B270" s="65" t="n">
        <v>0</v>
      </c>
      <c r="C270" s="69"/>
      <c r="D270" s="69" t="n">
        <v>0</v>
      </c>
      <c r="E270" s="65" t="n">
        <v>0</v>
      </c>
      <c r="F270" s="69"/>
    </row>
    <row r="271" customFormat="false" ht="15.75" hidden="false" customHeight="true" outlineLevel="0" collapsed="false">
      <c r="B271" s="65" t="n">
        <v>0</v>
      </c>
      <c r="C271" s="69"/>
      <c r="D271" s="69" t="n">
        <v>0</v>
      </c>
      <c r="E271" s="65" t="n">
        <v>0</v>
      </c>
      <c r="F271" s="69"/>
    </row>
    <row r="272" customFormat="false" ht="15.75" hidden="false" customHeight="true" outlineLevel="0" collapsed="false">
      <c r="B272" s="65" t="n">
        <v>0</v>
      </c>
      <c r="C272" s="69"/>
      <c r="D272" s="69" t="n">
        <v>0</v>
      </c>
      <c r="E272" s="65" t="n">
        <v>0</v>
      </c>
      <c r="F272" s="69"/>
    </row>
    <row r="273" customFormat="false" ht="15.75" hidden="false" customHeight="true" outlineLevel="0" collapsed="false">
      <c r="B273" s="65" t="n">
        <v>0</v>
      </c>
      <c r="C273" s="69"/>
      <c r="D273" s="69" t="n">
        <v>0</v>
      </c>
      <c r="E273" s="65" t="n">
        <v>0</v>
      </c>
      <c r="F273" s="69"/>
    </row>
    <row r="274" customFormat="false" ht="15.75" hidden="false" customHeight="true" outlineLevel="0" collapsed="false">
      <c r="B274" s="65" t="n">
        <v>0</v>
      </c>
      <c r="C274" s="69"/>
      <c r="D274" s="69" t="n">
        <v>0</v>
      </c>
      <c r="E274" s="65" t="n">
        <v>0</v>
      </c>
      <c r="F274" s="69"/>
    </row>
    <row r="275" customFormat="false" ht="15.75" hidden="false" customHeight="true" outlineLevel="0" collapsed="false">
      <c r="B275" s="65" t="n">
        <v>0</v>
      </c>
      <c r="C275" s="69"/>
      <c r="D275" s="69" t="n">
        <v>0</v>
      </c>
      <c r="E275" s="65" t="n">
        <v>0</v>
      </c>
      <c r="F275" s="69"/>
    </row>
    <row r="276" customFormat="false" ht="15.75" hidden="false" customHeight="true" outlineLevel="0" collapsed="false">
      <c r="B276" s="65" t="n">
        <v>0</v>
      </c>
      <c r="C276" s="69"/>
      <c r="D276" s="69" t="n">
        <v>0</v>
      </c>
      <c r="E276" s="65" t="n">
        <v>0</v>
      </c>
      <c r="F276" s="69"/>
    </row>
    <row r="277" customFormat="false" ht="15.75" hidden="false" customHeight="true" outlineLevel="0" collapsed="false">
      <c r="B277" s="65" t="n">
        <v>0</v>
      </c>
      <c r="C277" s="69"/>
      <c r="D277" s="69" t="n">
        <v>0</v>
      </c>
      <c r="E277" s="65" t="n">
        <v>0</v>
      </c>
      <c r="F277" s="69"/>
    </row>
    <row r="278" customFormat="false" ht="15.75" hidden="false" customHeight="true" outlineLevel="0" collapsed="false">
      <c r="B278" s="65" t="n">
        <v>0</v>
      </c>
      <c r="C278" s="69"/>
      <c r="D278" s="69" t="n">
        <v>0</v>
      </c>
      <c r="E278" s="65" t="n">
        <v>0</v>
      </c>
      <c r="F278" s="69"/>
    </row>
    <row r="279" customFormat="false" ht="15.75" hidden="false" customHeight="true" outlineLevel="0" collapsed="false">
      <c r="B279" s="65" t="n">
        <v>0</v>
      </c>
      <c r="C279" s="69"/>
      <c r="D279" s="69" t="n">
        <v>0</v>
      </c>
      <c r="E279" s="65" t="n">
        <v>0</v>
      </c>
      <c r="F279" s="69"/>
    </row>
    <row r="280" customFormat="false" ht="15.75" hidden="false" customHeight="true" outlineLevel="0" collapsed="false">
      <c r="B280" s="65" t="n">
        <v>0</v>
      </c>
      <c r="C280" s="69"/>
      <c r="D280" s="69" t="n">
        <v>0</v>
      </c>
      <c r="E280" s="65" t="n">
        <v>0</v>
      </c>
      <c r="F280" s="69"/>
    </row>
    <row r="281" customFormat="false" ht="15.75" hidden="false" customHeight="true" outlineLevel="0" collapsed="false">
      <c r="B281" s="65" t="n">
        <v>0</v>
      </c>
      <c r="C281" s="69"/>
      <c r="D281" s="69" t="n">
        <v>0</v>
      </c>
      <c r="E281" s="65" t="n">
        <v>0</v>
      </c>
      <c r="F281" s="69"/>
    </row>
    <row r="282" customFormat="false" ht="15.75" hidden="false" customHeight="true" outlineLevel="0" collapsed="false">
      <c r="B282" s="65" t="n">
        <v>0</v>
      </c>
      <c r="C282" s="69"/>
      <c r="D282" s="69" t="n">
        <v>0</v>
      </c>
      <c r="E282" s="65" t="n">
        <v>0</v>
      </c>
      <c r="F282" s="69"/>
    </row>
    <row r="283" customFormat="false" ht="15.75" hidden="false" customHeight="true" outlineLevel="0" collapsed="false">
      <c r="B283" s="65" t="n">
        <v>0</v>
      </c>
      <c r="C283" s="69"/>
      <c r="D283" s="69" t="n">
        <v>0</v>
      </c>
      <c r="E283" s="65" t="n">
        <v>0</v>
      </c>
      <c r="F283" s="69"/>
    </row>
    <row r="284" customFormat="false" ht="15.75" hidden="false" customHeight="true" outlineLevel="0" collapsed="false">
      <c r="B284" s="65" t="n">
        <v>0</v>
      </c>
      <c r="C284" s="69"/>
      <c r="D284" s="69" t="n">
        <v>0</v>
      </c>
      <c r="E284" s="65" t="n">
        <v>0</v>
      </c>
      <c r="F284" s="69"/>
    </row>
    <row r="285" customFormat="false" ht="15.75" hidden="false" customHeight="true" outlineLevel="0" collapsed="false">
      <c r="B285" s="65" t="n">
        <v>0</v>
      </c>
      <c r="C285" s="69"/>
      <c r="D285" s="69" t="n">
        <v>0</v>
      </c>
      <c r="E285" s="65" t="n">
        <v>0</v>
      </c>
      <c r="F285" s="69"/>
    </row>
    <row r="286" customFormat="false" ht="15.75" hidden="false" customHeight="true" outlineLevel="0" collapsed="false">
      <c r="B286" s="65" t="n">
        <v>0</v>
      </c>
      <c r="C286" s="69"/>
      <c r="D286" s="69" t="n">
        <v>0</v>
      </c>
      <c r="E286" s="65" t="n">
        <v>0</v>
      </c>
      <c r="F286" s="69"/>
    </row>
    <row r="287" customFormat="false" ht="15.75" hidden="false" customHeight="true" outlineLevel="0" collapsed="false">
      <c r="B287" s="65" t="n">
        <v>0</v>
      </c>
      <c r="C287" s="69"/>
      <c r="D287" s="69" t="n">
        <v>0</v>
      </c>
      <c r="E287" s="65" t="n">
        <v>0</v>
      </c>
      <c r="F287" s="69"/>
    </row>
    <row r="288" customFormat="false" ht="15.75" hidden="false" customHeight="true" outlineLevel="0" collapsed="false">
      <c r="B288" s="65" t="n">
        <v>0</v>
      </c>
      <c r="C288" s="69"/>
      <c r="D288" s="69" t="n">
        <v>0</v>
      </c>
      <c r="E288" s="65" t="n">
        <v>0</v>
      </c>
      <c r="F288" s="69"/>
    </row>
    <row r="289" customFormat="false" ht="15.75" hidden="false" customHeight="true" outlineLevel="0" collapsed="false">
      <c r="B289" s="65" t="n">
        <v>0</v>
      </c>
      <c r="C289" s="69"/>
      <c r="D289" s="69" t="n">
        <v>0</v>
      </c>
      <c r="E289" s="65" t="n">
        <v>0</v>
      </c>
      <c r="F289" s="69"/>
    </row>
    <row r="290" customFormat="false" ht="15.75" hidden="false" customHeight="true" outlineLevel="0" collapsed="false">
      <c r="B290" s="65" t="n">
        <v>0</v>
      </c>
      <c r="C290" s="69"/>
      <c r="D290" s="69" t="n">
        <v>0</v>
      </c>
      <c r="E290" s="65" t="n">
        <v>0</v>
      </c>
      <c r="F290" s="69"/>
    </row>
    <row r="291" customFormat="false" ht="15.75" hidden="false" customHeight="true" outlineLevel="0" collapsed="false">
      <c r="B291" s="65" t="n">
        <v>0</v>
      </c>
      <c r="C291" s="69"/>
      <c r="D291" s="69" t="n">
        <v>0</v>
      </c>
      <c r="E291" s="65" t="n">
        <v>0</v>
      </c>
      <c r="F291" s="69"/>
    </row>
    <row r="292" customFormat="false" ht="15.75" hidden="false" customHeight="true" outlineLevel="0" collapsed="false">
      <c r="B292" s="65" t="n">
        <v>0</v>
      </c>
      <c r="C292" s="69"/>
      <c r="D292" s="69" t="n">
        <v>0</v>
      </c>
      <c r="E292" s="65" t="n">
        <v>0</v>
      </c>
      <c r="F292" s="69"/>
    </row>
    <row r="293" customFormat="false" ht="15.75" hidden="false" customHeight="true" outlineLevel="0" collapsed="false">
      <c r="B293" s="65" t="n">
        <v>0</v>
      </c>
      <c r="C293" s="69"/>
      <c r="D293" s="69" t="n">
        <v>0</v>
      </c>
      <c r="E293" s="65" t="n">
        <v>0</v>
      </c>
      <c r="F293" s="69"/>
    </row>
    <row r="294" customFormat="false" ht="15.75" hidden="false" customHeight="true" outlineLevel="0" collapsed="false">
      <c r="B294" s="65" t="n">
        <v>0</v>
      </c>
      <c r="C294" s="69"/>
      <c r="D294" s="69" t="n">
        <v>0</v>
      </c>
      <c r="E294" s="65" t="n">
        <v>0</v>
      </c>
      <c r="F294" s="69"/>
    </row>
    <row r="295" customFormat="false" ht="15.75" hidden="false" customHeight="true" outlineLevel="0" collapsed="false">
      <c r="B295" s="65" t="n">
        <v>0</v>
      </c>
      <c r="C295" s="69"/>
      <c r="D295" s="69" t="n">
        <v>0</v>
      </c>
      <c r="E295" s="65" t="n">
        <v>0</v>
      </c>
      <c r="F295" s="69"/>
    </row>
    <row r="296" customFormat="false" ht="15.75" hidden="false" customHeight="true" outlineLevel="0" collapsed="false">
      <c r="B296" s="65" t="n">
        <v>0</v>
      </c>
      <c r="C296" s="69"/>
      <c r="D296" s="69" t="n">
        <v>0</v>
      </c>
      <c r="E296" s="65" t="n">
        <v>0</v>
      </c>
      <c r="F296" s="69"/>
    </row>
    <row r="297" customFormat="false" ht="15.75" hidden="false" customHeight="true" outlineLevel="0" collapsed="false">
      <c r="B297" s="65" t="n">
        <v>0</v>
      </c>
      <c r="C297" s="69"/>
      <c r="D297" s="69" t="n">
        <v>0</v>
      </c>
      <c r="E297" s="65" t="n">
        <v>0</v>
      </c>
      <c r="F297" s="69"/>
    </row>
    <row r="298" customFormat="false" ht="15.75" hidden="false" customHeight="true" outlineLevel="0" collapsed="false">
      <c r="B298" s="65" t="n">
        <v>0</v>
      </c>
      <c r="C298" s="69"/>
      <c r="D298" s="69" t="n">
        <v>0</v>
      </c>
      <c r="E298" s="65" t="n">
        <v>0</v>
      </c>
      <c r="F298" s="69"/>
    </row>
    <row r="299" customFormat="false" ht="15.75" hidden="false" customHeight="true" outlineLevel="0" collapsed="false">
      <c r="B299" s="65" t="n">
        <v>0</v>
      </c>
      <c r="C299" s="69"/>
      <c r="D299" s="69" t="n">
        <v>0</v>
      </c>
      <c r="E299" s="65" t="n">
        <v>0</v>
      </c>
      <c r="F299" s="69"/>
    </row>
    <row r="300" customFormat="false" ht="15.75" hidden="false" customHeight="true" outlineLevel="0" collapsed="false">
      <c r="B300" s="65" t="n">
        <v>0</v>
      </c>
      <c r="C300" s="69"/>
      <c r="D300" s="69" t="n">
        <v>0</v>
      </c>
      <c r="E300" s="65" t="n">
        <v>0</v>
      </c>
      <c r="F300" s="69"/>
    </row>
    <row r="301" customFormat="false" ht="15.75" hidden="false" customHeight="true" outlineLevel="0" collapsed="false">
      <c r="B301" s="65" t="n">
        <v>0</v>
      </c>
      <c r="C301" s="69"/>
      <c r="D301" s="69" t="n">
        <v>0</v>
      </c>
      <c r="E301" s="65" t="n">
        <v>0</v>
      </c>
      <c r="F301" s="69"/>
    </row>
    <row r="302" customFormat="false" ht="15.75" hidden="false" customHeight="true" outlineLevel="0" collapsed="false">
      <c r="B302" s="65" t="n">
        <v>0</v>
      </c>
      <c r="C302" s="69"/>
      <c r="D302" s="69" t="n">
        <v>0</v>
      </c>
      <c r="E302" s="65" t="n">
        <v>0</v>
      </c>
      <c r="F302" s="69"/>
    </row>
    <row r="303" customFormat="false" ht="15.75" hidden="false" customHeight="true" outlineLevel="0" collapsed="false">
      <c r="B303" s="65" t="n">
        <v>0</v>
      </c>
      <c r="C303" s="69"/>
      <c r="D303" s="69" t="n">
        <v>0</v>
      </c>
      <c r="E303" s="65" t="n">
        <v>0</v>
      </c>
      <c r="F303" s="69"/>
    </row>
    <row r="304" customFormat="false" ht="15.75" hidden="false" customHeight="true" outlineLevel="0" collapsed="false">
      <c r="B304" s="65" t="n">
        <v>0</v>
      </c>
      <c r="C304" s="69"/>
      <c r="D304" s="69" t="n">
        <v>0</v>
      </c>
      <c r="E304" s="65" t="n">
        <v>0</v>
      </c>
      <c r="F304" s="69"/>
    </row>
    <row r="305" customFormat="false" ht="15.75" hidden="false" customHeight="true" outlineLevel="0" collapsed="false">
      <c r="B305" s="65" t="n">
        <v>0</v>
      </c>
      <c r="C305" s="69"/>
      <c r="D305" s="69" t="n">
        <v>0</v>
      </c>
      <c r="E305" s="65" t="n">
        <v>0</v>
      </c>
      <c r="F305" s="69"/>
    </row>
    <row r="306" customFormat="false" ht="15.75" hidden="false" customHeight="true" outlineLevel="0" collapsed="false">
      <c r="B306" s="65" t="n">
        <v>0</v>
      </c>
      <c r="C306" s="69"/>
      <c r="D306" s="69" t="n">
        <v>0</v>
      </c>
      <c r="E306" s="65" t="n">
        <v>0</v>
      </c>
      <c r="F306" s="69"/>
    </row>
    <row r="307" customFormat="false" ht="15.75" hidden="false" customHeight="true" outlineLevel="0" collapsed="false">
      <c r="B307" s="65" t="n">
        <v>0</v>
      </c>
      <c r="C307" s="69"/>
      <c r="D307" s="69" t="n">
        <v>0</v>
      </c>
      <c r="E307" s="65" t="n">
        <v>0</v>
      </c>
      <c r="F307" s="69"/>
    </row>
    <row r="308" customFormat="false" ht="15.75" hidden="false" customHeight="true" outlineLevel="0" collapsed="false">
      <c r="B308" s="65" t="n">
        <v>0</v>
      </c>
      <c r="C308" s="69"/>
      <c r="D308" s="69" t="n">
        <v>0</v>
      </c>
      <c r="E308" s="65" t="n">
        <v>0</v>
      </c>
      <c r="F308" s="69"/>
    </row>
    <row r="309" customFormat="false" ht="15.75" hidden="false" customHeight="true" outlineLevel="0" collapsed="false">
      <c r="B309" s="65" t="n">
        <v>0</v>
      </c>
      <c r="C309" s="69"/>
      <c r="D309" s="69" t="n">
        <v>0</v>
      </c>
      <c r="E309" s="65" t="n">
        <v>0</v>
      </c>
      <c r="F309" s="69"/>
    </row>
    <row r="310" customFormat="false" ht="15.75" hidden="false" customHeight="true" outlineLevel="0" collapsed="false">
      <c r="B310" s="65" t="n">
        <v>0</v>
      </c>
      <c r="C310" s="69"/>
      <c r="D310" s="69" t="n">
        <v>0</v>
      </c>
      <c r="E310" s="65" t="n">
        <v>0</v>
      </c>
      <c r="F310" s="69"/>
    </row>
    <row r="311" customFormat="false" ht="15.75" hidden="false" customHeight="true" outlineLevel="0" collapsed="false">
      <c r="B311" s="65" t="n">
        <v>0</v>
      </c>
      <c r="C311" s="69"/>
      <c r="D311" s="69" t="n">
        <v>0</v>
      </c>
      <c r="E311" s="65" t="n">
        <v>0</v>
      </c>
      <c r="F311" s="69"/>
    </row>
    <row r="312" customFormat="false" ht="15.75" hidden="false" customHeight="true" outlineLevel="0" collapsed="false">
      <c r="B312" s="65" t="n">
        <v>0</v>
      </c>
      <c r="C312" s="69"/>
      <c r="D312" s="69" t="n">
        <v>0</v>
      </c>
      <c r="E312" s="65" t="n">
        <v>0</v>
      </c>
      <c r="F312" s="69"/>
    </row>
    <row r="313" customFormat="false" ht="15.75" hidden="false" customHeight="true" outlineLevel="0" collapsed="false">
      <c r="B313" s="65" t="n">
        <v>0</v>
      </c>
      <c r="C313" s="69"/>
      <c r="D313" s="69" t="n">
        <v>0</v>
      </c>
      <c r="E313" s="65" t="n">
        <v>0</v>
      </c>
      <c r="F313" s="69"/>
    </row>
    <row r="314" customFormat="false" ht="15.75" hidden="false" customHeight="true" outlineLevel="0" collapsed="false">
      <c r="B314" s="65" t="n">
        <v>0</v>
      </c>
      <c r="C314" s="69"/>
      <c r="D314" s="69" t="n">
        <v>0</v>
      </c>
      <c r="E314" s="65" t="n">
        <v>0</v>
      </c>
      <c r="F314" s="69"/>
    </row>
    <row r="315" customFormat="false" ht="15.75" hidden="false" customHeight="true" outlineLevel="0" collapsed="false">
      <c r="B315" s="65" t="n">
        <v>0</v>
      </c>
      <c r="C315" s="69"/>
      <c r="D315" s="69" t="n">
        <v>0</v>
      </c>
      <c r="E315" s="65" t="n">
        <v>0</v>
      </c>
      <c r="F315" s="69"/>
    </row>
    <row r="316" customFormat="false" ht="15.75" hidden="false" customHeight="true" outlineLevel="0" collapsed="false">
      <c r="B316" s="65" t="n">
        <v>0</v>
      </c>
      <c r="C316" s="69"/>
      <c r="D316" s="69" t="n">
        <v>0</v>
      </c>
      <c r="E316" s="65" t="n">
        <v>0</v>
      </c>
      <c r="F316" s="69"/>
    </row>
    <row r="317" customFormat="false" ht="15.75" hidden="false" customHeight="true" outlineLevel="0" collapsed="false">
      <c r="B317" s="65" t="n">
        <v>0</v>
      </c>
      <c r="C317" s="69"/>
      <c r="D317" s="69" t="n">
        <v>0</v>
      </c>
      <c r="E317" s="65" t="n">
        <v>0</v>
      </c>
      <c r="F317" s="69"/>
    </row>
    <row r="318" customFormat="false" ht="15.75" hidden="false" customHeight="true" outlineLevel="0" collapsed="false">
      <c r="B318" s="65" t="n">
        <v>0</v>
      </c>
      <c r="C318" s="69"/>
      <c r="D318" s="69" t="n">
        <v>0</v>
      </c>
      <c r="E318" s="65" t="n">
        <v>0</v>
      </c>
      <c r="F318" s="69"/>
    </row>
    <row r="319" customFormat="false" ht="15.75" hidden="false" customHeight="true" outlineLevel="0" collapsed="false">
      <c r="B319" s="65" t="n">
        <v>0</v>
      </c>
      <c r="C319" s="69"/>
      <c r="D319" s="69" t="n">
        <v>0</v>
      </c>
      <c r="E319" s="65" t="n">
        <v>0</v>
      </c>
      <c r="F319" s="69"/>
    </row>
    <row r="320" customFormat="false" ht="15.75" hidden="false" customHeight="true" outlineLevel="0" collapsed="false">
      <c r="B320" s="65" t="n">
        <v>0</v>
      </c>
      <c r="C320" s="69"/>
      <c r="D320" s="69" t="n">
        <v>0</v>
      </c>
      <c r="E320" s="65" t="n">
        <v>0</v>
      </c>
      <c r="F320" s="69"/>
    </row>
    <row r="321" customFormat="false" ht="15.75" hidden="false" customHeight="true" outlineLevel="0" collapsed="false">
      <c r="B321" s="65" t="n">
        <v>0</v>
      </c>
      <c r="C321" s="69"/>
      <c r="D321" s="69" t="n">
        <v>0</v>
      </c>
      <c r="E321" s="65" t="n">
        <v>0</v>
      </c>
      <c r="F321" s="69"/>
    </row>
    <row r="322" customFormat="false" ht="15.75" hidden="false" customHeight="true" outlineLevel="0" collapsed="false">
      <c r="B322" s="65" t="n">
        <v>0</v>
      </c>
      <c r="C322" s="69"/>
      <c r="D322" s="69" t="n">
        <v>0</v>
      </c>
      <c r="E322" s="65" t="n">
        <v>0</v>
      </c>
      <c r="F322" s="69"/>
    </row>
    <row r="323" customFormat="false" ht="15.75" hidden="false" customHeight="true" outlineLevel="0" collapsed="false">
      <c r="B323" s="65" t="n">
        <v>0</v>
      </c>
      <c r="C323" s="69"/>
      <c r="D323" s="69" t="n">
        <v>0</v>
      </c>
      <c r="E323" s="65" t="n">
        <v>0</v>
      </c>
      <c r="F323" s="69"/>
    </row>
    <row r="324" customFormat="false" ht="15.75" hidden="false" customHeight="true" outlineLevel="0" collapsed="false">
      <c r="B324" s="65" t="n">
        <v>0</v>
      </c>
      <c r="C324" s="69"/>
      <c r="D324" s="69" t="n">
        <v>0</v>
      </c>
      <c r="E324" s="65" t="n">
        <v>0</v>
      </c>
      <c r="F324" s="69"/>
    </row>
    <row r="325" customFormat="false" ht="15.75" hidden="false" customHeight="true" outlineLevel="0" collapsed="false">
      <c r="B325" s="65" t="n">
        <v>0</v>
      </c>
      <c r="C325" s="69"/>
      <c r="D325" s="69" t="n">
        <v>0</v>
      </c>
      <c r="E325" s="65" t="n">
        <v>0</v>
      </c>
      <c r="F325" s="69"/>
    </row>
    <row r="326" customFormat="false" ht="15.75" hidden="false" customHeight="true" outlineLevel="0" collapsed="false">
      <c r="B326" s="65" t="n">
        <v>0</v>
      </c>
      <c r="C326" s="69"/>
      <c r="D326" s="69" t="n">
        <v>0</v>
      </c>
      <c r="E326" s="65" t="n">
        <v>0</v>
      </c>
      <c r="F326" s="69"/>
    </row>
    <row r="327" customFormat="false" ht="15.75" hidden="false" customHeight="true" outlineLevel="0" collapsed="false">
      <c r="B327" s="65" t="n">
        <v>0</v>
      </c>
      <c r="C327" s="69"/>
      <c r="D327" s="69" t="n">
        <v>0</v>
      </c>
      <c r="E327" s="65" t="n">
        <v>0</v>
      </c>
      <c r="F327" s="69"/>
    </row>
    <row r="328" customFormat="false" ht="15.75" hidden="false" customHeight="true" outlineLevel="0" collapsed="false">
      <c r="B328" s="65" t="n">
        <v>0</v>
      </c>
      <c r="C328" s="69"/>
      <c r="D328" s="69" t="n">
        <v>0</v>
      </c>
      <c r="E328" s="65" t="n">
        <v>0</v>
      </c>
      <c r="F328" s="69"/>
    </row>
    <row r="329" customFormat="false" ht="15.75" hidden="false" customHeight="true" outlineLevel="0" collapsed="false">
      <c r="B329" s="65" t="n">
        <v>0</v>
      </c>
      <c r="C329" s="69"/>
      <c r="D329" s="69" t="n">
        <v>0</v>
      </c>
      <c r="E329" s="65" t="n">
        <v>0</v>
      </c>
      <c r="F329" s="69"/>
    </row>
    <row r="330" customFormat="false" ht="15.75" hidden="false" customHeight="true" outlineLevel="0" collapsed="false">
      <c r="B330" s="65" t="n">
        <v>0</v>
      </c>
      <c r="C330" s="69"/>
      <c r="D330" s="69" t="n">
        <v>0</v>
      </c>
      <c r="E330" s="65" t="n">
        <v>0</v>
      </c>
      <c r="F330" s="69"/>
    </row>
    <row r="331" customFormat="false" ht="15.75" hidden="false" customHeight="true" outlineLevel="0" collapsed="false">
      <c r="B331" s="65" t="n">
        <v>0</v>
      </c>
      <c r="C331" s="69"/>
      <c r="D331" s="69" t="n">
        <v>0</v>
      </c>
      <c r="E331" s="65" t="n">
        <v>0</v>
      </c>
      <c r="F331" s="69"/>
    </row>
    <row r="332" customFormat="false" ht="15.75" hidden="false" customHeight="true" outlineLevel="0" collapsed="false">
      <c r="B332" s="65" t="n">
        <v>0</v>
      </c>
      <c r="C332" s="69"/>
      <c r="D332" s="69" t="n">
        <v>0</v>
      </c>
      <c r="E332" s="65" t="n">
        <v>0</v>
      </c>
      <c r="F332" s="69"/>
    </row>
    <row r="333" customFormat="false" ht="15.75" hidden="false" customHeight="true" outlineLevel="0" collapsed="false">
      <c r="B333" s="65" t="n">
        <v>0</v>
      </c>
      <c r="C333" s="69"/>
      <c r="D333" s="69" t="n">
        <v>0</v>
      </c>
      <c r="E333" s="65" t="n">
        <v>0</v>
      </c>
      <c r="F333" s="69"/>
    </row>
    <row r="334" customFormat="false" ht="15.75" hidden="false" customHeight="true" outlineLevel="0" collapsed="false">
      <c r="B334" s="65" t="n">
        <v>0</v>
      </c>
      <c r="C334" s="69"/>
      <c r="D334" s="69" t="n">
        <v>0</v>
      </c>
      <c r="E334" s="65" t="n">
        <v>0</v>
      </c>
      <c r="F334" s="69"/>
    </row>
    <row r="335" customFormat="false" ht="15.75" hidden="false" customHeight="true" outlineLevel="0" collapsed="false">
      <c r="B335" s="65" t="n">
        <v>0</v>
      </c>
      <c r="C335" s="69"/>
      <c r="D335" s="69" t="n">
        <v>0</v>
      </c>
      <c r="E335" s="65" t="n">
        <v>0</v>
      </c>
      <c r="F335" s="69"/>
    </row>
    <row r="336" customFormat="false" ht="15.75" hidden="false" customHeight="true" outlineLevel="0" collapsed="false">
      <c r="B336" s="65" t="n">
        <v>0</v>
      </c>
      <c r="C336" s="69"/>
      <c r="D336" s="69" t="n">
        <v>0</v>
      </c>
      <c r="E336" s="65" t="n">
        <v>0</v>
      </c>
      <c r="F336" s="69"/>
    </row>
    <row r="337" customFormat="false" ht="15.75" hidden="false" customHeight="true" outlineLevel="0" collapsed="false">
      <c r="B337" s="65" t="n">
        <v>0</v>
      </c>
      <c r="C337" s="69"/>
      <c r="D337" s="69" t="n">
        <v>0</v>
      </c>
      <c r="E337" s="65" t="n">
        <v>0</v>
      </c>
      <c r="F337" s="69"/>
    </row>
    <row r="338" customFormat="false" ht="15.75" hidden="false" customHeight="true" outlineLevel="0" collapsed="false">
      <c r="B338" s="65" t="n">
        <v>0</v>
      </c>
      <c r="C338" s="69"/>
      <c r="D338" s="69" t="n">
        <v>0</v>
      </c>
      <c r="E338" s="65" t="n">
        <v>0</v>
      </c>
      <c r="F338" s="69"/>
    </row>
    <row r="339" customFormat="false" ht="15.75" hidden="false" customHeight="true" outlineLevel="0" collapsed="false">
      <c r="B339" s="65" t="n">
        <v>0</v>
      </c>
      <c r="C339" s="69"/>
      <c r="D339" s="69" t="n">
        <v>0</v>
      </c>
      <c r="E339" s="65" t="n">
        <v>0</v>
      </c>
      <c r="F339" s="69"/>
    </row>
    <row r="340" customFormat="false" ht="15.75" hidden="false" customHeight="true" outlineLevel="0" collapsed="false">
      <c r="B340" s="65" t="n">
        <v>0</v>
      </c>
      <c r="C340" s="69"/>
      <c r="D340" s="69" t="n">
        <v>0</v>
      </c>
      <c r="E340" s="65" t="n">
        <v>0</v>
      </c>
      <c r="F340" s="69"/>
    </row>
    <row r="341" customFormat="false" ht="15.75" hidden="false" customHeight="true" outlineLevel="0" collapsed="false">
      <c r="B341" s="65" t="n">
        <v>0</v>
      </c>
      <c r="C341" s="69"/>
      <c r="D341" s="69" t="n">
        <v>0</v>
      </c>
      <c r="E341" s="65" t="n">
        <v>0</v>
      </c>
      <c r="F341" s="69"/>
    </row>
    <row r="342" customFormat="false" ht="15.75" hidden="false" customHeight="true" outlineLevel="0" collapsed="false">
      <c r="B342" s="65" t="n">
        <v>0</v>
      </c>
      <c r="C342" s="69"/>
      <c r="D342" s="69" t="n">
        <v>0</v>
      </c>
      <c r="E342" s="65" t="n">
        <v>0</v>
      </c>
      <c r="F342" s="69"/>
    </row>
    <row r="343" customFormat="false" ht="15.75" hidden="false" customHeight="true" outlineLevel="0" collapsed="false">
      <c r="B343" s="65" t="n">
        <v>0</v>
      </c>
      <c r="C343" s="69"/>
      <c r="D343" s="69" t="n">
        <v>0</v>
      </c>
      <c r="E343" s="65" t="n">
        <v>0</v>
      </c>
      <c r="F343" s="69"/>
    </row>
    <row r="344" customFormat="false" ht="15.75" hidden="false" customHeight="true" outlineLevel="0" collapsed="false">
      <c r="B344" s="65" t="n">
        <v>0</v>
      </c>
      <c r="C344" s="69"/>
      <c r="D344" s="69" t="n">
        <v>0</v>
      </c>
      <c r="E344" s="65" t="n">
        <v>0</v>
      </c>
      <c r="F344" s="69"/>
    </row>
    <row r="345" customFormat="false" ht="15.75" hidden="false" customHeight="true" outlineLevel="0" collapsed="false">
      <c r="B345" s="65" t="n">
        <v>0</v>
      </c>
      <c r="C345" s="69"/>
      <c r="D345" s="69" t="n">
        <v>0</v>
      </c>
      <c r="E345" s="65" t="n">
        <v>0</v>
      </c>
      <c r="F345" s="69"/>
    </row>
    <row r="346" customFormat="false" ht="15.75" hidden="false" customHeight="true" outlineLevel="0" collapsed="false">
      <c r="B346" s="65" t="n">
        <v>0</v>
      </c>
      <c r="C346" s="69"/>
      <c r="D346" s="69" t="n">
        <v>0</v>
      </c>
      <c r="E346" s="65" t="n">
        <v>0</v>
      </c>
      <c r="F346" s="69"/>
    </row>
    <row r="347" customFormat="false" ht="15.75" hidden="false" customHeight="true" outlineLevel="0" collapsed="false">
      <c r="B347" s="65" t="n">
        <v>0</v>
      </c>
      <c r="C347" s="69"/>
      <c r="D347" s="69" t="n">
        <v>0</v>
      </c>
      <c r="E347" s="65" t="n">
        <v>0</v>
      </c>
      <c r="F347" s="69"/>
    </row>
    <row r="348" customFormat="false" ht="15.75" hidden="false" customHeight="true" outlineLevel="0" collapsed="false">
      <c r="B348" s="65" t="n">
        <v>0</v>
      </c>
      <c r="C348" s="69"/>
      <c r="D348" s="69" t="n">
        <v>0</v>
      </c>
      <c r="E348" s="65" t="n">
        <v>0</v>
      </c>
      <c r="F348" s="69"/>
    </row>
    <row r="349" customFormat="false" ht="15.75" hidden="false" customHeight="true" outlineLevel="0" collapsed="false">
      <c r="B349" s="65" t="n">
        <v>0</v>
      </c>
      <c r="C349" s="69"/>
      <c r="D349" s="69" t="n">
        <v>0</v>
      </c>
      <c r="E349" s="65" t="n">
        <v>0</v>
      </c>
      <c r="F349" s="69"/>
    </row>
    <row r="350" customFormat="false" ht="15.75" hidden="false" customHeight="true" outlineLevel="0" collapsed="false">
      <c r="B350" s="65" t="n">
        <v>0</v>
      </c>
      <c r="C350" s="69"/>
      <c r="D350" s="69" t="n">
        <v>0</v>
      </c>
      <c r="E350" s="65" t="n">
        <v>0</v>
      </c>
      <c r="F350" s="69"/>
    </row>
    <row r="351" customFormat="false" ht="15.75" hidden="false" customHeight="true" outlineLevel="0" collapsed="false">
      <c r="B351" s="65" t="n">
        <v>0</v>
      </c>
      <c r="C351" s="69"/>
      <c r="D351" s="69" t="n">
        <v>0</v>
      </c>
      <c r="E351" s="65" t="n">
        <v>0</v>
      </c>
      <c r="F351" s="69"/>
    </row>
    <row r="352" customFormat="false" ht="15.75" hidden="false" customHeight="true" outlineLevel="0" collapsed="false">
      <c r="B352" s="65" t="n">
        <v>0</v>
      </c>
      <c r="C352" s="69"/>
      <c r="D352" s="69" t="n">
        <v>0</v>
      </c>
      <c r="E352" s="65" t="n">
        <v>0</v>
      </c>
      <c r="F352" s="69"/>
    </row>
    <row r="353" customFormat="false" ht="15.75" hidden="false" customHeight="true" outlineLevel="0" collapsed="false">
      <c r="B353" s="65" t="n">
        <v>0</v>
      </c>
      <c r="C353" s="69"/>
      <c r="D353" s="69" t="n">
        <v>0</v>
      </c>
      <c r="E353" s="65" t="n">
        <v>0</v>
      </c>
      <c r="F353" s="69"/>
    </row>
    <row r="354" customFormat="false" ht="15.75" hidden="false" customHeight="true" outlineLevel="0" collapsed="false">
      <c r="B354" s="65" t="n">
        <v>0</v>
      </c>
      <c r="C354" s="69"/>
      <c r="D354" s="69" t="n">
        <v>0</v>
      </c>
      <c r="E354" s="65" t="n">
        <v>0</v>
      </c>
      <c r="F354" s="69"/>
    </row>
    <row r="355" customFormat="false" ht="15.75" hidden="false" customHeight="true" outlineLevel="0" collapsed="false">
      <c r="B355" s="65" t="n">
        <v>0</v>
      </c>
      <c r="C355" s="69"/>
      <c r="D355" s="69" t="n">
        <v>0</v>
      </c>
      <c r="E355" s="65" t="n">
        <v>0</v>
      </c>
      <c r="F355" s="69"/>
    </row>
    <row r="356" customFormat="false" ht="15.75" hidden="false" customHeight="true" outlineLevel="0" collapsed="false">
      <c r="B356" s="65" t="n">
        <v>0</v>
      </c>
      <c r="C356" s="69"/>
      <c r="D356" s="69" t="n">
        <v>0</v>
      </c>
      <c r="E356" s="65" t="n">
        <v>0</v>
      </c>
      <c r="F356" s="69"/>
    </row>
    <row r="357" customFormat="false" ht="15.75" hidden="false" customHeight="true" outlineLevel="0" collapsed="false">
      <c r="B357" s="65" t="n">
        <v>0</v>
      </c>
      <c r="C357" s="69"/>
      <c r="D357" s="69" t="n">
        <v>0</v>
      </c>
      <c r="E357" s="65" t="n">
        <v>0</v>
      </c>
      <c r="F357" s="69"/>
    </row>
    <row r="358" customFormat="false" ht="15.75" hidden="false" customHeight="true" outlineLevel="0" collapsed="false">
      <c r="B358" s="65" t="n">
        <v>0</v>
      </c>
      <c r="C358" s="69"/>
      <c r="D358" s="69" t="n">
        <v>0</v>
      </c>
      <c r="E358" s="65" t="n">
        <v>0</v>
      </c>
      <c r="F358" s="69"/>
    </row>
    <row r="359" customFormat="false" ht="15.75" hidden="false" customHeight="true" outlineLevel="0" collapsed="false">
      <c r="B359" s="65" t="n">
        <v>0</v>
      </c>
      <c r="C359" s="69"/>
      <c r="D359" s="69" t="n">
        <v>0</v>
      </c>
      <c r="E359" s="65" t="n">
        <v>0</v>
      </c>
      <c r="F359" s="69"/>
    </row>
    <row r="360" customFormat="false" ht="15.75" hidden="false" customHeight="true" outlineLevel="0" collapsed="false">
      <c r="B360" s="65" t="n">
        <v>0</v>
      </c>
      <c r="C360" s="69"/>
      <c r="D360" s="69" t="n">
        <v>0</v>
      </c>
      <c r="E360" s="65" t="n">
        <v>0</v>
      </c>
      <c r="F360" s="69"/>
    </row>
    <row r="361" customFormat="false" ht="15.75" hidden="false" customHeight="true" outlineLevel="0" collapsed="false">
      <c r="B361" s="65" t="n">
        <v>0</v>
      </c>
      <c r="C361" s="69"/>
      <c r="D361" s="69" t="n">
        <v>0</v>
      </c>
      <c r="E361" s="65" t="n">
        <v>0</v>
      </c>
      <c r="F361" s="69"/>
    </row>
    <row r="362" customFormat="false" ht="15.75" hidden="false" customHeight="true" outlineLevel="0" collapsed="false">
      <c r="B362" s="65" t="n">
        <v>0</v>
      </c>
      <c r="C362" s="69"/>
      <c r="D362" s="69" t="n">
        <v>0</v>
      </c>
      <c r="E362" s="65" t="n">
        <v>0</v>
      </c>
      <c r="F362" s="69"/>
    </row>
    <row r="363" customFormat="false" ht="15.75" hidden="false" customHeight="true" outlineLevel="0" collapsed="false">
      <c r="B363" s="65" t="n">
        <v>0</v>
      </c>
      <c r="C363" s="69"/>
      <c r="D363" s="69" t="n">
        <v>0</v>
      </c>
      <c r="E363" s="65" t="n">
        <v>0</v>
      </c>
      <c r="F363" s="69"/>
    </row>
    <row r="364" customFormat="false" ht="15.75" hidden="false" customHeight="true" outlineLevel="0" collapsed="false">
      <c r="B364" s="65" t="n">
        <v>0</v>
      </c>
      <c r="C364" s="69"/>
      <c r="D364" s="69" t="n">
        <v>0</v>
      </c>
      <c r="E364" s="65" t="n">
        <v>0</v>
      </c>
      <c r="F364" s="69"/>
    </row>
    <row r="365" customFormat="false" ht="15.75" hidden="false" customHeight="true" outlineLevel="0" collapsed="false">
      <c r="B365" s="65" t="n">
        <v>0</v>
      </c>
      <c r="C365" s="69"/>
      <c r="D365" s="69" t="n">
        <v>0</v>
      </c>
      <c r="E365" s="65" t="n">
        <v>0</v>
      </c>
      <c r="F365" s="69"/>
    </row>
    <row r="366" customFormat="false" ht="15.75" hidden="false" customHeight="true" outlineLevel="0" collapsed="false">
      <c r="B366" s="65" t="n">
        <v>0</v>
      </c>
      <c r="C366" s="69"/>
      <c r="D366" s="69" t="n">
        <v>0</v>
      </c>
      <c r="E366" s="65" t="n">
        <v>0</v>
      </c>
      <c r="F366" s="69"/>
    </row>
    <row r="367" customFormat="false" ht="15.75" hidden="false" customHeight="true" outlineLevel="0" collapsed="false">
      <c r="B367" s="65" t="n">
        <v>0</v>
      </c>
      <c r="C367" s="69"/>
      <c r="D367" s="69" t="n">
        <v>0</v>
      </c>
      <c r="E367" s="65" t="n">
        <v>0</v>
      </c>
      <c r="F367" s="69"/>
    </row>
    <row r="368" customFormat="false" ht="15.75" hidden="false" customHeight="true" outlineLevel="0" collapsed="false">
      <c r="B368" s="65" t="n">
        <v>0</v>
      </c>
      <c r="C368" s="69"/>
      <c r="D368" s="69" t="n">
        <v>0</v>
      </c>
      <c r="E368" s="65" t="n">
        <v>0</v>
      </c>
      <c r="F368" s="69"/>
    </row>
    <row r="369" customFormat="false" ht="15.75" hidden="false" customHeight="true" outlineLevel="0" collapsed="false">
      <c r="B369" s="65" t="n">
        <v>0</v>
      </c>
      <c r="C369" s="69"/>
      <c r="D369" s="69" t="n">
        <v>0</v>
      </c>
      <c r="E369" s="65" t="n">
        <v>0</v>
      </c>
      <c r="F369" s="69"/>
    </row>
    <row r="370" customFormat="false" ht="15.75" hidden="false" customHeight="true" outlineLevel="0" collapsed="false">
      <c r="B370" s="65" t="n">
        <v>0</v>
      </c>
      <c r="C370" s="69"/>
      <c r="D370" s="69" t="n">
        <v>0</v>
      </c>
      <c r="E370" s="65" t="n">
        <v>0</v>
      </c>
      <c r="F370" s="69"/>
    </row>
    <row r="371" customFormat="false" ht="15.75" hidden="false" customHeight="true" outlineLevel="0" collapsed="false">
      <c r="B371" s="65" t="n">
        <v>0</v>
      </c>
      <c r="C371" s="69"/>
      <c r="D371" s="69" t="n">
        <v>0</v>
      </c>
      <c r="E371" s="65" t="n">
        <v>0</v>
      </c>
      <c r="F371" s="69"/>
    </row>
    <row r="372" customFormat="false" ht="15.75" hidden="false" customHeight="true" outlineLevel="0" collapsed="false">
      <c r="B372" s="65" t="n">
        <v>0</v>
      </c>
      <c r="C372" s="69"/>
      <c r="D372" s="69" t="n">
        <v>0</v>
      </c>
      <c r="E372" s="65" t="n">
        <v>0</v>
      </c>
      <c r="F372" s="69"/>
    </row>
    <row r="373" customFormat="false" ht="15.75" hidden="false" customHeight="true" outlineLevel="0" collapsed="false">
      <c r="B373" s="65" t="n">
        <v>0</v>
      </c>
      <c r="C373" s="69"/>
      <c r="D373" s="69" t="n">
        <v>0</v>
      </c>
      <c r="E373" s="65" t="n">
        <v>0</v>
      </c>
      <c r="F373" s="69"/>
    </row>
    <row r="374" customFormat="false" ht="15.75" hidden="false" customHeight="true" outlineLevel="0" collapsed="false">
      <c r="B374" s="65" t="n">
        <v>0</v>
      </c>
      <c r="C374" s="69"/>
      <c r="D374" s="69" t="n">
        <v>0</v>
      </c>
      <c r="E374" s="65" t="n">
        <v>0</v>
      </c>
      <c r="F374" s="69"/>
    </row>
    <row r="375" customFormat="false" ht="15.75" hidden="false" customHeight="true" outlineLevel="0" collapsed="false">
      <c r="B375" s="65" t="n">
        <v>0</v>
      </c>
      <c r="C375" s="69"/>
      <c r="D375" s="69" t="n">
        <v>0</v>
      </c>
      <c r="E375" s="65" t="n">
        <v>0</v>
      </c>
      <c r="F375" s="69"/>
    </row>
    <row r="376" customFormat="false" ht="15.75" hidden="false" customHeight="true" outlineLevel="0" collapsed="false">
      <c r="B376" s="65" t="n">
        <v>0</v>
      </c>
      <c r="C376" s="69"/>
      <c r="D376" s="69" t="n">
        <v>0</v>
      </c>
      <c r="E376" s="65" t="n">
        <v>0</v>
      </c>
      <c r="F376" s="69"/>
    </row>
    <row r="377" customFormat="false" ht="15.75" hidden="false" customHeight="true" outlineLevel="0" collapsed="false">
      <c r="B377" s="65" t="n">
        <v>0</v>
      </c>
      <c r="C377" s="69"/>
      <c r="D377" s="69" t="n">
        <v>0</v>
      </c>
      <c r="E377" s="65" t="n">
        <v>0</v>
      </c>
      <c r="F377" s="69"/>
    </row>
    <row r="378" customFormat="false" ht="15.75" hidden="false" customHeight="true" outlineLevel="0" collapsed="false">
      <c r="B378" s="65" t="n">
        <v>0</v>
      </c>
      <c r="C378" s="69"/>
      <c r="D378" s="69" t="n">
        <v>0</v>
      </c>
      <c r="E378" s="65" t="n">
        <v>0</v>
      </c>
      <c r="F378" s="69"/>
    </row>
    <row r="379" customFormat="false" ht="15.75" hidden="false" customHeight="true" outlineLevel="0" collapsed="false">
      <c r="B379" s="65" t="n">
        <v>0</v>
      </c>
      <c r="C379" s="69"/>
      <c r="D379" s="69" t="n">
        <v>0</v>
      </c>
      <c r="E379" s="65" t="n">
        <v>0</v>
      </c>
      <c r="F379" s="69"/>
    </row>
    <row r="380" customFormat="false" ht="15.75" hidden="false" customHeight="true" outlineLevel="0" collapsed="false">
      <c r="B380" s="65" t="n">
        <v>0</v>
      </c>
      <c r="C380" s="69"/>
      <c r="D380" s="69" t="n">
        <v>0</v>
      </c>
      <c r="E380" s="65" t="n">
        <v>0</v>
      </c>
      <c r="F380" s="69"/>
    </row>
    <row r="381" customFormat="false" ht="15.75" hidden="false" customHeight="true" outlineLevel="0" collapsed="false">
      <c r="B381" s="65" t="n">
        <v>0</v>
      </c>
      <c r="C381" s="69"/>
      <c r="D381" s="69" t="n">
        <v>0</v>
      </c>
      <c r="E381" s="65" t="n">
        <v>0</v>
      </c>
      <c r="F381" s="69"/>
    </row>
    <row r="382" customFormat="false" ht="15.75" hidden="false" customHeight="true" outlineLevel="0" collapsed="false">
      <c r="B382" s="65" t="n">
        <v>0</v>
      </c>
      <c r="C382" s="69"/>
      <c r="D382" s="69" t="n">
        <v>0</v>
      </c>
      <c r="E382" s="65" t="n">
        <v>0</v>
      </c>
      <c r="F382" s="69"/>
    </row>
    <row r="383" customFormat="false" ht="15.75" hidden="false" customHeight="true" outlineLevel="0" collapsed="false">
      <c r="B383" s="65" t="n">
        <v>0</v>
      </c>
      <c r="C383" s="69"/>
      <c r="D383" s="69" t="n">
        <v>0</v>
      </c>
      <c r="E383" s="65" t="n">
        <v>0</v>
      </c>
      <c r="F383" s="69"/>
    </row>
    <row r="384" customFormat="false" ht="15.75" hidden="false" customHeight="true" outlineLevel="0" collapsed="false">
      <c r="B384" s="65" t="n">
        <v>0</v>
      </c>
      <c r="C384" s="69"/>
      <c r="D384" s="69" t="n">
        <v>0</v>
      </c>
      <c r="E384" s="65" t="n">
        <v>0</v>
      </c>
      <c r="F384" s="69"/>
    </row>
    <row r="385" customFormat="false" ht="15.75" hidden="false" customHeight="true" outlineLevel="0" collapsed="false">
      <c r="B385" s="65" t="n">
        <v>0</v>
      </c>
      <c r="C385" s="69"/>
      <c r="D385" s="69" t="n">
        <v>0</v>
      </c>
      <c r="E385" s="65" t="n">
        <v>0</v>
      </c>
      <c r="F385" s="69"/>
    </row>
    <row r="386" customFormat="false" ht="15.75" hidden="false" customHeight="true" outlineLevel="0" collapsed="false">
      <c r="B386" s="65" t="n">
        <v>0</v>
      </c>
      <c r="C386" s="69"/>
      <c r="D386" s="69" t="n">
        <v>0</v>
      </c>
      <c r="E386" s="65" t="n">
        <v>0</v>
      </c>
      <c r="F386" s="69"/>
    </row>
    <row r="387" customFormat="false" ht="15.75" hidden="false" customHeight="true" outlineLevel="0" collapsed="false">
      <c r="B387" s="65" t="n">
        <v>0</v>
      </c>
      <c r="C387" s="69"/>
      <c r="D387" s="69" t="n">
        <v>0</v>
      </c>
      <c r="E387" s="65" t="n">
        <v>0</v>
      </c>
      <c r="F387" s="69"/>
    </row>
    <row r="388" customFormat="false" ht="15.75" hidden="false" customHeight="true" outlineLevel="0" collapsed="false">
      <c r="B388" s="65" t="n">
        <v>0</v>
      </c>
      <c r="C388" s="69"/>
      <c r="D388" s="69" t="n">
        <v>0</v>
      </c>
      <c r="E388" s="65" t="n">
        <v>0</v>
      </c>
      <c r="F388" s="69"/>
    </row>
    <row r="389" customFormat="false" ht="15.75" hidden="false" customHeight="true" outlineLevel="0" collapsed="false">
      <c r="B389" s="65" t="n">
        <v>0</v>
      </c>
      <c r="C389" s="69"/>
      <c r="D389" s="69" t="n">
        <v>0</v>
      </c>
      <c r="E389" s="65" t="n">
        <v>0</v>
      </c>
      <c r="F389" s="69"/>
    </row>
    <row r="390" customFormat="false" ht="15.75" hidden="false" customHeight="true" outlineLevel="0" collapsed="false">
      <c r="B390" s="65" t="n">
        <v>0</v>
      </c>
      <c r="C390" s="69"/>
      <c r="D390" s="69" t="n">
        <v>0</v>
      </c>
      <c r="E390" s="65" t="n">
        <v>0</v>
      </c>
      <c r="F390" s="69"/>
    </row>
    <row r="391" customFormat="false" ht="15.75" hidden="false" customHeight="true" outlineLevel="0" collapsed="false">
      <c r="B391" s="65" t="n">
        <v>0</v>
      </c>
      <c r="C391" s="69"/>
      <c r="D391" s="69" t="n">
        <v>0</v>
      </c>
      <c r="E391" s="65" t="n">
        <v>0</v>
      </c>
      <c r="F391" s="69"/>
    </row>
    <row r="392" customFormat="false" ht="15.75" hidden="false" customHeight="true" outlineLevel="0" collapsed="false">
      <c r="B392" s="65" t="n">
        <v>0</v>
      </c>
      <c r="C392" s="69"/>
      <c r="D392" s="69" t="n">
        <v>0</v>
      </c>
      <c r="E392" s="65" t="n">
        <v>0</v>
      </c>
      <c r="F392" s="69"/>
    </row>
    <row r="393" customFormat="false" ht="15.75" hidden="false" customHeight="true" outlineLevel="0" collapsed="false">
      <c r="B393" s="65" t="n">
        <v>0</v>
      </c>
      <c r="C393" s="69"/>
      <c r="D393" s="69" t="n">
        <v>0</v>
      </c>
      <c r="E393" s="65" t="n">
        <v>0</v>
      </c>
      <c r="F393" s="69"/>
    </row>
    <row r="394" customFormat="false" ht="15.75" hidden="false" customHeight="true" outlineLevel="0" collapsed="false">
      <c r="B394" s="65" t="n">
        <v>0</v>
      </c>
      <c r="C394" s="69"/>
      <c r="D394" s="69" t="n">
        <v>0</v>
      </c>
      <c r="E394" s="65" t="n">
        <v>0</v>
      </c>
      <c r="F394" s="69"/>
    </row>
    <row r="395" customFormat="false" ht="15.75" hidden="false" customHeight="true" outlineLevel="0" collapsed="false">
      <c r="B395" s="65" t="n">
        <v>0</v>
      </c>
      <c r="C395" s="69"/>
      <c r="D395" s="69" t="n">
        <v>0</v>
      </c>
      <c r="E395" s="65" t="n">
        <v>0</v>
      </c>
      <c r="F395" s="69"/>
    </row>
    <row r="396" customFormat="false" ht="15.75" hidden="false" customHeight="true" outlineLevel="0" collapsed="false">
      <c r="B396" s="65" t="n">
        <v>0</v>
      </c>
      <c r="C396" s="69"/>
      <c r="D396" s="69" t="n">
        <v>0</v>
      </c>
      <c r="E396" s="65" t="n">
        <v>0</v>
      </c>
      <c r="F396" s="69"/>
    </row>
    <row r="397" customFormat="false" ht="15.75" hidden="false" customHeight="true" outlineLevel="0" collapsed="false">
      <c r="B397" s="65" t="n">
        <v>0</v>
      </c>
      <c r="C397" s="69"/>
      <c r="D397" s="69" t="n">
        <v>0</v>
      </c>
      <c r="E397" s="65" t="n">
        <v>0</v>
      </c>
      <c r="F397" s="69"/>
    </row>
    <row r="398" customFormat="false" ht="15.75" hidden="false" customHeight="true" outlineLevel="0" collapsed="false">
      <c r="B398" s="65" t="n">
        <v>0</v>
      </c>
      <c r="C398" s="69"/>
      <c r="D398" s="69" t="n">
        <v>0</v>
      </c>
      <c r="E398" s="65" t="n">
        <v>0</v>
      </c>
      <c r="F398" s="69"/>
    </row>
    <row r="399" customFormat="false" ht="15.75" hidden="false" customHeight="true" outlineLevel="0" collapsed="false">
      <c r="B399" s="65" t="n">
        <v>0</v>
      </c>
      <c r="C399" s="69"/>
      <c r="D399" s="69" t="n">
        <v>0</v>
      </c>
      <c r="E399" s="65" t="n">
        <v>0</v>
      </c>
      <c r="F399" s="69"/>
    </row>
    <row r="400" customFormat="false" ht="15.75" hidden="false" customHeight="true" outlineLevel="0" collapsed="false">
      <c r="B400" s="65" t="n">
        <v>0</v>
      </c>
      <c r="C400" s="69"/>
      <c r="D400" s="69" t="n">
        <v>0</v>
      </c>
      <c r="E400" s="65" t="n">
        <v>0</v>
      </c>
      <c r="F400" s="69"/>
    </row>
    <row r="401" customFormat="false" ht="15.75" hidden="false" customHeight="true" outlineLevel="0" collapsed="false">
      <c r="B401" s="65" t="n">
        <v>0</v>
      </c>
      <c r="C401" s="69"/>
      <c r="D401" s="69" t="n">
        <v>0</v>
      </c>
      <c r="E401" s="65" t="n">
        <v>0</v>
      </c>
      <c r="F401" s="69"/>
    </row>
    <row r="402" customFormat="false" ht="15.75" hidden="false" customHeight="true" outlineLevel="0" collapsed="false">
      <c r="B402" s="65" t="n">
        <v>0</v>
      </c>
      <c r="C402" s="69"/>
      <c r="D402" s="69" t="n">
        <v>0</v>
      </c>
      <c r="E402" s="65" t="n">
        <v>0</v>
      </c>
      <c r="F402" s="69"/>
    </row>
    <row r="403" customFormat="false" ht="15.75" hidden="false" customHeight="true" outlineLevel="0" collapsed="false">
      <c r="B403" s="65" t="n">
        <v>0</v>
      </c>
      <c r="C403" s="69"/>
      <c r="D403" s="69" t="n">
        <v>0</v>
      </c>
      <c r="E403" s="65" t="n">
        <v>0</v>
      </c>
      <c r="F403" s="69"/>
    </row>
    <row r="404" customFormat="false" ht="15.75" hidden="false" customHeight="true" outlineLevel="0" collapsed="false">
      <c r="B404" s="65" t="n">
        <v>0</v>
      </c>
      <c r="C404" s="69"/>
      <c r="D404" s="69" t="n">
        <v>0</v>
      </c>
      <c r="E404" s="65" t="n">
        <v>0</v>
      </c>
      <c r="F404" s="69"/>
    </row>
    <row r="405" customFormat="false" ht="15.75" hidden="false" customHeight="true" outlineLevel="0" collapsed="false">
      <c r="B405" s="65" t="n">
        <v>0</v>
      </c>
      <c r="C405" s="69"/>
      <c r="D405" s="69" t="n">
        <v>0</v>
      </c>
      <c r="E405" s="65" t="n">
        <v>0</v>
      </c>
      <c r="F405" s="69"/>
    </row>
    <row r="406" customFormat="false" ht="15.75" hidden="false" customHeight="true" outlineLevel="0" collapsed="false">
      <c r="B406" s="65" t="n">
        <v>0</v>
      </c>
      <c r="C406" s="69"/>
      <c r="D406" s="69" t="n">
        <v>0</v>
      </c>
      <c r="E406" s="65" t="n">
        <v>0</v>
      </c>
      <c r="F406" s="69"/>
    </row>
    <row r="407" customFormat="false" ht="15.75" hidden="false" customHeight="true" outlineLevel="0" collapsed="false">
      <c r="B407" s="65" t="n">
        <v>0</v>
      </c>
      <c r="C407" s="69"/>
      <c r="D407" s="69" t="n">
        <v>0</v>
      </c>
      <c r="E407" s="65" t="n">
        <v>0</v>
      </c>
      <c r="F407" s="69"/>
    </row>
    <row r="408" customFormat="false" ht="15.75" hidden="false" customHeight="true" outlineLevel="0" collapsed="false">
      <c r="B408" s="65" t="n">
        <v>0</v>
      </c>
      <c r="C408" s="69"/>
      <c r="D408" s="69" t="n">
        <v>0</v>
      </c>
      <c r="E408" s="65" t="n">
        <v>0</v>
      </c>
      <c r="F408" s="69"/>
    </row>
    <row r="409" customFormat="false" ht="15.75" hidden="false" customHeight="true" outlineLevel="0" collapsed="false">
      <c r="B409" s="65" t="n">
        <v>0</v>
      </c>
      <c r="C409" s="69"/>
      <c r="D409" s="69" t="n">
        <v>0</v>
      </c>
      <c r="E409" s="65" t="n">
        <v>0</v>
      </c>
      <c r="F409" s="69"/>
    </row>
    <row r="410" customFormat="false" ht="15.75" hidden="false" customHeight="true" outlineLevel="0" collapsed="false">
      <c r="B410" s="65" t="n">
        <v>0</v>
      </c>
      <c r="C410" s="69"/>
      <c r="D410" s="69" t="n">
        <v>0</v>
      </c>
      <c r="E410" s="65" t="n">
        <v>0</v>
      </c>
      <c r="F410" s="69"/>
    </row>
    <row r="411" customFormat="false" ht="15.75" hidden="false" customHeight="true" outlineLevel="0" collapsed="false">
      <c r="B411" s="65" t="n">
        <v>0</v>
      </c>
      <c r="C411" s="69"/>
      <c r="D411" s="69" t="n">
        <v>0</v>
      </c>
      <c r="E411" s="65" t="n">
        <v>0</v>
      </c>
      <c r="F411" s="69"/>
    </row>
    <row r="412" customFormat="false" ht="15.75" hidden="false" customHeight="true" outlineLevel="0" collapsed="false">
      <c r="B412" s="65" t="n">
        <v>0</v>
      </c>
      <c r="C412" s="69"/>
      <c r="D412" s="69" t="n">
        <v>0</v>
      </c>
      <c r="E412" s="65" t="n">
        <v>0</v>
      </c>
      <c r="F412" s="69"/>
    </row>
    <row r="413" customFormat="false" ht="15.75" hidden="false" customHeight="true" outlineLevel="0" collapsed="false">
      <c r="B413" s="65" t="n">
        <v>0</v>
      </c>
      <c r="C413" s="69"/>
      <c r="D413" s="69" t="n">
        <v>0</v>
      </c>
      <c r="E413" s="65" t="n">
        <v>0</v>
      </c>
      <c r="F413" s="69"/>
    </row>
    <row r="414" customFormat="false" ht="15.75" hidden="false" customHeight="true" outlineLevel="0" collapsed="false">
      <c r="B414" s="65" t="n">
        <v>0</v>
      </c>
      <c r="C414" s="69"/>
      <c r="D414" s="69" t="n">
        <v>0</v>
      </c>
      <c r="E414" s="65" t="n">
        <v>0</v>
      </c>
      <c r="F414" s="69"/>
    </row>
    <row r="415" customFormat="false" ht="15.75" hidden="false" customHeight="true" outlineLevel="0" collapsed="false">
      <c r="B415" s="65" t="n">
        <v>0</v>
      </c>
      <c r="C415" s="69"/>
      <c r="D415" s="69" t="n">
        <v>0</v>
      </c>
      <c r="E415" s="65" t="n">
        <v>0</v>
      </c>
      <c r="F415" s="69"/>
    </row>
    <row r="416" customFormat="false" ht="15.75" hidden="false" customHeight="true" outlineLevel="0" collapsed="false">
      <c r="B416" s="65" t="n">
        <v>0</v>
      </c>
      <c r="C416" s="69"/>
      <c r="D416" s="69" t="n">
        <v>0</v>
      </c>
      <c r="E416" s="65" t="n">
        <v>0</v>
      </c>
      <c r="F416" s="69"/>
    </row>
    <row r="417" customFormat="false" ht="15.75" hidden="false" customHeight="true" outlineLevel="0" collapsed="false">
      <c r="B417" s="65" t="n">
        <v>0</v>
      </c>
      <c r="C417" s="69"/>
      <c r="D417" s="69" t="n">
        <v>0</v>
      </c>
      <c r="E417" s="65" t="n">
        <v>0</v>
      </c>
      <c r="F417" s="69"/>
    </row>
    <row r="418" customFormat="false" ht="15.75" hidden="false" customHeight="true" outlineLevel="0" collapsed="false">
      <c r="B418" s="65" t="n">
        <v>0</v>
      </c>
      <c r="C418" s="69"/>
      <c r="D418" s="69" t="n">
        <v>0</v>
      </c>
      <c r="E418" s="65" t="n">
        <v>0</v>
      </c>
      <c r="F418" s="69"/>
    </row>
    <row r="419" customFormat="false" ht="15.75" hidden="false" customHeight="true" outlineLevel="0" collapsed="false">
      <c r="B419" s="65" t="n">
        <v>0</v>
      </c>
      <c r="C419" s="69"/>
      <c r="D419" s="69" t="n">
        <v>0</v>
      </c>
      <c r="E419" s="65" t="n">
        <v>0</v>
      </c>
      <c r="F419" s="69"/>
    </row>
    <row r="420" customFormat="false" ht="15.75" hidden="false" customHeight="true" outlineLevel="0" collapsed="false">
      <c r="B420" s="65" t="n">
        <v>0</v>
      </c>
      <c r="C420" s="69"/>
      <c r="D420" s="69" t="n">
        <v>0</v>
      </c>
      <c r="E420" s="65" t="n">
        <v>0</v>
      </c>
      <c r="F420" s="69"/>
    </row>
    <row r="421" customFormat="false" ht="15.75" hidden="false" customHeight="true" outlineLevel="0" collapsed="false">
      <c r="B421" s="65" t="n">
        <v>0</v>
      </c>
      <c r="C421" s="69"/>
      <c r="D421" s="69" t="n">
        <v>0</v>
      </c>
      <c r="E421" s="65" t="n">
        <v>0</v>
      </c>
      <c r="F421" s="69"/>
    </row>
    <row r="422" customFormat="false" ht="15.75" hidden="false" customHeight="true" outlineLevel="0" collapsed="false">
      <c r="B422" s="65" t="n">
        <v>0</v>
      </c>
      <c r="C422" s="69"/>
      <c r="D422" s="69" t="n">
        <v>0</v>
      </c>
      <c r="E422" s="65" t="n">
        <v>0</v>
      </c>
      <c r="F422" s="69"/>
    </row>
    <row r="423" customFormat="false" ht="15.75" hidden="false" customHeight="true" outlineLevel="0" collapsed="false">
      <c r="B423" s="65" t="n">
        <v>0</v>
      </c>
      <c r="C423" s="69"/>
      <c r="D423" s="69" t="n">
        <v>0</v>
      </c>
      <c r="E423" s="65" t="n">
        <v>0</v>
      </c>
      <c r="F423" s="69"/>
    </row>
    <row r="424" customFormat="false" ht="15.75" hidden="false" customHeight="true" outlineLevel="0" collapsed="false">
      <c r="B424" s="65" t="n">
        <v>0</v>
      </c>
      <c r="C424" s="69"/>
      <c r="D424" s="69" t="n">
        <v>0</v>
      </c>
      <c r="E424" s="65" t="n">
        <v>0</v>
      </c>
      <c r="F424" s="69"/>
    </row>
    <row r="425" customFormat="false" ht="15.75" hidden="false" customHeight="true" outlineLevel="0" collapsed="false">
      <c r="B425" s="65" t="n">
        <v>0</v>
      </c>
      <c r="C425" s="69"/>
      <c r="D425" s="69" t="n">
        <v>0</v>
      </c>
      <c r="E425" s="65" t="n">
        <v>0</v>
      </c>
      <c r="F425" s="69"/>
    </row>
    <row r="426" customFormat="false" ht="15.75" hidden="false" customHeight="true" outlineLevel="0" collapsed="false">
      <c r="B426" s="65" t="n">
        <v>0</v>
      </c>
      <c r="C426" s="69"/>
      <c r="D426" s="69" t="n">
        <v>0</v>
      </c>
      <c r="E426" s="65" t="n">
        <v>0</v>
      </c>
      <c r="F426" s="69"/>
    </row>
    <row r="427" customFormat="false" ht="15.75" hidden="false" customHeight="true" outlineLevel="0" collapsed="false">
      <c r="B427" s="65" t="n">
        <v>0</v>
      </c>
      <c r="C427" s="69"/>
      <c r="D427" s="69" t="n">
        <v>0</v>
      </c>
      <c r="E427" s="65" t="n">
        <v>0</v>
      </c>
      <c r="F427" s="69"/>
    </row>
    <row r="428" customFormat="false" ht="15.75" hidden="false" customHeight="true" outlineLevel="0" collapsed="false">
      <c r="B428" s="65" t="n">
        <v>0</v>
      </c>
      <c r="C428" s="69"/>
      <c r="D428" s="69" t="n">
        <v>0</v>
      </c>
      <c r="E428" s="65" t="n">
        <v>0</v>
      </c>
      <c r="F428" s="69"/>
    </row>
    <row r="429" customFormat="false" ht="15.75" hidden="false" customHeight="true" outlineLevel="0" collapsed="false">
      <c r="B429" s="65" t="n">
        <v>0</v>
      </c>
      <c r="C429" s="69"/>
      <c r="D429" s="69" t="n">
        <v>0</v>
      </c>
      <c r="E429" s="65" t="n">
        <v>0</v>
      </c>
      <c r="F429" s="69"/>
    </row>
    <row r="430" customFormat="false" ht="15.75" hidden="false" customHeight="true" outlineLevel="0" collapsed="false">
      <c r="B430" s="65" t="n">
        <v>0</v>
      </c>
      <c r="C430" s="69"/>
      <c r="D430" s="69" t="n">
        <v>0</v>
      </c>
      <c r="E430" s="65" t="n">
        <v>0</v>
      </c>
      <c r="F430" s="69"/>
    </row>
    <row r="431" customFormat="false" ht="15.75" hidden="false" customHeight="true" outlineLevel="0" collapsed="false">
      <c r="B431" s="65" t="n">
        <v>0</v>
      </c>
      <c r="C431" s="69"/>
      <c r="D431" s="69" t="n">
        <v>0</v>
      </c>
      <c r="E431" s="65" t="n">
        <v>0</v>
      </c>
      <c r="F431" s="69"/>
    </row>
    <row r="432" customFormat="false" ht="15.75" hidden="false" customHeight="true" outlineLevel="0" collapsed="false">
      <c r="B432" s="65" t="n">
        <v>0</v>
      </c>
      <c r="C432" s="69"/>
      <c r="D432" s="69" t="n">
        <v>0</v>
      </c>
      <c r="E432" s="65" t="n">
        <v>0</v>
      </c>
      <c r="F432" s="69"/>
    </row>
    <row r="433" customFormat="false" ht="15.75" hidden="false" customHeight="true" outlineLevel="0" collapsed="false">
      <c r="B433" s="65" t="n">
        <v>0</v>
      </c>
      <c r="C433" s="69"/>
      <c r="D433" s="69" t="n">
        <v>0</v>
      </c>
      <c r="E433" s="65" t="n">
        <v>0</v>
      </c>
      <c r="F433" s="69"/>
    </row>
    <row r="434" customFormat="false" ht="15.75" hidden="false" customHeight="true" outlineLevel="0" collapsed="false">
      <c r="B434" s="65" t="n">
        <v>0</v>
      </c>
      <c r="C434" s="69"/>
      <c r="D434" s="69" t="n">
        <v>0</v>
      </c>
      <c r="E434" s="65" t="n">
        <v>0</v>
      </c>
      <c r="F434" s="69"/>
    </row>
    <row r="435" customFormat="false" ht="15.75" hidden="false" customHeight="true" outlineLevel="0" collapsed="false">
      <c r="B435" s="65" t="n">
        <v>0</v>
      </c>
      <c r="C435" s="69"/>
      <c r="D435" s="69" t="n">
        <v>0</v>
      </c>
      <c r="E435" s="65" t="n">
        <v>0</v>
      </c>
      <c r="F435" s="69"/>
    </row>
    <row r="436" customFormat="false" ht="15.75" hidden="false" customHeight="true" outlineLevel="0" collapsed="false">
      <c r="B436" s="65" t="n">
        <v>0</v>
      </c>
      <c r="C436" s="69"/>
      <c r="D436" s="69" t="n">
        <v>0</v>
      </c>
      <c r="E436" s="65" t="n">
        <v>0</v>
      </c>
      <c r="F436" s="69"/>
    </row>
    <row r="437" customFormat="false" ht="15.75" hidden="false" customHeight="true" outlineLevel="0" collapsed="false">
      <c r="B437" s="65" t="n">
        <v>0</v>
      </c>
      <c r="C437" s="69"/>
      <c r="D437" s="69" t="n">
        <v>0</v>
      </c>
      <c r="E437" s="65" t="n">
        <v>0</v>
      </c>
      <c r="F437" s="69"/>
    </row>
    <row r="438" customFormat="false" ht="15.75" hidden="false" customHeight="true" outlineLevel="0" collapsed="false">
      <c r="B438" s="65" t="n">
        <v>0</v>
      </c>
      <c r="C438" s="69"/>
      <c r="D438" s="69" t="n">
        <v>0</v>
      </c>
      <c r="E438" s="65" t="n">
        <v>0</v>
      </c>
      <c r="F438" s="69"/>
    </row>
    <row r="439" customFormat="false" ht="15.75" hidden="false" customHeight="true" outlineLevel="0" collapsed="false">
      <c r="B439" s="65" t="n">
        <v>0</v>
      </c>
      <c r="C439" s="69"/>
      <c r="D439" s="69" t="n">
        <v>0</v>
      </c>
      <c r="E439" s="65" t="n">
        <v>0</v>
      </c>
      <c r="F439" s="69"/>
    </row>
    <row r="440" customFormat="false" ht="15.75" hidden="false" customHeight="true" outlineLevel="0" collapsed="false">
      <c r="B440" s="65" t="n">
        <v>0</v>
      </c>
      <c r="C440" s="69"/>
      <c r="D440" s="69" t="n">
        <v>0</v>
      </c>
      <c r="E440" s="65" t="n">
        <v>0</v>
      </c>
      <c r="F440" s="69"/>
    </row>
    <row r="441" customFormat="false" ht="15.75" hidden="false" customHeight="true" outlineLevel="0" collapsed="false">
      <c r="B441" s="65" t="n">
        <v>0</v>
      </c>
      <c r="C441" s="69"/>
      <c r="D441" s="69" t="n">
        <v>0</v>
      </c>
      <c r="E441" s="65" t="n">
        <v>0</v>
      </c>
      <c r="F441" s="69"/>
    </row>
    <row r="442" customFormat="false" ht="15.75" hidden="false" customHeight="true" outlineLevel="0" collapsed="false">
      <c r="B442" s="65" t="n">
        <v>0</v>
      </c>
      <c r="C442" s="69"/>
      <c r="D442" s="69" t="n">
        <v>0</v>
      </c>
      <c r="E442" s="65" t="n">
        <v>0</v>
      </c>
      <c r="F442" s="69"/>
    </row>
    <row r="443" customFormat="false" ht="15.75" hidden="false" customHeight="true" outlineLevel="0" collapsed="false">
      <c r="B443" s="65" t="n">
        <v>0</v>
      </c>
      <c r="C443" s="69"/>
      <c r="D443" s="69" t="n">
        <v>0</v>
      </c>
      <c r="E443" s="65" t="n">
        <v>0</v>
      </c>
      <c r="F443" s="69"/>
    </row>
    <row r="444" customFormat="false" ht="15.75" hidden="false" customHeight="true" outlineLevel="0" collapsed="false">
      <c r="B444" s="65" t="n">
        <v>0</v>
      </c>
      <c r="C444" s="69"/>
      <c r="D444" s="69" t="n">
        <v>0</v>
      </c>
      <c r="E444" s="65" t="n">
        <v>0</v>
      </c>
      <c r="F444" s="69"/>
    </row>
    <row r="445" customFormat="false" ht="15.75" hidden="false" customHeight="true" outlineLevel="0" collapsed="false">
      <c r="B445" s="65" t="n">
        <v>0</v>
      </c>
      <c r="C445" s="69"/>
      <c r="D445" s="69" t="n">
        <v>0</v>
      </c>
      <c r="E445" s="65" t="n">
        <v>0</v>
      </c>
      <c r="F445" s="69"/>
    </row>
    <row r="446" customFormat="false" ht="15.75" hidden="false" customHeight="true" outlineLevel="0" collapsed="false">
      <c r="B446" s="65" t="n">
        <v>0</v>
      </c>
      <c r="C446" s="69"/>
      <c r="D446" s="69" t="n">
        <v>0</v>
      </c>
      <c r="E446" s="65" t="n">
        <v>0</v>
      </c>
      <c r="F446" s="69"/>
    </row>
    <row r="447" customFormat="false" ht="15.75" hidden="false" customHeight="true" outlineLevel="0" collapsed="false">
      <c r="B447" s="65" t="n">
        <v>0</v>
      </c>
      <c r="C447" s="69"/>
      <c r="D447" s="69" t="n">
        <v>0</v>
      </c>
      <c r="E447" s="65" t="n">
        <v>0</v>
      </c>
      <c r="F447" s="69"/>
    </row>
    <row r="448" customFormat="false" ht="15.75" hidden="false" customHeight="true" outlineLevel="0" collapsed="false">
      <c r="B448" s="65" t="n">
        <v>0</v>
      </c>
      <c r="C448" s="69"/>
      <c r="D448" s="69" t="n">
        <v>0</v>
      </c>
      <c r="E448" s="65" t="n">
        <v>0</v>
      </c>
      <c r="F448" s="69"/>
    </row>
    <row r="449" customFormat="false" ht="15.75" hidden="false" customHeight="true" outlineLevel="0" collapsed="false">
      <c r="B449" s="65" t="n">
        <v>0</v>
      </c>
      <c r="C449" s="69"/>
      <c r="D449" s="69" t="n">
        <v>0</v>
      </c>
      <c r="E449" s="65" t="n">
        <v>0</v>
      </c>
      <c r="F449" s="69"/>
    </row>
    <row r="450" customFormat="false" ht="15.75" hidden="false" customHeight="true" outlineLevel="0" collapsed="false">
      <c r="B450" s="65" t="n">
        <v>0</v>
      </c>
      <c r="C450" s="69"/>
      <c r="D450" s="69" t="n">
        <v>0</v>
      </c>
      <c r="E450" s="65" t="n">
        <v>0</v>
      </c>
      <c r="F450" s="69"/>
    </row>
    <row r="451" customFormat="false" ht="15.75" hidden="false" customHeight="true" outlineLevel="0" collapsed="false">
      <c r="B451" s="65" t="n">
        <v>0</v>
      </c>
      <c r="C451" s="69"/>
      <c r="D451" s="69" t="n">
        <v>0</v>
      </c>
      <c r="E451" s="65" t="n">
        <v>0</v>
      </c>
      <c r="F451" s="69"/>
    </row>
    <row r="452" customFormat="false" ht="15.75" hidden="false" customHeight="true" outlineLevel="0" collapsed="false">
      <c r="B452" s="65" t="n">
        <v>0</v>
      </c>
      <c r="C452" s="69"/>
      <c r="D452" s="69" t="n">
        <v>0</v>
      </c>
      <c r="E452" s="65" t="n">
        <v>0</v>
      </c>
      <c r="F452" s="69"/>
    </row>
    <row r="453" customFormat="false" ht="15.75" hidden="false" customHeight="true" outlineLevel="0" collapsed="false">
      <c r="B453" s="65" t="n">
        <v>0</v>
      </c>
      <c r="C453" s="69"/>
      <c r="D453" s="69" t="n">
        <v>0</v>
      </c>
      <c r="E453" s="65" t="n">
        <v>0</v>
      </c>
      <c r="F453" s="69"/>
    </row>
    <row r="454" customFormat="false" ht="15.75" hidden="false" customHeight="true" outlineLevel="0" collapsed="false">
      <c r="B454" s="65" t="n">
        <v>0</v>
      </c>
      <c r="C454" s="69"/>
      <c r="D454" s="69" t="n">
        <v>0</v>
      </c>
      <c r="E454" s="65" t="n">
        <v>0</v>
      </c>
      <c r="F454" s="69"/>
    </row>
    <row r="455" customFormat="false" ht="15.75" hidden="false" customHeight="true" outlineLevel="0" collapsed="false">
      <c r="B455" s="65" t="n">
        <v>0</v>
      </c>
      <c r="C455" s="69"/>
      <c r="D455" s="69" t="n">
        <v>0</v>
      </c>
      <c r="E455" s="65" t="n">
        <v>0</v>
      </c>
      <c r="F455" s="69"/>
    </row>
    <row r="456" customFormat="false" ht="15.75" hidden="false" customHeight="true" outlineLevel="0" collapsed="false">
      <c r="B456" s="65" t="n">
        <v>0</v>
      </c>
      <c r="C456" s="69"/>
      <c r="D456" s="69" t="n">
        <v>0</v>
      </c>
      <c r="E456" s="65" t="n">
        <v>0</v>
      </c>
      <c r="F456" s="69"/>
    </row>
    <row r="457" customFormat="false" ht="15.75" hidden="false" customHeight="true" outlineLevel="0" collapsed="false">
      <c r="B457" s="65" t="n">
        <v>0</v>
      </c>
      <c r="C457" s="69"/>
      <c r="D457" s="69" t="n">
        <v>0</v>
      </c>
      <c r="E457" s="65" t="n">
        <v>0</v>
      </c>
      <c r="F457" s="69"/>
    </row>
    <row r="458" customFormat="false" ht="15.75" hidden="false" customHeight="true" outlineLevel="0" collapsed="false">
      <c r="B458" s="65" t="n">
        <v>0</v>
      </c>
      <c r="C458" s="69"/>
      <c r="D458" s="69" t="n">
        <v>0</v>
      </c>
      <c r="E458" s="65" t="n">
        <v>0</v>
      </c>
      <c r="F458" s="69"/>
    </row>
    <row r="459" customFormat="false" ht="15.75" hidden="false" customHeight="true" outlineLevel="0" collapsed="false">
      <c r="B459" s="65" t="n">
        <v>0</v>
      </c>
      <c r="C459" s="69"/>
      <c r="D459" s="69" t="n">
        <v>0</v>
      </c>
      <c r="E459" s="65" t="n">
        <v>0</v>
      </c>
      <c r="F459" s="69"/>
    </row>
    <row r="460" customFormat="false" ht="15.75" hidden="false" customHeight="true" outlineLevel="0" collapsed="false">
      <c r="B460" s="65" t="n">
        <v>0</v>
      </c>
      <c r="C460" s="69"/>
      <c r="D460" s="69" t="n">
        <v>0</v>
      </c>
      <c r="E460" s="65" t="n">
        <v>0</v>
      </c>
      <c r="F460" s="69"/>
    </row>
    <row r="461" customFormat="false" ht="15.75" hidden="false" customHeight="true" outlineLevel="0" collapsed="false">
      <c r="B461" s="65" t="n">
        <v>0</v>
      </c>
      <c r="C461" s="69"/>
      <c r="D461" s="69" t="n">
        <v>0</v>
      </c>
      <c r="E461" s="65" t="n">
        <v>0</v>
      </c>
      <c r="F461" s="69"/>
    </row>
    <row r="462" customFormat="false" ht="15.75" hidden="false" customHeight="true" outlineLevel="0" collapsed="false">
      <c r="B462" s="65" t="n">
        <v>0</v>
      </c>
      <c r="C462" s="69"/>
      <c r="D462" s="69" t="n">
        <v>0</v>
      </c>
      <c r="E462" s="65" t="n">
        <v>0</v>
      </c>
      <c r="F462" s="69"/>
    </row>
    <row r="463" customFormat="false" ht="15.75" hidden="false" customHeight="true" outlineLevel="0" collapsed="false">
      <c r="B463" s="65" t="n">
        <v>0</v>
      </c>
      <c r="C463" s="69"/>
      <c r="D463" s="69" t="n">
        <v>0</v>
      </c>
      <c r="E463" s="65" t="n">
        <v>0</v>
      </c>
      <c r="F463" s="69"/>
    </row>
    <row r="464" customFormat="false" ht="15.75" hidden="false" customHeight="true" outlineLevel="0" collapsed="false">
      <c r="B464" s="65" t="n">
        <v>0</v>
      </c>
      <c r="C464" s="69"/>
      <c r="D464" s="69" t="n">
        <v>0</v>
      </c>
      <c r="E464" s="65" t="n">
        <v>0</v>
      </c>
      <c r="F464" s="69"/>
    </row>
    <row r="465" customFormat="false" ht="15.75" hidden="false" customHeight="true" outlineLevel="0" collapsed="false">
      <c r="B465" s="65" t="n">
        <v>0</v>
      </c>
      <c r="C465" s="69"/>
      <c r="D465" s="69" t="n">
        <v>0</v>
      </c>
      <c r="E465" s="65" t="n">
        <v>0</v>
      </c>
      <c r="F465" s="69"/>
    </row>
    <row r="466" customFormat="false" ht="15.75" hidden="false" customHeight="true" outlineLevel="0" collapsed="false">
      <c r="B466" s="65" t="n">
        <v>0</v>
      </c>
      <c r="C466" s="69"/>
      <c r="D466" s="69" t="n">
        <v>0</v>
      </c>
      <c r="E466" s="65" t="n">
        <v>0</v>
      </c>
      <c r="F466" s="69"/>
    </row>
    <row r="467" customFormat="false" ht="15.75" hidden="false" customHeight="true" outlineLevel="0" collapsed="false">
      <c r="B467" s="65" t="n">
        <v>0</v>
      </c>
      <c r="C467" s="69"/>
      <c r="D467" s="69" t="n">
        <v>0</v>
      </c>
      <c r="E467" s="65" t="n">
        <v>0</v>
      </c>
      <c r="F467" s="69"/>
    </row>
    <row r="468" customFormat="false" ht="15.75" hidden="false" customHeight="true" outlineLevel="0" collapsed="false">
      <c r="B468" s="65" t="n">
        <v>0</v>
      </c>
      <c r="C468" s="69"/>
      <c r="D468" s="69" t="n">
        <v>0</v>
      </c>
      <c r="E468" s="65" t="n">
        <v>0</v>
      </c>
      <c r="F468" s="69"/>
    </row>
    <row r="469" customFormat="false" ht="15.75" hidden="false" customHeight="true" outlineLevel="0" collapsed="false">
      <c r="B469" s="65" t="n">
        <v>0</v>
      </c>
      <c r="C469" s="69"/>
      <c r="D469" s="69" t="n">
        <v>0</v>
      </c>
      <c r="E469" s="65" t="n">
        <v>0</v>
      </c>
      <c r="F469" s="69"/>
    </row>
    <row r="470" customFormat="false" ht="15.75" hidden="false" customHeight="true" outlineLevel="0" collapsed="false">
      <c r="B470" s="65" t="n">
        <v>0</v>
      </c>
      <c r="C470" s="69"/>
      <c r="D470" s="69" t="n">
        <v>0</v>
      </c>
      <c r="E470" s="65" t="n">
        <v>0</v>
      </c>
      <c r="F470" s="69"/>
    </row>
    <row r="471" customFormat="false" ht="15.75" hidden="false" customHeight="true" outlineLevel="0" collapsed="false">
      <c r="B471" s="65" t="n">
        <v>0</v>
      </c>
      <c r="C471" s="69"/>
      <c r="D471" s="69" t="n">
        <v>0</v>
      </c>
      <c r="E471" s="65" t="n">
        <v>0</v>
      </c>
      <c r="F471" s="69"/>
    </row>
    <row r="472" customFormat="false" ht="15.75" hidden="false" customHeight="true" outlineLevel="0" collapsed="false">
      <c r="B472" s="65" t="n">
        <v>0</v>
      </c>
      <c r="C472" s="69"/>
      <c r="D472" s="69" t="n">
        <v>0</v>
      </c>
      <c r="E472" s="65" t="n">
        <v>0</v>
      </c>
      <c r="F472" s="69"/>
    </row>
    <row r="473" customFormat="false" ht="15.75" hidden="false" customHeight="true" outlineLevel="0" collapsed="false">
      <c r="B473" s="65" t="n">
        <v>0</v>
      </c>
      <c r="C473" s="69"/>
      <c r="D473" s="69" t="n">
        <v>0</v>
      </c>
      <c r="E473" s="65" t="n">
        <v>0</v>
      </c>
      <c r="F473" s="69"/>
    </row>
    <row r="474" customFormat="false" ht="15.75" hidden="false" customHeight="true" outlineLevel="0" collapsed="false">
      <c r="B474" s="65" t="n">
        <v>0</v>
      </c>
      <c r="C474" s="69"/>
      <c r="D474" s="69" t="n">
        <v>0</v>
      </c>
      <c r="E474" s="65" t="n">
        <v>0</v>
      </c>
      <c r="F474" s="69"/>
    </row>
    <row r="475" customFormat="false" ht="15.75" hidden="false" customHeight="true" outlineLevel="0" collapsed="false">
      <c r="B475" s="65" t="n">
        <v>0</v>
      </c>
      <c r="C475" s="69"/>
      <c r="D475" s="69" t="n">
        <v>0</v>
      </c>
      <c r="E475" s="65" t="n">
        <v>0</v>
      </c>
      <c r="F475" s="69"/>
    </row>
    <row r="476" customFormat="false" ht="15.75" hidden="false" customHeight="true" outlineLevel="0" collapsed="false">
      <c r="B476" s="65" t="n">
        <v>0</v>
      </c>
      <c r="C476" s="69"/>
      <c r="D476" s="69" t="n">
        <v>0</v>
      </c>
      <c r="E476" s="65" t="n">
        <v>0</v>
      </c>
      <c r="F476" s="69"/>
    </row>
    <row r="477" customFormat="false" ht="15.75" hidden="false" customHeight="true" outlineLevel="0" collapsed="false">
      <c r="B477" s="65" t="n">
        <v>0</v>
      </c>
      <c r="C477" s="69"/>
      <c r="D477" s="69" t="n">
        <v>0</v>
      </c>
      <c r="E477" s="65" t="n">
        <v>0</v>
      </c>
      <c r="F477" s="69"/>
    </row>
    <row r="478" customFormat="false" ht="15.75" hidden="false" customHeight="true" outlineLevel="0" collapsed="false">
      <c r="B478" s="65" t="n">
        <v>0</v>
      </c>
      <c r="C478" s="69"/>
      <c r="D478" s="69" t="n">
        <v>0</v>
      </c>
      <c r="E478" s="65" t="n">
        <v>0</v>
      </c>
      <c r="F478" s="69"/>
    </row>
    <row r="479" customFormat="false" ht="15.75" hidden="false" customHeight="true" outlineLevel="0" collapsed="false">
      <c r="B479" s="65" t="n">
        <v>0</v>
      </c>
      <c r="C479" s="69"/>
      <c r="D479" s="69" t="n">
        <v>0</v>
      </c>
      <c r="E479" s="65" t="n">
        <v>0</v>
      </c>
      <c r="F479" s="69"/>
    </row>
    <row r="480" customFormat="false" ht="15.75" hidden="false" customHeight="true" outlineLevel="0" collapsed="false">
      <c r="B480" s="65" t="n">
        <v>0</v>
      </c>
      <c r="C480" s="69"/>
      <c r="D480" s="69" t="n">
        <v>0</v>
      </c>
      <c r="E480" s="65" t="n">
        <v>0</v>
      </c>
      <c r="F480" s="69"/>
    </row>
    <row r="481" customFormat="false" ht="15.75" hidden="false" customHeight="true" outlineLevel="0" collapsed="false">
      <c r="B481" s="65" t="n">
        <v>0</v>
      </c>
      <c r="C481" s="69"/>
      <c r="D481" s="69" t="n">
        <v>0</v>
      </c>
      <c r="E481" s="65" t="n">
        <v>0</v>
      </c>
      <c r="F481" s="69"/>
    </row>
    <row r="482" customFormat="false" ht="15.75" hidden="false" customHeight="true" outlineLevel="0" collapsed="false">
      <c r="B482" s="65" t="n">
        <v>0</v>
      </c>
      <c r="C482" s="69"/>
      <c r="D482" s="69" t="n">
        <v>0</v>
      </c>
      <c r="E482" s="65" t="n">
        <v>0</v>
      </c>
      <c r="F482" s="69"/>
    </row>
    <row r="483" customFormat="false" ht="15.75" hidden="false" customHeight="true" outlineLevel="0" collapsed="false">
      <c r="B483" s="65" t="n">
        <v>0</v>
      </c>
      <c r="C483" s="69"/>
      <c r="D483" s="69" t="n">
        <v>0</v>
      </c>
      <c r="E483" s="65" t="n">
        <v>0</v>
      </c>
      <c r="F483" s="69"/>
    </row>
    <row r="484" customFormat="false" ht="15.75" hidden="false" customHeight="true" outlineLevel="0" collapsed="false">
      <c r="B484" s="65" t="n">
        <v>0</v>
      </c>
      <c r="C484" s="69"/>
      <c r="D484" s="69" t="n">
        <v>0</v>
      </c>
      <c r="E484" s="65" t="n">
        <v>0</v>
      </c>
      <c r="F484" s="69"/>
    </row>
    <row r="485" customFormat="false" ht="15.75" hidden="false" customHeight="true" outlineLevel="0" collapsed="false">
      <c r="B485" s="65" t="n">
        <v>0</v>
      </c>
      <c r="C485" s="69"/>
      <c r="D485" s="69" t="n">
        <v>0</v>
      </c>
      <c r="E485" s="65" t="n">
        <v>0</v>
      </c>
      <c r="F485" s="69"/>
    </row>
    <row r="486" customFormat="false" ht="15.75" hidden="false" customHeight="true" outlineLevel="0" collapsed="false">
      <c r="B486" s="65" t="n">
        <v>0</v>
      </c>
      <c r="C486" s="69"/>
      <c r="D486" s="69" t="n">
        <v>0</v>
      </c>
      <c r="E486" s="65" t="n">
        <v>0</v>
      </c>
      <c r="F486" s="69"/>
    </row>
    <row r="487" customFormat="false" ht="15.75" hidden="false" customHeight="true" outlineLevel="0" collapsed="false">
      <c r="B487" s="65" t="n">
        <v>0</v>
      </c>
      <c r="C487" s="69"/>
      <c r="D487" s="69" t="n">
        <v>0</v>
      </c>
      <c r="E487" s="65" t="n">
        <v>0</v>
      </c>
      <c r="F487" s="69"/>
    </row>
    <row r="488" customFormat="false" ht="15.75" hidden="false" customHeight="true" outlineLevel="0" collapsed="false">
      <c r="B488" s="65" t="n">
        <v>0</v>
      </c>
      <c r="C488" s="69"/>
      <c r="D488" s="69" t="n">
        <v>0</v>
      </c>
      <c r="E488" s="65" t="n">
        <v>0</v>
      </c>
      <c r="F488" s="69"/>
    </row>
    <row r="489" customFormat="false" ht="15.75" hidden="false" customHeight="true" outlineLevel="0" collapsed="false">
      <c r="B489" s="65" t="n">
        <v>0</v>
      </c>
      <c r="C489" s="69"/>
      <c r="D489" s="69" t="n">
        <v>0</v>
      </c>
      <c r="E489" s="65" t="n">
        <v>0</v>
      </c>
      <c r="F489" s="69"/>
    </row>
    <row r="490" customFormat="false" ht="15.75" hidden="false" customHeight="true" outlineLevel="0" collapsed="false">
      <c r="B490" s="65" t="n">
        <v>0</v>
      </c>
      <c r="C490" s="69"/>
      <c r="D490" s="69" t="n">
        <v>0</v>
      </c>
      <c r="E490" s="65" t="n">
        <v>0</v>
      </c>
      <c r="F490" s="69"/>
    </row>
    <row r="491" customFormat="false" ht="15.75" hidden="false" customHeight="true" outlineLevel="0" collapsed="false">
      <c r="B491" s="65" t="n">
        <v>0</v>
      </c>
      <c r="C491" s="69"/>
      <c r="D491" s="69" t="n">
        <v>0</v>
      </c>
      <c r="E491" s="65" t="n">
        <v>0</v>
      </c>
      <c r="F491" s="69"/>
    </row>
    <row r="492" customFormat="false" ht="15.75" hidden="false" customHeight="true" outlineLevel="0" collapsed="false">
      <c r="B492" s="65" t="n">
        <v>0</v>
      </c>
      <c r="C492" s="69"/>
      <c r="D492" s="69" t="n">
        <v>0</v>
      </c>
      <c r="E492" s="65" t="n">
        <v>0</v>
      </c>
      <c r="F492" s="69"/>
    </row>
    <row r="493" customFormat="false" ht="15.75" hidden="false" customHeight="true" outlineLevel="0" collapsed="false">
      <c r="B493" s="65" t="n">
        <v>0</v>
      </c>
      <c r="C493" s="69"/>
      <c r="D493" s="69" t="n">
        <v>0</v>
      </c>
      <c r="E493" s="65" t="n">
        <v>0</v>
      </c>
      <c r="F493" s="69"/>
    </row>
    <row r="494" customFormat="false" ht="15.75" hidden="false" customHeight="true" outlineLevel="0" collapsed="false">
      <c r="B494" s="65" t="n">
        <v>0</v>
      </c>
      <c r="C494" s="69"/>
      <c r="D494" s="69" t="n">
        <v>0</v>
      </c>
      <c r="E494" s="65" t="n">
        <v>0</v>
      </c>
      <c r="F494" s="69"/>
    </row>
    <row r="495" customFormat="false" ht="15.75" hidden="false" customHeight="true" outlineLevel="0" collapsed="false">
      <c r="B495" s="65" t="n">
        <v>0</v>
      </c>
      <c r="C495" s="69"/>
      <c r="D495" s="69" t="n">
        <v>0</v>
      </c>
      <c r="E495" s="65" t="n">
        <v>0</v>
      </c>
      <c r="F495" s="69"/>
    </row>
    <row r="496" customFormat="false" ht="15.75" hidden="false" customHeight="true" outlineLevel="0" collapsed="false">
      <c r="B496" s="65" t="n">
        <v>0</v>
      </c>
      <c r="C496" s="69"/>
      <c r="D496" s="69" t="n">
        <v>0</v>
      </c>
      <c r="E496" s="65" t="n">
        <v>0</v>
      </c>
      <c r="F496" s="69"/>
    </row>
    <row r="497" customFormat="false" ht="15.75" hidden="false" customHeight="true" outlineLevel="0" collapsed="false">
      <c r="B497" s="65" t="n">
        <v>0</v>
      </c>
      <c r="C497" s="69"/>
      <c r="D497" s="69" t="n">
        <v>0</v>
      </c>
      <c r="E497" s="65" t="n">
        <v>0</v>
      </c>
      <c r="F497" s="69"/>
    </row>
    <row r="498" customFormat="false" ht="15.75" hidden="false" customHeight="true" outlineLevel="0" collapsed="false">
      <c r="B498" s="65" t="n">
        <v>0</v>
      </c>
      <c r="C498" s="69"/>
      <c r="D498" s="69" t="n">
        <v>0</v>
      </c>
      <c r="E498" s="65" t="n">
        <v>0</v>
      </c>
      <c r="F498" s="69"/>
    </row>
    <row r="499" customFormat="false" ht="15.75" hidden="false" customHeight="true" outlineLevel="0" collapsed="false">
      <c r="B499" s="65" t="n">
        <v>0</v>
      </c>
      <c r="C499" s="69"/>
      <c r="D499" s="69" t="n">
        <v>0</v>
      </c>
      <c r="E499" s="65" t="n">
        <v>0</v>
      </c>
      <c r="F499" s="69"/>
    </row>
    <row r="500" customFormat="false" ht="15.75" hidden="false" customHeight="true" outlineLevel="0" collapsed="false">
      <c r="B500" s="65" t="n">
        <v>0</v>
      </c>
      <c r="C500" s="69"/>
      <c r="D500" s="69" t="n">
        <v>0</v>
      </c>
      <c r="E500" s="65" t="n">
        <v>0</v>
      </c>
      <c r="F500" s="69"/>
    </row>
    <row r="501" customFormat="false" ht="15.75" hidden="false" customHeight="true" outlineLevel="0" collapsed="false">
      <c r="B501" s="65" t="n">
        <v>0</v>
      </c>
      <c r="C501" s="69"/>
      <c r="D501" s="69" t="n">
        <v>0</v>
      </c>
      <c r="E501" s="65" t="n">
        <v>0</v>
      </c>
      <c r="F501" s="69"/>
    </row>
    <row r="502" customFormat="false" ht="15.75" hidden="false" customHeight="true" outlineLevel="0" collapsed="false">
      <c r="B502" s="65" t="n">
        <v>0</v>
      </c>
      <c r="C502" s="69"/>
      <c r="D502" s="69" t="n">
        <v>0</v>
      </c>
      <c r="E502" s="65" t="n">
        <v>0</v>
      </c>
      <c r="F502" s="69"/>
    </row>
    <row r="503" customFormat="false" ht="15.75" hidden="false" customHeight="true" outlineLevel="0" collapsed="false">
      <c r="B503" s="65" t="n">
        <v>0</v>
      </c>
      <c r="C503" s="69"/>
      <c r="D503" s="69" t="n">
        <v>0</v>
      </c>
      <c r="E503" s="65" t="n">
        <v>0</v>
      </c>
      <c r="F503" s="69"/>
    </row>
    <row r="504" customFormat="false" ht="15.75" hidden="false" customHeight="true" outlineLevel="0" collapsed="false">
      <c r="B504" s="65" t="n">
        <v>0</v>
      </c>
      <c r="C504" s="69"/>
      <c r="D504" s="69" t="n">
        <v>0</v>
      </c>
      <c r="E504" s="65" t="n">
        <v>0</v>
      </c>
      <c r="F504" s="69"/>
    </row>
    <row r="505" customFormat="false" ht="15.75" hidden="false" customHeight="true" outlineLevel="0" collapsed="false">
      <c r="B505" s="65" t="n">
        <v>0</v>
      </c>
      <c r="C505" s="69"/>
      <c r="D505" s="69" t="n">
        <v>0</v>
      </c>
      <c r="E505" s="65" t="n">
        <v>0</v>
      </c>
      <c r="F505" s="69"/>
    </row>
    <row r="506" customFormat="false" ht="15.75" hidden="false" customHeight="true" outlineLevel="0" collapsed="false">
      <c r="B506" s="65" t="n">
        <v>0</v>
      </c>
      <c r="C506" s="69"/>
      <c r="D506" s="69" t="n">
        <v>0</v>
      </c>
      <c r="E506" s="65" t="n">
        <v>0</v>
      </c>
      <c r="F506" s="69"/>
    </row>
    <row r="507" customFormat="false" ht="15.75" hidden="false" customHeight="true" outlineLevel="0" collapsed="false">
      <c r="B507" s="65" t="n">
        <v>0</v>
      </c>
      <c r="C507" s="69"/>
      <c r="D507" s="69" t="n">
        <v>0</v>
      </c>
      <c r="E507" s="65" t="n">
        <v>0</v>
      </c>
      <c r="F507" s="69"/>
    </row>
    <row r="508" customFormat="false" ht="15.75" hidden="false" customHeight="true" outlineLevel="0" collapsed="false">
      <c r="B508" s="65" t="n">
        <v>0</v>
      </c>
      <c r="C508" s="69"/>
      <c r="D508" s="69" t="n">
        <v>0</v>
      </c>
      <c r="E508" s="65" t="n">
        <v>0</v>
      </c>
      <c r="F508" s="69"/>
    </row>
    <row r="509" customFormat="false" ht="15.75" hidden="false" customHeight="true" outlineLevel="0" collapsed="false">
      <c r="B509" s="65" t="n">
        <v>0</v>
      </c>
      <c r="C509" s="69"/>
      <c r="D509" s="69" t="n">
        <v>0</v>
      </c>
      <c r="E509" s="65" t="n">
        <v>0</v>
      </c>
      <c r="F509" s="69"/>
    </row>
    <row r="510" customFormat="false" ht="15.75" hidden="false" customHeight="true" outlineLevel="0" collapsed="false">
      <c r="B510" s="65" t="n">
        <v>0</v>
      </c>
      <c r="C510" s="69"/>
      <c r="D510" s="69" t="n">
        <v>0</v>
      </c>
      <c r="E510" s="65" t="n">
        <v>0</v>
      </c>
      <c r="F510" s="69"/>
    </row>
    <row r="511" customFormat="false" ht="15.75" hidden="false" customHeight="true" outlineLevel="0" collapsed="false">
      <c r="B511" s="65" t="n">
        <v>0</v>
      </c>
      <c r="C511" s="69"/>
      <c r="D511" s="69" t="n">
        <v>0</v>
      </c>
      <c r="E511" s="65" t="n">
        <v>0</v>
      </c>
      <c r="F511" s="69"/>
    </row>
    <row r="512" customFormat="false" ht="15.75" hidden="false" customHeight="true" outlineLevel="0" collapsed="false">
      <c r="B512" s="65" t="n">
        <v>0</v>
      </c>
      <c r="C512" s="69"/>
      <c r="D512" s="69" t="n">
        <v>0</v>
      </c>
      <c r="E512" s="65" t="n">
        <v>0</v>
      </c>
      <c r="F512" s="69"/>
    </row>
    <row r="513" customFormat="false" ht="15.75" hidden="false" customHeight="true" outlineLevel="0" collapsed="false">
      <c r="B513" s="65" t="n">
        <v>0</v>
      </c>
      <c r="C513" s="69"/>
      <c r="D513" s="69" t="n">
        <v>0</v>
      </c>
      <c r="E513" s="65" t="n">
        <v>0</v>
      </c>
      <c r="F513" s="69"/>
    </row>
    <row r="514" customFormat="false" ht="15.75" hidden="false" customHeight="true" outlineLevel="0" collapsed="false">
      <c r="B514" s="65" t="n">
        <v>0</v>
      </c>
      <c r="C514" s="69"/>
      <c r="D514" s="69" t="n">
        <v>0</v>
      </c>
      <c r="E514" s="65" t="n">
        <v>0</v>
      </c>
      <c r="F514" s="69"/>
    </row>
    <row r="515" customFormat="false" ht="15.75" hidden="false" customHeight="true" outlineLevel="0" collapsed="false">
      <c r="B515" s="65" t="n">
        <v>0</v>
      </c>
      <c r="C515" s="69"/>
      <c r="D515" s="69" t="n">
        <v>0</v>
      </c>
      <c r="E515" s="65" t="n">
        <v>0</v>
      </c>
      <c r="F515" s="69"/>
    </row>
    <row r="516" customFormat="false" ht="15.75" hidden="false" customHeight="true" outlineLevel="0" collapsed="false">
      <c r="B516" s="65" t="n">
        <v>0</v>
      </c>
      <c r="C516" s="69"/>
      <c r="D516" s="69" t="n">
        <v>0</v>
      </c>
      <c r="E516" s="65" t="n">
        <v>0</v>
      </c>
      <c r="F516" s="69"/>
    </row>
    <row r="517" customFormat="false" ht="15.75" hidden="false" customHeight="true" outlineLevel="0" collapsed="false">
      <c r="B517" s="65" t="n">
        <v>0</v>
      </c>
      <c r="C517" s="69"/>
      <c r="D517" s="69" t="n">
        <v>0</v>
      </c>
      <c r="E517" s="65" t="n">
        <v>0</v>
      </c>
      <c r="F517" s="69"/>
    </row>
    <row r="518" customFormat="false" ht="15.75" hidden="false" customHeight="true" outlineLevel="0" collapsed="false">
      <c r="B518" s="65" t="n">
        <v>0</v>
      </c>
      <c r="C518" s="69"/>
      <c r="D518" s="69" t="n">
        <v>0</v>
      </c>
      <c r="E518" s="65" t="n">
        <v>0</v>
      </c>
      <c r="F518" s="69"/>
    </row>
    <row r="519" customFormat="false" ht="15.75" hidden="false" customHeight="true" outlineLevel="0" collapsed="false">
      <c r="B519" s="65" t="n">
        <v>0</v>
      </c>
      <c r="C519" s="69"/>
      <c r="D519" s="69" t="n">
        <v>0</v>
      </c>
      <c r="E519" s="65" t="n">
        <v>0</v>
      </c>
      <c r="F519" s="69"/>
    </row>
    <row r="520" customFormat="false" ht="15.75" hidden="false" customHeight="true" outlineLevel="0" collapsed="false">
      <c r="B520" s="65" t="n">
        <v>0</v>
      </c>
      <c r="C520" s="69"/>
      <c r="D520" s="69" t="n">
        <v>0</v>
      </c>
      <c r="E520" s="65" t="n">
        <v>0</v>
      </c>
      <c r="F520" s="69"/>
    </row>
    <row r="521" customFormat="false" ht="15.75" hidden="false" customHeight="true" outlineLevel="0" collapsed="false">
      <c r="B521" s="65" t="n">
        <v>0</v>
      </c>
      <c r="C521" s="69"/>
      <c r="D521" s="69" t="n">
        <v>0</v>
      </c>
      <c r="E521" s="65" t="n">
        <v>0</v>
      </c>
      <c r="F521" s="69"/>
    </row>
    <row r="522" customFormat="false" ht="15.75" hidden="false" customHeight="true" outlineLevel="0" collapsed="false">
      <c r="B522" s="65" t="n">
        <v>0</v>
      </c>
      <c r="C522" s="69"/>
      <c r="D522" s="69" t="n">
        <v>0</v>
      </c>
      <c r="E522" s="65" t="n">
        <v>0</v>
      </c>
      <c r="F522" s="69"/>
    </row>
    <row r="523" customFormat="false" ht="15.75" hidden="false" customHeight="true" outlineLevel="0" collapsed="false">
      <c r="B523" s="65" t="n">
        <v>0</v>
      </c>
      <c r="C523" s="69"/>
      <c r="D523" s="69" t="n">
        <v>0</v>
      </c>
      <c r="E523" s="65" t="n">
        <v>0</v>
      </c>
      <c r="F523" s="69"/>
    </row>
    <row r="524" customFormat="false" ht="15.75" hidden="false" customHeight="true" outlineLevel="0" collapsed="false">
      <c r="B524" s="65" t="n">
        <v>0</v>
      </c>
      <c r="C524" s="69"/>
      <c r="D524" s="69" t="n">
        <v>0</v>
      </c>
      <c r="E524" s="65" t="n">
        <v>0</v>
      </c>
      <c r="F524" s="69"/>
    </row>
    <row r="525" customFormat="false" ht="15.75" hidden="false" customHeight="true" outlineLevel="0" collapsed="false">
      <c r="B525" s="65" t="n">
        <v>0</v>
      </c>
      <c r="C525" s="69"/>
      <c r="D525" s="69" t="n">
        <v>0</v>
      </c>
      <c r="E525" s="65" t="n">
        <v>0</v>
      </c>
      <c r="F525" s="69"/>
    </row>
    <row r="526" customFormat="false" ht="15.75" hidden="false" customHeight="true" outlineLevel="0" collapsed="false">
      <c r="B526" s="65" t="n">
        <v>0</v>
      </c>
      <c r="C526" s="69"/>
      <c r="D526" s="69" t="n">
        <v>0</v>
      </c>
      <c r="E526" s="65" t="n">
        <v>0</v>
      </c>
      <c r="F526" s="69"/>
    </row>
    <row r="527" customFormat="false" ht="15.75" hidden="false" customHeight="true" outlineLevel="0" collapsed="false">
      <c r="B527" s="65" t="n">
        <v>0</v>
      </c>
      <c r="C527" s="69"/>
      <c r="D527" s="69" t="n">
        <v>0</v>
      </c>
      <c r="E527" s="65" t="n">
        <v>0</v>
      </c>
      <c r="F527" s="69"/>
    </row>
    <row r="528" customFormat="false" ht="15.75" hidden="false" customHeight="true" outlineLevel="0" collapsed="false">
      <c r="B528" s="65" t="n">
        <v>0</v>
      </c>
      <c r="C528" s="69"/>
      <c r="D528" s="69" t="n">
        <v>0</v>
      </c>
      <c r="E528" s="65" t="n">
        <v>0</v>
      </c>
      <c r="F528" s="69"/>
    </row>
    <row r="529" customFormat="false" ht="15.75" hidden="false" customHeight="true" outlineLevel="0" collapsed="false">
      <c r="B529" s="65" t="n">
        <v>0</v>
      </c>
      <c r="C529" s="69"/>
      <c r="D529" s="69" t="n">
        <v>0</v>
      </c>
      <c r="E529" s="65" t="n">
        <v>0</v>
      </c>
      <c r="F529" s="69"/>
    </row>
    <row r="530" customFormat="false" ht="15.75" hidden="false" customHeight="true" outlineLevel="0" collapsed="false">
      <c r="B530" s="65" t="n">
        <v>0</v>
      </c>
      <c r="C530" s="69"/>
      <c r="D530" s="69" t="n">
        <v>0</v>
      </c>
      <c r="E530" s="65" t="n">
        <v>0</v>
      </c>
      <c r="F530" s="69"/>
    </row>
    <row r="531" customFormat="false" ht="15.75" hidden="false" customHeight="true" outlineLevel="0" collapsed="false">
      <c r="B531" s="65" t="n">
        <v>0</v>
      </c>
      <c r="C531" s="69"/>
      <c r="D531" s="69" t="n">
        <v>0</v>
      </c>
      <c r="E531" s="65" t="n">
        <v>0</v>
      </c>
      <c r="F531" s="69"/>
    </row>
    <row r="532" customFormat="false" ht="15.75" hidden="false" customHeight="true" outlineLevel="0" collapsed="false">
      <c r="B532" s="65" t="n">
        <v>0</v>
      </c>
      <c r="C532" s="69"/>
      <c r="D532" s="69" t="n">
        <v>0</v>
      </c>
      <c r="E532" s="65" t="n">
        <v>0</v>
      </c>
      <c r="F532" s="69"/>
    </row>
    <row r="533" customFormat="false" ht="15.75" hidden="false" customHeight="true" outlineLevel="0" collapsed="false">
      <c r="B533" s="65" t="n">
        <v>0</v>
      </c>
      <c r="C533" s="69"/>
      <c r="D533" s="69" t="n">
        <v>0</v>
      </c>
      <c r="E533" s="65" t="n">
        <v>0</v>
      </c>
      <c r="F533" s="69"/>
    </row>
    <row r="534" customFormat="false" ht="15.75" hidden="false" customHeight="true" outlineLevel="0" collapsed="false">
      <c r="B534" s="65" t="n">
        <v>0</v>
      </c>
      <c r="C534" s="69"/>
      <c r="D534" s="69" t="n">
        <v>0</v>
      </c>
      <c r="E534" s="65" t="n">
        <v>0</v>
      </c>
      <c r="F534" s="69"/>
    </row>
    <row r="535" customFormat="false" ht="15.75" hidden="false" customHeight="true" outlineLevel="0" collapsed="false">
      <c r="B535" s="65" t="n">
        <v>0</v>
      </c>
      <c r="C535" s="69"/>
      <c r="D535" s="69" t="n">
        <v>0</v>
      </c>
      <c r="E535" s="65" t="n">
        <v>0</v>
      </c>
      <c r="F535" s="69"/>
    </row>
    <row r="536" customFormat="false" ht="15.75" hidden="false" customHeight="true" outlineLevel="0" collapsed="false">
      <c r="B536" s="65" t="n">
        <v>0</v>
      </c>
      <c r="C536" s="69"/>
      <c r="D536" s="69" t="n">
        <v>0</v>
      </c>
      <c r="E536" s="65" t="n">
        <v>0</v>
      </c>
      <c r="F536" s="69"/>
    </row>
    <row r="537" customFormat="false" ht="15.75" hidden="false" customHeight="true" outlineLevel="0" collapsed="false">
      <c r="B537" s="65" t="n">
        <v>0</v>
      </c>
      <c r="C537" s="69"/>
      <c r="D537" s="69" t="n">
        <v>0</v>
      </c>
      <c r="E537" s="65" t="n">
        <v>0</v>
      </c>
      <c r="F537" s="69"/>
    </row>
    <row r="538" customFormat="false" ht="15.75" hidden="false" customHeight="true" outlineLevel="0" collapsed="false">
      <c r="B538" s="65" t="n">
        <v>0</v>
      </c>
      <c r="C538" s="69"/>
      <c r="D538" s="69" t="n">
        <v>0</v>
      </c>
      <c r="E538" s="65" t="n">
        <v>0</v>
      </c>
      <c r="F538" s="69"/>
    </row>
    <row r="539" customFormat="false" ht="15.75" hidden="false" customHeight="true" outlineLevel="0" collapsed="false">
      <c r="B539" s="65" t="n">
        <v>0</v>
      </c>
      <c r="C539" s="69"/>
      <c r="D539" s="69" t="n">
        <v>0</v>
      </c>
      <c r="E539" s="65" t="n">
        <v>0</v>
      </c>
      <c r="F539" s="69"/>
    </row>
    <row r="540" customFormat="false" ht="15.75" hidden="false" customHeight="true" outlineLevel="0" collapsed="false">
      <c r="B540" s="65" t="n">
        <v>0</v>
      </c>
      <c r="C540" s="69"/>
      <c r="D540" s="69" t="n">
        <v>0</v>
      </c>
      <c r="E540" s="65" t="n">
        <v>0</v>
      </c>
      <c r="F540" s="69"/>
    </row>
    <row r="541" customFormat="false" ht="15.75" hidden="false" customHeight="true" outlineLevel="0" collapsed="false">
      <c r="B541" s="65" t="n">
        <v>0</v>
      </c>
      <c r="C541" s="69"/>
      <c r="D541" s="69" t="n">
        <v>0</v>
      </c>
      <c r="E541" s="65" t="n">
        <v>0</v>
      </c>
      <c r="F541" s="69"/>
    </row>
    <row r="542" customFormat="false" ht="15.75" hidden="false" customHeight="true" outlineLevel="0" collapsed="false">
      <c r="B542" s="65" t="n">
        <v>0</v>
      </c>
      <c r="C542" s="69"/>
      <c r="D542" s="69" t="n">
        <v>0</v>
      </c>
      <c r="E542" s="65" t="n">
        <v>0</v>
      </c>
      <c r="F542" s="69"/>
    </row>
    <row r="543" customFormat="false" ht="15.75" hidden="false" customHeight="true" outlineLevel="0" collapsed="false">
      <c r="B543" s="65" t="n">
        <v>0</v>
      </c>
      <c r="C543" s="69"/>
      <c r="D543" s="69" t="n">
        <v>0</v>
      </c>
      <c r="E543" s="65" t="n">
        <v>0</v>
      </c>
      <c r="F543" s="69"/>
    </row>
    <row r="544" customFormat="false" ht="15.75" hidden="false" customHeight="true" outlineLevel="0" collapsed="false">
      <c r="B544" s="65" t="n">
        <v>0</v>
      </c>
      <c r="C544" s="69"/>
      <c r="D544" s="69" t="n">
        <v>0</v>
      </c>
      <c r="E544" s="65" t="n">
        <v>0</v>
      </c>
      <c r="F544" s="69"/>
    </row>
    <row r="545" customFormat="false" ht="15.75" hidden="false" customHeight="true" outlineLevel="0" collapsed="false">
      <c r="B545" s="65" t="n">
        <v>0</v>
      </c>
      <c r="C545" s="69"/>
      <c r="D545" s="69" t="n">
        <v>0</v>
      </c>
      <c r="E545" s="65" t="n">
        <v>0</v>
      </c>
      <c r="F545" s="69"/>
    </row>
    <row r="546" customFormat="false" ht="15.75" hidden="false" customHeight="true" outlineLevel="0" collapsed="false">
      <c r="B546" s="65" t="n">
        <v>0</v>
      </c>
      <c r="C546" s="69"/>
      <c r="D546" s="69" t="n">
        <v>0</v>
      </c>
      <c r="E546" s="65" t="n">
        <v>0</v>
      </c>
      <c r="F546" s="69"/>
    </row>
    <row r="547" customFormat="false" ht="15.75" hidden="false" customHeight="true" outlineLevel="0" collapsed="false">
      <c r="B547" s="65" t="n">
        <v>0</v>
      </c>
      <c r="C547" s="69"/>
      <c r="D547" s="69" t="n">
        <v>0</v>
      </c>
      <c r="E547" s="65" t="n">
        <v>0</v>
      </c>
      <c r="F547" s="69"/>
    </row>
    <row r="548" customFormat="false" ht="15.75" hidden="false" customHeight="true" outlineLevel="0" collapsed="false">
      <c r="B548" s="65" t="n">
        <v>0</v>
      </c>
      <c r="C548" s="69"/>
      <c r="D548" s="69" t="n">
        <v>0</v>
      </c>
      <c r="E548" s="65" t="n">
        <v>0</v>
      </c>
      <c r="F548" s="69"/>
    </row>
    <row r="549" customFormat="false" ht="15.75" hidden="false" customHeight="true" outlineLevel="0" collapsed="false">
      <c r="B549" s="65" t="n">
        <v>0</v>
      </c>
      <c r="C549" s="69"/>
      <c r="D549" s="69" t="n">
        <v>0</v>
      </c>
      <c r="E549" s="65" t="n">
        <v>0</v>
      </c>
      <c r="F549" s="69"/>
    </row>
    <row r="550" customFormat="false" ht="15.75" hidden="false" customHeight="true" outlineLevel="0" collapsed="false">
      <c r="B550" s="65" t="n">
        <v>0</v>
      </c>
      <c r="C550" s="69"/>
      <c r="D550" s="69" t="n">
        <v>0</v>
      </c>
      <c r="E550" s="65" t="n">
        <v>0</v>
      </c>
      <c r="F550" s="69"/>
    </row>
    <row r="551" customFormat="false" ht="15.75" hidden="false" customHeight="true" outlineLevel="0" collapsed="false">
      <c r="B551" s="65" t="n">
        <v>0</v>
      </c>
      <c r="C551" s="69"/>
      <c r="D551" s="69" t="n">
        <v>0</v>
      </c>
      <c r="E551" s="65" t="n">
        <v>0</v>
      </c>
      <c r="F551" s="69"/>
    </row>
    <row r="552" customFormat="false" ht="15.75" hidden="false" customHeight="true" outlineLevel="0" collapsed="false">
      <c r="B552" s="65" t="n">
        <v>0</v>
      </c>
      <c r="C552" s="69"/>
      <c r="D552" s="69" t="n">
        <v>0</v>
      </c>
      <c r="E552" s="65" t="n">
        <v>0</v>
      </c>
      <c r="F552" s="69"/>
    </row>
    <row r="553" customFormat="false" ht="15.75" hidden="false" customHeight="true" outlineLevel="0" collapsed="false">
      <c r="B553" s="65" t="n">
        <v>0</v>
      </c>
      <c r="C553" s="69"/>
      <c r="D553" s="69" t="n">
        <v>0</v>
      </c>
      <c r="E553" s="65" t="n">
        <v>0</v>
      </c>
      <c r="F553" s="69"/>
    </row>
    <row r="554" customFormat="false" ht="15.75" hidden="false" customHeight="true" outlineLevel="0" collapsed="false">
      <c r="B554" s="65" t="n">
        <v>0</v>
      </c>
      <c r="C554" s="69"/>
      <c r="D554" s="69" t="n">
        <v>0</v>
      </c>
      <c r="E554" s="65" t="n">
        <v>0</v>
      </c>
      <c r="F554" s="69"/>
    </row>
    <row r="555" customFormat="false" ht="15.75" hidden="false" customHeight="true" outlineLevel="0" collapsed="false">
      <c r="B555" s="65" t="n">
        <v>0</v>
      </c>
      <c r="C555" s="69"/>
      <c r="D555" s="69" t="n">
        <v>0</v>
      </c>
      <c r="E555" s="65" t="n">
        <v>0</v>
      </c>
      <c r="F555" s="69"/>
    </row>
    <row r="556" customFormat="false" ht="15.75" hidden="false" customHeight="true" outlineLevel="0" collapsed="false">
      <c r="B556" s="65" t="n">
        <v>0</v>
      </c>
      <c r="C556" s="69"/>
      <c r="D556" s="69" t="n">
        <v>0</v>
      </c>
      <c r="E556" s="65" t="n">
        <v>0</v>
      </c>
      <c r="F556" s="69"/>
    </row>
    <row r="557" customFormat="false" ht="15.75" hidden="false" customHeight="true" outlineLevel="0" collapsed="false">
      <c r="B557" s="65" t="n">
        <v>0</v>
      </c>
      <c r="C557" s="69"/>
      <c r="D557" s="69" t="n">
        <v>0</v>
      </c>
      <c r="E557" s="65" t="n">
        <v>0</v>
      </c>
      <c r="F557" s="69"/>
    </row>
    <row r="558" customFormat="false" ht="15.75" hidden="false" customHeight="true" outlineLevel="0" collapsed="false">
      <c r="B558" s="65" t="n">
        <v>0</v>
      </c>
      <c r="C558" s="69"/>
      <c r="D558" s="69" t="n">
        <v>0</v>
      </c>
      <c r="E558" s="65" t="n">
        <v>0</v>
      </c>
      <c r="F558" s="69"/>
    </row>
    <row r="559" customFormat="false" ht="15.75" hidden="false" customHeight="true" outlineLevel="0" collapsed="false">
      <c r="B559" s="65" t="n">
        <v>0</v>
      </c>
      <c r="C559" s="69"/>
      <c r="D559" s="69" t="n">
        <v>0</v>
      </c>
      <c r="E559" s="65" t="n">
        <v>0</v>
      </c>
      <c r="F559" s="69"/>
    </row>
    <row r="560" customFormat="false" ht="15.75" hidden="false" customHeight="true" outlineLevel="0" collapsed="false">
      <c r="B560" s="65" t="n">
        <v>0</v>
      </c>
      <c r="C560" s="69"/>
      <c r="D560" s="69" t="n">
        <v>0</v>
      </c>
      <c r="E560" s="65" t="n">
        <v>0</v>
      </c>
      <c r="F560" s="69"/>
    </row>
    <row r="561" customFormat="false" ht="15.75" hidden="false" customHeight="true" outlineLevel="0" collapsed="false">
      <c r="B561" s="65" t="n">
        <v>0</v>
      </c>
      <c r="C561" s="69"/>
      <c r="D561" s="69" t="n">
        <v>0</v>
      </c>
      <c r="E561" s="65" t="n">
        <v>0</v>
      </c>
      <c r="F561" s="69"/>
    </row>
    <row r="562" customFormat="false" ht="15.75" hidden="false" customHeight="true" outlineLevel="0" collapsed="false">
      <c r="B562" s="65" t="n">
        <v>0</v>
      </c>
      <c r="C562" s="69"/>
      <c r="D562" s="69" t="n">
        <v>0</v>
      </c>
      <c r="E562" s="65" t="n">
        <v>0</v>
      </c>
      <c r="F562" s="69"/>
    </row>
    <row r="563" customFormat="false" ht="15.75" hidden="false" customHeight="true" outlineLevel="0" collapsed="false">
      <c r="B563" s="65" t="n">
        <v>0</v>
      </c>
      <c r="C563" s="69"/>
      <c r="D563" s="69" t="n">
        <v>0</v>
      </c>
      <c r="E563" s="65" t="n">
        <v>0</v>
      </c>
      <c r="F563" s="69"/>
    </row>
    <row r="564" customFormat="false" ht="15.75" hidden="false" customHeight="true" outlineLevel="0" collapsed="false">
      <c r="B564" s="65" t="n">
        <v>0</v>
      </c>
      <c r="C564" s="69"/>
      <c r="D564" s="69" t="n">
        <v>0</v>
      </c>
      <c r="E564" s="65" t="n">
        <v>0</v>
      </c>
      <c r="F564" s="69"/>
    </row>
    <row r="565" customFormat="false" ht="15.75" hidden="false" customHeight="true" outlineLevel="0" collapsed="false">
      <c r="B565" s="65" t="n">
        <v>0</v>
      </c>
      <c r="C565" s="69"/>
      <c r="D565" s="69" t="n">
        <v>0</v>
      </c>
      <c r="E565" s="65" t="n">
        <v>0</v>
      </c>
      <c r="F565" s="69"/>
    </row>
    <row r="566" customFormat="false" ht="15.75" hidden="false" customHeight="true" outlineLevel="0" collapsed="false">
      <c r="B566" s="65" t="n">
        <v>0</v>
      </c>
      <c r="C566" s="69"/>
      <c r="D566" s="69" t="n">
        <v>0</v>
      </c>
      <c r="E566" s="65" t="n">
        <v>0</v>
      </c>
      <c r="F566" s="69"/>
    </row>
    <row r="567" customFormat="false" ht="15.75" hidden="false" customHeight="true" outlineLevel="0" collapsed="false">
      <c r="B567" s="65" t="n">
        <v>0</v>
      </c>
      <c r="C567" s="69"/>
      <c r="D567" s="69" t="n">
        <v>0</v>
      </c>
      <c r="E567" s="65" t="n">
        <v>0</v>
      </c>
      <c r="F567" s="69"/>
    </row>
    <row r="568" customFormat="false" ht="15.75" hidden="false" customHeight="true" outlineLevel="0" collapsed="false">
      <c r="B568" s="65" t="n">
        <v>0</v>
      </c>
      <c r="C568" s="69"/>
      <c r="D568" s="69" t="n">
        <v>0</v>
      </c>
      <c r="E568" s="65" t="n">
        <v>0</v>
      </c>
      <c r="F568" s="69"/>
    </row>
    <row r="569" customFormat="false" ht="15.75" hidden="false" customHeight="true" outlineLevel="0" collapsed="false">
      <c r="B569" s="65" t="n">
        <v>0</v>
      </c>
      <c r="C569" s="69"/>
      <c r="D569" s="69" t="n">
        <v>0</v>
      </c>
      <c r="E569" s="65" t="n">
        <v>0</v>
      </c>
      <c r="F569" s="69"/>
    </row>
    <row r="570" customFormat="false" ht="15.75" hidden="false" customHeight="true" outlineLevel="0" collapsed="false">
      <c r="B570" s="65" t="n">
        <v>0</v>
      </c>
      <c r="C570" s="69"/>
      <c r="D570" s="69" t="n">
        <v>0</v>
      </c>
      <c r="E570" s="65" t="n">
        <v>0</v>
      </c>
      <c r="F570" s="69"/>
    </row>
    <row r="571" customFormat="false" ht="15.75" hidden="false" customHeight="true" outlineLevel="0" collapsed="false">
      <c r="B571" s="65" t="n">
        <v>0</v>
      </c>
      <c r="C571" s="69"/>
      <c r="D571" s="69" t="n">
        <v>0</v>
      </c>
      <c r="E571" s="65" t="n">
        <v>0</v>
      </c>
      <c r="F571" s="69"/>
    </row>
    <row r="572" customFormat="false" ht="15.75" hidden="false" customHeight="true" outlineLevel="0" collapsed="false">
      <c r="B572" s="65" t="n">
        <v>0</v>
      </c>
      <c r="C572" s="69"/>
      <c r="D572" s="69" t="n">
        <v>0</v>
      </c>
      <c r="E572" s="65" t="n">
        <v>0</v>
      </c>
      <c r="F572" s="69"/>
    </row>
    <row r="573" customFormat="false" ht="15.75" hidden="false" customHeight="true" outlineLevel="0" collapsed="false">
      <c r="B573" s="65" t="n">
        <v>0</v>
      </c>
      <c r="C573" s="69"/>
      <c r="D573" s="69" t="n">
        <v>0</v>
      </c>
      <c r="E573" s="65" t="n">
        <v>0</v>
      </c>
      <c r="F573" s="69"/>
    </row>
    <row r="574" customFormat="false" ht="15.75" hidden="false" customHeight="true" outlineLevel="0" collapsed="false">
      <c r="B574" s="65" t="n">
        <v>0</v>
      </c>
      <c r="C574" s="69"/>
      <c r="D574" s="69" t="n">
        <v>0</v>
      </c>
      <c r="E574" s="65" t="n">
        <v>0</v>
      </c>
      <c r="F574" s="69"/>
    </row>
    <row r="575" customFormat="false" ht="15.75" hidden="false" customHeight="true" outlineLevel="0" collapsed="false">
      <c r="B575" s="65" t="n">
        <v>0</v>
      </c>
      <c r="C575" s="69"/>
      <c r="D575" s="69" t="n">
        <v>0</v>
      </c>
      <c r="E575" s="65" t="n">
        <v>0</v>
      </c>
      <c r="F575" s="69"/>
    </row>
    <row r="576" customFormat="false" ht="15.75" hidden="false" customHeight="true" outlineLevel="0" collapsed="false">
      <c r="B576" s="65" t="n">
        <v>0</v>
      </c>
      <c r="C576" s="69"/>
      <c r="D576" s="69" t="n">
        <v>0</v>
      </c>
      <c r="E576" s="65" t="n">
        <v>0</v>
      </c>
      <c r="F576" s="69"/>
    </row>
    <row r="577" customFormat="false" ht="15.75" hidden="false" customHeight="true" outlineLevel="0" collapsed="false">
      <c r="B577" s="65" t="n">
        <v>0</v>
      </c>
      <c r="C577" s="69"/>
      <c r="D577" s="69" t="n">
        <v>0</v>
      </c>
      <c r="E577" s="65" t="n">
        <v>0</v>
      </c>
      <c r="F577" s="69"/>
    </row>
    <row r="578" customFormat="false" ht="15.75" hidden="false" customHeight="true" outlineLevel="0" collapsed="false">
      <c r="B578" s="65" t="n">
        <v>0</v>
      </c>
      <c r="C578" s="69"/>
      <c r="D578" s="69" t="n">
        <v>0</v>
      </c>
      <c r="E578" s="65" t="n">
        <v>0</v>
      </c>
      <c r="F578" s="69"/>
    </row>
    <row r="579" customFormat="false" ht="15.75" hidden="false" customHeight="true" outlineLevel="0" collapsed="false">
      <c r="B579" s="65" t="n">
        <v>0</v>
      </c>
      <c r="C579" s="69"/>
      <c r="D579" s="69" t="n">
        <v>0</v>
      </c>
      <c r="E579" s="65" t="n">
        <v>0</v>
      </c>
      <c r="F579" s="69"/>
    </row>
    <row r="580" customFormat="false" ht="15.75" hidden="false" customHeight="true" outlineLevel="0" collapsed="false">
      <c r="B580" s="65" t="n">
        <v>0</v>
      </c>
      <c r="C580" s="69"/>
      <c r="D580" s="69" t="n">
        <v>0</v>
      </c>
      <c r="E580" s="65" t="n">
        <v>0</v>
      </c>
      <c r="F580" s="69"/>
    </row>
    <row r="581" customFormat="false" ht="15.75" hidden="false" customHeight="true" outlineLevel="0" collapsed="false">
      <c r="B581" s="65" t="n">
        <v>0</v>
      </c>
      <c r="C581" s="69"/>
      <c r="D581" s="69" t="n">
        <v>0</v>
      </c>
      <c r="E581" s="65" t="n">
        <v>0</v>
      </c>
      <c r="F581" s="69"/>
    </row>
    <row r="582" customFormat="false" ht="15.75" hidden="false" customHeight="true" outlineLevel="0" collapsed="false">
      <c r="B582" s="65" t="n">
        <v>0</v>
      </c>
      <c r="C582" s="69"/>
      <c r="D582" s="69" t="n">
        <v>0</v>
      </c>
      <c r="E582" s="65" t="n">
        <v>0</v>
      </c>
      <c r="F582" s="69"/>
    </row>
    <row r="583" customFormat="false" ht="15.75" hidden="false" customHeight="true" outlineLevel="0" collapsed="false">
      <c r="B583" s="65" t="n">
        <v>0</v>
      </c>
      <c r="C583" s="69"/>
      <c r="D583" s="69" t="n">
        <v>0</v>
      </c>
      <c r="E583" s="65" t="n">
        <v>0</v>
      </c>
      <c r="F583" s="69"/>
    </row>
    <row r="584" customFormat="false" ht="15.75" hidden="false" customHeight="true" outlineLevel="0" collapsed="false">
      <c r="B584" s="65" t="n">
        <v>0</v>
      </c>
      <c r="C584" s="69"/>
      <c r="D584" s="69" t="n">
        <v>0</v>
      </c>
      <c r="E584" s="65" t="n">
        <v>0</v>
      </c>
      <c r="F584" s="69"/>
    </row>
    <row r="585" customFormat="false" ht="15.75" hidden="false" customHeight="true" outlineLevel="0" collapsed="false">
      <c r="B585" s="65" t="n">
        <v>0</v>
      </c>
      <c r="C585" s="69"/>
      <c r="D585" s="69" t="n">
        <v>0</v>
      </c>
      <c r="E585" s="65" t="n">
        <v>0</v>
      </c>
      <c r="F585" s="69"/>
    </row>
    <row r="586" customFormat="false" ht="15.75" hidden="false" customHeight="true" outlineLevel="0" collapsed="false">
      <c r="B586" s="65" t="n">
        <v>0</v>
      </c>
      <c r="C586" s="69"/>
      <c r="D586" s="69" t="n">
        <v>0</v>
      </c>
      <c r="E586" s="65" t="n">
        <v>0</v>
      </c>
      <c r="F586" s="69"/>
    </row>
    <row r="587" customFormat="false" ht="15.75" hidden="false" customHeight="true" outlineLevel="0" collapsed="false">
      <c r="B587" s="65" t="n">
        <v>0</v>
      </c>
      <c r="C587" s="69"/>
      <c r="D587" s="69" t="n">
        <v>0</v>
      </c>
      <c r="E587" s="65" t="n">
        <v>0</v>
      </c>
      <c r="F587" s="69"/>
    </row>
    <row r="588" customFormat="false" ht="15.75" hidden="false" customHeight="true" outlineLevel="0" collapsed="false">
      <c r="B588" s="65" t="n">
        <v>0</v>
      </c>
      <c r="C588" s="69"/>
      <c r="D588" s="69" t="n">
        <v>0</v>
      </c>
      <c r="E588" s="65" t="n">
        <v>0</v>
      </c>
      <c r="F588" s="69"/>
    </row>
    <row r="589" customFormat="false" ht="15.75" hidden="false" customHeight="true" outlineLevel="0" collapsed="false">
      <c r="B589" s="65" t="n">
        <v>0</v>
      </c>
      <c r="C589" s="69"/>
      <c r="D589" s="69" t="n">
        <v>0</v>
      </c>
      <c r="E589" s="65" t="n">
        <v>0</v>
      </c>
      <c r="F589" s="69"/>
    </row>
    <row r="590" customFormat="false" ht="15.75" hidden="false" customHeight="true" outlineLevel="0" collapsed="false">
      <c r="B590" s="65" t="n">
        <v>0</v>
      </c>
      <c r="C590" s="69"/>
      <c r="D590" s="69" t="n">
        <v>0</v>
      </c>
      <c r="E590" s="65" t="n">
        <v>0</v>
      </c>
      <c r="F590" s="69"/>
    </row>
    <row r="591" customFormat="false" ht="15.75" hidden="false" customHeight="true" outlineLevel="0" collapsed="false">
      <c r="B591" s="65" t="n">
        <v>0</v>
      </c>
      <c r="C591" s="69"/>
      <c r="D591" s="69" t="n">
        <v>0</v>
      </c>
      <c r="E591" s="65" t="n">
        <v>0</v>
      </c>
      <c r="F591" s="69"/>
    </row>
    <row r="592" customFormat="false" ht="15.75" hidden="false" customHeight="true" outlineLevel="0" collapsed="false">
      <c r="B592" s="65" t="n">
        <v>0</v>
      </c>
      <c r="C592" s="69"/>
      <c r="D592" s="69" t="n">
        <v>0</v>
      </c>
      <c r="E592" s="65" t="n">
        <v>0</v>
      </c>
      <c r="F592" s="69"/>
    </row>
    <row r="593" customFormat="false" ht="15.75" hidden="false" customHeight="true" outlineLevel="0" collapsed="false">
      <c r="B593" s="65" t="n">
        <v>0</v>
      </c>
      <c r="C593" s="69"/>
      <c r="D593" s="69" t="n">
        <v>0</v>
      </c>
      <c r="E593" s="65" t="n">
        <v>0</v>
      </c>
      <c r="F593" s="69"/>
    </row>
    <row r="594" customFormat="false" ht="15.75" hidden="false" customHeight="true" outlineLevel="0" collapsed="false">
      <c r="B594" s="65" t="n">
        <v>0</v>
      </c>
      <c r="C594" s="69"/>
      <c r="D594" s="69" t="n">
        <v>0</v>
      </c>
      <c r="E594" s="65" t="n">
        <v>0</v>
      </c>
      <c r="F594" s="69"/>
    </row>
    <row r="595" customFormat="false" ht="15.75" hidden="false" customHeight="true" outlineLevel="0" collapsed="false">
      <c r="B595" s="65" t="n">
        <v>0</v>
      </c>
      <c r="C595" s="69"/>
      <c r="D595" s="69" t="n">
        <v>0</v>
      </c>
      <c r="E595" s="65" t="n">
        <v>0</v>
      </c>
      <c r="F595" s="69"/>
    </row>
    <row r="596" customFormat="false" ht="15.75" hidden="false" customHeight="true" outlineLevel="0" collapsed="false">
      <c r="B596" s="65" t="n">
        <v>0</v>
      </c>
      <c r="C596" s="69"/>
      <c r="D596" s="69" t="n">
        <v>0</v>
      </c>
      <c r="E596" s="65" t="n">
        <v>0</v>
      </c>
      <c r="F596" s="69"/>
    </row>
    <row r="597" customFormat="false" ht="15.75" hidden="false" customHeight="true" outlineLevel="0" collapsed="false">
      <c r="B597" s="65" t="n">
        <v>0</v>
      </c>
      <c r="C597" s="69"/>
      <c r="D597" s="69" t="n">
        <v>0</v>
      </c>
      <c r="E597" s="65" t="n">
        <v>0</v>
      </c>
      <c r="F597" s="69"/>
    </row>
    <row r="598" customFormat="false" ht="15.75" hidden="false" customHeight="true" outlineLevel="0" collapsed="false">
      <c r="B598" s="65" t="n">
        <v>0</v>
      </c>
      <c r="C598" s="69"/>
      <c r="D598" s="69" t="n">
        <v>0</v>
      </c>
      <c r="E598" s="65" t="n">
        <v>0</v>
      </c>
      <c r="F598" s="69"/>
    </row>
    <row r="599" customFormat="false" ht="15.75" hidden="false" customHeight="true" outlineLevel="0" collapsed="false">
      <c r="B599" s="65" t="n">
        <v>0</v>
      </c>
      <c r="C599" s="69"/>
      <c r="D599" s="69" t="n">
        <v>0</v>
      </c>
      <c r="E599" s="65" t="n">
        <v>0</v>
      </c>
      <c r="F599" s="69"/>
    </row>
    <row r="600" customFormat="false" ht="15.75" hidden="false" customHeight="true" outlineLevel="0" collapsed="false">
      <c r="B600" s="65" t="n">
        <v>0</v>
      </c>
      <c r="C600" s="69"/>
      <c r="D600" s="69" t="n">
        <v>0</v>
      </c>
      <c r="E600" s="65" t="n">
        <v>0</v>
      </c>
      <c r="F600" s="69"/>
    </row>
    <row r="601" customFormat="false" ht="15.75" hidden="false" customHeight="true" outlineLevel="0" collapsed="false">
      <c r="B601" s="65" t="n">
        <v>0</v>
      </c>
      <c r="C601" s="69"/>
      <c r="D601" s="69" t="n">
        <v>0</v>
      </c>
      <c r="E601" s="65" t="n">
        <v>0</v>
      </c>
      <c r="F601" s="69"/>
    </row>
    <row r="602" customFormat="false" ht="15.75" hidden="false" customHeight="true" outlineLevel="0" collapsed="false">
      <c r="B602" s="65" t="n">
        <v>0</v>
      </c>
      <c r="C602" s="69"/>
      <c r="D602" s="69" t="n">
        <v>0</v>
      </c>
      <c r="E602" s="65" t="n">
        <v>0</v>
      </c>
      <c r="F602" s="69"/>
    </row>
    <row r="603" customFormat="false" ht="15.75" hidden="false" customHeight="true" outlineLevel="0" collapsed="false">
      <c r="B603" s="65" t="n">
        <v>0</v>
      </c>
      <c r="C603" s="69"/>
      <c r="D603" s="69" t="n">
        <v>0</v>
      </c>
      <c r="E603" s="65" t="n">
        <v>0</v>
      </c>
      <c r="F603" s="69"/>
    </row>
    <row r="604" customFormat="false" ht="15.75" hidden="false" customHeight="true" outlineLevel="0" collapsed="false">
      <c r="B604" s="65" t="n">
        <v>0</v>
      </c>
      <c r="C604" s="69"/>
      <c r="D604" s="69" t="n">
        <v>0</v>
      </c>
      <c r="E604" s="65" t="n">
        <v>0</v>
      </c>
      <c r="F604" s="69"/>
    </row>
    <row r="605" customFormat="false" ht="15.75" hidden="false" customHeight="true" outlineLevel="0" collapsed="false">
      <c r="B605" s="65" t="n">
        <v>0</v>
      </c>
      <c r="C605" s="69"/>
      <c r="D605" s="69" t="n">
        <v>0</v>
      </c>
      <c r="E605" s="65" t="n">
        <v>0</v>
      </c>
      <c r="F605" s="69"/>
    </row>
    <row r="606" customFormat="false" ht="15.75" hidden="false" customHeight="true" outlineLevel="0" collapsed="false">
      <c r="B606" s="65" t="n">
        <v>0</v>
      </c>
      <c r="C606" s="69"/>
      <c r="D606" s="69" t="n">
        <v>0</v>
      </c>
      <c r="E606" s="65" t="n">
        <v>0</v>
      </c>
      <c r="F606" s="69"/>
    </row>
    <row r="607" customFormat="false" ht="15.75" hidden="false" customHeight="true" outlineLevel="0" collapsed="false">
      <c r="B607" s="65" t="n">
        <v>0</v>
      </c>
      <c r="C607" s="69"/>
      <c r="D607" s="69" t="n">
        <v>0</v>
      </c>
      <c r="E607" s="65" t="n">
        <v>0</v>
      </c>
      <c r="F607" s="69"/>
    </row>
    <row r="608" customFormat="false" ht="15.75" hidden="false" customHeight="true" outlineLevel="0" collapsed="false">
      <c r="B608" s="65" t="n">
        <v>0</v>
      </c>
      <c r="C608" s="69"/>
      <c r="D608" s="69" t="n">
        <v>0</v>
      </c>
      <c r="E608" s="65" t="n">
        <v>0</v>
      </c>
      <c r="F608" s="69"/>
    </row>
    <row r="609" customFormat="false" ht="15.75" hidden="false" customHeight="true" outlineLevel="0" collapsed="false">
      <c r="B609" s="65" t="n">
        <v>0</v>
      </c>
      <c r="C609" s="69"/>
      <c r="D609" s="69" t="n">
        <v>0</v>
      </c>
      <c r="E609" s="65" t="n">
        <v>0</v>
      </c>
      <c r="F609" s="69"/>
    </row>
    <row r="610" customFormat="false" ht="15.75" hidden="false" customHeight="true" outlineLevel="0" collapsed="false">
      <c r="B610" s="65" t="n">
        <v>0</v>
      </c>
      <c r="C610" s="69"/>
      <c r="D610" s="69" t="n">
        <v>0</v>
      </c>
      <c r="E610" s="65" t="n">
        <v>0</v>
      </c>
      <c r="F610" s="69"/>
    </row>
    <row r="611" customFormat="false" ht="15.75" hidden="false" customHeight="true" outlineLevel="0" collapsed="false">
      <c r="B611" s="65" t="n">
        <v>0</v>
      </c>
      <c r="C611" s="69"/>
      <c r="D611" s="69" t="n">
        <v>0</v>
      </c>
      <c r="E611" s="65" t="n">
        <v>0</v>
      </c>
      <c r="F611" s="69"/>
    </row>
    <row r="612" customFormat="false" ht="15.75" hidden="false" customHeight="true" outlineLevel="0" collapsed="false">
      <c r="B612" s="65" t="n">
        <v>0</v>
      </c>
      <c r="C612" s="69"/>
      <c r="D612" s="69" t="n">
        <v>0</v>
      </c>
      <c r="E612" s="65" t="n">
        <v>0</v>
      </c>
      <c r="F612" s="69"/>
    </row>
    <row r="613" customFormat="false" ht="15.75" hidden="false" customHeight="true" outlineLevel="0" collapsed="false">
      <c r="B613" s="65" t="n">
        <v>0</v>
      </c>
      <c r="C613" s="69"/>
      <c r="D613" s="69" t="n">
        <v>0</v>
      </c>
      <c r="E613" s="65" t="n">
        <v>0</v>
      </c>
      <c r="F613" s="69"/>
    </row>
    <row r="614" customFormat="false" ht="15.75" hidden="false" customHeight="true" outlineLevel="0" collapsed="false">
      <c r="B614" s="65" t="n">
        <v>0</v>
      </c>
      <c r="C614" s="69"/>
      <c r="D614" s="69" t="n">
        <v>0</v>
      </c>
      <c r="E614" s="65" t="n">
        <v>0</v>
      </c>
      <c r="F614" s="69"/>
    </row>
    <row r="615" customFormat="false" ht="15.75" hidden="false" customHeight="true" outlineLevel="0" collapsed="false">
      <c r="B615" s="65" t="n">
        <v>0</v>
      </c>
      <c r="C615" s="69"/>
      <c r="D615" s="69" t="n">
        <v>0</v>
      </c>
      <c r="E615" s="65" t="n">
        <v>0</v>
      </c>
      <c r="F615" s="69"/>
    </row>
    <row r="616" customFormat="false" ht="15.75" hidden="false" customHeight="true" outlineLevel="0" collapsed="false">
      <c r="B616" s="65" t="n">
        <v>0</v>
      </c>
      <c r="C616" s="69"/>
      <c r="D616" s="69" t="n">
        <v>0</v>
      </c>
      <c r="E616" s="65" t="n">
        <v>0</v>
      </c>
      <c r="F616" s="69"/>
    </row>
    <row r="617" customFormat="false" ht="15.75" hidden="false" customHeight="true" outlineLevel="0" collapsed="false">
      <c r="B617" s="65" t="n">
        <v>0</v>
      </c>
      <c r="C617" s="69"/>
      <c r="D617" s="69" t="n">
        <v>0</v>
      </c>
      <c r="E617" s="65" t="n">
        <v>0</v>
      </c>
      <c r="F617" s="69"/>
    </row>
    <row r="618" customFormat="false" ht="15.75" hidden="false" customHeight="true" outlineLevel="0" collapsed="false">
      <c r="B618" s="65" t="n">
        <v>0</v>
      </c>
      <c r="C618" s="69"/>
      <c r="D618" s="69" t="n">
        <v>0</v>
      </c>
      <c r="E618" s="65" t="n">
        <v>0</v>
      </c>
      <c r="F618" s="69"/>
    </row>
    <row r="619" customFormat="false" ht="15.75" hidden="false" customHeight="true" outlineLevel="0" collapsed="false">
      <c r="B619" s="65" t="n">
        <v>0</v>
      </c>
      <c r="C619" s="69"/>
      <c r="D619" s="69" t="n">
        <v>0</v>
      </c>
      <c r="E619" s="65" t="n">
        <v>0</v>
      </c>
      <c r="F619" s="69"/>
    </row>
    <row r="620" customFormat="false" ht="15.75" hidden="false" customHeight="true" outlineLevel="0" collapsed="false">
      <c r="B620" s="65" t="n">
        <v>0</v>
      </c>
      <c r="C620" s="69"/>
      <c r="D620" s="69" t="n">
        <v>0</v>
      </c>
      <c r="E620" s="65" t="n">
        <v>0</v>
      </c>
      <c r="F620" s="69"/>
    </row>
    <row r="621" customFormat="false" ht="15.75" hidden="false" customHeight="true" outlineLevel="0" collapsed="false">
      <c r="B621" s="65" t="n">
        <v>0</v>
      </c>
      <c r="C621" s="69"/>
      <c r="D621" s="69" t="n">
        <v>0</v>
      </c>
      <c r="E621" s="65" t="n">
        <v>0</v>
      </c>
      <c r="F621" s="69"/>
    </row>
    <row r="622" customFormat="false" ht="15.75" hidden="false" customHeight="true" outlineLevel="0" collapsed="false">
      <c r="B622" s="65" t="n">
        <v>0</v>
      </c>
      <c r="C622" s="69"/>
      <c r="D622" s="69" t="n">
        <v>0</v>
      </c>
      <c r="E622" s="65" t="n">
        <v>0</v>
      </c>
      <c r="F622" s="69"/>
    </row>
    <row r="623" customFormat="false" ht="15.75" hidden="false" customHeight="true" outlineLevel="0" collapsed="false">
      <c r="B623" s="65" t="n">
        <v>0</v>
      </c>
      <c r="C623" s="69"/>
      <c r="D623" s="69" t="n">
        <v>0</v>
      </c>
      <c r="E623" s="65" t="n">
        <v>0</v>
      </c>
      <c r="F623" s="69"/>
    </row>
    <row r="624" customFormat="false" ht="15.75" hidden="false" customHeight="true" outlineLevel="0" collapsed="false">
      <c r="B624" s="65" t="n">
        <v>0</v>
      </c>
      <c r="C624" s="69"/>
      <c r="D624" s="69" t="n">
        <v>0</v>
      </c>
      <c r="E624" s="65" t="n">
        <v>0</v>
      </c>
      <c r="F624" s="69"/>
    </row>
    <row r="625" customFormat="false" ht="15.75" hidden="false" customHeight="true" outlineLevel="0" collapsed="false">
      <c r="B625" s="65" t="n">
        <v>0</v>
      </c>
      <c r="C625" s="69"/>
      <c r="D625" s="69" t="n">
        <v>0</v>
      </c>
      <c r="E625" s="65" t="n">
        <v>0</v>
      </c>
      <c r="F625" s="69"/>
    </row>
    <row r="626" customFormat="false" ht="15.75" hidden="false" customHeight="true" outlineLevel="0" collapsed="false">
      <c r="B626" s="65" t="n">
        <v>0</v>
      </c>
      <c r="C626" s="69"/>
      <c r="D626" s="69" t="n">
        <v>0</v>
      </c>
      <c r="E626" s="65" t="n">
        <v>0</v>
      </c>
      <c r="F626" s="69"/>
    </row>
    <row r="627" customFormat="false" ht="15.75" hidden="false" customHeight="true" outlineLevel="0" collapsed="false">
      <c r="B627" s="65" t="n">
        <v>0</v>
      </c>
      <c r="C627" s="69"/>
      <c r="D627" s="69" t="n">
        <v>0</v>
      </c>
      <c r="E627" s="65" t="n">
        <v>0</v>
      </c>
      <c r="F627" s="69"/>
    </row>
    <row r="628" customFormat="false" ht="15.75" hidden="false" customHeight="true" outlineLevel="0" collapsed="false">
      <c r="B628" s="65" t="n">
        <v>0</v>
      </c>
      <c r="C628" s="69"/>
      <c r="D628" s="69" t="n">
        <v>0</v>
      </c>
      <c r="E628" s="65" t="n">
        <v>0</v>
      </c>
      <c r="F628" s="69"/>
    </row>
    <row r="629" customFormat="false" ht="15.75" hidden="false" customHeight="true" outlineLevel="0" collapsed="false">
      <c r="B629" s="65" t="n">
        <v>0</v>
      </c>
      <c r="C629" s="69"/>
      <c r="D629" s="69" t="n">
        <v>0</v>
      </c>
      <c r="E629" s="65" t="n">
        <v>0</v>
      </c>
      <c r="F629" s="69"/>
    </row>
    <row r="630" customFormat="false" ht="15.75" hidden="false" customHeight="true" outlineLevel="0" collapsed="false">
      <c r="B630" s="65" t="n">
        <v>0</v>
      </c>
      <c r="C630" s="69"/>
      <c r="D630" s="69" t="n">
        <v>0</v>
      </c>
      <c r="E630" s="65" t="n">
        <v>0</v>
      </c>
      <c r="F630" s="69"/>
    </row>
    <row r="631" customFormat="false" ht="15.75" hidden="false" customHeight="true" outlineLevel="0" collapsed="false">
      <c r="B631" s="65" t="n">
        <v>0</v>
      </c>
      <c r="C631" s="69"/>
      <c r="D631" s="69" t="n">
        <v>0</v>
      </c>
      <c r="E631" s="65" t="n">
        <v>0</v>
      </c>
      <c r="F631" s="69"/>
    </row>
    <row r="632" customFormat="false" ht="15.75" hidden="false" customHeight="true" outlineLevel="0" collapsed="false">
      <c r="B632" s="65" t="n">
        <v>0</v>
      </c>
      <c r="C632" s="69"/>
      <c r="D632" s="69" t="n">
        <v>0</v>
      </c>
      <c r="E632" s="65" t="n">
        <v>0</v>
      </c>
      <c r="F632" s="69"/>
    </row>
    <row r="633" customFormat="false" ht="15.75" hidden="false" customHeight="true" outlineLevel="0" collapsed="false">
      <c r="B633" s="65" t="n">
        <v>0</v>
      </c>
      <c r="C633" s="69"/>
      <c r="D633" s="69" t="n">
        <v>0</v>
      </c>
      <c r="E633" s="65" t="n">
        <v>0</v>
      </c>
      <c r="F633" s="69"/>
    </row>
    <row r="634" customFormat="false" ht="15.75" hidden="false" customHeight="true" outlineLevel="0" collapsed="false">
      <c r="B634" s="65" t="n">
        <v>0</v>
      </c>
      <c r="C634" s="69"/>
      <c r="D634" s="69" t="n">
        <v>0</v>
      </c>
      <c r="E634" s="65" t="n">
        <v>0</v>
      </c>
      <c r="F634" s="69"/>
    </row>
    <row r="635" customFormat="false" ht="15.75" hidden="false" customHeight="true" outlineLevel="0" collapsed="false">
      <c r="B635" s="65" t="n">
        <v>0</v>
      </c>
      <c r="C635" s="69"/>
      <c r="D635" s="69" t="n">
        <v>0</v>
      </c>
      <c r="E635" s="65" t="n">
        <v>0</v>
      </c>
      <c r="F635" s="69"/>
    </row>
    <row r="636" customFormat="false" ht="15.75" hidden="false" customHeight="true" outlineLevel="0" collapsed="false">
      <c r="B636" s="65" t="n">
        <v>0</v>
      </c>
      <c r="C636" s="69"/>
      <c r="D636" s="69" t="n">
        <v>0</v>
      </c>
      <c r="E636" s="65" t="n">
        <v>0</v>
      </c>
      <c r="F636" s="69"/>
    </row>
    <row r="637" customFormat="false" ht="15.75" hidden="false" customHeight="true" outlineLevel="0" collapsed="false">
      <c r="B637" s="65" t="n">
        <v>0</v>
      </c>
      <c r="C637" s="69"/>
      <c r="D637" s="69" t="n">
        <v>0</v>
      </c>
      <c r="E637" s="65" t="n">
        <v>0</v>
      </c>
      <c r="F637" s="69"/>
    </row>
    <row r="638" customFormat="false" ht="15.75" hidden="false" customHeight="true" outlineLevel="0" collapsed="false">
      <c r="B638" s="65" t="n">
        <v>0</v>
      </c>
      <c r="C638" s="69"/>
      <c r="D638" s="69" t="n">
        <v>0</v>
      </c>
      <c r="E638" s="65" t="n">
        <v>0</v>
      </c>
      <c r="F638" s="69"/>
    </row>
    <row r="639" customFormat="false" ht="15.75" hidden="false" customHeight="true" outlineLevel="0" collapsed="false">
      <c r="B639" s="65" t="n">
        <v>0</v>
      </c>
      <c r="C639" s="69"/>
      <c r="D639" s="69" t="n">
        <v>0</v>
      </c>
      <c r="E639" s="65" t="n">
        <v>0</v>
      </c>
      <c r="F639" s="69"/>
    </row>
    <row r="640" customFormat="false" ht="15.75" hidden="false" customHeight="true" outlineLevel="0" collapsed="false">
      <c r="B640" s="65" t="n">
        <v>0</v>
      </c>
      <c r="C640" s="69"/>
      <c r="D640" s="69" t="n">
        <v>0</v>
      </c>
      <c r="E640" s="65" t="n">
        <v>0</v>
      </c>
      <c r="F640" s="69"/>
    </row>
    <row r="641" customFormat="false" ht="15.75" hidden="false" customHeight="true" outlineLevel="0" collapsed="false">
      <c r="B641" s="65" t="n">
        <v>0</v>
      </c>
      <c r="C641" s="69"/>
      <c r="D641" s="69" t="n">
        <v>0</v>
      </c>
      <c r="E641" s="65" t="n">
        <v>0</v>
      </c>
      <c r="F641" s="69"/>
    </row>
    <row r="642" customFormat="false" ht="15.75" hidden="false" customHeight="true" outlineLevel="0" collapsed="false">
      <c r="B642" s="65" t="n">
        <v>0</v>
      </c>
      <c r="C642" s="69"/>
      <c r="D642" s="69" t="n">
        <v>0</v>
      </c>
      <c r="E642" s="65" t="n">
        <v>0</v>
      </c>
      <c r="F642" s="69"/>
    </row>
    <row r="643" customFormat="false" ht="15.75" hidden="false" customHeight="true" outlineLevel="0" collapsed="false">
      <c r="B643" s="65" t="n">
        <v>0</v>
      </c>
      <c r="C643" s="69"/>
      <c r="D643" s="69" t="n">
        <v>0</v>
      </c>
      <c r="E643" s="65" t="n">
        <v>0</v>
      </c>
      <c r="F643" s="69"/>
    </row>
    <row r="644" customFormat="false" ht="15.75" hidden="false" customHeight="true" outlineLevel="0" collapsed="false">
      <c r="B644" s="65" t="n">
        <v>0</v>
      </c>
      <c r="C644" s="69"/>
      <c r="D644" s="69" t="n">
        <v>0</v>
      </c>
      <c r="E644" s="65" t="n">
        <v>0</v>
      </c>
      <c r="F644" s="69"/>
    </row>
    <row r="645" customFormat="false" ht="15.75" hidden="false" customHeight="true" outlineLevel="0" collapsed="false">
      <c r="B645" s="65" t="n">
        <v>0</v>
      </c>
      <c r="C645" s="69"/>
      <c r="D645" s="69" t="n">
        <v>0</v>
      </c>
      <c r="E645" s="65" t="n">
        <v>0</v>
      </c>
      <c r="F645" s="69"/>
    </row>
    <row r="646" customFormat="false" ht="15.75" hidden="false" customHeight="true" outlineLevel="0" collapsed="false">
      <c r="B646" s="65" t="n">
        <v>0</v>
      </c>
      <c r="C646" s="69"/>
      <c r="D646" s="69" t="n">
        <v>0</v>
      </c>
      <c r="E646" s="65" t="n">
        <v>0</v>
      </c>
      <c r="F646" s="69"/>
    </row>
    <row r="647" customFormat="false" ht="15.75" hidden="false" customHeight="true" outlineLevel="0" collapsed="false">
      <c r="B647" s="65" t="n">
        <v>0</v>
      </c>
      <c r="C647" s="69"/>
      <c r="D647" s="69" t="n">
        <v>0</v>
      </c>
      <c r="E647" s="65" t="n">
        <v>0</v>
      </c>
      <c r="F647" s="69"/>
    </row>
    <row r="648" customFormat="false" ht="15.75" hidden="false" customHeight="true" outlineLevel="0" collapsed="false">
      <c r="B648" s="65" t="n">
        <v>0</v>
      </c>
      <c r="C648" s="69"/>
      <c r="D648" s="69" t="n">
        <v>0</v>
      </c>
      <c r="E648" s="65" t="n">
        <v>0</v>
      </c>
      <c r="F648" s="69"/>
    </row>
    <row r="649" customFormat="false" ht="15.75" hidden="false" customHeight="true" outlineLevel="0" collapsed="false">
      <c r="B649" s="65" t="n">
        <v>0</v>
      </c>
      <c r="C649" s="69"/>
      <c r="D649" s="69" t="n">
        <v>0</v>
      </c>
      <c r="E649" s="65" t="n">
        <v>0</v>
      </c>
      <c r="F649" s="69"/>
    </row>
    <row r="650" customFormat="false" ht="15.75" hidden="false" customHeight="true" outlineLevel="0" collapsed="false">
      <c r="B650" s="65" t="n">
        <v>0</v>
      </c>
      <c r="C650" s="69"/>
      <c r="D650" s="69" t="n">
        <v>0</v>
      </c>
      <c r="E650" s="65" t="n">
        <v>0</v>
      </c>
      <c r="F650" s="69"/>
    </row>
    <row r="651" customFormat="false" ht="15.75" hidden="false" customHeight="true" outlineLevel="0" collapsed="false">
      <c r="B651" s="65" t="n">
        <v>0</v>
      </c>
      <c r="C651" s="69"/>
      <c r="D651" s="69" t="n">
        <v>0</v>
      </c>
      <c r="E651" s="65" t="n">
        <v>0</v>
      </c>
      <c r="F651" s="69"/>
    </row>
    <row r="652" customFormat="false" ht="15.75" hidden="false" customHeight="true" outlineLevel="0" collapsed="false">
      <c r="B652" s="65" t="n">
        <v>0</v>
      </c>
      <c r="C652" s="69"/>
      <c r="D652" s="69" t="n">
        <v>0</v>
      </c>
      <c r="E652" s="65" t="n">
        <v>0</v>
      </c>
      <c r="F652" s="69"/>
    </row>
    <row r="653" customFormat="false" ht="15.75" hidden="false" customHeight="true" outlineLevel="0" collapsed="false">
      <c r="B653" s="65" t="n">
        <v>0</v>
      </c>
      <c r="C653" s="69"/>
      <c r="D653" s="69" t="n">
        <v>0</v>
      </c>
      <c r="E653" s="65" t="n">
        <v>0</v>
      </c>
      <c r="F653" s="69"/>
    </row>
    <row r="654" customFormat="false" ht="15.75" hidden="false" customHeight="true" outlineLevel="0" collapsed="false">
      <c r="B654" s="65" t="n">
        <v>0</v>
      </c>
      <c r="C654" s="69"/>
      <c r="D654" s="69" t="n">
        <v>0</v>
      </c>
      <c r="E654" s="65" t="n">
        <v>0</v>
      </c>
      <c r="F654" s="69"/>
    </row>
    <row r="655" customFormat="false" ht="15.75" hidden="false" customHeight="true" outlineLevel="0" collapsed="false">
      <c r="B655" s="65" t="n">
        <v>0</v>
      </c>
      <c r="C655" s="69"/>
      <c r="D655" s="69" t="n">
        <v>0</v>
      </c>
      <c r="E655" s="65" t="n">
        <v>0</v>
      </c>
      <c r="F655" s="69"/>
    </row>
    <row r="656" customFormat="false" ht="15.75" hidden="false" customHeight="true" outlineLevel="0" collapsed="false">
      <c r="B656" s="65" t="n">
        <v>0</v>
      </c>
      <c r="C656" s="69"/>
      <c r="D656" s="69" t="n">
        <v>0</v>
      </c>
      <c r="E656" s="65" t="n">
        <v>0</v>
      </c>
      <c r="F656" s="69"/>
    </row>
    <row r="657" customFormat="false" ht="15.75" hidden="false" customHeight="true" outlineLevel="0" collapsed="false">
      <c r="B657" s="65" t="n">
        <v>0</v>
      </c>
      <c r="C657" s="69"/>
      <c r="D657" s="69" t="n">
        <v>0</v>
      </c>
      <c r="E657" s="65" t="n">
        <v>0</v>
      </c>
      <c r="F657" s="69"/>
    </row>
    <row r="658" customFormat="false" ht="15.75" hidden="false" customHeight="true" outlineLevel="0" collapsed="false">
      <c r="B658" s="65" t="n">
        <v>0</v>
      </c>
      <c r="C658" s="69"/>
      <c r="D658" s="69" t="n">
        <v>0</v>
      </c>
      <c r="E658" s="65" t="n">
        <v>0</v>
      </c>
      <c r="F658" s="69"/>
    </row>
    <row r="659" customFormat="false" ht="15.75" hidden="false" customHeight="true" outlineLevel="0" collapsed="false">
      <c r="B659" s="65" t="n">
        <v>0</v>
      </c>
      <c r="C659" s="69"/>
      <c r="D659" s="69" t="n">
        <v>0</v>
      </c>
      <c r="E659" s="65" t="n">
        <v>0</v>
      </c>
      <c r="F659" s="69"/>
    </row>
    <row r="660" customFormat="false" ht="15.75" hidden="false" customHeight="true" outlineLevel="0" collapsed="false">
      <c r="B660" s="65" t="n">
        <v>0</v>
      </c>
      <c r="C660" s="69"/>
      <c r="D660" s="69" t="n">
        <v>0</v>
      </c>
      <c r="E660" s="65" t="n">
        <v>0</v>
      </c>
      <c r="F660" s="69"/>
    </row>
    <row r="661" customFormat="false" ht="15.75" hidden="false" customHeight="true" outlineLevel="0" collapsed="false">
      <c r="B661" s="65" t="n">
        <v>0</v>
      </c>
      <c r="C661" s="69"/>
      <c r="D661" s="69" t="n">
        <v>0</v>
      </c>
      <c r="E661" s="65" t="n">
        <v>0</v>
      </c>
      <c r="F661" s="69"/>
    </row>
    <row r="662" customFormat="false" ht="15.75" hidden="false" customHeight="true" outlineLevel="0" collapsed="false">
      <c r="B662" s="65" t="n">
        <v>0</v>
      </c>
      <c r="C662" s="69"/>
      <c r="D662" s="69" t="n">
        <v>0</v>
      </c>
      <c r="E662" s="65" t="n">
        <v>0</v>
      </c>
      <c r="F662" s="69"/>
    </row>
    <row r="663" customFormat="false" ht="15.75" hidden="false" customHeight="true" outlineLevel="0" collapsed="false">
      <c r="B663" s="65" t="n">
        <v>0</v>
      </c>
      <c r="C663" s="69"/>
      <c r="D663" s="69" t="n">
        <v>0</v>
      </c>
      <c r="E663" s="65" t="n">
        <v>0</v>
      </c>
      <c r="F663" s="69"/>
    </row>
    <row r="664" customFormat="false" ht="15.75" hidden="false" customHeight="true" outlineLevel="0" collapsed="false">
      <c r="B664" s="65" t="n">
        <v>0</v>
      </c>
      <c r="C664" s="69"/>
      <c r="D664" s="69" t="n">
        <v>0</v>
      </c>
      <c r="E664" s="65" t="n">
        <v>0</v>
      </c>
      <c r="F664" s="69"/>
    </row>
    <row r="665" customFormat="false" ht="15.75" hidden="false" customHeight="true" outlineLevel="0" collapsed="false">
      <c r="B665" s="65" t="n">
        <v>0</v>
      </c>
      <c r="C665" s="69"/>
      <c r="D665" s="69" t="n">
        <v>0</v>
      </c>
      <c r="E665" s="65" t="n">
        <v>0</v>
      </c>
      <c r="F665" s="69"/>
    </row>
    <row r="666" customFormat="false" ht="15.75" hidden="false" customHeight="true" outlineLevel="0" collapsed="false">
      <c r="B666" s="65" t="n">
        <v>0</v>
      </c>
      <c r="C666" s="69"/>
      <c r="D666" s="69" t="n">
        <v>0</v>
      </c>
      <c r="E666" s="65" t="n">
        <v>0</v>
      </c>
      <c r="F666" s="69"/>
    </row>
    <row r="667" customFormat="false" ht="15.75" hidden="false" customHeight="true" outlineLevel="0" collapsed="false">
      <c r="B667" s="65" t="n">
        <v>0</v>
      </c>
      <c r="C667" s="69"/>
      <c r="D667" s="69" t="n">
        <v>0</v>
      </c>
      <c r="E667" s="65" t="n">
        <v>0</v>
      </c>
      <c r="F667" s="69"/>
    </row>
    <row r="668" customFormat="false" ht="15.75" hidden="false" customHeight="true" outlineLevel="0" collapsed="false">
      <c r="B668" s="65" t="n">
        <v>0</v>
      </c>
      <c r="C668" s="69"/>
      <c r="D668" s="69" t="n">
        <v>0</v>
      </c>
      <c r="E668" s="65" t="n">
        <v>0</v>
      </c>
      <c r="F668" s="69"/>
    </row>
    <row r="669" customFormat="false" ht="15.75" hidden="false" customHeight="true" outlineLevel="0" collapsed="false">
      <c r="B669" s="65" t="n">
        <v>0</v>
      </c>
      <c r="C669" s="69"/>
      <c r="D669" s="69" t="n">
        <v>0</v>
      </c>
      <c r="E669" s="65" t="n">
        <v>0</v>
      </c>
      <c r="F669" s="69"/>
    </row>
    <row r="670" customFormat="false" ht="15.75" hidden="false" customHeight="true" outlineLevel="0" collapsed="false">
      <c r="B670" s="65" t="n">
        <v>0</v>
      </c>
      <c r="C670" s="69"/>
      <c r="D670" s="69" t="n">
        <v>0</v>
      </c>
      <c r="E670" s="65" t="n">
        <v>0</v>
      </c>
      <c r="F670" s="69"/>
    </row>
    <row r="671" customFormat="false" ht="15.75" hidden="false" customHeight="true" outlineLevel="0" collapsed="false">
      <c r="B671" s="65" t="n">
        <v>0</v>
      </c>
      <c r="C671" s="69"/>
      <c r="D671" s="69" t="n">
        <v>0</v>
      </c>
      <c r="E671" s="65" t="n">
        <v>0</v>
      </c>
      <c r="F671" s="69"/>
    </row>
    <row r="672" customFormat="false" ht="15.75" hidden="false" customHeight="true" outlineLevel="0" collapsed="false">
      <c r="B672" s="65" t="n">
        <v>0</v>
      </c>
      <c r="C672" s="69"/>
      <c r="D672" s="69" t="n">
        <v>0</v>
      </c>
      <c r="E672" s="65" t="n">
        <v>0</v>
      </c>
      <c r="F672" s="69"/>
    </row>
    <row r="673" customFormat="false" ht="15.75" hidden="false" customHeight="true" outlineLevel="0" collapsed="false">
      <c r="B673" s="65" t="n">
        <v>0</v>
      </c>
      <c r="C673" s="69"/>
      <c r="D673" s="69" t="n">
        <v>0</v>
      </c>
      <c r="E673" s="65" t="n">
        <v>0</v>
      </c>
      <c r="F673" s="69"/>
    </row>
    <row r="674" customFormat="false" ht="15.75" hidden="false" customHeight="true" outlineLevel="0" collapsed="false">
      <c r="B674" s="65" t="n">
        <v>0</v>
      </c>
      <c r="C674" s="69"/>
      <c r="D674" s="69" t="n">
        <v>0</v>
      </c>
      <c r="E674" s="65" t="n">
        <v>0</v>
      </c>
      <c r="F674" s="69"/>
    </row>
    <row r="675" customFormat="false" ht="15.75" hidden="false" customHeight="true" outlineLevel="0" collapsed="false">
      <c r="B675" s="65" t="n">
        <v>0</v>
      </c>
      <c r="C675" s="69"/>
      <c r="D675" s="69" t="n">
        <v>0</v>
      </c>
      <c r="E675" s="65" t="n">
        <v>0</v>
      </c>
      <c r="F675" s="69"/>
    </row>
    <row r="676" customFormat="false" ht="15.75" hidden="false" customHeight="true" outlineLevel="0" collapsed="false">
      <c r="B676" s="65" t="n">
        <v>0</v>
      </c>
      <c r="C676" s="69"/>
      <c r="D676" s="69" t="n">
        <v>0</v>
      </c>
      <c r="E676" s="65" t="n">
        <v>0</v>
      </c>
      <c r="F676" s="69"/>
    </row>
    <row r="677" customFormat="false" ht="15.75" hidden="false" customHeight="true" outlineLevel="0" collapsed="false">
      <c r="B677" s="65" t="n">
        <v>0</v>
      </c>
      <c r="C677" s="69"/>
      <c r="D677" s="69" t="n">
        <v>0</v>
      </c>
      <c r="E677" s="65" t="n">
        <v>0</v>
      </c>
      <c r="F677" s="69"/>
    </row>
    <row r="678" customFormat="false" ht="15.75" hidden="false" customHeight="true" outlineLevel="0" collapsed="false">
      <c r="B678" s="65" t="n">
        <v>0</v>
      </c>
      <c r="C678" s="69"/>
      <c r="D678" s="69" t="n">
        <v>0</v>
      </c>
      <c r="E678" s="65" t="n">
        <v>0</v>
      </c>
      <c r="F678" s="69"/>
    </row>
    <row r="679" customFormat="false" ht="15.75" hidden="false" customHeight="true" outlineLevel="0" collapsed="false">
      <c r="B679" s="65" t="n">
        <v>0</v>
      </c>
      <c r="C679" s="69"/>
      <c r="D679" s="69" t="n">
        <v>0</v>
      </c>
      <c r="E679" s="65" t="n">
        <v>0</v>
      </c>
      <c r="F679" s="69"/>
    </row>
    <row r="680" customFormat="false" ht="15.75" hidden="false" customHeight="true" outlineLevel="0" collapsed="false">
      <c r="B680" s="65" t="n">
        <v>0</v>
      </c>
      <c r="C680" s="69"/>
      <c r="D680" s="69" t="n">
        <v>0</v>
      </c>
      <c r="E680" s="65" t="n">
        <v>0</v>
      </c>
      <c r="F680" s="69"/>
    </row>
    <row r="681" customFormat="false" ht="15.75" hidden="false" customHeight="true" outlineLevel="0" collapsed="false">
      <c r="B681" s="65" t="n">
        <v>0</v>
      </c>
      <c r="C681" s="69"/>
      <c r="D681" s="69" t="n">
        <v>0</v>
      </c>
      <c r="E681" s="65" t="n">
        <v>0</v>
      </c>
      <c r="F681" s="69"/>
    </row>
    <row r="682" customFormat="false" ht="15.75" hidden="false" customHeight="true" outlineLevel="0" collapsed="false">
      <c r="B682" s="65" t="n">
        <v>0</v>
      </c>
      <c r="C682" s="69"/>
      <c r="D682" s="69" t="n">
        <v>0</v>
      </c>
      <c r="E682" s="65" t="n">
        <v>0</v>
      </c>
      <c r="F682" s="69"/>
    </row>
    <row r="683" customFormat="false" ht="15.75" hidden="false" customHeight="true" outlineLevel="0" collapsed="false">
      <c r="B683" s="65" t="n">
        <v>0</v>
      </c>
      <c r="C683" s="69"/>
      <c r="D683" s="69" t="n">
        <v>0</v>
      </c>
      <c r="E683" s="65" t="n">
        <v>0</v>
      </c>
      <c r="F683" s="69"/>
    </row>
    <row r="684" customFormat="false" ht="15.75" hidden="false" customHeight="true" outlineLevel="0" collapsed="false">
      <c r="B684" s="65" t="n">
        <v>0</v>
      </c>
      <c r="C684" s="69"/>
      <c r="D684" s="69" t="n">
        <v>0</v>
      </c>
      <c r="E684" s="65" t="n">
        <v>0</v>
      </c>
      <c r="F684" s="69"/>
    </row>
    <row r="685" customFormat="false" ht="15.75" hidden="false" customHeight="true" outlineLevel="0" collapsed="false">
      <c r="B685" s="65" t="n">
        <v>0</v>
      </c>
      <c r="C685" s="69"/>
      <c r="D685" s="69" t="n">
        <v>0</v>
      </c>
      <c r="E685" s="65" t="n">
        <v>0</v>
      </c>
      <c r="F685" s="69"/>
    </row>
    <row r="686" customFormat="false" ht="15.75" hidden="false" customHeight="true" outlineLevel="0" collapsed="false">
      <c r="B686" s="65" t="n">
        <v>0</v>
      </c>
      <c r="C686" s="69"/>
      <c r="D686" s="69" t="n">
        <v>0</v>
      </c>
      <c r="E686" s="65" t="n">
        <v>0</v>
      </c>
      <c r="F686" s="69"/>
    </row>
    <row r="687" customFormat="false" ht="15.75" hidden="false" customHeight="true" outlineLevel="0" collapsed="false">
      <c r="B687" s="65" t="n">
        <v>0</v>
      </c>
      <c r="C687" s="69"/>
      <c r="D687" s="69" t="n">
        <v>0</v>
      </c>
      <c r="E687" s="65" t="n">
        <v>0</v>
      </c>
      <c r="F687" s="69"/>
    </row>
    <row r="688" customFormat="false" ht="15.75" hidden="false" customHeight="true" outlineLevel="0" collapsed="false">
      <c r="B688" s="65" t="n">
        <v>0</v>
      </c>
      <c r="C688" s="69"/>
      <c r="D688" s="69" t="n">
        <v>0</v>
      </c>
      <c r="E688" s="65" t="n">
        <v>0</v>
      </c>
      <c r="F688" s="69"/>
    </row>
    <row r="689" customFormat="false" ht="15.75" hidden="false" customHeight="true" outlineLevel="0" collapsed="false">
      <c r="B689" s="65" t="n">
        <v>0</v>
      </c>
      <c r="C689" s="69"/>
      <c r="D689" s="69" t="n">
        <v>0</v>
      </c>
      <c r="E689" s="65" t="n">
        <v>0</v>
      </c>
      <c r="F689" s="69"/>
    </row>
    <row r="690" customFormat="false" ht="15.75" hidden="false" customHeight="true" outlineLevel="0" collapsed="false">
      <c r="B690" s="65" t="n">
        <v>0</v>
      </c>
      <c r="C690" s="69"/>
      <c r="D690" s="69" t="n">
        <v>0</v>
      </c>
      <c r="E690" s="65" t="n">
        <v>0</v>
      </c>
      <c r="F690" s="69"/>
    </row>
    <row r="691" customFormat="false" ht="15.75" hidden="false" customHeight="true" outlineLevel="0" collapsed="false">
      <c r="B691" s="65" t="n">
        <v>0</v>
      </c>
      <c r="C691" s="69"/>
      <c r="D691" s="69" t="n">
        <v>0</v>
      </c>
      <c r="E691" s="65" t="n">
        <v>0</v>
      </c>
      <c r="F691" s="69"/>
    </row>
    <row r="692" customFormat="false" ht="15.75" hidden="false" customHeight="true" outlineLevel="0" collapsed="false">
      <c r="B692" s="65" t="n">
        <v>0</v>
      </c>
      <c r="C692" s="69"/>
      <c r="D692" s="69" t="n">
        <v>0</v>
      </c>
      <c r="E692" s="65" t="n">
        <v>0</v>
      </c>
      <c r="F692" s="69"/>
    </row>
    <row r="693" customFormat="false" ht="15.75" hidden="false" customHeight="true" outlineLevel="0" collapsed="false">
      <c r="B693" s="65" t="n">
        <v>0</v>
      </c>
      <c r="C693" s="69"/>
      <c r="D693" s="69" t="n">
        <v>0</v>
      </c>
      <c r="E693" s="65" t="n">
        <v>0</v>
      </c>
      <c r="F693" s="69"/>
    </row>
    <row r="694" customFormat="false" ht="15.75" hidden="false" customHeight="true" outlineLevel="0" collapsed="false">
      <c r="B694" s="65" t="n">
        <v>0</v>
      </c>
      <c r="C694" s="69"/>
      <c r="D694" s="69" t="n">
        <v>0</v>
      </c>
      <c r="E694" s="65" t="n">
        <v>0</v>
      </c>
      <c r="F694" s="69"/>
    </row>
    <row r="695" customFormat="false" ht="15.75" hidden="false" customHeight="true" outlineLevel="0" collapsed="false">
      <c r="B695" s="65" t="n">
        <v>0</v>
      </c>
      <c r="C695" s="69"/>
      <c r="D695" s="69" t="n">
        <v>0</v>
      </c>
      <c r="E695" s="65" t="n">
        <v>0</v>
      </c>
      <c r="F695" s="69"/>
    </row>
    <row r="696" customFormat="false" ht="15.75" hidden="false" customHeight="true" outlineLevel="0" collapsed="false">
      <c r="B696" s="65" t="n">
        <v>0</v>
      </c>
      <c r="C696" s="69"/>
      <c r="D696" s="69" t="n">
        <v>0</v>
      </c>
      <c r="E696" s="65" t="n">
        <v>0</v>
      </c>
      <c r="F696" s="69"/>
    </row>
    <row r="697" customFormat="false" ht="15.75" hidden="false" customHeight="true" outlineLevel="0" collapsed="false">
      <c r="B697" s="65" t="n">
        <v>0</v>
      </c>
      <c r="C697" s="69"/>
      <c r="D697" s="69" t="n">
        <v>0</v>
      </c>
      <c r="E697" s="65" t="n">
        <v>0</v>
      </c>
      <c r="F697" s="69"/>
    </row>
    <row r="698" customFormat="false" ht="15.75" hidden="false" customHeight="true" outlineLevel="0" collapsed="false">
      <c r="B698" s="65" t="n">
        <v>0</v>
      </c>
      <c r="C698" s="69"/>
      <c r="D698" s="69" t="n">
        <v>0</v>
      </c>
      <c r="E698" s="65" t="n">
        <v>0</v>
      </c>
      <c r="F698" s="69"/>
    </row>
    <row r="699" customFormat="false" ht="15.75" hidden="false" customHeight="true" outlineLevel="0" collapsed="false">
      <c r="B699" s="65" t="n">
        <v>0</v>
      </c>
      <c r="C699" s="69"/>
      <c r="D699" s="69" t="n">
        <v>0</v>
      </c>
      <c r="E699" s="65" t="n">
        <v>0</v>
      </c>
      <c r="F699" s="69"/>
    </row>
    <row r="700" customFormat="false" ht="15.75" hidden="false" customHeight="true" outlineLevel="0" collapsed="false">
      <c r="B700" s="65" t="n">
        <v>0</v>
      </c>
      <c r="C700" s="69"/>
      <c r="D700" s="69" t="n">
        <v>0</v>
      </c>
      <c r="E700" s="65" t="n">
        <v>0</v>
      </c>
      <c r="F700" s="69"/>
    </row>
    <row r="701" customFormat="false" ht="15.75" hidden="false" customHeight="true" outlineLevel="0" collapsed="false">
      <c r="B701" s="65" t="n">
        <v>0</v>
      </c>
      <c r="C701" s="69"/>
      <c r="D701" s="69" t="n">
        <v>0</v>
      </c>
      <c r="E701" s="65" t="n">
        <v>0</v>
      </c>
      <c r="F701" s="69"/>
    </row>
    <row r="702" customFormat="false" ht="15.75" hidden="false" customHeight="true" outlineLevel="0" collapsed="false">
      <c r="B702" s="65" t="n">
        <v>0</v>
      </c>
      <c r="C702" s="69"/>
      <c r="D702" s="69" t="n">
        <v>0</v>
      </c>
      <c r="E702" s="65" t="n">
        <v>0</v>
      </c>
      <c r="F702" s="69"/>
    </row>
    <row r="703" customFormat="false" ht="15.75" hidden="false" customHeight="true" outlineLevel="0" collapsed="false">
      <c r="B703" s="65" t="n">
        <v>0</v>
      </c>
      <c r="C703" s="69"/>
      <c r="D703" s="69" t="n">
        <v>0</v>
      </c>
      <c r="E703" s="65" t="n">
        <v>0</v>
      </c>
      <c r="F703" s="69"/>
    </row>
    <row r="704" customFormat="false" ht="15.75" hidden="false" customHeight="true" outlineLevel="0" collapsed="false">
      <c r="B704" s="65" t="n">
        <v>0</v>
      </c>
      <c r="C704" s="69"/>
      <c r="D704" s="69" t="n">
        <v>0</v>
      </c>
      <c r="E704" s="65" t="n">
        <v>0</v>
      </c>
      <c r="F704" s="69"/>
    </row>
    <row r="705" customFormat="false" ht="15.75" hidden="false" customHeight="true" outlineLevel="0" collapsed="false">
      <c r="B705" s="65" t="n">
        <v>0</v>
      </c>
      <c r="C705" s="69"/>
      <c r="D705" s="69" t="n">
        <v>0</v>
      </c>
      <c r="E705" s="65" t="n">
        <v>0</v>
      </c>
      <c r="F705" s="69"/>
    </row>
    <row r="706" customFormat="false" ht="15.75" hidden="false" customHeight="true" outlineLevel="0" collapsed="false">
      <c r="B706" s="65" t="n">
        <v>0</v>
      </c>
      <c r="C706" s="69"/>
      <c r="D706" s="69" t="n">
        <v>0</v>
      </c>
      <c r="E706" s="65" t="n">
        <v>0</v>
      </c>
      <c r="F706" s="69"/>
    </row>
    <row r="707" customFormat="false" ht="15.75" hidden="false" customHeight="true" outlineLevel="0" collapsed="false">
      <c r="B707" s="65" t="n">
        <v>0</v>
      </c>
      <c r="C707" s="69"/>
      <c r="D707" s="69" t="n">
        <v>0</v>
      </c>
      <c r="E707" s="65" t="n">
        <v>0</v>
      </c>
      <c r="F707" s="69"/>
    </row>
    <row r="708" customFormat="false" ht="15.75" hidden="false" customHeight="true" outlineLevel="0" collapsed="false">
      <c r="B708" s="65" t="n">
        <v>0</v>
      </c>
      <c r="C708" s="69"/>
      <c r="D708" s="69" t="n">
        <v>0</v>
      </c>
      <c r="E708" s="65" t="n">
        <v>0</v>
      </c>
      <c r="F708" s="69"/>
    </row>
    <row r="709" customFormat="false" ht="15.75" hidden="false" customHeight="true" outlineLevel="0" collapsed="false">
      <c r="B709" s="65" t="n">
        <v>0</v>
      </c>
      <c r="C709" s="69"/>
      <c r="D709" s="69" t="n">
        <v>0</v>
      </c>
      <c r="E709" s="65" t="n">
        <v>0</v>
      </c>
      <c r="F709" s="69"/>
    </row>
    <row r="710" customFormat="false" ht="15.75" hidden="false" customHeight="true" outlineLevel="0" collapsed="false">
      <c r="B710" s="65" t="n">
        <v>0</v>
      </c>
      <c r="C710" s="69"/>
      <c r="D710" s="69" t="n">
        <v>0</v>
      </c>
      <c r="E710" s="65" t="n">
        <v>0</v>
      </c>
      <c r="F710" s="69"/>
    </row>
    <row r="711" customFormat="false" ht="15.75" hidden="false" customHeight="true" outlineLevel="0" collapsed="false">
      <c r="B711" s="65" t="n">
        <v>0</v>
      </c>
      <c r="C711" s="69"/>
      <c r="D711" s="69" t="n">
        <v>0</v>
      </c>
      <c r="E711" s="65" t="n">
        <v>0</v>
      </c>
      <c r="F711" s="69"/>
    </row>
    <row r="712" customFormat="false" ht="15.75" hidden="false" customHeight="true" outlineLevel="0" collapsed="false">
      <c r="B712" s="65" t="n">
        <v>0</v>
      </c>
      <c r="C712" s="69"/>
      <c r="D712" s="69" t="n">
        <v>0</v>
      </c>
      <c r="E712" s="65" t="n">
        <v>0</v>
      </c>
      <c r="F712" s="69"/>
    </row>
    <row r="713" customFormat="false" ht="15.75" hidden="false" customHeight="true" outlineLevel="0" collapsed="false">
      <c r="B713" s="65" t="n">
        <v>0</v>
      </c>
      <c r="C713" s="69"/>
      <c r="D713" s="69" t="n">
        <v>0</v>
      </c>
      <c r="E713" s="65" t="n">
        <v>0</v>
      </c>
      <c r="F713" s="69"/>
    </row>
    <row r="714" customFormat="false" ht="15.75" hidden="false" customHeight="true" outlineLevel="0" collapsed="false">
      <c r="B714" s="65" t="n">
        <v>0</v>
      </c>
      <c r="C714" s="69"/>
      <c r="D714" s="69" t="n">
        <v>0</v>
      </c>
      <c r="E714" s="65" t="n">
        <v>0</v>
      </c>
      <c r="F714" s="69"/>
    </row>
    <row r="715" customFormat="false" ht="15.75" hidden="false" customHeight="true" outlineLevel="0" collapsed="false">
      <c r="B715" s="65" t="n">
        <v>0</v>
      </c>
      <c r="C715" s="69"/>
      <c r="D715" s="69" t="n">
        <v>0</v>
      </c>
      <c r="E715" s="65" t="n">
        <v>0</v>
      </c>
      <c r="F715" s="69"/>
    </row>
    <row r="716" customFormat="false" ht="15.75" hidden="false" customHeight="true" outlineLevel="0" collapsed="false">
      <c r="B716" s="65" t="n">
        <v>0</v>
      </c>
      <c r="C716" s="69"/>
      <c r="D716" s="69" t="n">
        <v>0</v>
      </c>
      <c r="E716" s="65" t="n">
        <v>0</v>
      </c>
      <c r="F716" s="69"/>
    </row>
    <row r="717" customFormat="false" ht="15.75" hidden="false" customHeight="true" outlineLevel="0" collapsed="false">
      <c r="B717" s="65" t="n">
        <v>0</v>
      </c>
      <c r="C717" s="69"/>
      <c r="D717" s="69" t="n">
        <v>0</v>
      </c>
      <c r="E717" s="65" t="n">
        <v>0</v>
      </c>
      <c r="F717" s="69"/>
    </row>
    <row r="718" customFormat="false" ht="15.75" hidden="false" customHeight="true" outlineLevel="0" collapsed="false">
      <c r="B718" s="65" t="n">
        <v>0</v>
      </c>
      <c r="C718" s="69"/>
      <c r="D718" s="69" t="n">
        <v>0</v>
      </c>
      <c r="E718" s="65" t="n">
        <v>0</v>
      </c>
      <c r="F718" s="69"/>
    </row>
    <row r="719" customFormat="false" ht="15.75" hidden="false" customHeight="true" outlineLevel="0" collapsed="false">
      <c r="B719" s="65" t="n">
        <v>0</v>
      </c>
      <c r="C719" s="69"/>
      <c r="D719" s="69" t="n">
        <v>0</v>
      </c>
      <c r="E719" s="65" t="n">
        <v>0</v>
      </c>
      <c r="F719" s="69"/>
    </row>
    <row r="720" customFormat="false" ht="15.75" hidden="false" customHeight="true" outlineLevel="0" collapsed="false">
      <c r="B720" s="65" t="n">
        <v>0</v>
      </c>
      <c r="C720" s="69"/>
      <c r="D720" s="69" t="n">
        <v>0</v>
      </c>
      <c r="E720" s="65" t="n">
        <v>0</v>
      </c>
      <c r="F720" s="69"/>
    </row>
    <row r="721" customFormat="false" ht="15.75" hidden="false" customHeight="true" outlineLevel="0" collapsed="false">
      <c r="B721" s="65" t="n">
        <v>0</v>
      </c>
      <c r="C721" s="69"/>
      <c r="D721" s="69" t="n">
        <v>0</v>
      </c>
      <c r="E721" s="65" t="n">
        <v>0</v>
      </c>
      <c r="F721" s="69"/>
    </row>
    <row r="722" customFormat="false" ht="15.75" hidden="false" customHeight="true" outlineLevel="0" collapsed="false">
      <c r="B722" s="65" t="n">
        <v>0</v>
      </c>
      <c r="C722" s="69"/>
      <c r="D722" s="69" t="n">
        <v>0</v>
      </c>
      <c r="E722" s="65" t="n">
        <v>0</v>
      </c>
      <c r="F722" s="69"/>
    </row>
    <row r="723" customFormat="false" ht="15.75" hidden="false" customHeight="true" outlineLevel="0" collapsed="false">
      <c r="B723" s="65" t="n">
        <v>0</v>
      </c>
      <c r="C723" s="69"/>
      <c r="D723" s="69" t="n">
        <v>0</v>
      </c>
      <c r="E723" s="65" t="n">
        <v>0</v>
      </c>
      <c r="F723" s="69"/>
    </row>
    <row r="724" customFormat="false" ht="15.75" hidden="false" customHeight="true" outlineLevel="0" collapsed="false">
      <c r="B724" s="65" t="n">
        <v>0</v>
      </c>
      <c r="C724" s="69"/>
      <c r="D724" s="69" t="n">
        <v>0</v>
      </c>
      <c r="E724" s="65" t="n">
        <v>0</v>
      </c>
      <c r="F724" s="69"/>
    </row>
    <row r="725" customFormat="false" ht="15.75" hidden="false" customHeight="true" outlineLevel="0" collapsed="false">
      <c r="B725" s="65" t="n">
        <v>0</v>
      </c>
      <c r="C725" s="69"/>
      <c r="D725" s="69" t="n">
        <v>0</v>
      </c>
      <c r="E725" s="65" t="n">
        <v>0</v>
      </c>
      <c r="F725" s="69"/>
    </row>
    <row r="726" customFormat="false" ht="15.75" hidden="false" customHeight="true" outlineLevel="0" collapsed="false">
      <c r="B726" s="65" t="n">
        <v>0</v>
      </c>
      <c r="C726" s="69"/>
      <c r="D726" s="69" t="n">
        <v>0</v>
      </c>
      <c r="E726" s="65" t="n">
        <v>0</v>
      </c>
      <c r="F726" s="69"/>
    </row>
    <row r="727" customFormat="false" ht="15.75" hidden="false" customHeight="true" outlineLevel="0" collapsed="false">
      <c r="B727" s="65" t="n">
        <v>0</v>
      </c>
      <c r="C727" s="69"/>
      <c r="D727" s="69" t="n">
        <v>0</v>
      </c>
      <c r="E727" s="65" t="n">
        <v>0</v>
      </c>
      <c r="F727" s="69"/>
    </row>
    <row r="728" customFormat="false" ht="15.75" hidden="false" customHeight="true" outlineLevel="0" collapsed="false">
      <c r="B728" s="65" t="n">
        <v>0</v>
      </c>
      <c r="C728" s="69"/>
      <c r="D728" s="69" t="n">
        <v>0</v>
      </c>
      <c r="E728" s="65" t="n">
        <v>0</v>
      </c>
      <c r="F728" s="69"/>
    </row>
    <row r="729" customFormat="false" ht="15.75" hidden="false" customHeight="true" outlineLevel="0" collapsed="false">
      <c r="B729" s="65" t="n">
        <v>0</v>
      </c>
      <c r="C729" s="69"/>
      <c r="D729" s="69" t="n">
        <v>0</v>
      </c>
      <c r="E729" s="65" t="n">
        <v>0</v>
      </c>
      <c r="F729" s="69"/>
    </row>
    <row r="730" customFormat="false" ht="15.75" hidden="false" customHeight="true" outlineLevel="0" collapsed="false">
      <c r="B730" s="65" t="n">
        <v>0</v>
      </c>
      <c r="C730" s="69"/>
      <c r="D730" s="69" t="n">
        <v>0</v>
      </c>
      <c r="E730" s="65" t="n">
        <v>0</v>
      </c>
      <c r="F730" s="69"/>
    </row>
    <row r="731" customFormat="false" ht="15.75" hidden="false" customHeight="true" outlineLevel="0" collapsed="false">
      <c r="B731" s="65" t="n">
        <v>0</v>
      </c>
      <c r="C731" s="69"/>
      <c r="D731" s="69" t="n">
        <v>0</v>
      </c>
      <c r="E731" s="65" t="n">
        <v>0</v>
      </c>
      <c r="F731" s="69"/>
    </row>
    <row r="732" customFormat="false" ht="15.75" hidden="false" customHeight="true" outlineLevel="0" collapsed="false">
      <c r="B732" s="65" t="n">
        <v>0</v>
      </c>
      <c r="C732" s="69"/>
      <c r="D732" s="69" t="n">
        <v>0</v>
      </c>
      <c r="E732" s="65" t="n">
        <v>0</v>
      </c>
      <c r="F732" s="69"/>
    </row>
    <row r="733" customFormat="false" ht="15.75" hidden="false" customHeight="true" outlineLevel="0" collapsed="false">
      <c r="B733" s="65" t="n">
        <v>0</v>
      </c>
      <c r="C733" s="69"/>
      <c r="D733" s="69" t="n">
        <v>0</v>
      </c>
      <c r="E733" s="65" t="n">
        <v>0</v>
      </c>
      <c r="F733" s="69"/>
    </row>
    <row r="734" customFormat="false" ht="15.75" hidden="false" customHeight="true" outlineLevel="0" collapsed="false">
      <c r="B734" s="65" t="n">
        <v>0</v>
      </c>
      <c r="C734" s="69"/>
      <c r="D734" s="69" t="n">
        <v>0</v>
      </c>
      <c r="E734" s="65" t="n">
        <v>0</v>
      </c>
      <c r="F734" s="69"/>
    </row>
    <row r="735" customFormat="false" ht="15.75" hidden="false" customHeight="true" outlineLevel="0" collapsed="false">
      <c r="B735" s="65" t="n">
        <v>0</v>
      </c>
      <c r="C735" s="69"/>
      <c r="D735" s="69" t="n">
        <v>0</v>
      </c>
      <c r="E735" s="65" t="n">
        <v>0</v>
      </c>
      <c r="F735" s="69"/>
    </row>
    <row r="736" customFormat="false" ht="15.75" hidden="false" customHeight="true" outlineLevel="0" collapsed="false">
      <c r="B736" s="65" t="n">
        <v>0</v>
      </c>
      <c r="C736" s="69"/>
      <c r="D736" s="69" t="n">
        <v>0</v>
      </c>
      <c r="E736" s="65" t="n">
        <v>0</v>
      </c>
      <c r="F736" s="69"/>
    </row>
    <row r="737" customFormat="false" ht="15.75" hidden="false" customHeight="true" outlineLevel="0" collapsed="false">
      <c r="B737" s="65" t="n">
        <v>0</v>
      </c>
      <c r="C737" s="69"/>
      <c r="D737" s="69" t="n">
        <v>0</v>
      </c>
      <c r="E737" s="65" t="n">
        <v>0</v>
      </c>
      <c r="F737" s="69"/>
    </row>
    <row r="738" customFormat="false" ht="15.75" hidden="false" customHeight="true" outlineLevel="0" collapsed="false">
      <c r="B738" s="65" t="n">
        <v>0</v>
      </c>
      <c r="C738" s="69"/>
      <c r="D738" s="69" t="n">
        <v>0</v>
      </c>
      <c r="E738" s="65" t="n">
        <v>0</v>
      </c>
      <c r="F738" s="69"/>
    </row>
    <row r="739" customFormat="false" ht="15.75" hidden="false" customHeight="true" outlineLevel="0" collapsed="false">
      <c r="B739" s="65" t="n">
        <v>0</v>
      </c>
      <c r="C739" s="69"/>
      <c r="D739" s="69" t="n">
        <v>0</v>
      </c>
      <c r="E739" s="65" t="n">
        <v>0</v>
      </c>
      <c r="F739" s="69"/>
    </row>
    <row r="740" customFormat="false" ht="15.75" hidden="false" customHeight="true" outlineLevel="0" collapsed="false">
      <c r="B740" s="65" t="n">
        <v>0</v>
      </c>
      <c r="C740" s="69"/>
      <c r="D740" s="69" t="n">
        <v>0</v>
      </c>
      <c r="E740" s="65" t="n">
        <v>0</v>
      </c>
      <c r="F740" s="69"/>
    </row>
    <row r="741" customFormat="false" ht="15.75" hidden="false" customHeight="true" outlineLevel="0" collapsed="false">
      <c r="B741" s="65" t="n">
        <v>0</v>
      </c>
      <c r="C741" s="69"/>
      <c r="D741" s="69" t="n">
        <v>0</v>
      </c>
      <c r="E741" s="65" t="n">
        <v>0</v>
      </c>
      <c r="F741" s="69"/>
    </row>
    <row r="742" customFormat="false" ht="15.75" hidden="false" customHeight="true" outlineLevel="0" collapsed="false">
      <c r="B742" s="65" t="n">
        <v>0</v>
      </c>
      <c r="C742" s="69"/>
      <c r="D742" s="69" t="n">
        <v>0</v>
      </c>
      <c r="E742" s="65" t="n">
        <v>0</v>
      </c>
      <c r="F742" s="69"/>
    </row>
    <row r="743" customFormat="false" ht="15.75" hidden="false" customHeight="true" outlineLevel="0" collapsed="false">
      <c r="B743" s="65" t="n">
        <v>0</v>
      </c>
      <c r="C743" s="69"/>
      <c r="D743" s="69" t="n">
        <v>0</v>
      </c>
      <c r="E743" s="65" t="n">
        <v>0</v>
      </c>
      <c r="F743" s="69"/>
    </row>
    <row r="744" customFormat="false" ht="15.75" hidden="false" customHeight="true" outlineLevel="0" collapsed="false">
      <c r="B744" s="65" t="n">
        <v>0</v>
      </c>
      <c r="C744" s="69"/>
      <c r="D744" s="69" t="n">
        <v>0</v>
      </c>
      <c r="E744" s="65" t="n">
        <v>0</v>
      </c>
      <c r="F744" s="69"/>
    </row>
    <row r="745" customFormat="false" ht="15.75" hidden="false" customHeight="true" outlineLevel="0" collapsed="false">
      <c r="B745" s="65" t="n">
        <v>0</v>
      </c>
      <c r="C745" s="69"/>
      <c r="D745" s="69" t="n">
        <v>0</v>
      </c>
      <c r="E745" s="65" t="n">
        <v>0</v>
      </c>
      <c r="F745" s="69"/>
    </row>
    <row r="746" customFormat="false" ht="15.75" hidden="false" customHeight="true" outlineLevel="0" collapsed="false">
      <c r="B746" s="65" t="n">
        <v>0</v>
      </c>
      <c r="C746" s="69"/>
      <c r="D746" s="69" t="n">
        <v>0</v>
      </c>
      <c r="E746" s="65" t="n">
        <v>0</v>
      </c>
      <c r="F746" s="69"/>
    </row>
    <row r="747" customFormat="false" ht="15.75" hidden="false" customHeight="true" outlineLevel="0" collapsed="false">
      <c r="B747" s="65" t="n">
        <v>0</v>
      </c>
      <c r="C747" s="69"/>
      <c r="D747" s="69" t="n">
        <v>0</v>
      </c>
      <c r="E747" s="65" t="n">
        <v>0</v>
      </c>
      <c r="F747" s="69"/>
    </row>
    <row r="748" customFormat="false" ht="15.75" hidden="false" customHeight="true" outlineLevel="0" collapsed="false">
      <c r="B748" s="65" t="n">
        <v>0</v>
      </c>
      <c r="C748" s="69"/>
      <c r="D748" s="69" t="n">
        <v>0</v>
      </c>
      <c r="E748" s="65" t="n">
        <v>0</v>
      </c>
      <c r="F748" s="69"/>
    </row>
    <row r="749" customFormat="false" ht="15.75" hidden="false" customHeight="true" outlineLevel="0" collapsed="false">
      <c r="B749" s="65" t="n">
        <v>0</v>
      </c>
      <c r="C749" s="69"/>
      <c r="D749" s="69" t="n">
        <v>0</v>
      </c>
      <c r="E749" s="65" t="n">
        <v>0</v>
      </c>
      <c r="F749" s="69"/>
    </row>
    <row r="750" customFormat="false" ht="15.75" hidden="false" customHeight="true" outlineLevel="0" collapsed="false">
      <c r="B750" s="65" t="n">
        <v>0</v>
      </c>
      <c r="C750" s="69"/>
      <c r="D750" s="69" t="n">
        <v>0</v>
      </c>
      <c r="E750" s="65" t="n">
        <v>0</v>
      </c>
      <c r="F750" s="69"/>
    </row>
    <row r="751" customFormat="false" ht="15.75" hidden="false" customHeight="true" outlineLevel="0" collapsed="false">
      <c r="B751" s="65" t="n">
        <v>0</v>
      </c>
      <c r="C751" s="69"/>
      <c r="D751" s="69" t="n">
        <v>0</v>
      </c>
      <c r="E751" s="65" t="n">
        <v>0</v>
      </c>
      <c r="F751" s="69"/>
    </row>
    <row r="752" customFormat="false" ht="15.75" hidden="false" customHeight="true" outlineLevel="0" collapsed="false">
      <c r="B752" s="65" t="n">
        <v>0</v>
      </c>
      <c r="C752" s="69"/>
      <c r="D752" s="69" t="n">
        <v>0</v>
      </c>
      <c r="E752" s="65" t="n">
        <v>0</v>
      </c>
      <c r="F752" s="69"/>
    </row>
    <row r="753" customFormat="false" ht="15.75" hidden="false" customHeight="true" outlineLevel="0" collapsed="false">
      <c r="B753" s="65" t="n">
        <v>0</v>
      </c>
      <c r="C753" s="69"/>
      <c r="D753" s="69" t="n">
        <v>0</v>
      </c>
      <c r="E753" s="65" t="n">
        <v>0</v>
      </c>
      <c r="F753" s="69"/>
    </row>
    <row r="754" customFormat="false" ht="15.75" hidden="false" customHeight="true" outlineLevel="0" collapsed="false">
      <c r="B754" s="65" t="n">
        <v>0</v>
      </c>
      <c r="C754" s="69"/>
      <c r="D754" s="69" t="n">
        <v>0</v>
      </c>
      <c r="E754" s="65" t="n">
        <v>0</v>
      </c>
      <c r="F754" s="69"/>
    </row>
    <row r="755" customFormat="false" ht="15.75" hidden="false" customHeight="true" outlineLevel="0" collapsed="false">
      <c r="B755" s="65" t="n">
        <v>0</v>
      </c>
      <c r="C755" s="69"/>
      <c r="D755" s="69" t="n">
        <v>0</v>
      </c>
      <c r="E755" s="65" t="n">
        <v>0</v>
      </c>
      <c r="F755" s="69"/>
    </row>
    <row r="756" customFormat="false" ht="15.75" hidden="false" customHeight="true" outlineLevel="0" collapsed="false">
      <c r="B756" s="65" t="n">
        <v>0</v>
      </c>
      <c r="C756" s="69"/>
      <c r="D756" s="69" t="n">
        <v>0</v>
      </c>
      <c r="E756" s="65" t="n">
        <v>0</v>
      </c>
      <c r="F756" s="69"/>
    </row>
    <row r="757" customFormat="false" ht="15.75" hidden="false" customHeight="true" outlineLevel="0" collapsed="false">
      <c r="B757" s="65" t="n">
        <v>0</v>
      </c>
      <c r="C757" s="69"/>
      <c r="D757" s="69" t="n">
        <v>0</v>
      </c>
      <c r="E757" s="65" t="n">
        <v>0</v>
      </c>
      <c r="F757" s="69"/>
    </row>
    <row r="758" customFormat="false" ht="15.75" hidden="false" customHeight="true" outlineLevel="0" collapsed="false">
      <c r="B758" s="65" t="n">
        <v>0</v>
      </c>
      <c r="C758" s="69"/>
      <c r="D758" s="69" t="n">
        <v>0</v>
      </c>
      <c r="E758" s="65" t="n">
        <v>0</v>
      </c>
      <c r="F758" s="69"/>
    </row>
    <row r="759" customFormat="false" ht="15.75" hidden="false" customHeight="true" outlineLevel="0" collapsed="false">
      <c r="B759" s="65" t="n">
        <v>0</v>
      </c>
      <c r="C759" s="69"/>
      <c r="D759" s="69" t="n">
        <v>0</v>
      </c>
      <c r="E759" s="65" t="n">
        <v>0</v>
      </c>
      <c r="F759" s="69"/>
    </row>
    <row r="760" customFormat="false" ht="15.75" hidden="false" customHeight="true" outlineLevel="0" collapsed="false">
      <c r="B760" s="65" t="n">
        <v>0</v>
      </c>
      <c r="C760" s="69"/>
      <c r="D760" s="69" t="n">
        <v>0</v>
      </c>
      <c r="E760" s="65" t="n">
        <v>0</v>
      </c>
      <c r="F760" s="69"/>
    </row>
    <row r="761" customFormat="false" ht="15.75" hidden="false" customHeight="true" outlineLevel="0" collapsed="false">
      <c r="B761" s="65" t="n">
        <v>0</v>
      </c>
      <c r="C761" s="69"/>
      <c r="D761" s="69" t="n">
        <v>0</v>
      </c>
      <c r="E761" s="65" t="n">
        <v>0</v>
      </c>
      <c r="F761" s="69"/>
    </row>
    <row r="762" customFormat="false" ht="15.75" hidden="false" customHeight="true" outlineLevel="0" collapsed="false">
      <c r="B762" s="65" t="n">
        <v>0</v>
      </c>
      <c r="C762" s="69"/>
      <c r="D762" s="69" t="n">
        <v>0</v>
      </c>
      <c r="E762" s="65" t="n">
        <v>0</v>
      </c>
      <c r="F762" s="69"/>
    </row>
    <row r="763" customFormat="false" ht="15.75" hidden="false" customHeight="true" outlineLevel="0" collapsed="false">
      <c r="B763" s="65" t="n">
        <v>0</v>
      </c>
      <c r="C763" s="69"/>
      <c r="D763" s="69" t="n">
        <v>0</v>
      </c>
      <c r="E763" s="65" t="n">
        <v>0</v>
      </c>
      <c r="F763" s="69"/>
    </row>
    <row r="764" customFormat="false" ht="15.75" hidden="false" customHeight="true" outlineLevel="0" collapsed="false">
      <c r="B764" s="65" t="n">
        <v>0</v>
      </c>
      <c r="C764" s="69"/>
      <c r="D764" s="69" t="n">
        <v>0</v>
      </c>
      <c r="E764" s="65" t="n">
        <v>0</v>
      </c>
      <c r="F764" s="69"/>
    </row>
    <row r="765" customFormat="false" ht="15.75" hidden="false" customHeight="true" outlineLevel="0" collapsed="false">
      <c r="B765" s="65" t="n">
        <v>0</v>
      </c>
      <c r="C765" s="69"/>
      <c r="D765" s="69" t="n">
        <v>0</v>
      </c>
      <c r="E765" s="65" t="n">
        <v>0</v>
      </c>
      <c r="F765" s="69"/>
    </row>
    <row r="766" customFormat="false" ht="15.75" hidden="false" customHeight="true" outlineLevel="0" collapsed="false">
      <c r="B766" s="65" t="n">
        <v>0</v>
      </c>
      <c r="C766" s="69"/>
      <c r="D766" s="69" t="n">
        <v>0</v>
      </c>
      <c r="E766" s="65" t="n">
        <v>0</v>
      </c>
      <c r="F766" s="69"/>
    </row>
    <row r="767" customFormat="false" ht="15.75" hidden="false" customHeight="true" outlineLevel="0" collapsed="false">
      <c r="B767" s="65" t="n">
        <v>0</v>
      </c>
      <c r="C767" s="69"/>
      <c r="D767" s="69" t="n">
        <v>0</v>
      </c>
      <c r="E767" s="65" t="n">
        <v>0</v>
      </c>
      <c r="F767" s="69"/>
    </row>
    <row r="768" customFormat="false" ht="15.75" hidden="false" customHeight="true" outlineLevel="0" collapsed="false">
      <c r="B768" s="65" t="n">
        <v>0</v>
      </c>
      <c r="C768" s="69"/>
      <c r="D768" s="69" t="n">
        <v>0</v>
      </c>
      <c r="E768" s="65" t="n">
        <v>0</v>
      </c>
      <c r="F768" s="69"/>
    </row>
    <row r="769" customFormat="false" ht="15.75" hidden="false" customHeight="true" outlineLevel="0" collapsed="false">
      <c r="B769" s="65" t="n">
        <v>0</v>
      </c>
      <c r="C769" s="69"/>
      <c r="D769" s="69" t="n">
        <v>0</v>
      </c>
      <c r="E769" s="65" t="n">
        <v>0</v>
      </c>
      <c r="F769" s="69"/>
    </row>
    <row r="770" customFormat="false" ht="15.75" hidden="false" customHeight="true" outlineLevel="0" collapsed="false">
      <c r="B770" s="65" t="n">
        <v>0</v>
      </c>
      <c r="C770" s="69"/>
      <c r="D770" s="69" t="n">
        <v>0</v>
      </c>
      <c r="E770" s="65" t="n">
        <v>0</v>
      </c>
      <c r="F770" s="69"/>
    </row>
    <row r="771" customFormat="false" ht="15.75" hidden="false" customHeight="true" outlineLevel="0" collapsed="false">
      <c r="B771" s="65" t="n">
        <v>0</v>
      </c>
      <c r="C771" s="69"/>
      <c r="D771" s="69" t="n">
        <v>0</v>
      </c>
      <c r="E771" s="65" t="n">
        <v>0</v>
      </c>
      <c r="F771" s="69"/>
    </row>
    <row r="772" customFormat="false" ht="15.75" hidden="false" customHeight="true" outlineLevel="0" collapsed="false">
      <c r="B772" s="65" t="n">
        <v>0</v>
      </c>
      <c r="C772" s="69"/>
      <c r="D772" s="69" t="n">
        <v>0</v>
      </c>
      <c r="E772" s="65" t="n">
        <v>0</v>
      </c>
      <c r="F772" s="69"/>
    </row>
    <row r="773" customFormat="false" ht="15.75" hidden="false" customHeight="true" outlineLevel="0" collapsed="false">
      <c r="B773" s="65" t="n">
        <v>0</v>
      </c>
      <c r="C773" s="69"/>
      <c r="D773" s="69" t="n">
        <v>0</v>
      </c>
      <c r="E773" s="65" t="n">
        <v>0</v>
      </c>
      <c r="F773" s="69"/>
    </row>
    <row r="774" customFormat="false" ht="15.75" hidden="false" customHeight="true" outlineLevel="0" collapsed="false">
      <c r="B774" s="65" t="n">
        <v>0</v>
      </c>
      <c r="C774" s="69"/>
      <c r="D774" s="69" t="n">
        <v>0</v>
      </c>
      <c r="E774" s="65" t="n">
        <v>0</v>
      </c>
      <c r="F774" s="69"/>
    </row>
    <row r="775" customFormat="false" ht="15.75" hidden="false" customHeight="true" outlineLevel="0" collapsed="false">
      <c r="B775" s="65" t="n">
        <v>0</v>
      </c>
      <c r="C775" s="69"/>
      <c r="D775" s="69" t="n">
        <v>0</v>
      </c>
      <c r="E775" s="65" t="n">
        <v>0</v>
      </c>
      <c r="F775" s="69"/>
    </row>
    <row r="776" customFormat="false" ht="15.75" hidden="false" customHeight="true" outlineLevel="0" collapsed="false">
      <c r="B776" s="65" t="n">
        <v>0</v>
      </c>
      <c r="C776" s="69"/>
      <c r="D776" s="69" t="n">
        <v>0</v>
      </c>
      <c r="E776" s="65" t="n">
        <v>0</v>
      </c>
      <c r="F776" s="69"/>
    </row>
    <row r="777" customFormat="false" ht="15.75" hidden="false" customHeight="true" outlineLevel="0" collapsed="false">
      <c r="B777" s="65" t="n">
        <v>0</v>
      </c>
      <c r="C777" s="69"/>
      <c r="D777" s="69" t="n">
        <v>0</v>
      </c>
      <c r="E777" s="65" t="n">
        <v>0</v>
      </c>
      <c r="F777" s="69"/>
    </row>
    <row r="778" customFormat="false" ht="15.75" hidden="false" customHeight="true" outlineLevel="0" collapsed="false">
      <c r="B778" s="65" t="n">
        <v>0</v>
      </c>
      <c r="C778" s="69"/>
      <c r="D778" s="69" t="n">
        <v>0</v>
      </c>
      <c r="E778" s="65" t="n">
        <v>0</v>
      </c>
      <c r="F778" s="69"/>
    </row>
    <row r="779" customFormat="false" ht="15.75" hidden="false" customHeight="true" outlineLevel="0" collapsed="false">
      <c r="B779" s="65" t="n">
        <v>0</v>
      </c>
      <c r="C779" s="69"/>
      <c r="D779" s="69" t="n">
        <v>0</v>
      </c>
      <c r="E779" s="65" t="n">
        <v>0</v>
      </c>
      <c r="F779" s="69"/>
    </row>
    <row r="780" customFormat="false" ht="15.75" hidden="false" customHeight="true" outlineLevel="0" collapsed="false">
      <c r="B780" s="65" t="n">
        <v>0</v>
      </c>
      <c r="C780" s="69"/>
      <c r="D780" s="69" t="n">
        <v>0</v>
      </c>
      <c r="E780" s="65" t="n">
        <v>0</v>
      </c>
      <c r="F780" s="69"/>
    </row>
    <row r="781" customFormat="false" ht="15.75" hidden="false" customHeight="true" outlineLevel="0" collapsed="false">
      <c r="B781" s="65" t="n">
        <v>0</v>
      </c>
      <c r="C781" s="69"/>
      <c r="D781" s="69" t="n">
        <v>0</v>
      </c>
      <c r="E781" s="65" t="n">
        <v>0</v>
      </c>
      <c r="F781" s="69"/>
    </row>
    <row r="782" customFormat="false" ht="15.75" hidden="false" customHeight="true" outlineLevel="0" collapsed="false">
      <c r="B782" s="65" t="n">
        <v>0</v>
      </c>
      <c r="C782" s="69"/>
      <c r="D782" s="69" t="n">
        <v>0</v>
      </c>
      <c r="E782" s="65" t="n">
        <v>0</v>
      </c>
      <c r="F782" s="69"/>
    </row>
    <row r="783" customFormat="false" ht="15.75" hidden="false" customHeight="true" outlineLevel="0" collapsed="false">
      <c r="B783" s="65" t="n">
        <v>0</v>
      </c>
      <c r="C783" s="69"/>
      <c r="D783" s="69" t="n">
        <v>0</v>
      </c>
      <c r="E783" s="65" t="n">
        <v>0</v>
      </c>
      <c r="F783" s="69"/>
    </row>
    <row r="784" customFormat="false" ht="15.75" hidden="false" customHeight="true" outlineLevel="0" collapsed="false">
      <c r="B784" s="65" t="n">
        <v>0</v>
      </c>
      <c r="C784" s="69"/>
      <c r="D784" s="69" t="n">
        <v>0</v>
      </c>
      <c r="E784" s="65" t="n">
        <v>0</v>
      </c>
      <c r="F784" s="69"/>
    </row>
    <row r="785" customFormat="false" ht="15.75" hidden="false" customHeight="true" outlineLevel="0" collapsed="false">
      <c r="B785" s="65" t="n">
        <v>0</v>
      </c>
      <c r="C785" s="69"/>
      <c r="D785" s="69" t="n">
        <v>0</v>
      </c>
      <c r="E785" s="65" t="n">
        <v>0</v>
      </c>
      <c r="F785" s="69"/>
    </row>
    <row r="786" customFormat="false" ht="15.75" hidden="false" customHeight="true" outlineLevel="0" collapsed="false">
      <c r="B786" s="65" t="n">
        <v>0</v>
      </c>
      <c r="C786" s="69"/>
      <c r="D786" s="69" t="n">
        <v>0</v>
      </c>
      <c r="E786" s="65" t="n">
        <v>0</v>
      </c>
      <c r="F786" s="69"/>
    </row>
    <row r="787" customFormat="false" ht="15.75" hidden="false" customHeight="true" outlineLevel="0" collapsed="false">
      <c r="B787" s="65" t="n">
        <v>0</v>
      </c>
      <c r="C787" s="69"/>
      <c r="D787" s="69" t="n">
        <v>0</v>
      </c>
      <c r="E787" s="65" t="n">
        <v>0</v>
      </c>
      <c r="F787" s="69"/>
    </row>
    <row r="788" customFormat="false" ht="15.75" hidden="false" customHeight="true" outlineLevel="0" collapsed="false">
      <c r="B788" s="65" t="n">
        <v>0</v>
      </c>
      <c r="C788" s="69"/>
      <c r="D788" s="69" t="n">
        <v>0</v>
      </c>
      <c r="E788" s="65" t="n">
        <v>0</v>
      </c>
      <c r="F788" s="69"/>
    </row>
    <row r="789" customFormat="false" ht="15.75" hidden="false" customHeight="true" outlineLevel="0" collapsed="false">
      <c r="B789" s="65" t="n">
        <v>0</v>
      </c>
      <c r="C789" s="69"/>
      <c r="D789" s="69" t="n">
        <v>0</v>
      </c>
      <c r="E789" s="65" t="n">
        <v>0</v>
      </c>
      <c r="F789" s="69"/>
    </row>
    <row r="790" customFormat="false" ht="15.75" hidden="false" customHeight="true" outlineLevel="0" collapsed="false">
      <c r="B790" s="65" t="n">
        <v>0</v>
      </c>
      <c r="C790" s="69"/>
      <c r="D790" s="69" t="n">
        <v>0</v>
      </c>
      <c r="E790" s="65" t="n">
        <v>0</v>
      </c>
      <c r="F790" s="69"/>
    </row>
    <row r="791" customFormat="false" ht="15.75" hidden="false" customHeight="true" outlineLevel="0" collapsed="false">
      <c r="B791" s="65" t="n">
        <v>0</v>
      </c>
      <c r="C791" s="69"/>
      <c r="D791" s="69" t="n">
        <v>0</v>
      </c>
      <c r="E791" s="65" t="n">
        <v>0</v>
      </c>
      <c r="F791" s="69"/>
    </row>
    <row r="792" customFormat="false" ht="15.75" hidden="false" customHeight="true" outlineLevel="0" collapsed="false">
      <c r="B792" s="65" t="n">
        <v>0</v>
      </c>
      <c r="C792" s="69"/>
      <c r="D792" s="69" t="n">
        <v>0</v>
      </c>
      <c r="E792" s="65" t="n">
        <v>0</v>
      </c>
      <c r="F792" s="69"/>
    </row>
    <row r="793" customFormat="false" ht="15.75" hidden="false" customHeight="true" outlineLevel="0" collapsed="false">
      <c r="B793" s="65" t="n">
        <v>0</v>
      </c>
      <c r="C793" s="69"/>
      <c r="D793" s="69" t="n">
        <v>0</v>
      </c>
      <c r="E793" s="65" t="n">
        <v>0</v>
      </c>
      <c r="F793" s="69"/>
    </row>
    <row r="794" customFormat="false" ht="15.75" hidden="false" customHeight="true" outlineLevel="0" collapsed="false">
      <c r="B794" s="65" t="n">
        <v>0</v>
      </c>
      <c r="C794" s="69"/>
      <c r="D794" s="69" t="n">
        <v>0</v>
      </c>
      <c r="E794" s="65" t="n">
        <v>0</v>
      </c>
      <c r="F794" s="69"/>
    </row>
    <row r="795" customFormat="false" ht="15.75" hidden="false" customHeight="true" outlineLevel="0" collapsed="false">
      <c r="B795" s="65" t="n">
        <v>0</v>
      </c>
      <c r="C795" s="69"/>
      <c r="D795" s="69" t="n">
        <v>0</v>
      </c>
      <c r="E795" s="65" t="n">
        <v>0</v>
      </c>
      <c r="F795" s="69"/>
    </row>
    <row r="796" customFormat="false" ht="15.75" hidden="false" customHeight="true" outlineLevel="0" collapsed="false">
      <c r="B796" s="65" t="n">
        <v>0</v>
      </c>
      <c r="C796" s="69"/>
      <c r="D796" s="69" t="n">
        <v>0</v>
      </c>
      <c r="E796" s="65" t="n">
        <v>0</v>
      </c>
      <c r="F796" s="69"/>
    </row>
    <row r="797" customFormat="false" ht="15.75" hidden="false" customHeight="true" outlineLevel="0" collapsed="false">
      <c r="B797" s="65" t="n">
        <v>0</v>
      </c>
      <c r="C797" s="69"/>
      <c r="D797" s="69" t="n">
        <v>0</v>
      </c>
      <c r="E797" s="65" t="n">
        <v>0</v>
      </c>
      <c r="F797" s="69"/>
    </row>
    <row r="798" customFormat="false" ht="15.75" hidden="false" customHeight="true" outlineLevel="0" collapsed="false">
      <c r="B798" s="65" t="n">
        <v>0</v>
      </c>
      <c r="C798" s="69"/>
      <c r="D798" s="69" t="n">
        <v>0</v>
      </c>
      <c r="E798" s="65" t="n">
        <v>0</v>
      </c>
      <c r="F798" s="69"/>
    </row>
    <row r="799" customFormat="false" ht="15.75" hidden="false" customHeight="true" outlineLevel="0" collapsed="false">
      <c r="B799" s="65" t="n">
        <v>0</v>
      </c>
      <c r="C799" s="69"/>
      <c r="D799" s="69" t="n">
        <v>0</v>
      </c>
      <c r="E799" s="65" t="n">
        <v>0</v>
      </c>
      <c r="F799" s="69"/>
    </row>
    <row r="800" customFormat="false" ht="15.75" hidden="false" customHeight="true" outlineLevel="0" collapsed="false">
      <c r="B800" s="65" t="n">
        <v>0</v>
      </c>
      <c r="C800" s="69"/>
      <c r="D800" s="69" t="n">
        <v>0</v>
      </c>
      <c r="E800" s="65" t="n">
        <v>0</v>
      </c>
      <c r="F800" s="69"/>
    </row>
    <row r="801" customFormat="false" ht="15.75" hidden="false" customHeight="true" outlineLevel="0" collapsed="false">
      <c r="B801" s="65" t="n">
        <v>0</v>
      </c>
      <c r="C801" s="69"/>
      <c r="D801" s="69" t="n">
        <v>0</v>
      </c>
      <c r="E801" s="65" t="n">
        <v>0</v>
      </c>
      <c r="F801" s="69"/>
    </row>
    <row r="802" customFormat="false" ht="15.75" hidden="false" customHeight="true" outlineLevel="0" collapsed="false">
      <c r="B802" s="65" t="n">
        <v>0</v>
      </c>
      <c r="C802" s="69"/>
      <c r="D802" s="69" t="n">
        <v>0</v>
      </c>
      <c r="E802" s="65" t="n">
        <v>0</v>
      </c>
      <c r="F802" s="69"/>
    </row>
    <row r="803" customFormat="false" ht="15.75" hidden="false" customHeight="true" outlineLevel="0" collapsed="false">
      <c r="B803" s="65" t="n">
        <v>0</v>
      </c>
      <c r="C803" s="69"/>
      <c r="D803" s="69" t="n">
        <v>0</v>
      </c>
      <c r="E803" s="65" t="n">
        <v>0</v>
      </c>
      <c r="F803" s="69"/>
    </row>
    <row r="804" customFormat="false" ht="15.75" hidden="false" customHeight="true" outlineLevel="0" collapsed="false">
      <c r="B804" s="65" t="n">
        <v>0</v>
      </c>
      <c r="C804" s="69"/>
      <c r="D804" s="69" t="n">
        <v>0</v>
      </c>
      <c r="E804" s="65" t="n">
        <v>0</v>
      </c>
      <c r="F804" s="69"/>
    </row>
    <row r="805" customFormat="false" ht="15.75" hidden="false" customHeight="true" outlineLevel="0" collapsed="false">
      <c r="B805" s="65" t="n">
        <v>0</v>
      </c>
      <c r="C805" s="69"/>
      <c r="D805" s="69" t="n">
        <v>0</v>
      </c>
      <c r="E805" s="65" t="n">
        <v>0</v>
      </c>
      <c r="F805" s="69"/>
    </row>
    <row r="806" customFormat="false" ht="15.75" hidden="false" customHeight="true" outlineLevel="0" collapsed="false">
      <c r="B806" s="65" t="n">
        <v>0</v>
      </c>
      <c r="C806" s="69"/>
      <c r="D806" s="69" t="n">
        <v>0</v>
      </c>
      <c r="E806" s="65" t="n">
        <v>0</v>
      </c>
      <c r="F806" s="69"/>
    </row>
    <row r="807" customFormat="false" ht="15.75" hidden="false" customHeight="true" outlineLevel="0" collapsed="false">
      <c r="B807" s="65" t="n">
        <v>0</v>
      </c>
      <c r="C807" s="69"/>
      <c r="D807" s="69" t="n">
        <v>0</v>
      </c>
      <c r="E807" s="65" t="n">
        <v>0</v>
      </c>
      <c r="F807" s="69"/>
    </row>
    <row r="808" customFormat="false" ht="15.75" hidden="false" customHeight="true" outlineLevel="0" collapsed="false">
      <c r="B808" s="65" t="n">
        <v>0</v>
      </c>
      <c r="C808" s="69"/>
      <c r="D808" s="69" t="n">
        <v>0</v>
      </c>
      <c r="E808" s="65" t="n">
        <v>0</v>
      </c>
      <c r="F808" s="69"/>
    </row>
    <row r="809" customFormat="false" ht="15.75" hidden="false" customHeight="true" outlineLevel="0" collapsed="false">
      <c r="B809" s="65" t="n">
        <v>0</v>
      </c>
      <c r="C809" s="69"/>
      <c r="D809" s="69" t="n">
        <v>0</v>
      </c>
      <c r="E809" s="65" t="n">
        <v>0</v>
      </c>
      <c r="F809" s="69"/>
    </row>
    <row r="810" customFormat="false" ht="15.75" hidden="false" customHeight="true" outlineLevel="0" collapsed="false">
      <c r="B810" s="65" t="n">
        <v>0</v>
      </c>
      <c r="C810" s="69"/>
      <c r="D810" s="69" t="n">
        <v>0</v>
      </c>
      <c r="E810" s="65" t="n">
        <v>0</v>
      </c>
      <c r="F810" s="69"/>
    </row>
    <row r="811" customFormat="false" ht="15.75" hidden="false" customHeight="true" outlineLevel="0" collapsed="false">
      <c r="B811" s="65" t="n">
        <v>0</v>
      </c>
      <c r="C811" s="69"/>
      <c r="D811" s="69" t="n">
        <v>0</v>
      </c>
      <c r="E811" s="65" t="n">
        <v>0</v>
      </c>
      <c r="F811" s="69"/>
    </row>
    <row r="812" customFormat="false" ht="15.75" hidden="false" customHeight="true" outlineLevel="0" collapsed="false">
      <c r="B812" s="65" t="n">
        <v>0</v>
      </c>
      <c r="C812" s="69"/>
      <c r="D812" s="69" t="n">
        <v>0</v>
      </c>
      <c r="E812" s="65" t="n">
        <v>0</v>
      </c>
      <c r="F812" s="69"/>
    </row>
    <row r="813" customFormat="false" ht="15.75" hidden="false" customHeight="true" outlineLevel="0" collapsed="false">
      <c r="B813" s="65" t="n">
        <v>0</v>
      </c>
      <c r="C813" s="69"/>
      <c r="D813" s="69" t="n">
        <v>0</v>
      </c>
      <c r="E813" s="65" t="n">
        <v>0</v>
      </c>
      <c r="F813" s="69"/>
    </row>
    <row r="814" customFormat="false" ht="15.75" hidden="false" customHeight="true" outlineLevel="0" collapsed="false">
      <c r="B814" s="65" t="n">
        <v>0</v>
      </c>
      <c r="C814" s="69"/>
      <c r="D814" s="69" t="n">
        <v>0</v>
      </c>
      <c r="E814" s="65" t="n">
        <v>0</v>
      </c>
      <c r="F814" s="69"/>
    </row>
    <row r="815" customFormat="false" ht="15.75" hidden="false" customHeight="true" outlineLevel="0" collapsed="false">
      <c r="B815" s="65" t="n">
        <v>0</v>
      </c>
      <c r="C815" s="69"/>
      <c r="D815" s="69" t="n">
        <v>0</v>
      </c>
      <c r="E815" s="65" t="n">
        <v>0</v>
      </c>
      <c r="F815" s="69"/>
    </row>
    <row r="816" customFormat="false" ht="15.75" hidden="false" customHeight="true" outlineLevel="0" collapsed="false">
      <c r="B816" s="65" t="n">
        <v>0</v>
      </c>
      <c r="C816" s="69"/>
      <c r="D816" s="69" t="n">
        <v>0</v>
      </c>
      <c r="E816" s="65" t="n">
        <v>0</v>
      </c>
      <c r="F816" s="69"/>
    </row>
    <row r="817" customFormat="false" ht="15.75" hidden="false" customHeight="true" outlineLevel="0" collapsed="false">
      <c r="B817" s="65" t="n">
        <v>0</v>
      </c>
      <c r="C817" s="69"/>
      <c r="D817" s="69" t="n">
        <v>0</v>
      </c>
      <c r="E817" s="65" t="n">
        <v>0</v>
      </c>
      <c r="F817" s="69"/>
    </row>
    <row r="818" customFormat="false" ht="15.75" hidden="false" customHeight="true" outlineLevel="0" collapsed="false">
      <c r="B818" s="65" t="n">
        <v>0</v>
      </c>
      <c r="C818" s="69"/>
      <c r="D818" s="69" t="n">
        <v>0</v>
      </c>
      <c r="E818" s="65" t="n">
        <v>0</v>
      </c>
      <c r="F818" s="69"/>
    </row>
    <row r="819" customFormat="false" ht="15.75" hidden="false" customHeight="true" outlineLevel="0" collapsed="false">
      <c r="B819" s="65" t="n">
        <v>0</v>
      </c>
      <c r="C819" s="69"/>
      <c r="D819" s="69" t="n">
        <v>0</v>
      </c>
      <c r="E819" s="65" t="n">
        <v>0</v>
      </c>
      <c r="F819" s="69"/>
    </row>
    <row r="820" customFormat="false" ht="15.75" hidden="false" customHeight="true" outlineLevel="0" collapsed="false">
      <c r="B820" s="65" t="n">
        <v>0</v>
      </c>
      <c r="C820" s="69"/>
      <c r="D820" s="69" t="n">
        <v>0</v>
      </c>
      <c r="E820" s="65" t="n">
        <v>0</v>
      </c>
      <c r="F820" s="69"/>
    </row>
    <row r="821" customFormat="false" ht="15.75" hidden="false" customHeight="true" outlineLevel="0" collapsed="false">
      <c r="B821" s="65" t="n">
        <v>0</v>
      </c>
      <c r="C821" s="69"/>
      <c r="D821" s="69" t="n">
        <v>0</v>
      </c>
      <c r="E821" s="65" t="n">
        <v>0</v>
      </c>
      <c r="F821" s="69"/>
    </row>
    <row r="822" customFormat="false" ht="15.75" hidden="false" customHeight="true" outlineLevel="0" collapsed="false">
      <c r="B822" s="65" t="n">
        <v>0</v>
      </c>
      <c r="C822" s="69"/>
      <c r="D822" s="69" t="n">
        <v>0</v>
      </c>
      <c r="E822" s="65" t="n">
        <v>0</v>
      </c>
      <c r="F822" s="69"/>
    </row>
    <row r="823" customFormat="false" ht="15.75" hidden="false" customHeight="true" outlineLevel="0" collapsed="false">
      <c r="B823" s="65" t="n">
        <v>0</v>
      </c>
      <c r="C823" s="69"/>
      <c r="D823" s="69" t="n">
        <v>0</v>
      </c>
      <c r="E823" s="65" t="n">
        <v>0</v>
      </c>
      <c r="F823" s="69"/>
    </row>
    <row r="824" customFormat="false" ht="15.75" hidden="false" customHeight="true" outlineLevel="0" collapsed="false">
      <c r="B824" s="65" t="n">
        <v>0</v>
      </c>
      <c r="C824" s="69"/>
      <c r="D824" s="69" t="n">
        <v>0</v>
      </c>
      <c r="E824" s="65" t="n">
        <v>0</v>
      </c>
      <c r="F824" s="69"/>
    </row>
    <row r="825" customFormat="false" ht="15.75" hidden="false" customHeight="true" outlineLevel="0" collapsed="false">
      <c r="B825" s="65" t="n">
        <v>0</v>
      </c>
      <c r="C825" s="69"/>
      <c r="D825" s="69" t="n">
        <v>0</v>
      </c>
      <c r="E825" s="65" t="n">
        <v>0</v>
      </c>
      <c r="F825" s="69"/>
    </row>
    <row r="826" customFormat="false" ht="15.75" hidden="false" customHeight="true" outlineLevel="0" collapsed="false">
      <c r="B826" s="65" t="n">
        <v>0</v>
      </c>
      <c r="C826" s="69"/>
      <c r="D826" s="69" t="n">
        <v>0</v>
      </c>
      <c r="E826" s="65" t="n">
        <v>0</v>
      </c>
      <c r="F826" s="69"/>
    </row>
    <row r="827" customFormat="false" ht="15.75" hidden="false" customHeight="true" outlineLevel="0" collapsed="false">
      <c r="B827" s="65" t="n">
        <v>0</v>
      </c>
      <c r="C827" s="69"/>
      <c r="D827" s="69" t="n">
        <v>0</v>
      </c>
      <c r="E827" s="65" t="n">
        <v>0</v>
      </c>
      <c r="F827" s="69"/>
    </row>
    <row r="828" customFormat="false" ht="15.75" hidden="false" customHeight="true" outlineLevel="0" collapsed="false">
      <c r="B828" s="65" t="n">
        <v>0</v>
      </c>
      <c r="C828" s="69"/>
      <c r="D828" s="69" t="n">
        <v>0</v>
      </c>
      <c r="E828" s="65" t="n">
        <v>0</v>
      </c>
      <c r="F828" s="69"/>
    </row>
    <row r="829" customFormat="false" ht="15.75" hidden="false" customHeight="true" outlineLevel="0" collapsed="false">
      <c r="B829" s="65" t="n">
        <v>0</v>
      </c>
      <c r="C829" s="69"/>
      <c r="D829" s="69" t="n">
        <v>0</v>
      </c>
      <c r="E829" s="65" t="n">
        <v>0</v>
      </c>
      <c r="F829" s="69"/>
    </row>
    <row r="830" customFormat="false" ht="15.75" hidden="false" customHeight="true" outlineLevel="0" collapsed="false">
      <c r="B830" s="65" t="n">
        <v>0</v>
      </c>
      <c r="C830" s="69"/>
      <c r="D830" s="69" t="n">
        <v>0</v>
      </c>
      <c r="E830" s="65" t="n">
        <v>0</v>
      </c>
      <c r="F830" s="69"/>
    </row>
    <row r="831" customFormat="false" ht="15.75" hidden="false" customHeight="true" outlineLevel="0" collapsed="false">
      <c r="B831" s="65" t="n">
        <v>0</v>
      </c>
      <c r="C831" s="69"/>
      <c r="D831" s="69" t="n">
        <v>0</v>
      </c>
      <c r="E831" s="65" t="n">
        <v>0</v>
      </c>
      <c r="F831" s="69"/>
    </row>
    <row r="832" customFormat="false" ht="15.75" hidden="false" customHeight="true" outlineLevel="0" collapsed="false">
      <c r="B832" s="65" t="n">
        <v>0</v>
      </c>
      <c r="C832" s="69"/>
      <c r="D832" s="69" t="n">
        <v>0</v>
      </c>
      <c r="E832" s="65" t="n">
        <v>0</v>
      </c>
      <c r="F832" s="69"/>
    </row>
    <row r="833" customFormat="false" ht="15.75" hidden="false" customHeight="true" outlineLevel="0" collapsed="false">
      <c r="B833" s="65" t="n">
        <v>0</v>
      </c>
      <c r="C833" s="69"/>
      <c r="D833" s="69" t="n">
        <v>0</v>
      </c>
      <c r="E833" s="65" t="n">
        <v>0</v>
      </c>
      <c r="F833" s="69"/>
    </row>
    <row r="834" customFormat="false" ht="15.75" hidden="false" customHeight="true" outlineLevel="0" collapsed="false">
      <c r="B834" s="65" t="n">
        <v>0</v>
      </c>
      <c r="C834" s="69"/>
      <c r="D834" s="69" t="n">
        <v>0</v>
      </c>
      <c r="E834" s="65" t="n">
        <v>0</v>
      </c>
      <c r="F834" s="69"/>
    </row>
    <row r="835" customFormat="false" ht="15.75" hidden="false" customHeight="true" outlineLevel="0" collapsed="false">
      <c r="B835" s="65" t="n">
        <v>0</v>
      </c>
      <c r="C835" s="69"/>
      <c r="D835" s="69" t="n">
        <v>0</v>
      </c>
      <c r="E835" s="65" t="n">
        <v>0</v>
      </c>
      <c r="F835" s="69"/>
    </row>
    <row r="836" customFormat="false" ht="15.75" hidden="false" customHeight="true" outlineLevel="0" collapsed="false">
      <c r="B836" s="65" t="n">
        <v>0</v>
      </c>
      <c r="C836" s="69"/>
      <c r="D836" s="69" t="n">
        <v>0</v>
      </c>
      <c r="E836" s="65" t="n">
        <v>0</v>
      </c>
      <c r="F836" s="69"/>
    </row>
    <row r="837" customFormat="false" ht="15.75" hidden="false" customHeight="true" outlineLevel="0" collapsed="false">
      <c r="B837" s="65" t="n">
        <v>0</v>
      </c>
      <c r="C837" s="69"/>
      <c r="D837" s="69" t="n">
        <v>0</v>
      </c>
      <c r="E837" s="65" t="n">
        <v>0</v>
      </c>
      <c r="F837" s="69"/>
    </row>
    <row r="838" customFormat="false" ht="15.75" hidden="false" customHeight="true" outlineLevel="0" collapsed="false">
      <c r="B838" s="65" t="n">
        <v>0</v>
      </c>
      <c r="C838" s="69"/>
      <c r="D838" s="69" t="n">
        <v>0</v>
      </c>
      <c r="E838" s="65" t="n">
        <v>0</v>
      </c>
      <c r="F838" s="69"/>
    </row>
    <row r="839" customFormat="false" ht="15.75" hidden="false" customHeight="true" outlineLevel="0" collapsed="false">
      <c r="B839" s="65" t="n">
        <v>0</v>
      </c>
      <c r="C839" s="69"/>
      <c r="D839" s="69" t="n">
        <v>0</v>
      </c>
      <c r="E839" s="65" t="n">
        <v>0</v>
      </c>
      <c r="F839" s="69"/>
    </row>
    <row r="840" customFormat="false" ht="15.75" hidden="false" customHeight="true" outlineLevel="0" collapsed="false">
      <c r="B840" s="65" t="n">
        <v>0</v>
      </c>
      <c r="C840" s="69"/>
      <c r="D840" s="69" t="n">
        <v>0</v>
      </c>
      <c r="E840" s="65" t="n">
        <v>0</v>
      </c>
      <c r="F840" s="69"/>
    </row>
    <row r="841" customFormat="false" ht="15.75" hidden="false" customHeight="true" outlineLevel="0" collapsed="false">
      <c r="B841" s="65" t="n">
        <v>0</v>
      </c>
      <c r="C841" s="69"/>
      <c r="D841" s="69" t="n">
        <v>0</v>
      </c>
      <c r="E841" s="65" t="n">
        <v>0</v>
      </c>
      <c r="F841" s="69"/>
    </row>
    <row r="842" customFormat="false" ht="15.75" hidden="false" customHeight="true" outlineLevel="0" collapsed="false">
      <c r="B842" s="65" t="n">
        <v>0</v>
      </c>
      <c r="C842" s="69"/>
      <c r="D842" s="69" t="n">
        <v>0</v>
      </c>
      <c r="E842" s="65" t="n">
        <v>0</v>
      </c>
      <c r="F842" s="69"/>
    </row>
    <row r="843" customFormat="false" ht="15.75" hidden="false" customHeight="true" outlineLevel="0" collapsed="false">
      <c r="B843" s="65" t="n">
        <v>0</v>
      </c>
      <c r="C843" s="69"/>
      <c r="D843" s="69" t="n">
        <v>0</v>
      </c>
      <c r="E843" s="65" t="n">
        <v>0</v>
      </c>
      <c r="F843" s="69"/>
    </row>
    <row r="844" customFormat="false" ht="15.75" hidden="false" customHeight="true" outlineLevel="0" collapsed="false">
      <c r="B844" s="65" t="n">
        <v>0</v>
      </c>
      <c r="C844" s="69"/>
      <c r="D844" s="69" t="n">
        <v>0</v>
      </c>
      <c r="E844" s="65" t="n">
        <v>0</v>
      </c>
      <c r="F844" s="69"/>
    </row>
    <row r="845" customFormat="false" ht="15.75" hidden="false" customHeight="true" outlineLevel="0" collapsed="false">
      <c r="B845" s="65" t="n">
        <v>0</v>
      </c>
      <c r="C845" s="69"/>
      <c r="D845" s="69" t="n">
        <v>0</v>
      </c>
      <c r="E845" s="65" t="n">
        <v>0</v>
      </c>
      <c r="F845" s="69"/>
    </row>
    <row r="846" customFormat="false" ht="15.75" hidden="false" customHeight="true" outlineLevel="0" collapsed="false">
      <c r="B846" s="65" t="n">
        <v>0</v>
      </c>
      <c r="C846" s="69"/>
      <c r="D846" s="69" t="n">
        <v>0</v>
      </c>
      <c r="E846" s="65" t="n">
        <v>0</v>
      </c>
      <c r="F846" s="69"/>
    </row>
    <row r="847" customFormat="false" ht="15.75" hidden="false" customHeight="true" outlineLevel="0" collapsed="false">
      <c r="B847" s="65" t="n">
        <v>0</v>
      </c>
      <c r="C847" s="69"/>
      <c r="D847" s="69" t="n">
        <v>0</v>
      </c>
      <c r="E847" s="65" t="n">
        <v>0</v>
      </c>
      <c r="F847" s="69"/>
    </row>
    <row r="848" customFormat="false" ht="15.75" hidden="false" customHeight="true" outlineLevel="0" collapsed="false">
      <c r="B848" s="65" t="n">
        <v>0</v>
      </c>
      <c r="C848" s="69"/>
      <c r="D848" s="69" t="n">
        <v>0</v>
      </c>
      <c r="E848" s="65" t="n">
        <v>0</v>
      </c>
      <c r="F848" s="69"/>
    </row>
    <row r="849" customFormat="false" ht="15.75" hidden="false" customHeight="true" outlineLevel="0" collapsed="false">
      <c r="B849" s="65" t="n">
        <v>0</v>
      </c>
      <c r="C849" s="69"/>
      <c r="D849" s="69" t="n">
        <v>0</v>
      </c>
      <c r="E849" s="65" t="n">
        <v>0</v>
      </c>
      <c r="F849" s="69"/>
    </row>
    <row r="850" customFormat="false" ht="15.75" hidden="false" customHeight="true" outlineLevel="0" collapsed="false">
      <c r="B850" s="65" t="n">
        <v>0</v>
      </c>
      <c r="C850" s="69"/>
      <c r="D850" s="69" t="n">
        <v>0</v>
      </c>
      <c r="E850" s="65" t="n">
        <v>0</v>
      </c>
      <c r="F850" s="69"/>
    </row>
    <row r="851" customFormat="false" ht="15.75" hidden="false" customHeight="true" outlineLevel="0" collapsed="false">
      <c r="B851" s="65" t="n">
        <v>0</v>
      </c>
      <c r="C851" s="69"/>
      <c r="D851" s="69" t="n">
        <v>0</v>
      </c>
      <c r="E851" s="65" t="n">
        <v>0</v>
      </c>
      <c r="F851" s="69"/>
    </row>
    <row r="852" customFormat="false" ht="15.75" hidden="false" customHeight="true" outlineLevel="0" collapsed="false">
      <c r="B852" s="65" t="n">
        <v>0</v>
      </c>
      <c r="C852" s="69"/>
      <c r="D852" s="69" t="n">
        <v>0</v>
      </c>
      <c r="E852" s="65" t="n">
        <v>0</v>
      </c>
      <c r="F852" s="69"/>
    </row>
    <row r="853" customFormat="false" ht="15.75" hidden="false" customHeight="true" outlineLevel="0" collapsed="false">
      <c r="B853" s="65" t="n">
        <v>0</v>
      </c>
      <c r="C853" s="69"/>
      <c r="D853" s="69" t="n">
        <v>0</v>
      </c>
      <c r="E853" s="65" t="n">
        <v>0</v>
      </c>
      <c r="F853" s="69"/>
    </row>
    <row r="854" customFormat="false" ht="15.75" hidden="false" customHeight="true" outlineLevel="0" collapsed="false">
      <c r="B854" s="65" t="n">
        <v>0</v>
      </c>
      <c r="C854" s="69"/>
      <c r="D854" s="69" t="n">
        <v>0</v>
      </c>
      <c r="E854" s="65" t="n">
        <v>0</v>
      </c>
      <c r="F854" s="69"/>
    </row>
    <row r="855" customFormat="false" ht="15.75" hidden="false" customHeight="true" outlineLevel="0" collapsed="false">
      <c r="B855" s="65" t="n">
        <v>0</v>
      </c>
      <c r="C855" s="69"/>
      <c r="D855" s="69" t="n">
        <v>0</v>
      </c>
      <c r="E855" s="65" t="n">
        <v>0</v>
      </c>
      <c r="F855" s="69"/>
    </row>
    <row r="856" customFormat="false" ht="15.75" hidden="false" customHeight="true" outlineLevel="0" collapsed="false">
      <c r="B856" s="65" t="n">
        <v>0</v>
      </c>
      <c r="C856" s="69"/>
      <c r="D856" s="69" t="n">
        <v>0</v>
      </c>
      <c r="E856" s="65" t="n">
        <v>0</v>
      </c>
      <c r="F856" s="69"/>
    </row>
    <row r="857" customFormat="false" ht="15.75" hidden="false" customHeight="true" outlineLevel="0" collapsed="false">
      <c r="B857" s="65" t="n">
        <v>0</v>
      </c>
      <c r="C857" s="69"/>
      <c r="D857" s="69" t="n">
        <v>0</v>
      </c>
      <c r="E857" s="65" t="n">
        <v>0</v>
      </c>
      <c r="F857" s="69"/>
    </row>
    <row r="858" customFormat="false" ht="15.75" hidden="false" customHeight="true" outlineLevel="0" collapsed="false">
      <c r="B858" s="65" t="n">
        <v>0</v>
      </c>
      <c r="C858" s="69"/>
      <c r="D858" s="69" t="n">
        <v>0</v>
      </c>
      <c r="E858" s="65" t="n">
        <v>0</v>
      </c>
      <c r="F858" s="69"/>
    </row>
    <row r="859" customFormat="false" ht="15.75" hidden="false" customHeight="true" outlineLevel="0" collapsed="false">
      <c r="B859" s="65" t="n">
        <v>0</v>
      </c>
      <c r="C859" s="69"/>
      <c r="D859" s="69" t="n">
        <v>0</v>
      </c>
      <c r="E859" s="65" t="n">
        <v>0</v>
      </c>
      <c r="F859" s="69"/>
    </row>
    <row r="860" customFormat="false" ht="15.75" hidden="false" customHeight="true" outlineLevel="0" collapsed="false">
      <c r="B860" s="65" t="n">
        <v>0</v>
      </c>
      <c r="C860" s="69"/>
      <c r="D860" s="69" t="n">
        <v>0</v>
      </c>
      <c r="E860" s="65" t="n">
        <v>0</v>
      </c>
      <c r="F860" s="69"/>
    </row>
    <row r="861" customFormat="false" ht="15.75" hidden="false" customHeight="true" outlineLevel="0" collapsed="false">
      <c r="B861" s="65" t="n">
        <v>0</v>
      </c>
      <c r="C861" s="69"/>
      <c r="D861" s="69" t="n">
        <v>0</v>
      </c>
      <c r="E861" s="65" t="n">
        <v>0</v>
      </c>
      <c r="F861" s="69"/>
    </row>
    <row r="862" customFormat="false" ht="15.75" hidden="false" customHeight="true" outlineLevel="0" collapsed="false">
      <c r="B862" s="65" t="n">
        <v>0</v>
      </c>
      <c r="C862" s="69"/>
      <c r="D862" s="69" t="n">
        <v>0</v>
      </c>
      <c r="E862" s="65" t="n">
        <v>0</v>
      </c>
      <c r="F862" s="69"/>
    </row>
    <row r="863" customFormat="false" ht="15.75" hidden="false" customHeight="true" outlineLevel="0" collapsed="false">
      <c r="B863" s="65" t="n">
        <v>0</v>
      </c>
      <c r="C863" s="69"/>
      <c r="D863" s="69" t="n">
        <v>0</v>
      </c>
      <c r="E863" s="65" t="n">
        <v>0</v>
      </c>
      <c r="F863" s="69"/>
    </row>
    <row r="864" customFormat="false" ht="15.75" hidden="false" customHeight="true" outlineLevel="0" collapsed="false">
      <c r="B864" s="65" t="n">
        <v>0</v>
      </c>
      <c r="C864" s="69"/>
      <c r="D864" s="69" t="n">
        <v>0</v>
      </c>
      <c r="E864" s="65" t="n">
        <v>0</v>
      </c>
      <c r="F864" s="69"/>
    </row>
    <row r="865" customFormat="false" ht="15.75" hidden="false" customHeight="true" outlineLevel="0" collapsed="false">
      <c r="B865" s="65" t="n">
        <v>0</v>
      </c>
      <c r="C865" s="69"/>
      <c r="D865" s="69" t="n">
        <v>0</v>
      </c>
      <c r="E865" s="65" t="n">
        <v>0</v>
      </c>
      <c r="F865" s="69"/>
    </row>
    <row r="866" customFormat="false" ht="15.75" hidden="false" customHeight="true" outlineLevel="0" collapsed="false">
      <c r="B866" s="65" t="n">
        <v>0</v>
      </c>
      <c r="C866" s="69"/>
      <c r="D866" s="69" t="n">
        <v>0</v>
      </c>
      <c r="E866" s="65" t="n">
        <v>0</v>
      </c>
      <c r="F866" s="69"/>
    </row>
    <row r="867" customFormat="false" ht="15.75" hidden="false" customHeight="true" outlineLevel="0" collapsed="false">
      <c r="B867" s="65" t="n">
        <v>0</v>
      </c>
      <c r="C867" s="69"/>
      <c r="D867" s="69" t="n">
        <v>0</v>
      </c>
      <c r="E867" s="65" t="n">
        <v>0</v>
      </c>
      <c r="F867" s="69"/>
    </row>
    <row r="868" customFormat="false" ht="15.75" hidden="false" customHeight="true" outlineLevel="0" collapsed="false">
      <c r="B868" s="65" t="n">
        <v>0</v>
      </c>
      <c r="C868" s="69"/>
      <c r="D868" s="69" t="n">
        <v>0</v>
      </c>
      <c r="E868" s="65" t="n">
        <v>0</v>
      </c>
      <c r="F868" s="69"/>
    </row>
    <row r="869" customFormat="false" ht="15.75" hidden="false" customHeight="true" outlineLevel="0" collapsed="false">
      <c r="B869" s="65" t="n">
        <v>0</v>
      </c>
      <c r="C869" s="69"/>
      <c r="D869" s="69" t="n">
        <v>0</v>
      </c>
      <c r="E869" s="65" t="n">
        <v>0</v>
      </c>
      <c r="F869" s="69"/>
    </row>
    <row r="870" customFormat="false" ht="15.75" hidden="false" customHeight="true" outlineLevel="0" collapsed="false">
      <c r="B870" s="65" t="n">
        <v>0</v>
      </c>
      <c r="C870" s="69"/>
      <c r="D870" s="69" t="n">
        <v>0</v>
      </c>
      <c r="E870" s="65" t="n">
        <v>0</v>
      </c>
      <c r="F870" s="69"/>
    </row>
    <row r="871" customFormat="false" ht="15.75" hidden="false" customHeight="true" outlineLevel="0" collapsed="false">
      <c r="B871" s="65" t="n">
        <v>0</v>
      </c>
      <c r="C871" s="69"/>
      <c r="D871" s="69" t="n">
        <v>0</v>
      </c>
      <c r="E871" s="65" t="n">
        <v>0</v>
      </c>
      <c r="F871" s="69"/>
    </row>
    <row r="872" customFormat="false" ht="15.75" hidden="false" customHeight="true" outlineLevel="0" collapsed="false">
      <c r="B872" s="65" t="n">
        <v>0</v>
      </c>
      <c r="C872" s="69"/>
      <c r="D872" s="69" t="n">
        <v>0</v>
      </c>
      <c r="E872" s="65" t="n">
        <v>0</v>
      </c>
      <c r="F872" s="69"/>
    </row>
    <row r="873" customFormat="false" ht="15.75" hidden="false" customHeight="true" outlineLevel="0" collapsed="false">
      <c r="B873" s="65" t="n">
        <v>0</v>
      </c>
      <c r="C873" s="69"/>
      <c r="D873" s="69" t="n">
        <v>0</v>
      </c>
      <c r="E873" s="65" t="n">
        <v>0</v>
      </c>
      <c r="F873" s="69"/>
    </row>
    <row r="874" customFormat="false" ht="15.75" hidden="false" customHeight="true" outlineLevel="0" collapsed="false">
      <c r="B874" s="65" t="n">
        <v>0</v>
      </c>
      <c r="C874" s="69"/>
      <c r="D874" s="69" t="n">
        <v>0</v>
      </c>
      <c r="E874" s="65" t="n">
        <v>0</v>
      </c>
      <c r="F874" s="69"/>
    </row>
    <row r="875" customFormat="false" ht="15.75" hidden="false" customHeight="true" outlineLevel="0" collapsed="false">
      <c r="B875" s="65" t="n">
        <v>0</v>
      </c>
      <c r="C875" s="69"/>
      <c r="D875" s="69" t="n">
        <v>0</v>
      </c>
      <c r="E875" s="65" t="n">
        <v>0</v>
      </c>
      <c r="F875" s="69"/>
    </row>
    <row r="876" customFormat="false" ht="15.75" hidden="false" customHeight="true" outlineLevel="0" collapsed="false">
      <c r="B876" s="65" t="n">
        <v>0</v>
      </c>
      <c r="C876" s="69"/>
      <c r="D876" s="69" t="n">
        <v>0</v>
      </c>
      <c r="E876" s="65" t="n">
        <v>0</v>
      </c>
      <c r="F876" s="69"/>
    </row>
    <row r="877" customFormat="false" ht="15.75" hidden="false" customHeight="true" outlineLevel="0" collapsed="false">
      <c r="B877" s="65" t="n">
        <v>0</v>
      </c>
      <c r="C877" s="69"/>
      <c r="D877" s="69" t="n">
        <v>0</v>
      </c>
      <c r="E877" s="65" t="n">
        <v>0</v>
      </c>
      <c r="F877" s="69"/>
    </row>
    <row r="878" customFormat="false" ht="15.75" hidden="false" customHeight="true" outlineLevel="0" collapsed="false">
      <c r="B878" s="65" t="n">
        <v>0</v>
      </c>
      <c r="C878" s="69"/>
      <c r="D878" s="69" t="n">
        <v>0</v>
      </c>
      <c r="E878" s="65" t="n">
        <v>0</v>
      </c>
      <c r="F878" s="69"/>
    </row>
    <row r="879" customFormat="false" ht="15.75" hidden="false" customHeight="true" outlineLevel="0" collapsed="false">
      <c r="B879" s="65" t="n">
        <v>0</v>
      </c>
      <c r="C879" s="69"/>
      <c r="D879" s="69" t="n">
        <v>0</v>
      </c>
      <c r="E879" s="65" t="n">
        <v>0</v>
      </c>
      <c r="F879" s="69"/>
    </row>
    <row r="880" customFormat="false" ht="15.75" hidden="false" customHeight="true" outlineLevel="0" collapsed="false">
      <c r="B880" s="65" t="n">
        <v>0</v>
      </c>
      <c r="C880" s="69"/>
      <c r="D880" s="69" t="n">
        <v>0</v>
      </c>
      <c r="E880" s="65" t="n">
        <v>0</v>
      </c>
      <c r="F880" s="69"/>
    </row>
    <row r="881" customFormat="false" ht="15.75" hidden="false" customHeight="true" outlineLevel="0" collapsed="false">
      <c r="B881" s="65" t="n">
        <v>0</v>
      </c>
      <c r="C881" s="69"/>
      <c r="D881" s="69" t="n">
        <v>0</v>
      </c>
      <c r="E881" s="65" t="n">
        <v>0</v>
      </c>
      <c r="F881" s="69"/>
    </row>
    <row r="882" customFormat="false" ht="15.75" hidden="false" customHeight="true" outlineLevel="0" collapsed="false">
      <c r="B882" s="65" t="n">
        <v>0</v>
      </c>
      <c r="C882" s="69"/>
      <c r="D882" s="69" t="n">
        <v>0</v>
      </c>
      <c r="E882" s="65" t="n">
        <v>0</v>
      </c>
      <c r="F882" s="69"/>
    </row>
    <row r="883" customFormat="false" ht="15.75" hidden="false" customHeight="true" outlineLevel="0" collapsed="false">
      <c r="B883" s="65" t="n">
        <v>0</v>
      </c>
      <c r="C883" s="69"/>
      <c r="D883" s="69" t="n">
        <v>0</v>
      </c>
      <c r="E883" s="65" t="n">
        <v>0</v>
      </c>
      <c r="F883" s="69"/>
    </row>
    <row r="884" customFormat="false" ht="15.75" hidden="false" customHeight="true" outlineLevel="0" collapsed="false">
      <c r="B884" s="65" t="n">
        <v>0</v>
      </c>
      <c r="C884" s="69"/>
      <c r="D884" s="69" t="n">
        <v>0</v>
      </c>
      <c r="E884" s="65" t="n">
        <v>0</v>
      </c>
      <c r="F884" s="69"/>
    </row>
    <row r="885" customFormat="false" ht="15.75" hidden="false" customHeight="true" outlineLevel="0" collapsed="false">
      <c r="B885" s="65" t="n">
        <v>0</v>
      </c>
      <c r="C885" s="69"/>
      <c r="D885" s="69" t="n">
        <v>0</v>
      </c>
      <c r="E885" s="65" t="n">
        <v>0</v>
      </c>
      <c r="F885" s="69"/>
    </row>
    <row r="886" customFormat="false" ht="15.75" hidden="false" customHeight="true" outlineLevel="0" collapsed="false">
      <c r="B886" s="65" t="n">
        <v>0</v>
      </c>
      <c r="C886" s="69"/>
      <c r="D886" s="69" t="n">
        <v>0</v>
      </c>
      <c r="E886" s="65" t="n">
        <v>0</v>
      </c>
      <c r="F886" s="69"/>
    </row>
    <row r="887" customFormat="false" ht="15.75" hidden="false" customHeight="true" outlineLevel="0" collapsed="false">
      <c r="B887" s="65" t="n">
        <v>0</v>
      </c>
      <c r="C887" s="69"/>
      <c r="D887" s="69" t="n">
        <v>0</v>
      </c>
      <c r="E887" s="65" t="n">
        <v>0</v>
      </c>
      <c r="F887" s="69"/>
    </row>
    <row r="888" customFormat="false" ht="15.75" hidden="false" customHeight="true" outlineLevel="0" collapsed="false">
      <c r="B888" s="65" t="n">
        <v>0</v>
      </c>
      <c r="C888" s="69"/>
      <c r="D888" s="69" t="n">
        <v>0</v>
      </c>
      <c r="E888" s="65" t="n">
        <v>0</v>
      </c>
      <c r="F888" s="69"/>
    </row>
    <row r="889" customFormat="false" ht="15.75" hidden="false" customHeight="true" outlineLevel="0" collapsed="false">
      <c r="B889" s="65" t="n">
        <v>0</v>
      </c>
      <c r="C889" s="69"/>
      <c r="D889" s="69" t="n">
        <v>0</v>
      </c>
      <c r="E889" s="65" t="n">
        <v>0</v>
      </c>
      <c r="F889" s="69"/>
    </row>
    <row r="890" customFormat="false" ht="15.75" hidden="false" customHeight="true" outlineLevel="0" collapsed="false">
      <c r="B890" s="65" t="n">
        <v>0</v>
      </c>
      <c r="C890" s="69"/>
      <c r="D890" s="69" t="n">
        <v>0</v>
      </c>
      <c r="E890" s="65" t="n">
        <v>0</v>
      </c>
      <c r="F890" s="69"/>
    </row>
    <row r="891" customFormat="false" ht="15.75" hidden="false" customHeight="true" outlineLevel="0" collapsed="false">
      <c r="B891" s="65" t="n">
        <v>0</v>
      </c>
      <c r="C891" s="69"/>
      <c r="D891" s="69" t="n">
        <v>0</v>
      </c>
      <c r="E891" s="65" t="n">
        <v>0</v>
      </c>
      <c r="F891" s="69"/>
    </row>
    <row r="892" customFormat="false" ht="15.75" hidden="false" customHeight="true" outlineLevel="0" collapsed="false">
      <c r="B892" s="65" t="n">
        <v>0</v>
      </c>
      <c r="C892" s="69"/>
      <c r="D892" s="69" t="n">
        <v>0</v>
      </c>
      <c r="E892" s="65" t="n">
        <v>0</v>
      </c>
      <c r="F892" s="69"/>
    </row>
    <row r="893" customFormat="false" ht="15.75" hidden="false" customHeight="true" outlineLevel="0" collapsed="false">
      <c r="B893" s="65" t="n">
        <v>0</v>
      </c>
      <c r="C893" s="69"/>
      <c r="D893" s="69" t="n">
        <v>0</v>
      </c>
      <c r="E893" s="65" t="n">
        <v>0</v>
      </c>
      <c r="F893" s="69"/>
    </row>
    <row r="894" customFormat="false" ht="15.75" hidden="false" customHeight="true" outlineLevel="0" collapsed="false">
      <c r="B894" s="65" t="n">
        <v>0</v>
      </c>
      <c r="C894" s="69"/>
      <c r="D894" s="69" t="n">
        <v>0</v>
      </c>
      <c r="E894" s="65" t="n">
        <v>0</v>
      </c>
      <c r="F894" s="69"/>
    </row>
    <row r="895" customFormat="false" ht="15.75" hidden="false" customHeight="true" outlineLevel="0" collapsed="false">
      <c r="B895" s="65" t="n">
        <v>0</v>
      </c>
      <c r="C895" s="69"/>
      <c r="D895" s="69" t="n">
        <v>0</v>
      </c>
      <c r="E895" s="65" t="n">
        <v>0</v>
      </c>
      <c r="F895" s="69"/>
    </row>
    <row r="896" customFormat="false" ht="15.75" hidden="false" customHeight="true" outlineLevel="0" collapsed="false">
      <c r="B896" s="65" t="n">
        <v>0</v>
      </c>
      <c r="C896" s="69"/>
      <c r="D896" s="69" t="n">
        <v>0</v>
      </c>
      <c r="E896" s="65" t="n">
        <v>0</v>
      </c>
      <c r="F896" s="69"/>
    </row>
    <row r="897" customFormat="false" ht="15.75" hidden="false" customHeight="true" outlineLevel="0" collapsed="false">
      <c r="B897" s="65" t="n">
        <v>0</v>
      </c>
      <c r="C897" s="69"/>
      <c r="D897" s="69" t="n">
        <v>0</v>
      </c>
      <c r="E897" s="65" t="n">
        <v>0</v>
      </c>
      <c r="F897" s="69"/>
    </row>
    <row r="898" customFormat="false" ht="15.75" hidden="false" customHeight="true" outlineLevel="0" collapsed="false">
      <c r="B898" s="65" t="n">
        <v>0</v>
      </c>
      <c r="C898" s="69"/>
      <c r="D898" s="69" t="n">
        <v>0</v>
      </c>
      <c r="E898" s="65" t="n">
        <v>0</v>
      </c>
      <c r="F898" s="69"/>
    </row>
    <row r="899" customFormat="false" ht="15.75" hidden="false" customHeight="true" outlineLevel="0" collapsed="false">
      <c r="B899" s="65" t="n">
        <v>0</v>
      </c>
      <c r="C899" s="69"/>
      <c r="D899" s="69" t="n">
        <v>0</v>
      </c>
      <c r="E899" s="65" t="n">
        <v>0</v>
      </c>
      <c r="F899" s="69"/>
    </row>
    <row r="900" customFormat="false" ht="15.75" hidden="false" customHeight="true" outlineLevel="0" collapsed="false">
      <c r="B900" s="65" t="n">
        <v>0</v>
      </c>
      <c r="C900" s="69"/>
      <c r="D900" s="69" t="n">
        <v>0</v>
      </c>
      <c r="E900" s="65" t="n">
        <v>0</v>
      </c>
      <c r="F900" s="69"/>
    </row>
    <row r="901" customFormat="false" ht="15.75" hidden="false" customHeight="true" outlineLevel="0" collapsed="false">
      <c r="B901" s="65" t="n">
        <v>0</v>
      </c>
      <c r="C901" s="69"/>
      <c r="D901" s="69" t="n">
        <v>0</v>
      </c>
      <c r="E901" s="65" t="n">
        <v>0</v>
      </c>
      <c r="F901" s="69"/>
    </row>
    <row r="902" customFormat="false" ht="15.75" hidden="false" customHeight="true" outlineLevel="0" collapsed="false">
      <c r="B902" s="65" t="n">
        <v>0</v>
      </c>
      <c r="C902" s="69"/>
      <c r="D902" s="69" t="n">
        <v>0</v>
      </c>
      <c r="E902" s="65" t="n">
        <v>0</v>
      </c>
      <c r="F902" s="69"/>
    </row>
    <row r="903" customFormat="false" ht="15.75" hidden="false" customHeight="true" outlineLevel="0" collapsed="false">
      <c r="B903" s="65" t="n">
        <v>0</v>
      </c>
      <c r="C903" s="69"/>
      <c r="D903" s="69" t="n">
        <v>0</v>
      </c>
      <c r="E903" s="65" t="n">
        <v>0</v>
      </c>
      <c r="F903" s="69"/>
    </row>
    <row r="904" customFormat="false" ht="15.75" hidden="false" customHeight="true" outlineLevel="0" collapsed="false">
      <c r="B904" s="65" t="n">
        <v>0</v>
      </c>
      <c r="C904" s="69"/>
      <c r="D904" s="69" t="n">
        <v>0</v>
      </c>
      <c r="E904" s="65" t="n">
        <v>0</v>
      </c>
      <c r="F904" s="69"/>
    </row>
    <row r="905" customFormat="false" ht="15.75" hidden="false" customHeight="true" outlineLevel="0" collapsed="false">
      <c r="B905" s="65" t="n">
        <v>0</v>
      </c>
      <c r="C905" s="69"/>
      <c r="D905" s="69" t="n">
        <v>0</v>
      </c>
      <c r="E905" s="65" t="n">
        <v>0</v>
      </c>
      <c r="F905" s="69"/>
    </row>
    <row r="906" customFormat="false" ht="15.75" hidden="false" customHeight="true" outlineLevel="0" collapsed="false">
      <c r="B906" s="65" t="n">
        <v>0</v>
      </c>
      <c r="C906" s="69"/>
      <c r="D906" s="69" t="n">
        <v>0</v>
      </c>
      <c r="E906" s="65" t="n">
        <v>0</v>
      </c>
      <c r="F906" s="69"/>
    </row>
    <row r="907" customFormat="false" ht="15.75" hidden="false" customHeight="true" outlineLevel="0" collapsed="false">
      <c r="B907" s="65" t="n">
        <v>0</v>
      </c>
      <c r="C907" s="69"/>
      <c r="D907" s="69" t="n">
        <v>0</v>
      </c>
      <c r="E907" s="65" t="n">
        <v>0</v>
      </c>
      <c r="F907" s="69"/>
    </row>
    <row r="908" customFormat="false" ht="15.75" hidden="false" customHeight="true" outlineLevel="0" collapsed="false">
      <c r="B908" s="65" t="n">
        <v>0</v>
      </c>
      <c r="C908" s="69"/>
      <c r="D908" s="69" t="n">
        <v>0</v>
      </c>
      <c r="E908" s="65" t="n">
        <v>0</v>
      </c>
      <c r="F908" s="69"/>
    </row>
    <row r="909" customFormat="false" ht="15.75" hidden="false" customHeight="true" outlineLevel="0" collapsed="false">
      <c r="B909" s="65" t="n">
        <v>0</v>
      </c>
      <c r="C909" s="69"/>
      <c r="D909" s="69" t="n">
        <v>0</v>
      </c>
      <c r="E909" s="65" t="n">
        <v>0</v>
      </c>
      <c r="F909" s="69"/>
    </row>
    <row r="910" customFormat="false" ht="15.75" hidden="false" customHeight="true" outlineLevel="0" collapsed="false">
      <c r="B910" s="65" t="n">
        <v>0</v>
      </c>
      <c r="C910" s="69"/>
      <c r="D910" s="69" t="n">
        <v>0</v>
      </c>
      <c r="E910" s="65" t="n">
        <v>0</v>
      </c>
      <c r="F910" s="69"/>
    </row>
    <row r="911" customFormat="false" ht="15.75" hidden="false" customHeight="true" outlineLevel="0" collapsed="false">
      <c r="B911" s="65" t="n">
        <v>0</v>
      </c>
      <c r="C911" s="69"/>
      <c r="D911" s="69" t="n">
        <v>0</v>
      </c>
      <c r="E911" s="65" t="n">
        <v>0</v>
      </c>
      <c r="F911" s="69"/>
    </row>
    <row r="912" customFormat="false" ht="15.75" hidden="false" customHeight="true" outlineLevel="0" collapsed="false">
      <c r="B912" s="65" t="n">
        <v>0</v>
      </c>
      <c r="C912" s="69"/>
      <c r="D912" s="69" t="n">
        <v>0</v>
      </c>
      <c r="E912" s="65" t="n">
        <v>0</v>
      </c>
      <c r="F912" s="69"/>
    </row>
    <row r="913" customFormat="false" ht="15.75" hidden="false" customHeight="true" outlineLevel="0" collapsed="false">
      <c r="B913" s="65" t="n">
        <v>0</v>
      </c>
      <c r="C913" s="69"/>
      <c r="D913" s="69" t="n">
        <v>0</v>
      </c>
      <c r="E913" s="65" t="n">
        <v>0</v>
      </c>
      <c r="F913" s="69"/>
    </row>
    <row r="914" customFormat="false" ht="15.75" hidden="false" customHeight="true" outlineLevel="0" collapsed="false">
      <c r="B914" s="65" t="n">
        <v>0</v>
      </c>
      <c r="C914" s="69"/>
      <c r="D914" s="69" t="n">
        <v>0</v>
      </c>
      <c r="E914" s="65" t="n">
        <v>0</v>
      </c>
      <c r="F914" s="69"/>
    </row>
    <row r="915" customFormat="false" ht="15.75" hidden="false" customHeight="true" outlineLevel="0" collapsed="false">
      <c r="B915" s="65" t="n">
        <v>0</v>
      </c>
      <c r="C915" s="69"/>
      <c r="D915" s="69" t="n">
        <v>0</v>
      </c>
      <c r="E915" s="65" t="n">
        <v>0</v>
      </c>
      <c r="F915" s="69"/>
    </row>
    <row r="916" customFormat="false" ht="15.75" hidden="false" customHeight="true" outlineLevel="0" collapsed="false">
      <c r="B916" s="65" t="n">
        <v>0</v>
      </c>
      <c r="C916" s="69"/>
      <c r="D916" s="69" t="n">
        <v>0</v>
      </c>
      <c r="E916" s="65" t="n">
        <v>0</v>
      </c>
      <c r="F916" s="69"/>
    </row>
    <row r="917" customFormat="false" ht="15.75" hidden="false" customHeight="true" outlineLevel="0" collapsed="false">
      <c r="B917" s="65" t="n">
        <v>0</v>
      </c>
      <c r="C917" s="69"/>
      <c r="D917" s="69" t="n">
        <v>0</v>
      </c>
      <c r="E917" s="65" t="n">
        <v>0</v>
      </c>
      <c r="F917" s="69"/>
    </row>
    <row r="918" customFormat="false" ht="15.75" hidden="false" customHeight="true" outlineLevel="0" collapsed="false">
      <c r="B918" s="65" t="n">
        <v>0</v>
      </c>
      <c r="C918" s="69"/>
      <c r="D918" s="69" t="n">
        <v>0</v>
      </c>
      <c r="E918" s="65" t="n">
        <v>0</v>
      </c>
      <c r="F918" s="69"/>
    </row>
    <row r="919" customFormat="false" ht="15.75" hidden="false" customHeight="true" outlineLevel="0" collapsed="false">
      <c r="B919" s="65" t="n">
        <v>0</v>
      </c>
      <c r="C919" s="69"/>
      <c r="D919" s="69" t="n">
        <v>0</v>
      </c>
      <c r="E919" s="65" t="n">
        <v>0</v>
      </c>
      <c r="F919" s="69"/>
    </row>
    <row r="920" customFormat="false" ht="15.75" hidden="false" customHeight="true" outlineLevel="0" collapsed="false">
      <c r="B920" s="65" t="n">
        <v>0</v>
      </c>
      <c r="C920" s="69"/>
      <c r="D920" s="69" t="n">
        <v>0</v>
      </c>
      <c r="E920" s="65" t="n">
        <v>0</v>
      </c>
      <c r="F920" s="69"/>
    </row>
    <row r="921" customFormat="false" ht="15.75" hidden="false" customHeight="true" outlineLevel="0" collapsed="false">
      <c r="B921" s="65" t="n">
        <v>0</v>
      </c>
      <c r="C921" s="69"/>
      <c r="D921" s="69" t="n">
        <v>0</v>
      </c>
      <c r="E921" s="65" t="n">
        <v>0</v>
      </c>
      <c r="F921" s="69"/>
    </row>
    <row r="922" customFormat="false" ht="15.75" hidden="false" customHeight="true" outlineLevel="0" collapsed="false">
      <c r="B922" s="65" t="n">
        <v>0</v>
      </c>
      <c r="C922" s="69"/>
      <c r="D922" s="69" t="n">
        <v>0</v>
      </c>
      <c r="E922" s="65" t="n">
        <v>0</v>
      </c>
      <c r="F922" s="69"/>
    </row>
    <row r="923" customFormat="false" ht="15.75" hidden="false" customHeight="true" outlineLevel="0" collapsed="false">
      <c r="B923" s="65" t="n">
        <v>0</v>
      </c>
      <c r="C923" s="69"/>
      <c r="D923" s="69" t="n">
        <v>0</v>
      </c>
      <c r="E923" s="65" t="n">
        <v>0</v>
      </c>
      <c r="F923" s="69"/>
    </row>
    <row r="924" customFormat="false" ht="15.75" hidden="false" customHeight="true" outlineLevel="0" collapsed="false">
      <c r="B924" s="65" t="n">
        <v>0</v>
      </c>
      <c r="C924" s="69"/>
      <c r="D924" s="69" t="n">
        <v>0</v>
      </c>
      <c r="E924" s="65" t="n">
        <v>0</v>
      </c>
      <c r="F924" s="69"/>
    </row>
    <row r="925" customFormat="false" ht="15.75" hidden="false" customHeight="true" outlineLevel="0" collapsed="false">
      <c r="B925" s="65" t="n">
        <v>0</v>
      </c>
      <c r="C925" s="69"/>
      <c r="D925" s="69" t="n">
        <v>0</v>
      </c>
      <c r="E925" s="65" t="n">
        <v>0</v>
      </c>
      <c r="F925" s="69"/>
    </row>
    <row r="926" customFormat="false" ht="15.75" hidden="false" customHeight="true" outlineLevel="0" collapsed="false">
      <c r="B926" s="65" t="n">
        <v>0</v>
      </c>
      <c r="C926" s="69"/>
      <c r="D926" s="69" t="n">
        <v>0</v>
      </c>
      <c r="E926" s="65" t="n">
        <v>0</v>
      </c>
      <c r="F926" s="69"/>
    </row>
    <row r="927" customFormat="false" ht="15.75" hidden="false" customHeight="true" outlineLevel="0" collapsed="false">
      <c r="B927" s="65" t="n">
        <v>0</v>
      </c>
      <c r="C927" s="69"/>
      <c r="D927" s="69" t="n">
        <v>0</v>
      </c>
      <c r="E927" s="65" t="n">
        <v>0</v>
      </c>
      <c r="F927" s="69"/>
    </row>
    <row r="928" customFormat="false" ht="15.75" hidden="false" customHeight="true" outlineLevel="0" collapsed="false">
      <c r="B928" s="65" t="n">
        <v>0</v>
      </c>
      <c r="C928" s="69"/>
      <c r="D928" s="69" t="n">
        <v>0</v>
      </c>
      <c r="E928" s="65" t="n">
        <v>0</v>
      </c>
      <c r="F928" s="69"/>
    </row>
    <row r="929" customFormat="false" ht="15.75" hidden="false" customHeight="true" outlineLevel="0" collapsed="false">
      <c r="B929" s="65" t="n">
        <v>0</v>
      </c>
      <c r="C929" s="69"/>
      <c r="D929" s="69" t="n">
        <v>0</v>
      </c>
      <c r="E929" s="65" t="n">
        <v>0</v>
      </c>
      <c r="F929" s="69"/>
    </row>
    <row r="930" customFormat="false" ht="15.75" hidden="false" customHeight="true" outlineLevel="0" collapsed="false">
      <c r="B930" s="65" t="n">
        <v>0</v>
      </c>
      <c r="C930" s="69"/>
      <c r="D930" s="69" t="n">
        <v>0</v>
      </c>
      <c r="E930" s="65" t="n">
        <v>0</v>
      </c>
      <c r="F930" s="69"/>
    </row>
    <row r="931" customFormat="false" ht="15.75" hidden="false" customHeight="true" outlineLevel="0" collapsed="false">
      <c r="B931" s="65" t="n">
        <v>0</v>
      </c>
      <c r="C931" s="69"/>
      <c r="D931" s="69" t="n">
        <v>0</v>
      </c>
      <c r="E931" s="65" t="n">
        <v>0</v>
      </c>
      <c r="F931" s="69"/>
    </row>
    <row r="932" customFormat="false" ht="15.75" hidden="false" customHeight="true" outlineLevel="0" collapsed="false">
      <c r="B932" s="65" t="n">
        <v>0</v>
      </c>
      <c r="C932" s="69"/>
      <c r="D932" s="69" t="n">
        <v>0</v>
      </c>
      <c r="E932" s="65" t="n">
        <v>0</v>
      </c>
      <c r="F932" s="69"/>
    </row>
    <row r="933" customFormat="false" ht="15.75" hidden="false" customHeight="true" outlineLevel="0" collapsed="false">
      <c r="B933" s="65" t="n">
        <v>0</v>
      </c>
      <c r="C933" s="69"/>
      <c r="D933" s="69" t="n">
        <v>0</v>
      </c>
      <c r="E933" s="65" t="n">
        <v>0</v>
      </c>
      <c r="F933" s="69"/>
    </row>
    <row r="934" customFormat="false" ht="15.75" hidden="false" customHeight="true" outlineLevel="0" collapsed="false">
      <c r="B934" s="65" t="n">
        <v>0</v>
      </c>
      <c r="C934" s="69"/>
      <c r="D934" s="69" t="n">
        <v>0</v>
      </c>
      <c r="E934" s="65" t="n">
        <v>0</v>
      </c>
      <c r="F934" s="69"/>
    </row>
    <row r="935" customFormat="false" ht="15.75" hidden="false" customHeight="true" outlineLevel="0" collapsed="false">
      <c r="B935" s="65" t="n">
        <v>0</v>
      </c>
      <c r="C935" s="69"/>
      <c r="D935" s="69" t="n">
        <v>0</v>
      </c>
      <c r="E935" s="65" t="n">
        <v>0</v>
      </c>
      <c r="F935" s="69"/>
    </row>
    <row r="936" customFormat="false" ht="15.75" hidden="false" customHeight="true" outlineLevel="0" collapsed="false">
      <c r="B936" s="65" t="n">
        <v>0</v>
      </c>
      <c r="C936" s="69"/>
      <c r="D936" s="69" t="n">
        <v>0</v>
      </c>
      <c r="E936" s="65" t="n">
        <v>0</v>
      </c>
      <c r="F936" s="69"/>
    </row>
    <row r="937" customFormat="false" ht="15.75" hidden="false" customHeight="true" outlineLevel="0" collapsed="false">
      <c r="B937" s="65" t="n">
        <v>0</v>
      </c>
      <c r="C937" s="69"/>
      <c r="D937" s="69" t="n">
        <v>0</v>
      </c>
      <c r="E937" s="65" t="n">
        <v>0</v>
      </c>
      <c r="F937" s="69"/>
    </row>
    <row r="938" customFormat="false" ht="15.75" hidden="false" customHeight="true" outlineLevel="0" collapsed="false">
      <c r="B938" s="65" t="n">
        <v>0</v>
      </c>
      <c r="C938" s="69"/>
      <c r="D938" s="69" t="n">
        <v>0</v>
      </c>
      <c r="E938" s="65" t="n">
        <v>0</v>
      </c>
      <c r="F938" s="69"/>
    </row>
    <row r="939" customFormat="false" ht="15.75" hidden="false" customHeight="true" outlineLevel="0" collapsed="false">
      <c r="B939" s="65" t="n">
        <v>0</v>
      </c>
      <c r="C939" s="69"/>
      <c r="D939" s="69" t="n">
        <v>0</v>
      </c>
      <c r="E939" s="65" t="n">
        <v>0</v>
      </c>
      <c r="F939" s="69"/>
    </row>
    <row r="940" customFormat="false" ht="15.75" hidden="false" customHeight="true" outlineLevel="0" collapsed="false">
      <c r="B940" s="65" t="n">
        <v>0</v>
      </c>
      <c r="C940" s="69"/>
      <c r="D940" s="69" t="n">
        <v>0</v>
      </c>
      <c r="E940" s="65" t="n">
        <v>0</v>
      </c>
      <c r="F940" s="69"/>
    </row>
    <row r="941" customFormat="false" ht="15.75" hidden="false" customHeight="true" outlineLevel="0" collapsed="false">
      <c r="B941" s="65" t="n">
        <v>0</v>
      </c>
      <c r="C941" s="69"/>
      <c r="D941" s="69" t="n">
        <v>0</v>
      </c>
      <c r="E941" s="65" t="n">
        <v>0</v>
      </c>
      <c r="F941" s="69"/>
    </row>
    <row r="942" customFormat="false" ht="15.75" hidden="false" customHeight="true" outlineLevel="0" collapsed="false">
      <c r="B942" s="65" t="n">
        <v>0</v>
      </c>
      <c r="C942" s="69"/>
      <c r="D942" s="69" t="n">
        <v>0</v>
      </c>
      <c r="E942" s="65" t="n">
        <v>0</v>
      </c>
      <c r="F942" s="69"/>
    </row>
    <row r="943" customFormat="false" ht="15.75" hidden="false" customHeight="true" outlineLevel="0" collapsed="false">
      <c r="B943" s="65" t="n">
        <v>0</v>
      </c>
      <c r="C943" s="69"/>
      <c r="D943" s="69" t="n">
        <v>0</v>
      </c>
      <c r="E943" s="65" t="n">
        <v>0</v>
      </c>
      <c r="F943" s="69"/>
    </row>
    <row r="944" customFormat="false" ht="15.75" hidden="false" customHeight="true" outlineLevel="0" collapsed="false">
      <c r="B944" s="65" t="n">
        <v>0</v>
      </c>
      <c r="C944" s="69"/>
      <c r="D944" s="69" t="n">
        <v>0</v>
      </c>
      <c r="E944" s="65" t="n">
        <v>0</v>
      </c>
      <c r="F944" s="69"/>
    </row>
    <row r="945" customFormat="false" ht="15.75" hidden="false" customHeight="true" outlineLevel="0" collapsed="false">
      <c r="B945" s="65" t="n">
        <v>0</v>
      </c>
      <c r="C945" s="69"/>
      <c r="D945" s="69" t="n">
        <v>0</v>
      </c>
      <c r="E945" s="65" t="n">
        <v>0</v>
      </c>
      <c r="F945" s="69"/>
    </row>
    <row r="946" customFormat="false" ht="15.75" hidden="false" customHeight="true" outlineLevel="0" collapsed="false">
      <c r="B946" s="65" t="n">
        <v>0</v>
      </c>
      <c r="C946" s="69"/>
      <c r="D946" s="69" t="n">
        <v>0</v>
      </c>
      <c r="E946" s="65" t="n">
        <v>0</v>
      </c>
      <c r="F946" s="69"/>
    </row>
    <row r="947" customFormat="false" ht="15.75" hidden="false" customHeight="true" outlineLevel="0" collapsed="false">
      <c r="B947" s="65" t="n">
        <v>0</v>
      </c>
      <c r="C947" s="69"/>
      <c r="D947" s="69" t="n">
        <v>0</v>
      </c>
      <c r="E947" s="65" t="n">
        <v>0</v>
      </c>
      <c r="F947" s="69"/>
    </row>
    <row r="948" customFormat="false" ht="15.75" hidden="false" customHeight="true" outlineLevel="0" collapsed="false">
      <c r="B948" s="65" t="n">
        <v>0</v>
      </c>
      <c r="C948" s="69"/>
      <c r="D948" s="69" t="n">
        <v>0</v>
      </c>
      <c r="E948" s="65" t="n">
        <v>0</v>
      </c>
      <c r="F948" s="69"/>
    </row>
    <row r="949" customFormat="false" ht="15.75" hidden="false" customHeight="true" outlineLevel="0" collapsed="false">
      <c r="B949" s="65" t="n">
        <v>0</v>
      </c>
      <c r="C949" s="69"/>
      <c r="D949" s="69" t="n">
        <v>0</v>
      </c>
      <c r="E949" s="65" t="n">
        <v>0</v>
      </c>
      <c r="F949" s="69"/>
    </row>
    <row r="950" customFormat="false" ht="15.75" hidden="false" customHeight="true" outlineLevel="0" collapsed="false">
      <c r="B950" s="65" t="n">
        <v>0</v>
      </c>
      <c r="C950" s="69"/>
      <c r="D950" s="69" t="n">
        <v>0</v>
      </c>
      <c r="E950" s="65" t="n">
        <v>0</v>
      </c>
      <c r="F950" s="69"/>
    </row>
    <row r="951" customFormat="false" ht="15.75" hidden="false" customHeight="true" outlineLevel="0" collapsed="false">
      <c r="B951" s="65" t="n">
        <v>0</v>
      </c>
      <c r="C951" s="69"/>
      <c r="D951" s="69" t="n">
        <v>0</v>
      </c>
      <c r="E951" s="65" t="n">
        <v>0</v>
      </c>
      <c r="F951" s="69"/>
    </row>
    <row r="952" customFormat="false" ht="15.75" hidden="false" customHeight="true" outlineLevel="0" collapsed="false">
      <c r="B952" s="65" t="n">
        <v>0</v>
      </c>
      <c r="C952" s="69"/>
      <c r="D952" s="69" t="n">
        <v>0</v>
      </c>
      <c r="E952" s="65" t="n">
        <v>0</v>
      </c>
      <c r="F952" s="69"/>
    </row>
    <row r="953" customFormat="false" ht="15.75" hidden="false" customHeight="true" outlineLevel="0" collapsed="false">
      <c r="B953" s="65" t="n">
        <v>0</v>
      </c>
      <c r="C953" s="69"/>
      <c r="D953" s="69" t="n">
        <v>0</v>
      </c>
      <c r="E953" s="65" t="n">
        <v>0</v>
      </c>
      <c r="F953" s="69"/>
    </row>
    <row r="954" customFormat="false" ht="15.75" hidden="false" customHeight="true" outlineLevel="0" collapsed="false">
      <c r="B954" s="65" t="n">
        <v>0</v>
      </c>
      <c r="C954" s="69"/>
      <c r="D954" s="69" t="n">
        <v>0</v>
      </c>
      <c r="E954" s="65" t="n">
        <v>0</v>
      </c>
      <c r="F954" s="69"/>
    </row>
    <row r="955" customFormat="false" ht="15.75" hidden="false" customHeight="true" outlineLevel="0" collapsed="false">
      <c r="B955" s="65" t="n">
        <v>0</v>
      </c>
      <c r="C955" s="69"/>
      <c r="D955" s="69" t="n">
        <v>0</v>
      </c>
      <c r="E955" s="65" t="n">
        <v>0</v>
      </c>
      <c r="F955" s="69"/>
    </row>
    <row r="956" customFormat="false" ht="15.75" hidden="false" customHeight="true" outlineLevel="0" collapsed="false">
      <c r="B956" s="65" t="n">
        <v>0</v>
      </c>
      <c r="C956" s="69"/>
      <c r="D956" s="69" t="n">
        <v>0</v>
      </c>
      <c r="E956" s="65" t="n">
        <v>0</v>
      </c>
      <c r="F956" s="69"/>
    </row>
    <row r="957" customFormat="false" ht="15.75" hidden="false" customHeight="true" outlineLevel="0" collapsed="false">
      <c r="B957" s="65" t="n">
        <v>0</v>
      </c>
      <c r="C957" s="69"/>
      <c r="D957" s="69" t="n">
        <v>0</v>
      </c>
      <c r="E957" s="65" t="n">
        <v>0</v>
      </c>
      <c r="F957" s="69"/>
    </row>
    <row r="958" customFormat="false" ht="15.75" hidden="false" customHeight="true" outlineLevel="0" collapsed="false">
      <c r="B958" s="65" t="n">
        <v>0</v>
      </c>
      <c r="C958" s="69"/>
      <c r="D958" s="69" t="n">
        <v>0</v>
      </c>
      <c r="E958" s="65" t="n">
        <v>0</v>
      </c>
      <c r="F958" s="69"/>
    </row>
    <row r="959" customFormat="false" ht="15.75" hidden="false" customHeight="true" outlineLevel="0" collapsed="false">
      <c r="B959" s="65" t="n">
        <v>0</v>
      </c>
      <c r="C959" s="69"/>
      <c r="D959" s="69" t="n">
        <v>0</v>
      </c>
      <c r="E959" s="65" t="n">
        <v>0</v>
      </c>
      <c r="F959" s="69"/>
    </row>
    <row r="960" customFormat="false" ht="15.75" hidden="false" customHeight="true" outlineLevel="0" collapsed="false">
      <c r="B960" s="65" t="n">
        <v>0</v>
      </c>
      <c r="C960" s="69"/>
      <c r="D960" s="69" t="n">
        <v>0</v>
      </c>
      <c r="E960" s="65" t="n">
        <v>0</v>
      </c>
      <c r="F960" s="69"/>
    </row>
    <row r="961" customFormat="false" ht="15.75" hidden="false" customHeight="true" outlineLevel="0" collapsed="false">
      <c r="B961" s="65" t="n">
        <v>0</v>
      </c>
      <c r="C961" s="69"/>
      <c r="D961" s="69" t="n">
        <v>0</v>
      </c>
      <c r="E961" s="65" t="n">
        <v>0</v>
      </c>
      <c r="F961" s="69"/>
    </row>
    <row r="962" customFormat="false" ht="15.75" hidden="false" customHeight="true" outlineLevel="0" collapsed="false">
      <c r="B962" s="65" t="n">
        <v>0</v>
      </c>
      <c r="C962" s="69"/>
      <c r="D962" s="69" t="n">
        <v>0</v>
      </c>
      <c r="E962" s="65" t="n">
        <v>0</v>
      </c>
      <c r="F962" s="69"/>
    </row>
    <row r="963" customFormat="false" ht="15.75" hidden="false" customHeight="true" outlineLevel="0" collapsed="false">
      <c r="B963" s="65" t="n">
        <v>0</v>
      </c>
      <c r="C963" s="69"/>
      <c r="D963" s="69" t="n">
        <v>0</v>
      </c>
      <c r="E963" s="65" t="n">
        <v>0</v>
      </c>
      <c r="F963" s="69"/>
    </row>
    <row r="964" customFormat="false" ht="15.75" hidden="false" customHeight="true" outlineLevel="0" collapsed="false">
      <c r="B964" s="65" t="n">
        <v>0</v>
      </c>
      <c r="C964" s="69"/>
      <c r="D964" s="69" t="n">
        <v>0</v>
      </c>
      <c r="E964" s="65" t="n">
        <v>0</v>
      </c>
      <c r="F964" s="69"/>
    </row>
    <row r="965" customFormat="false" ht="15.75" hidden="false" customHeight="true" outlineLevel="0" collapsed="false">
      <c r="B965" s="65" t="n">
        <v>0</v>
      </c>
      <c r="C965" s="69"/>
      <c r="D965" s="69" t="n">
        <v>0</v>
      </c>
      <c r="E965" s="65" t="n">
        <v>0</v>
      </c>
      <c r="F965" s="69"/>
    </row>
    <row r="966" customFormat="false" ht="15.75" hidden="false" customHeight="true" outlineLevel="0" collapsed="false">
      <c r="B966" s="65" t="n">
        <v>0</v>
      </c>
      <c r="C966" s="69"/>
      <c r="D966" s="69" t="n">
        <v>0</v>
      </c>
      <c r="E966" s="65" t="n">
        <v>0</v>
      </c>
      <c r="F966" s="69"/>
    </row>
    <row r="967" customFormat="false" ht="15.75" hidden="false" customHeight="true" outlineLevel="0" collapsed="false">
      <c r="B967" s="65" t="n">
        <v>0</v>
      </c>
      <c r="C967" s="69"/>
      <c r="D967" s="69" t="n">
        <v>0</v>
      </c>
      <c r="E967" s="65" t="n">
        <v>0</v>
      </c>
      <c r="F967" s="69"/>
    </row>
    <row r="968" customFormat="false" ht="15.75" hidden="false" customHeight="true" outlineLevel="0" collapsed="false">
      <c r="B968" s="65" t="n">
        <v>0</v>
      </c>
      <c r="C968" s="69"/>
      <c r="D968" s="69" t="n">
        <v>0</v>
      </c>
      <c r="E968" s="65" t="n">
        <v>0</v>
      </c>
      <c r="F968" s="69"/>
    </row>
    <row r="969" customFormat="false" ht="15.75" hidden="false" customHeight="true" outlineLevel="0" collapsed="false">
      <c r="B969" s="65" t="n">
        <v>0</v>
      </c>
      <c r="C969" s="69"/>
      <c r="D969" s="69" t="n">
        <v>0</v>
      </c>
      <c r="E969" s="65" t="n">
        <v>0</v>
      </c>
      <c r="F969" s="69"/>
    </row>
    <row r="970" customFormat="false" ht="15.75" hidden="false" customHeight="true" outlineLevel="0" collapsed="false">
      <c r="B970" s="65" t="n">
        <v>0</v>
      </c>
      <c r="C970" s="69"/>
      <c r="D970" s="69" t="n">
        <v>0</v>
      </c>
      <c r="E970" s="65" t="n">
        <v>0</v>
      </c>
      <c r="F970" s="69"/>
    </row>
    <row r="971" customFormat="false" ht="15.75" hidden="false" customHeight="true" outlineLevel="0" collapsed="false">
      <c r="B971" s="65" t="n">
        <v>0</v>
      </c>
      <c r="C971" s="69"/>
      <c r="D971" s="69" t="n">
        <v>0</v>
      </c>
      <c r="E971" s="65" t="n">
        <v>0</v>
      </c>
      <c r="F971" s="69"/>
    </row>
    <row r="972" customFormat="false" ht="15.75" hidden="false" customHeight="true" outlineLevel="0" collapsed="false">
      <c r="B972" s="65" t="n">
        <v>0</v>
      </c>
      <c r="C972" s="69"/>
      <c r="D972" s="69" t="n">
        <v>0</v>
      </c>
      <c r="E972" s="65" t="n">
        <v>0</v>
      </c>
      <c r="F972" s="69"/>
    </row>
    <row r="973" customFormat="false" ht="15.75" hidden="false" customHeight="true" outlineLevel="0" collapsed="false">
      <c r="B973" s="65" t="n">
        <v>0</v>
      </c>
      <c r="C973" s="69"/>
      <c r="D973" s="69" t="n">
        <v>0</v>
      </c>
      <c r="E973" s="65" t="n">
        <v>0</v>
      </c>
      <c r="F973" s="69"/>
    </row>
    <row r="974" customFormat="false" ht="15.75" hidden="false" customHeight="true" outlineLevel="0" collapsed="false">
      <c r="B974" s="65" t="n">
        <v>0</v>
      </c>
      <c r="C974" s="69"/>
      <c r="D974" s="69" t="n">
        <v>0</v>
      </c>
      <c r="E974" s="65" t="n">
        <v>0</v>
      </c>
      <c r="F974" s="69"/>
    </row>
    <row r="975" customFormat="false" ht="15.75" hidden="false" customHeight="true" outlineLevel="0" collapsed="false">
      <c r="B975" s="65" t="n">
        <v>0</v>
      </c>
      <c r="C975" s="69"/>
      <c r="D975" s="69" t="n">
        <v>0</v>
      </c>
      <c r="E975" s="65" t="n">
        <v>0</v>
      </c>
      <c r="F975" s="69"/>
    </row>
    <row r="976" customFormat="false" ht="15.75" hidden="false" customHeight="true" outlineLevel="0" collapsed="false">
      <c r="B976" s="65" t="n">
        <v>0</v>
      </c>
      <c r="C976" s="69"/>
      <c r="D976" s="69" t="n">
        <v>0</v>
      </c>
      <c r="E976" s="65" t="n">
        <v>0</v>
      </c>
      <c r="F976" s="69"/>
    </row>
    <row r="977" customFormat="false" ht="15.75" hidden="false" customHeight="true" outlineLevel="0" collapsed="false">
      <c r="B977" s="65" t="n">
        <v>0</v>
      </c>
      <c r="C977" s="69"/>
      <c r="D977" s="69" t="n">
        <v>0</v>
      </c>
      <c r="E977" s="65" t="n">
        <v>0</v>
      </c>
      <c r="F977" s="69"/>
    </row>
    <row r="978" customFormat="false" ht="15.75" hidden="false" customHeight="true" outlineLevel="0" collapsed="false">
      <c r="B978" s="65" t="n">
        <v>0</v>
      </c>
      <c r="C978" s="69"/>
      <c r="D978" s="69" t="n">
        <v>0</v>
      </c>
      <c r="E978" s="65" t="n">
        <v>0</v>
      </c>
      <c r="F978" s="69"/>
    </row>
    <row r="979" customFormat="false" ht="15.75" hidden="false" customHeight="true" outlineLevel="0" collapsed="false">
      <c r="B979" s="65" t="n">
        <v>0</v>
      </c>
      <c r="C979" s="69"/>
      <c r="D979" s="69" t="n">
        <v>0</v>
      </c>
      <c r="E979" s="65" t="n">
        <v>0</v>
      </c>
      <c r="F979" s="69"/>
    </row>
    <row r="980" customFormat="false" ht="15.75" hidden="false" customHeight="true" outlineLevel="0" collapsed="false">
      <c r="B980" s="65" t="n">
        <v>0</v>
      </c>
      <c r="C980" s="69"/>
      <c r="D980" s="69" t="n">
        <v>0</v>
      </c>
      <c r="E980" s="65" t="n">
        <v>0</v>
      </c>
      <c r="F980" s="69"/>
    </row>
    <row r="981" customFormat="false" ht="15.75" hidden="false" customHeight="true" outlineLevel="0" collapsed="false">
      <c r="B981" s="65" t="n">
        <v>0</v>
      </c>
      <c r="C981" s="69"/>
      <c r="D981" s="69" t="n">
        <v>0</v>
      </c>
      <c r="E981" s="65" t="n">
        <v>0</v>
      </c>
      <c r="F981" s="69"/>
    </row>
    <row r="982" customFormat="false" ht="15.75" hidden="false" customHeight="true" outlineLevel="0" collapsed="false">
      <c r="B982" s="65" t="n">
        <v>0</v>
      </c>
      <c r="C982" s="69"/>
      <c r="D982" s="69" t="n">
        <v>0</v>
      </c>
      <c r="E982" s="65" t="n">
        <v>0</v>
      </c>
      <c r="F982" s="69"/>
    </row>
    <row r="983" customFormat="false" ht="15.75" hidden="false" customHeight="true" outlineLevel="0" collapsed="false">
      <c r="B983" s="65" t="n">
        <v>0</v>
      </c>
      <c r="C983" s="69"/>
      <c r="D983" s="69" t="n">
        <v>0</v>
      </c>
      <c r="E983" s="65" t="n">
        <v>0</v>
      </c>
      <c r="F983" s="69"/>
    </row>
    <row r="984" customFormat="false" ht="15.75" hidden="false" customHeight="true" outlineLevel="0" collapsed="false">
      <c r="B984" s="65" t="n">
        <v>0</v>
      </c>
      <c r="C984" s="69"/>
      <c r="D984" s="69" t="n">
        <v>0</v>
      </c>
      <c r="E984" s="65" t="n">
        <v>0</v>
      </c>
      <c r="F984" s="69"/>
    </row>
    <row r="985" customFormat="false" ht="15.75" hidden="false" customHeight="true" outlineLevel="0" collapsed="false">
      <c r="B985" s="65" t="n">
        <v>0</v>
      </c>
      <c r="C985" s="69"/>
      <c r="D985" s="69" t="n">
        <v>0</v>
      </c>
      <c r="E985" s="65" t="n">
        <v>0</v>
      </c>
      <c r="F985" s="69"/>
    </row>
    <row r="986" customFormat="false" ht="15.75" hidden="false" customHeight="true" outlineLevel="0" collapsed="false">
      <c r="B986" s="65" t="n">
        <v>0</v>
      </c>
      <c r="C986" s="69"/>
      <c r="D986" s="69" t="n">
        <v>0</v>
      </c>
      <c r="E986" s="65" t="n">
        <v>0</v>
      </c>
      <c r="F986" s="69"/>
    </row>
    <row r="987" customFormat="false" ht="15.75" hidden="false" customHeight="true" outlineLevel="0" collapsed="false">
      <c r="B987" s="65" t="n">
        <v>0</v>
      </c>
      <c r="C987" s="69"/>
      <c r="D987" s="69" t="n">
        <v>0</v>
      </c>
      <c r="E987" s="65" t="n">
        <v>0</v>
      </c>
      <c r="F987" s="69"/>
    </row>
    <row r="988" customFormat="false" ht="15.75" hidden="false" customHeight="true" outlineLevel="0" collapsed="false">
      <c r="B988" s="65" t="n">
        <v>0</v>
      </c>
      <c r="C988" s="69"/>
      <c r="D988" s="69" t="n">
        <v>0</v>
      </c>
      <c r="E988" s="65" t="n">
        <v>0</v>
      </c>
      <c r="F988" s="69"/>
    </row>
    <row r="989" customFormat="false" ht="15.75" hidden="false" customHeight="true" outlineLevel="0" collapsed="false">
      <c r="B989" s="65" t="n">
        <v>0</v>
      </c>
      <c r="C989" s="69"/>
      <c r="D989" s="69" t="n">
        <v>0</v>
      </c>
      <c r="E989" s="65" t="n">
        <v>0</v>
      </c>
      <c r="F989" s="69"/>
    </row>
    <row r="990" customFormat="false" ht="15.75" hidden="false" customHeight="true" outlineLevel="0" collapsed="false">
      <c r="B990" s="65" t="n">
        <v>0</v>
      </c>
      <c r="C990" s="69"/>
      <c r="D990" s="69" t="n">
        <v>0</v>
      </c>
      <c r="E990" s="65" t="n">
        <v>0</v>
      </c>
      <c r="F990" s="69"/>
    </row>
    <row r="991" customFormat="false" ht="15.75" hidden="false" customHeight="true" outlineLevel="0" collapsed="false">
      <c r="B991" s="65" t="n">
        <v>0</v>
      </c>
      <c r="C991" s="69"/>
      <c r="D991" s="69" t="n">
        <v>0</v>
      </c>
      <c r="E991" s="65" t="n">
        <v>0</v>
      </c>
      <c r="F991" s="69"/>
    </row>
    <row r="992" customFormat="false" ht="15.75" hidden="false" customHeight="true" outlineLevel="0" collapsed="false">
      <c r="B992" s="65" t="n">
        <v>0</v>
      </c>
      <c r="C992" s="69"/>
      <c r="D992" s="69" t="n">
        <v>0</v>
      </c>
      <c r="E992" s="65" t="n">
        <v>0</v>
      </c>
      <c r="F992" s="69"/>
    </row>
    <row r="993" customFormat="false" ht="15.75" hidden="false" customHeight="true" outlineLevel="0" collapsed="false">
      <c r="B993" s="65" t="n">
        <v>0</v>
      </c>
      <c r="C993" s="69"/>
      <c r="D993" s="69" t="n">
        <v>0</v>
      </c>
      <c r="E993" s="65" t="n">
        <v>0</v>
      </c>
      <c r="F993" s="69"/>
    </row>
    <row r="994" customFormat="false" ht="15.75" hidden="false" customHeight="true" outlineLevel="0" collapsed="false">
      <c r="B994" s="65" t="n">
        <v>0</v>
      </c>
      <c r="C994" s="69"/>
      <c r="D994" s="69" t="n">
        <v>0</v>
      </c>
      <c r="E994" s="65" t="n">
        <v>0</v>
      </c>
      <c r="F994" s="69"/>
    </row>
    <row r="995" customFormat="false" ht="15.75" hidden="false" customHeight="true" outlineLevel="0" collapsed="false">
      <c r="B995" s="65" t="n">
        <v>0</v>
      </c>
      <c r="C995" s="69"/>
      <c r="D995" s="69" t="n">
        <v>0</v>
      </c>
      <c r="E995" s="65" t="n">
        <v>0</v>
      </c>
      <c r="F995" s="69"/>
    </row>
    <row r="996" customFormat="false" ht="15.75" hidden="false" customHeight="true" outlineLevel="0" collapsed="false">
      <c r="B996" s="65" t="n">
        <v>0</v>
      </c>
      <c r="C996" s="69"/>
      <c r="D996" s="69" t="n">
        <v>0</v>
      </c>
      <c r="E996" s="65" t="n">
        <v>0</v>
      </c>
      <c r="F996" s="69"/>
    </row>
    <row r="997" customFormat="false" ht="15.75" hidden="false" customHeight="true" outlineLevel="0" collapsed="false">
      <c r="B997" s="65" t="n">
        <v>0</v>
      </c>
      <c r="C997" s="69"/>
      <c r="D997" s="69" t="n">
        <v>0</v>
      </c>
      <c r="E997" s="65" t="n">
        <v>0</v>
      </c>
      <c r="F997" s="69"/>
    </row>
    <row r="998" customFormat="false" ht="15.75" hidden="false" customHeight="true" outlineLevel="0" collapsed="false">
      <c r="B998" s="65" t="n">
        <v>0</v>
      </c>
      <c r="C998" s="69"/>
      <c r="D998" s="69" t="n">
        <v>0</v>
      </c>
      <c r="E998" s="65" t="n">
        <v>0</v>
      </c>
      <c r="F998" s="69"/>
    </row>
    <row r="999" customFormat="false" ht="15.75" hidden="false" customHeight="true" outlineLevel="0" collapsed="false">
      <c r="B999" s="65" t="n">
        <v>0</v>
      </c>
      <c r="C999" s="69"/>
      <c r="D999" s="69" t="n">
        <v>0</v>
      </c>
      <c r="E999" s="65" t="n">
        <v>0</v>
      </c>
      <c r="F999" s="69"/>
    </row>
    <row r="1000" customFormat="false" ht="15.75" hidden="false" customHeight="true" outlineLevel="0" collapsed="false">
      <c r="B1000" s="65" t="n">
        <v>0</v>
      </c>
      <c r="C1000" s="69"/>
      <c r="D1000" s="69" t="n">
        <v>0</v>
      </c>
      <c r="E1000" s="65" t="n">
        <v>0</v>
      </c>
      <c r="F1000" s="6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DE80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8" min="6" style="1" width="14"/>
    <col collapsed="false" customWidth="true" hidden="false" outlineLevel="0" max="9" min="9" style="1" width="12"/>
    <col collapsed="false" customWidth="true" hidden="false" outlineLevel="0" max="10" min="10" style="1" width="16"/>
  </cols>
  <sheetData>
    <row r="1" customFormat="false" ht="30" hidden="false" customHeight="true" outlineLevel="0" collapsed="false">
      <c r="A1" s="70" t="s">
        <v>94</v>
      </c>
      <c r="B1" s="70"/>
      <c r="C1" s="70"/>
      <c r="D1" s="70"/>
      <c r="E1" s="70"/>
      <c r="F1" s="70"/>
      <c r="G1" s="70"/>
      <c r="H1" s="70"/>
      <c r="I1" s="70"/>
      <c r="J1" s="70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customFormat="false" ht="15.75" hidden="false" customHeight="true" outlineLevel="0" collapsed="false">
      <c r="A2" s="71" t="s">
        <v>95</v>
      </c>
      <c r="B2" s="71"/>
      <c r="C2" s="71"/>
      <c r="D2" s="71"/>
      <c r="E2" s="71"/>
      <c r="F2" s="71"/>
      <c r="G2" s="71"/>
      <c r="H2" s="71"/>
      <c r="I2" s="71"/>
      <c r="J2" s="71"/>
    </row>
    <row r="3" customFormat="false" ht="15.75" hidden="false" customHeight="true" outlineLevel="0" collapsed="false">
      <c r="A3" s="72" t="s">
        <v>20</v>
      </c>
      <c r="B3" s="72" t="s">
        <v>21</v>
      </c>
      <c r="C3" s="73" t="s">
        <v>96</v>
      </c>
      <c r="D3" s="74" t="s">
        <v>97</v>
      </c>
      <c r="E3" s="72" t="s">
        <v>98</v>
      </c>
      <c r="F3" s="74" t="s">
        <v>26</v>
      </c>
      <c r="G3" s="72" t="s">
        <v>22</v>
      </c>
      <c r="H3" s="72" t="s">
        <v>23</v>
      </c>
      <c r="I3" s="72" t="s">
        <v>24</v>
      </c>
      <c r="J3" s="73" t="s">
        <v>99</v>
      </c>
    </row>
    <row r="4" customFormat="false" ht="15.75" hidden="false" customHeight="true" outlineLevel="0" collapsed="false">
      <c r="A4" s="75" t="n">
        <f aca="false">INPUTS!E4</f>
        <v>2030</v>
      </c>
      <c r="B4" s="75" t="n">
        <f aca="false">INPUTS!B5</f>
        <v>52</v>
      </c>
      <c r="C4" s="76" t="n">
        <f aca="false">INPUTS!B11</f>
        <v>120000</v>
      </c>
      <c r="D4" s="76" t="n">
        <f aca="false">INPUTS!B12</f>
        <v>650000</v>
      </c>
      <c r="E4" s="77" t="n">
        <f aca="false">INPUTS!B13</f>
        <v>90000</v>
      </c>
      <c r="F4" s="78" t="n">
        <f aca="false">INPUTS!B17</f>
        <v>40000</v>
      </c>
      <c r="G4" s="77" t="n">
        <f aca="false">MAX(0,C4-F4)*(1+INPUTS!B18)</f>
        <v>84000</v>
      </c>
      <c r="H4" s="77" t="n">
        <f aca="false">MAX(0,D4-MAX(0,F4-C4-E4))*(1+INPUTS!B18)</f>
        <v>682500</v>
      </c>
      <c r="I4" s="77" t="n">
        <f aca="false">MAX(0,E4-MAX(0,F4-C4))*(1+INPUTS!B18)</f>
        <v>94500</v>
      </c>
      <c r="J4" s="79" t="n">
        <f aca="false">G4+H4+I4</f>
        <v>861000</v>
      </c>
    </row>
    <row r="5" customFormat="false" ht="15.75" hidden="false" customHeight="true" outlineLevel="0" collapsed="false">
      <c r="A5" s="80" t="n">
        <f aca="false">INPUTS!E4+1</f>
        <v>2031</v>
      </c>
      <c r="B5" s="80" t="n">
        <f aca="false">INPUTS!B5+1</f>
        <v>53</v>
      </c>
      <c r="C5" s="81" t="n">
        <f aca="false">G4</f>
        <v>84000</v>
      </c>
      <c r="D5" s="81" t="n">
        <f aca="false">H4</f>
        <v>682500</v>
      </c>
      <c r="E5" s="82" t="n">
        <f aca="false">I4</f>
        <v>94500</v>
      </c>
      <c r="F5" s="78" t="n">
        <f aca="false">F4*(1+INPUTS!B19)</f>
        <v>41000</v>
      </c>
      <c r="G5" s="82" t="n">
        <f aca="false">MAX(0,C5-F5)*(1+INPUTS!B18)</f>
        <v>45150</v>
      </c>
      <c r="H5" s="82" t="n">
        <f aca="false">MAX(0,D5-MAX(0,F5-C5-E5))*(1+INPUTS!B18)</f>
        <v>716625</v>
      </c>
      <c r="I5" s="82" t="n">
        <f aca="false">MAX(0,E5-MAX(0,F5-C5))*(1+INPUTS!B18)</f>
        <v>99225</v>
      </c>
      <c r="J5" s="83" t="n">
        <f aca="false">G5+H5+I5</f>
        <v>861000</v>
      </c>
    </row>
    <row r="6" customFormat="false" ht="15.75" hidden="false" customHeight="true" outlineLevel="0" collapsed="false">
      <c r="A6" s="75" t="n">
        <f aca="false">INPUTS!E4+2</f>
        <v>2032</v>
      </c>
      <c r="B6" s="75" t="n">
        <f aca="false">INPUTS!B5+2</f>
        <v>54</v>
      </c>
      <c r="C6" s="76" t="n">
        <f aca="false">G5</f>
        <v>45150</v>
      </c>
      <c r="D6" s="76" t="n">
        <f aca="false">H5</f>
        <v>716625</v>
      </c>
      <c r="E6" s="77" t="n">
        <f aca="false">I5</f>
        <v>99225</v>
      </c>
      <c r="F6" s="78" t="n">
        <f aca="false">F5*(1+INPUTS!B19)</f>
        <v>42025</v>
      </c>
      <c r="G6" s="77" t="n">
        <f aca="false">MAX(0,C6-F6)*(1+INPUTS!B18)</f>
        <v>3281.25000000001</v>
      </c>
      <c r="H6" s="77" t="n">
        <f aca="false">MAX(0,D6-MAX(0,F6-C6-E6))*(1+INPUTS!B18)</f>
        <v>752456.25</v>
      </c>
      <c r="I6" s="77" t="n">
        <f aca="false">MAX(0,E6-MAX(0,F6-C6))*(1+INPUTS!B18)</f>
        <v>104186.25</v>
      </c>
      <c r="J6" s="79" t="n">
        <f aca="false">G6+H6+I6</f>
        <v>859923.75</v>
      </c>
    </row>
    <row r="7" customFormat="false" ht="15.75" hidden="false" customHeight="true" outlineLevel="0" collapsed="false">
      <c r="A7" s="80" t="n">
        <f aca="false">INPUTS!E4+3</f>
        <v>2033</v>
      </c>
      <c r="B7" s="80" t="n">
        <f aca="false">INPUTS!B5+3</f>
        <v>55</v>
      </c>
      <c r="C7" s="81" t="n">
        <f aca="false">G6</f>
        <v>3281.25000000001</v>
      </c>
      <c r="D7" s="81" t="n">
        <f aca="false">H6</f>
        <v>752456.25</v>
      </c>
      <c r="E7" s="82" t="n">
        <f aca="false">I6</f>
        <v>104186.25</v>
      </c>
      <c r="F7" s="78" t="n">
        <f aca="false">F6*(1+INPUTS!B19)</f>
        <v>43075.625</v>
      </c>
      <c r="G7" s="82" t="n">
        <f aca="false">MAX(0,C7-F7)*(1+INPUTS!B18)</f>
        <v>0</v>
      </c>
      <c r="H7" s="82" t="n">
        <f aca="false">MAX(0,D7-MAX(0,F7-C7-E7))*(1+INPUTS!B18)</f>
        <v>790079.0625</v>
      </c>
      <c r="I7" s="82" t="n">
        <f aca="false">MAX(0,E7-MAX(0,F7-C7))*(1+INPUTS!B18)</f>
        <v>67611.46875</v>
      </c>
      <c r="J7" s="83" t="n">
        <f aca="false">G7+H7+I7</f>
        <v>857690.53125</v>
      </c>
    </row>
    <row r="8" customFormat="false" ht="15.75" hidden="false" customHeight="true" outlineLevel="0" collapsed="false">
      <c r="A8" s="75" t="n">
        <f aca="false">INPUTS!E4+4</f>
        <v>2034</v>
      </c>
      <c r="B8" s="75" t="n">
        <f aca="false">INPUTS!B5+4</f>
        <v>56</v>
      </c>
      <c r="C8" s="76" t="n">
        <f aca="false">G7</f>
        <v>0</v>
      </c>
      <c r="D8" s="76" t="n">
        <f aca="false">H7</f>
        <v>790079.0625</v>
      </c>
      <c r="E8" s="77" t="n">
        <f aca="false">I7</f>
        <v>67611.46875</v>
      </c>
      <c r="F8" s="78" t="n">
        <f aca="false">F7*(1+INPUTS!B19)</f>
        <v>44152.515625</v>
      </c>
      <c r="G8" s="77" t="n">
        <f aca="false">MAX(0,C8-F8)*(1+INPUTS!B18)</f>
        <v>0</v>
      </c>
      <c r="H8" s="77" t="n">
        <f aca="false">MAX(0,D8-MAX(0,F8-C8-E8))*(1+INPUTS!B18)</f>
        <v>829583.015625</v>
      </c>
      <c r="I8" s="77" t="n">
        <f aca="false">MAX(0,E8-MAX(0,F8-C8))*(1+INPUTS!B18)</f>
        <v>24631.9007812501</v>
      </c>
      <c r="J8" s="79" t="n">
        <f aca="false">G8+H8+I8</f>
        <v>854214.91640625</v>
      </c>
    </row>
    <row r="9" customFormat="false" ht="15.75" hidden="false" customHeight="true" outlineLevel="0" collapsed="false">
      <c r="A9" s="80" t="n">
        <f aca="false">INPUTS!E4+5</f>
        <v>2035</v>
      </c>
      <c r="B9" s="80" t="n">
        <f aca="false">INPUTS!B5+5</f>
        <v>57</v>
      </c>
      <c r="C9" s="81" t="n">
        <f aca="false">G8</f>
        <v>0</v>
      </c>
      <c r="D9" s="81" t="n">
        <f aca="false">H8</f>
        <v>829583.015625</v>
      </c>
      <c r="E9" s="82" t="n">
        <f aca="false">I8</f>
        <v>24631.9007812501</v>
      </c>
      <c r="F9" s="78" t="n">
        <f aca="false">F8*(1+INPUTS!B19)</f>
        <v>45256.328515625</v>
      </c>
      <c r="G9" s="82" t="n">
        <f aca="false">MAX(0,C9-F9)*(1+INPUTS!B18)</f>
        <v>0</v>
      </c>
      <c r="H9" s="82" t="n">
        <f aca="false">MAX(0,D9-MAX(0,F9-C9-E9))*(1+INPUTS!B18)</f>
        <v>849406.517285156</v>
      </c>
      <c r="I9" s="82" t="n">
        <f aca="false">MAX(0,E9-MAX(0,F9-C9))*(1+INPUTS!B18)</f>
        <v>0</v>
      </c>
      <c r="J9" s="83" t="n">
        <f aca="false">G9+H9+I9</f>
        <v>849406.517285156</v>
      </c>
    </row>
    <row r="10" customFormat="false" ht="15.75" hidden="false" customHeight="true" outlineLevel="0" collapsed="false">
      <c r="A10" s="75" t="n">
        <f aca="false">INPUTS!E4+6</f>
        <v>2036</v>
      </c>
      <c r="B10" s="75" t="n">
        <f aca="false">INPUTS!B5+6</f>
        <v>58</v>
      </c>
      <c r="C10" s="76" t="n">
        <f aca="false">G9</f>
        <v>0</v>
      </c>
      <c r="D10" s="76" t="n">
        <f aca="false">H9</f>
        <v>849406.517285156</v>
      </c>
      <c r="E10" s="77" t="n">
        <f aca="false">I9</f>
        <v>0</v>
      </c>
      <c r="F10" s="78" t="n">
        <f aca="false">F9*(1+INPUTS!B19)</f>
        <v>46387.7367285156</v>
      </c>
      <c r="G10" s="77" t="n">
        <f aca="false">MAX(0,C10-F10)*(1+INPUTS!B18)</f>
        <v>0</v>
      </c>
      <c r="H10" s="77" t="n">
        <f aca="false">MAX(0,D10-MAX(0,F10-C10-E10))*(1+INPUTS!B18)</f>
        <v>843169.719584473</v>
      </c>
      <c r="I10" s="77" t="n">
        <f aca="false">MAX(0,E10-MAX(0,F10-C10))*(1+INPUTS!B18)</f>
        <v>0</v>
      </c>
      <c r="J10" s="79" t="n">
        <f aca="false">G10+H10+I10</f>
        <v>843169.719584473</v>
      </c>
    </row>
    <row r="11" customFormat="false" ht="15.75" hidden="false" customHeight="true" outlineLevel="0" collapsed="false">
      <c r="A11" s="80" t="n">
        <f aca="false">INPUTS!E4+7</f>
        <v>2037</v>
      </c>
      <c r="B11" s="80" t="n">
        <f aca="false">INPUTS!B5+7</f>
        <v>59</v>
      </c>
      <c r="C11" s="81" t="n">
        <f aca="false">G10</f>
        <v>0</v>
      </c>
      <c r="D11" s="81" t="n">
        <f aca="false">H10</f>
        <v>843169.719584473</v>
      </c>
      <c r="E11" s="82" t="n">
        <f aca="false">I10</f>
        <v>0</v>
      </c>
      <c r="F11" s="78" t="n">
        <f aca="false">F10*(1+INPUTS!B19)</f>
        <v>47547.4301467285</v>
      </c>
      <c r="G11" s="82" t="n">
        <f aca="false">MAX(0,C11-F11)*(1+INPUTS!B18)</f>
        <v>0</v>
      </c>
      <c r="H11" s="82" t="n">
        <f aca="false">MAX(0,D11-MAX(0,F11-C11-E11))*(1+INPUTS!B18)</f>
        <v>835403.403909632</v>
      </c>
      <c r="I11" s="82" t="n">
        <f aca="false">MAX(0,E11-MAX(0,F11-C11))*(1+INPUTS!B18)</f>
        <v>0</v>
      </c>
      <c r="J11" s="83" t="n">
        <f aca="false">G11+H11+I11</f>
        <v>835403.403909632</v>
      </c>
    </row>
    <row r="12" customFormat="false" ht="15.75" hidden="false" customHeight="true" outlineLevel="0" collapsed="false">
      <c r="A12" s="84" t="s">
        <v>100</v>
      </c>
      <c r="B12" s="84"/>
      <c r="C12" s="85"/>
      <c r="D12" s="86"/>
      <c r="E12" s="87"/>
      <c r="F12" s="88" t="n">
        <f aca="false">SUM(F4:F11)</f>
        <v>349444.636015869</v>
      </c>
      <c r="G12" s="87"/>
      <c r="H12" s="87"/>
      <c r="I12" s="87"/>
      <c r="J12" s="85"/>
    </row>
    <row r="13" customFormat="false" ht="15.75" hidden="false" customHeight="true" outlineLevel="0" collapsed="false">
      <c r="C13" s="89"/>
      <c r="D13" s="69"/>
      <c r="F13" s="69"/>
      <c r="J13" s="89"/>
    </row>
    <row r="14" customFormat="false" ht="15.75" hidden="false" customHeight="true" outlineLevel="0" collapsed="false">
      <c r="C14" s="89"/>
      <c r="D14" s="69"/>
      <c r="F14" s="69"/>
      <c r="J14" s="89"/>
    </row>
    <row r="15" customFormat="false" ht="15.75" hidden="false" customHeight="true" outlineLevel="0" collapsed="false">
      <c r="C15" s="89"/>
      <c r="D15" s="69"/>
      <c r="F15" s="69"/>
      <c r="J15" s="89"/>
    </row>
    <row r="16" customFormat="false" ht="15.75" hidden="false" customHeight="true" outlineLevel="0" collapsed="false">
      <c r="C16" s="89"/>
      <c r="D16" s="69"/>
      <c r="F16" s="69"/>
      <c r="J16" s="89"/>
    </row>
    <row r="17" customFormat="false" ht="15.75" hidden="false" customHeight="true" outlineLevel="0" collapsed="false">
      <c r="C17" s="89"/>
      <c r="D17" s="69"/>
      <c r="F17" s="69"/>
      <c r="J17" s="89"/>
    </row>
    <row r="18" customFormat="false" ht="15.75" hidden="false" customHeight="true" outlineLevel="0" collapsed="false">
      <c r="C18" s="89"/>
      <c r="D18" s="69"/>
      <c r="F18" s="69"/>
      <c r="J18" s="89"/>
    </row>
    <row r="19" customFormat="false" ht="15.75" hidden="false" customHeight="true" outlineLevel="0" collapsed="false">
      <c r="C19" s="89"/>
      <c r="D19" s="69"/>
      <c r="F19" s="69"/>
      <c r="J19" s="89"/>
    </row>
    <row r="20" customFormat="false" ht="15.75" hidden="false" customHeight="true" outlineLevel="0" collapsed="false">
      <c r="C20" s="89"/>
      <c r="D20" s="69"/>
      <c r="F20" s="69"/>
      <c r="J20" s="89"/>
    </row>
    <row r="21" customFormat="false" ht="15.75" hidden="false" customHeight="true" outlineLevel="0" collapsed="false">
      <c r="C21" s="89"/>
      <c r="D21" s="69"/>
      <c r="F21" s="69"/>
      <c r="J21" s="89"/>
    </row>
    <row r="22" customFormat="false" ht="15.75" hidden="false" customHeight="true" outlineLevel="0" collapsed="false">
      <c r="C22" s="89"/>
      <c r="D22" s="69"/>
      <c r="F22" s="69"/>
      <c r="J22" s="89"/>
    </row>
    <row r="23" customFormat="false" ht="15.75" hidden="false" customHeight="true" outlineLevel="0" collapsed="false">
      <c r="C23" s="89"/>
      <c r="D23" s="69"/>
      <c r="F23" s="69"/>
      <c r="J23" s="89"/>
    </row>
    <row r="24" customFormat="false" ht="15.75" hidden="false" customHeight="true" outlineLevel="0" collapsed="false">
      <c r="C24" s="89"/>
      <c r="D24" s="69"/>
      <c r="F24" s="69"/>
      <c r="J24" s="89"/>
    </row>
    <row r="25" customFormat="false" ht="15.75" hidden="false" customHeight="true" outlineLevel="0" collapsed="false">
      <c r="C25" s="89"/>
      <c r="D25" s="69"/>
      <c r="F25" s="69"/>
      <c r="J25" s="89"/>
    </row>
    <row r="26" customFormat="false" ht="15.75" hidden="false" customHeight="true" outlineLevel="0" collapsed="false">
      <c r="C26" s="89"/>
      <c r="D26" s="69"/>
      <c r="F26" s="69"/>
      <c r="J26" s="89"/>
    </row>
    <row r="27" customFormat="false" ht="15.75" hidden="false" customHeight="true" outlineLevel="0" collapsed="false">
      <c r="C27" s="89"/>
      <c r="D27" s="69"/>
      <c r="F27" s="69"/>
      <c r="J27" s="89"/>
    </row>
    <row r="28" customFormat="false" ht="15.75" hidden="false" customHeight="true" outlineLevel="0" collapsed="false">
      <c r="C28" s="89"/>
      <c r="D28" s="69"/>
      <c r="F28" s="69"/>
      <c r="J28" s="89"/>
    </row>
    <row r="29" customFormat="false" ht="15.75" hidden="false" customHeight="true" outlineLevel="0" collapsed="false">
      <c r="C29" s="89"/>
      <c r="D29" s="69"/>
      <c r="F29" s="69"/>
      <c r="J29" s="89"/>
    </row>
    <row r="30" customFormat="false" ht="15.75" hidden="false" customHeight="true" outlineLevel="0" collapsed="false">
      <c r="C30" s="89"/>
      <c r="D30" s="69"/>
      <c r="F30" s="69"/>
      <c r="J30" s="89"/>
    </row>
    <row r="31" customFormat="false" ht="15.75" hidden="false" customHeight="true" outlineLevel="0" collapsed="false">
      <c r="C31" s="89"/>
      <c r="D31" s="69"/>
      <c r="F31" s="69"/>
      <c r="J31" s="89"/>
    </row>
    <row r="32" customFormat="false" ht="15.75" hidden="false" customHeight="true" outlineLevel="0" collapsed="false">
      <c r="C32" s="89"/>
      <c r="D32" s="69"/>
      <c r="F32" s="69"/>
      <c r="J32" s="89"/>
    </row>
    <row r="33" customFormat="false" ht="15.75" hidden="false" customHeight="true" outlineLevel="0" collapsed="false">
      <c r="C33" s="89"/>
      <c r="D33" s="69"/>
      <c r="F33" s="69"/>
      <c r="J33" s="89"/>
    </row>
    <row r="34" customFormat="false" ht="15.75" hidden="false" customHeight="true" outlineLevel="0" collapsed="false">
      <c r="C34" s="89"/>
      <c r="D34" s="69"/>
      <c r="F34" s="69"/>
      <c r="J34" s="89"/>
    </row>
    <row r="35" customFormat="false" ht="15.75" hidden="false" customHeight="true" outlineLevel="0" collapsed="false">
      <c r="C35" s="89"/>
      <c r="D35" s="69"/>
      <c r="F35" s="69"/>
      <c r="J35" s="89"/>
    </row>
    <row r="36" customFormat="false" ht="15.75" hidden="false" customHeight="true" outlineLevel="0" collapsed="false">
      <c r="C36" s="89"/>
      <c r="D36" s="69"/>
      <c r="F36" s="69"/>
      <c r="J36" s="89"/>
    </row>
    <row r="37" customFormat="false" ht="15.75" hidden="false" customHeight="true" outlineLevel="0" collapsed="false">
      <c r="C37" s="89"/>
      <c r="D37" s="69"/>
      <c r="F37" s="69"/>
      <c r="J37" s="89"/>
    </row>
    <row r="38" customFormat="false" ht="15.75" hidden="false" customHeight="true" outlineLevel="0" collapsed="false">
      <c r="C38" s="89"/>
      <c r="D38" s="69"/>
      <c r="F38" s="69"/>
      <c r="J38" s="89"/>
    </row>
    <row r="39" customFormat="false" ht="15.75" hidden="false" customHeight="true" outlineLevel="0" collapsed="false">
      <c r="C39" s="89"/>
      <c r="D39" s="69"/>
      <c r="F39" s="69"/>
      <c r="J39" s="89"/>
    </row>
    <row r="40" customFormat="false" ht="15.75" hidden="false" customHeight="true" outlineLevel="0" collapsed="false">
      <c r="C40" s="89"/>
      <c r="D40" s="69"/>
      <c r="F40" s="69"/>
      <c r="J40" s="89"/>
    </row>
    <row r="41" customFormat="false" ht="15.75" hidden="false" customHeight="true" outlineLevel="0" collapsed="false">
      <c r="C41" s="89"/>
      <c r="D41" s="69"/>
      <c r="F41" s="69"/>
      <c r="J41" s="89"/>
    </row>
    <row r="42" customFormat="false" ht="15.75" hidden="false" customHeight="true" outlineLevel="0" collapsed="false">
      <c r="C42" s="89"/>
      <c r="D42" s="69"/>
      <c r="F42" s="69"/>
      <c r="J42" s="89"/>
    </row>
    <row r="43" customFormat="false" ht="15.75" hidden="false" customHeight="true" outlineLevel="0" collapsed="false">
      <c r="C43" s="89"/>
      <c r="D43" s="69"/>
      <c r="F43" s="69"/>
      <c r="J43" s="89"/>
    </row>
    <row r="44" customFormat="false" ht="15.75" hidden="false" customHeight="true" outlineLevel="0" collapsed="false">
      <c r="C44" s="89"/>
      <c r="D44" s="69"/>
      <c r="F44" s="69"/>
      <c r="J44" s="89"/>
    </row>
    <row r="45" customFormat="false" ht="15.75" hidden="false" customHeight="true" outlineLevel="0" collapsed="false">
      <c r="C45" s="89"/>
      <c r="D45" s="69"/>
      <c r="F45" s="69"/>
      <c r="J45" s="89"/>
    </row>
    <row r="46" customFormat="false" ht="15.75" hidden="false" customHeight="true" outlineLevel="0" collapsed="false">
      <c r="C46" s="89"/>
      <c r="D46" s="69"/>
      <c r="F46" s="69"/>
      <c r="J46" s="89"/>
    </row>
    <row r="47" customFormat="false" ht="15.75" hidden="false" customHeight="true" outlineLevel="0" collapsed="false">
      <c r="C47" s="89"/>
      <c r="D47" s="69"/>
      <c r="F47" s="69"/>
      <c r="J47" s="89"/>
    </row>
    <row r="48" customFormat="false" ht="15.75" hidden="false" customHeight="true" outlineLevel="0" collapsed="false">
      <c r="C48" s="89"/>
      <c r="D48" s="69"/>
      <c r="F48" s="69"/>
      <c r="J48" s="89"/>
    </row>
    <row r="49" customFormat="false" ht="15.75" hidden="false" customHeight="true" outlineLevel="0" collapsed="false">
      <c r="C49" s="89"/>
      <c r="D49" s="69"/>
      <c r="F49" s="69"/>
      <c r="J49" s="89"/>
    </row>
    <row r="50" customFormat="false" ht="15.75" hidden="false" customHeight="true" outlineLevel="0" collapsed="false">
      <c r="C50" s="89"/>
      <c r="D50" s="69"/>
      <c r="F50" s="69"/>
      <c r="J50" s="89"/>
    </row>
    <row r="51" customFormat="false" ht="15.75" hidden="false" customHeight="true" outlineLevel="0" collapsed="false">
      <c r="C51" s="89"/>
      <c r="D51" s="69"/>
      <c r="F51" s="69"/>
      <c r="J51" s="89"/>
    </row>
    <row r="52" customFormat="false" ht="15.75" hidden="false" customHeight="true" outlineLevel="0" collapsed="false">
      <c r="C52" s="89"/>
      <c r="D52" s="69"/>
      <c r="F52" s="69"/>
      <c r="J52" s="89"/>
    </row>
    <row r="53" customFormat="false" ht="15.75" hidden="false" customHeight="true" outlineLevel="0" collapsed="false">
      <c r="C53" s="89"/>
      <c r="D53" s="69"/>
      <c r="F53" s="69"/>
      <c r="J53" s="89"/>
    </row>
    <row r="54" customFormat="false" ht="15.75" hidden="false" customHeight="true" outlineLevel="0" collapsed="false">
      <c r="C54" s="89"/>
      <c r="D54" s="69"/>
      <c r="F54" s="69"/>
      <c r="J54" s="89"/>
    </row>
    <row r="55" customFormat="false" ht="15.75" hidden="false" customHeight="true" outlineLevel="0" collapsed="false">
      <c r="C55" s="89"/>
      <c r="D55" s="69"/>
      <c r="F55" s="69"/>
      <c r="J55" s="89"/>
    </row>
    <row r="56" customFormat="false" ht="15.75" hidden="false" customHeight="true" outlineLevel="0" collapsed="false">
      <c r="C56" s="89"/>
      <c r="D56" s="69"/>
      <c r="F56" s="69"/>
      <c r="J56" s="89"/>
    </row>
    <row r="57" customFormat="false" ht="15.75" hidden="false" customHeight="true" outlineLevel="0" collapsed="false">
      <c r="C57" s="89"/>
      <c r="D57" s="69"/>
      <c r="F57" s="69"/>
      <c r="J57" s="89"/>
    </row>
    <row r="58" customFormat="false" ht="15.75" hidden="false" customHeight="true" outlineLevel="0" collapsed="false">
      <c r="C58" s="89"/>
      <c r="D58" s="69"/>
      <c r="F58" s="69"/>
      <c r="J58" s="89"/>
    </row>
    <row r="59" customFormat="false" ht="15.75" hidden="false" customHeight="true" outlineLevel="0" collapsed="false">
      <c r="C59" s="89"/>
      <c r="D59" s="69"/>
      <c r="F59" s="69"/>
      <c r="J59" s="89"/>
    </row>
    <row r="60" customFormat="false" ht="15.75" hidden="false" customHeight="true" outlineLevel="0" collapsed="false">
      <c r="C60" s="89"/>
      <c r="D60" s="69"/>
      <c r="F60" s="69"/>
      <c r="J60" s="89"/>
    </row>
    <row r="61" customFormat="false" ht="15.75" hidden="false" customHeight="true" outlineLevel="0" collapsed="false">
      <c r="C61" s="89"/>
      <c r="D61" s="69"/>
      <c r="F61" s="69"/>
      <c r="J61" s="89"/>
    </row>
    <row r="62" customFormat="false" ht="15.75" hidden="false" customHeight="true" outlineLevel="0" collapsed="false">
      <c r="C62" s="89"/>
      <c r="D62" s="69"/>
      <c r="F62" s="69"/>
      <c r="J62" s="89"/>
    </row>
    <row r="63" customFormat="false" ht="15.75" hidden="false" customHeight="true" outlineLevel="0" collapsed="false">
      <c r="C63" s="89"/>
      <c r="D63" s="69"/>
      <c r="F63" s="69"/>
      <c r="J63" s="89"/>
    </row>
    <row r="64" customFormat="false" ht="15.75" hidden="false" customHeight="true" outlineLevel="0" collapsed="false">
      <c r="C64" s="89"/>
      <c r="D64" s="69"/>
      <c r="F64" s="69"/>
      <c r="J64" s="89"/>
    </row>
    <row r="65" customFormat="false" ht="15.75" hidden="false" customHeight="true" outlineLevel="0" collapsed="false">
      <c r="C65" s="89"/>
      <c r="D65" s="69"/>
      <c r="F65" s="69"/>
      <c r="J65" s="89"/>
    </row>
    <row r="66" customFormat="false" ht="15.75" hidden="false" customHeight="true" outlineLevel="0" collapsed="false">
      <c r="C66" s="89"/>
      <c r="D66" s="69"/>
      <c r="F66" s="69"/>
      <c r="J66" s="89"/>
    </row>
    <row r="67" customFormat="false" ht="15.75" hidden="false" customHeight="true" outlineLevel="0" collapsed="false">
      <c r="C67" s="89"/>
      <c r="D67" s="69"/>
      <c r="F67" s="69"/>
      <c r="J67" s="89"/>
    </row>
    <row r="68" customFormat="false" ht="15.75" hidden="false" customHeight="true" outlineLevel="0" collapsed="false">
      <c r="C68" s="89"/>
      <c r="D68" s="69"/>
      <c r="F68" s="69"/>
      <c r="J68" s="89"/>
    </row>
    <row r="69" customFormat="false" ht="15.75" hidden="false" customHeight="true" outlineLevel="0" collapsed="false">
      <c r="C69" s="89"/>
      <c r="D69" s="69"/>
      <c r="F69" s="69"/>
      <c r="J69" s="89"/>
    </row>
    <row r="70" customFormat="false" ht="15.75" hidden="false" customHeight="true" outlineLevel="0" collapsed="false">
      <c r="C70" s="89"/>
      <c r="D70" s="69"/>
      <c r="F70" s="69"/>
      <c r="J70" s="89"/>
    </row>
    <row r="71" customFormat="false" ht="15.75" hidden="false" customHeight="true" outlineLevel="0" collapsed="false">
      <c r="C71" s="89"/>
      <c r="D71" s="69"/>
      <c r="F71" s="69"/>
      <c r="J71" s="89"/>
    </row>
    <row r="72" customFormat="false" ht="15.75" hidden="false" customHeight="true" outlineLevel="0" collapsed="false">
      <c r="C72" s="89"/>
      <c r="D72" s="69"/>
      <c r="F72" s="69"/>
      <c r="J72" s="89"/>
    </row>
    <row r="73" customFormat="false" ht="15.75" hidden="false" customHeight="true" outlineLevel="0" collapsed="false">
      <c r="C73" s="89"/>
      <c r="D73" s="69"/>
      <c r="F73" s="69"/>
      <c r="J73" s="89"/>
    </row>
    <row r="74" customFormat="false" ht="15.75" hidden="false" customHeight="true" outlineLevel="0" collapsed="false">
      <c r="C74" s="89"/>
      <c r="D74" s="69"/>
      <c r="F74" s="69"/>
      <c r="J74" s="89"/>
    </row>
    <row r="75" customFormat="false" ht="15.75" hidden="false" customHeight="true" outlineLevel="0" collapsed="false">
      <c r="C75" s="89"/>
      <c r="D75" s="69"/>
      <c r="F75" s="69"/>
      <c r="J75" s="89"/>
    </row>
    <row r="76" customFormat="false" ht="15.75" hidden="false" customHeight="true" outlineLevel="0" collapsed="false">
      <c r="C76" s="89"/>
      <c r="D76" s="69"/>
      <c r="F76" s="69"/>
      <c r="J76" s="89"/>
    </row>
    <row r="77" customFormat="false" ht="15.75" hidden="false" customHeight="true" outlineLevel="0" collapsed="false">
      <c r="C77" s="89"/>
      <c r="D77" s="69"/>
      <c r="F77" s="69"/>
      <c r="J77" s="89"/>
    </row>
    <row r="78" customFormat="false" ht="15.75" hidden="false" customHeight="true" outlineLevel="0" collapsed="false">
      <c r="C78" s="89"/>
      <c r="D78" s="69"/>
      <c r="F78" s="69"/>
      <c r="J78" s="89"/>
    </row>
    <row r="79" customFormat="false" ht="15.75" hidden="false" customHeight="true" outlineLevel="0" collapsed="false">
      <c r="C79" s="89"/>
      <c r="D79" s="69"/>
      <c r="F79" s="69"/>
      <c r="J79" s="89"/>
    </row>
    <row r="80" customFormat="false" ht="15.75" hidden="false" customHeight="true" outlineLevel="0" collapsed="false">
      <c r="C80" s="89"/>
      <c r="D80" s="69"/>
      <c r="F80" s="69"/>
      <c r="J80" s="89"/>
    </row>
    <row r="81" customFormat="false" ht="15.75" hidden="false" customHeight="true" outlineLevel="0" collapsed="false">
      <c r="C81" s="89"/>
      <c r="D81" s="69"/>
      <c r="F81" s="69"/>
      <c r="J81" s="89"/>
    </row>
    <row r="82" customFormat="false" ht="15.75" hidden="false" customHeight="true" outlineLevel="0" collapsed="false">
      <c r="C82" s="89"/>
      <c r="D82" s="69"/>
      <c r="F82" s="69"/>
      <c r="J82" s="89"/>
    </row>
    <row r="83" customFormat="false" ht="15.75" hidden="false" customHeight="true" outlineLevel="0" collapsed="false">
      <c r="C83" s="89"/>
      <c r="D83" s="69"/>
      <c r="F83" s="69"/>
      <c r="J83" s="89"/>
    </row>
    <row r="84" customFormat="false" ht="15.75" hidden="false" customHeight="true" outlineLevel="0" collapsed="false">
      <c r="C84" s="89"/>
      <c r="D84" s="69"/>
      <c r="F84" s="69"/>
      <c r="J84" s="89"/>
    </row>
    <row r="85" customFormat="false" ht="15.75" hidden="false" customHeight="true" outlineLevel="0" collapsed="false">
      <c r="C85" s="89"/>
      <c r="D85" s="69"/>
      <c r="F85" s="69"/>
      <c r="J85" s="89"/>
    </row>
    <row r="86" customFormat="false" ht="15.75" hidden="false" customHeight="true" outlineLevel="0" collapsed="false">
      <c r="C86" s="89"/>
      <c r="D86" s="69"/>
      <c r="F86" s="69"/>
      <c r="J86" s="89"/>
    </row>
    <row r="87" customFormat="false" ht="15.75" hidden="false" customHeight="true" outlineLevel="0" collapsed="false">
      <c r="C87" s="89"/>
      <c r="D87" s="69"/>
      <c r="F87" s="69"/>
      <c r="J87" s="89"/>
    </row>
    <row r="88" customFormat="false" ht="15.75" hidden="false" customHeight="true" outlineLevel="0" collapsed="false">
      <c r="C88" s="89"/>
      <c r="D88" s="69"/>
      <c r="F88" s="69"/>
      <c r="J88" s="89"/>
    </row>
    <row r="89" customFormat="false" ht="15.75" hidden="false" customHeight="true" outlineLevel="0" collapsed="false">
      <c r="C89" s="89"/>
      <c r="D89" s="69"/>
      <c r="F89" s="69"/>
      <c r="J89" s="89"/>
    </row>
    <row r="90" customFormat="false" ht="15.75" hidden="false" customHeight="true" outlineLevel="0" collapsed="false">
      <c r="C90" s="89"/>
      <c r="D90" s="69"/>
      <c r="F90" s="69"/>
      <c r="J90" s="89"/>
    </row>
    <row r="91" customFormat="false" ht="15.75" hidden="false" customHeight="true" outlineLevel="0" collapsed="false">
      <c r="C91" s="89"/>
      <c r="D91" s="69"/>
      <c r="F91" s="69"/>
      <c r="J91" s="89"/>
    </row>
    <row r="92" customFormat="false" ht="15.75" hidden="false" customHeight="true" outlineLevel="0" collapsed="false">
      <c r="C92" s="89"/>
      <c r="D92" s="69"/>
      <c r="F92" s="69"/>
      <c r="J92" s="89"/>
    </row>
    <row r="93" customFormat="false" ht="15.75" hidden="false" customHeight="true" outlineLevel="0" collapsed="false">
      <c r="C93" s="89"/>
      <c r="D93" s="69"/>
      <c r="F93" s="69"/>
      <c r="J93" s="89"/>
    </row>
    <row r="94" customFormat="false" ht="15.75" hidden="false" customHeight="true" outlineLevel="0" collapsed="false">
      <c r="C94" s="89"/>
      <c r="D94" s="69"/>
      <c r="F94" s="69"/>
      <c r="J94" s="89"/>
    </row>
    <row r="95" customFormat="false" ht="15.75" hidden="false" customHeight="true" outlineLevel="0" collapsed="false">
      <c r="C95" s="89"/>
      <c r="D95" s="69"/>
      <c r="F95" s="69"/>
      <c r="J95" s="89"/>
    </row>
    <row r="96" customFormat="false" ht="15.75" hidden="false" customHeight="true" outlineLevel="0" collapsed="false">
      <c r="C96" s="89"/>
      <c r="D96" s="69"/>
      <c r="F96" s="69"/>
      <c r="J96" s="89"/>
    </row>
    <row r="97" customFormat="false" ht="15.75" hidden="false" customHeight="true" outlineLevel="0" collapsed="false">
      <c r="C97" s="89"/>
      <c r="D97" s="69"/>
      <c r="F97" s="69"/>
      <c r="J97" s="89"/>
    </row>
    <row r="98" customFormat="false" ht="15.75" hidden="false" customHeight="true" outlineLevel="0" collapsed="false">
      <c r="C98" s="89"/>
      <c r="D98" s="69"/>
      <c r="F98" s="69"/>
      <c r="J98" s="89"/>
    </row>
    <row r="99" customFormat="false" ht="15.75" hidden="false" customHeight="true" outlineLevel="0" collapsed="false">
      <c r="C99" s="89"/>
      <c r="D99" s="69"/>
      <c r="F99" s="69"/>
      <c r="J99" s="89"/>
    </row>
    <row r="100" customFormat="false" ht="15.75" hidden="false" customHeight="true" outlineLevel="0" collapsed="false">
      <c r="C100" s="89"/>
      <c r="D100" s="69"/>
      <c r="F100" s="69"/>
      <c r="J100" s="89"/>
    </row>
    <row r="101" customFormat="false" ht="15.75" hidden="false" customHeight="true" outlineLevel="0" collapsed="false">
      <c r="C101" s="89"/>
      <c r="D101" s="69"/>
      <c r="F101" s="69"/>
      <c r="J101" s="89"/>
    </row>
    <row r="102" customFormat="false" ht="15.75" hidden="false" customHeight="true" outlineLevel="0" collapsed="false">
      <c r="C102" s="89"/>
      <c r="D102" s="69"/>
      <c r="F102" s="69"/>
      <c r="J102" s="89"/>
    </row>
    <row r="103" customFormat="false" ht="15.75" hidden="false" customHeight="true" outlineLevel="0" collapsed="false">
      <c r="C103" s="89"/>
      <c r="D103" s="69"/>
      <c r="F103" s="69"/>
      <c r="J103" s="89"/>
    </row>
    <row r="104" customFormat="false" ht="15.75" hidden="false" customHeight="true" outlineLevel="0" collapsed="false">
      <c r="C104" s="89"/>
      <c r="D104" s="69"/>
      <c r="F104" s="69"/>
      <c r="J104" s="89"/>
    </row>
    <row r="105" customFormat="false" ht="15.75" hidden="false" customHeight="true" outlineLevel="0" collapsed="false">
      <c r="C105" s="89"/>
      <c r="D105" s="69"/>
      <c r="F105" s="69"/>
      <c r="J105" s="89"/>
    </row>
    <row r="106" customFormat="false" ht="15.75" hidden="false" customHeight="true" outlineLevel="0" collapsed="false">
      <c r="C106" s="89"/>
      <c r="D106" s="69"/>
      <c r="F106" s="69"/>
      <c r="J106" s="89"/>
    </row>
    <row r="107" customFormat="false" ht="15.75" hidden="false" customHeight="true" outlineLevel="0" collapsed="false">
      <c r="C107" s="89"/>
      <c r="D107" s="69"/>
      <c r="F107" s="69"/>
      <c r="J107" s="89"/>
    </row>
    <row r="108" customFormat="false" ht="15.75" hidden="false" customHeight="true" outlineLevel="0" collapsed="false">
      <c r="C108" s="89"/>
      <c r="D108" s="69"/>
      <c r="F108" s="69"/>
      <c r="J108" s="89"/>
    </row>
    <row r="109" customFormat="false" ht="15.75" hidden="false" customHeight="true" outlineLevel="0" collapsed="false">
      <c r="C109" s="89"/>
      <c r="D109" s="69"/>
      <c r="F109" s="69"/>
      <c r="J109" s="89"/>
    </row>
    <row r="110" customFormat="false" ht="15.75" hidden="false" customHeight="true" outlineLevel="0" collapsed="false">
      <c r="C110" s="89"/>
      <c r="D110" s="69"/>
      <c r="F110" s="69"/>
      <c r="J110" s="89"/>
    </row>
    <row r="111" customFormat="false" ht="15.75" hidden="false" customHeight="true" outlineLevel="0" collapsed="false">
      <c r="C111" s="89"/>
      <c r="D111" s="69"/>
      <c r="F111" s="69"/>
      <c r="J111" s="89"/>
    </row>
    <row r="112" customFormat="false" ht="15.75" hidden="false" customHeight="true" outlineLevel="0" collapsed="false">
      <c r="C112" s="89"/>
      <c r="D112" s="69"/>
      <c r="F112" s="69"/>
      <c r="J112" s="89"/>
    </row>
    <row r="113" customFormat="false" ht="15.75" hidden="false" customHeight="true" outlineLevel="0" collapsed="false">
      <c r="C113" s="89"/>
      <c r="D113" s="69"/>
      <c r="F113" s="69"/>
      <c r="J113" s="89"/>
    </row>
    <row r="114" customFormat="false" ht="15.75" hidden="false" customHeight="true" outlineLevel="0" collapsed="false">
      <c r="C114" s="89"/>
      <c r="D114" s="69"/>
      <c r="F114" s="69"/>
      <c r="J114" s="89"/>
    </row>
    <row r="115" customFormat="false" ht="15.75" hidden="false" customHeight="true" outlineLevel="0" collapsed="false">
      <c r="C115" s="89"/>
      <c r="D115" s="69"/>
      <c r="F115" s="69"/>
      <c r="J115" s="89"/>
    </row>
    <row r="116" customFormat="false" ht="15.75" hidden="false" customHeight="true" outlineLevel="0" collapsed="false">
      <c r="C116" s="89"/>
      <c r="D116" s="69"/>
      <c r="F116" s="69"/>
      <c r="J116" s="89"/>
    </row>
    <row r="117" customFormat="false" ht="15.75" hidden="false" customHeight="true" outlineLevel="0" collapsed="false">
      <c r="C117" s="89"/>
      <c r="D117" s="69"/>
      <c r="F117" s="69"/>
      <c r="J117" s="89"/>
    </row>
    <row r="118" customFormat="false" ht="15.75" hidden="false" customHeight="true" outlineLevel="0" collapsed="false">
      <c r="C118" s="89"/>
      <c r="D118" s="69"/>
      <c r="F118" s="69"/>
      <c r="J118" s="89"/>
    </row>
    <row r="119" customFormat="false" ht="15.75" hidden="false" customHeight="true" outlineLevel="0" collapsed="false">
      <c r="C119" s="89"/>
      <c r="D119" s="69"/>
      <c r="F119" s="69"/>
      <c r="J119" s="89"/>
    </row>
    <row r="120" customFormat="false" ht="15.75" hidden="false" customHeight="true" outlineLevel="0" collapsed="false">
      <c r="C120" s="89"/>
      <c r="D120" s="69"/>
      <c r="F120" s="69"/>
      <c r="J120" s="89"/>
    </row>
    <row r="121" customFormat="false" ht="15.75" hidden="false" customHeight="true" outlineLevel="0" collapsed="false">
      <c r="C121" s="89"/>
      <c r="D121" s="69"/>
      <c r="F121" s="69"/>
      <c r="J121" s="89"/>
    </row>
    <row r="122" customFormat="false" ht="15.75" hidden="false" customHeight="true" outlineLevel="0" collapsed="false">
      <c r="C122" s="89"/>
      <c r="D122" s="69"/>
      <c r="F122" s="69"/>
      <c r="J122" s="89"/>
    </row>
    <row r="123" customFormat="false" ht="15.75" hidden="false" customHeight="true" outlineLevel="0" collapsed="false">
      <c r="C123" s="89"/>
      <c r="D123" s="69"/>
      <c r="F123" s="69"/>
      <c r="J123" s="89"/>
    </row>
    <row r="124" customFormat="false" ht="15.75" hidden="false" customHeight="true" outlineLevel="0" collapsed="false">
      <c r="C124" s="89"/>
      <c r="D124" s="69"/>
      <c r="F124" s="69"/>
      <c r="J124" s="89"/>
    </row>
    <row r="125" customFormat="false" ht="15.75" hidden="false" customHeight="true" outlineLevel="0" collapsed="false">
      <c r="C125" s="89"/>
      <c r="D125" s="69"/>
      <c r="F125" s="69"/>
      <c r="J125" s="89"/>
    </row>
    <row r="126" customFormat="false" ht="15.75" hidden="false" customHeight="true" outlineLevel="0" collapsed="false">
      <c r="C126" s="89"/>
      <c r="D126" s="69"/>
      <c r="F126" s="69"/>
      <c r="J126" s="89"/>
    </row>
    <row r="127" customFormat="false" ht="15.75" hidden="false" customHeight="true" outlineLevel="0" collapsed="false">
      <c r="C127" s="89"/>
      <c r="D127" s="69"/>
      <c r="F127" s="69"/>
      <c r="J127" s="89"/>
    </row>
    <row r="128" customFormat="false" ht="15.75" hidden="false" customHeight="true" outlineLevel="0" collapsed="false">
      <c r="C128" s="89"/>
      <c r="D128" s="69"/>
      <c r="F128" s="69"/>
      <c r="J128" s="89"/>
    </row>
    <row r="129" customFormat="false" ht="15.75" hidden="false" customHeight="true" outlineLevel="0" collapsed="false">
      <c r="C129" s="89"/>
      <c r="D129" s="69"/>
      <c r="F129" s="69"/>
      <c r="J129" s="89"/>
    </row>
    <row r="130" customFormat="false" ht="15.75" hidden="false" customHeight="true" outlineLevel="0" collapsed="false">
      <c r="C130" s="89"/>
      <c r="D130" s="69"/>
      <c r="F130" s="69"/>
      <c r="J130" s="89"/>
    </row>
    <row r="131" customFormat="false" ht="15.75" hidden="false" customHeight="true" outlineLevel="0" collapsed="false">
      <c r="C131" s="89"/>
      <c r="D131" s="69"/>
      <c r="F131" s="69"/>
      <c r="J131" s="89"/>
    </row>
    <row r="132" customFormat="false" ht="15.75" hidden="false" customHeight="true" outlineLevel="0" collapsed="false">
      <c r="C132" s="89"/>
      <c r="D132" s="69"/>
      <c r="F132" s="69"/>
      <c r="J132" s="89"/>
    </row>
    <row r="133" customFormat="false" ht="15.75" hidden="false" customHeight="true" outlineLevel="0" collapsed="false">
      <c r="C133" s="89"/>
      <c r="D133" s="69"/>
      <c r="F133" s="69"/>
      <c r="J133" s="89"/>
    </row>
    <row r="134" customFormat="false" ht="15.75" hidden="false" customHeight="true" outlineLevel="0" collapsed="false">
      <c r="C134" s="89"/>
      <c r="D134" s="69"/>
      <c r="F134" s="69"/>
      <c r="J134" s="89"/>
    </row>
    <row r="135" customFormat="false" ht="15.75" hidden="false" customHeight="true" outlineLevel="0" collapsed="false">
      <c r="C135" s="89"/>
      <c r="D135" s="69"/>
      <c r="F135" s="69"/>
      <c r="J135" s="89"/>
    </row>
    <row r="136" customFormat="false" ht="15.75" hidden="false" customHeight="true" outlineLevel="0" collapsed="false">
      <c r="C136" s="89"/>
      <c r="D136" s="69"/>
      <c r="F136" s="69"/>
      <c r="J136" s="89"/>
    </row>
    <row r="137" customFormat="false" ht="15.75" hidden="false" customHeight="true" outlineLevel="0" collapsed="false">
      <c r="C137" s="89"/>
      <c r="D137" s="69"/>
      <c r="F137" s="69"/>
      <c r="J137" s="89"/>
    </row>
    <row r="138" customFormat="false" ht="15.75" hidden="false" customHeight="true" outlineLevel="0" collapsed="false">
      <c r="C138" s="89"/>
      <c r="D138" s="69"/>
      <c r="F138" s="69"/>
      <c r="J138" s="89"/>
    </row>
    <row r="139" customFormat="false" ht="15.75" hidden="false" customHeight="true" outlineLevel="0" collapsed="false">
      <c r="C139" s="89"/>
      <c r="D139" s="69"/>
      <c r="F139" s="69"/>
      <c r="J139" s="89"/>
    </row>
    <row r="140" customFormat="false" ht="15.75" hidden="false" customHeight="true" outlineLevel="0" collapsed="false">
      <c r="C140" s="89"/>
      <c r="D140" s="69"/>
      <c r="F140" s="69"/>
      <c r="J140" s="89"/>
    </row>
    <row r="141" customFormat="false" ht="15.75" hidden="false" customHeight="true" outlineLevel="0" collapsed="false">
      <c r="C141" s="89"/>
      <c r="D141" s="69"/>
      <c r="F141" s="69"/>
      <c r="J141" s="89"/>
    </row>
    <row r="142" customFormat="false" ht="15.75" hidden="false" customHeight="true" outlineLevel="0" collapsed="false">
      <c r="C142" s="89"/>
      <c r="D142" s="69"/>
      <c r="F142" s="69"/>
      <c r="J142" s="89"/>
    </row>
    <row r="143" customFormat="false" ht="15.75" hidden="false" customHeight="true" outlineLevel="0" collapsed="false">
      <c r="C143" s="89"/>
      <c r="D143" s="69"/>
      <c r="F143" s="69"/>
      <c r="J143" s="89"/>
    </row>
    <row r="144" customFormat="false" ht="15.75" hidden="false" customHeight="true" outlineLevel="0" collapsed="false">
      <c r="C144" s="89"/>
      <c r="D144" s="69"/>
      <c r="F144" s="69"/>
      <c r="J144" s="89"/>
    </row>
    <row r="145" customFormat="false" ht="15.75" hidden="false" customHeight="true" outlineLevel="0" collapsed="false">
      <c r="C145" s="89"/>
      <c r="D145" s="69"/>
      <c r="F145" s="69"/>
      <c r="J145" s="89"/>
    </row>
    <row r="146" customFormat="false" ht="15.75" hidden="false" customHeight="true" outlineLevel="0" collapsed="false">
      <c r="C146" s="89"/>
      <c r="D146" s="69"/>
      <c r="F146" s="69"/>
      <c r="J146" s="89"/>
    </row>
    <row r="147" customFormat="false" ht="15.75" hidden="false" customHeight="true" outlineLevel="0" collapsed="false">
      <c r="C147" s="89"/>
      <c r="D147" s="69"/>
      <c r="F147" s="69"/>
      <c r="J147" s="89"/>
    </row>
    <row r="148" customFormat="false" ht="15.75" hidden="false" customHeight="true" outlineLevel="0" collapsed="false">
      <c r="C148" s="89"/>
      <c r="D148" s="69"/>
      <c r="F148" s="69"/>
      <c r="J148" s="89"/>
    </row>
    <row r="149" customFormat="false" ht="15.75" hidden="false" customHeight="true" outlineLevel="0" collapsed="false">
      <c r="C149" s="89"/>
      <c r="D149" s="69"/>
      <c r="F149" s="69"/>
      <c r="J149" s="89"/>
    </row>
    <row r="150" customFormat="false" ht="15.75" hidden="false" customHeight="true" outlineLevel="0" collapsed="false">
      <c r="C150" s="89"/>
      <c r="D150" s="69"/>
      <c r="F150" s="69"/>
      <c r="J150" s="89"/>
    </row>
    <row r="151" customFormat="false" ht="15.75" hidden="false" customHeight="true" outlineLevel="0" collapsed="false">
      <c r="C151" s="89"/>
      <c r="D151" s="69"/>
      <c r="F151" s="69"/>
      <c r="J151" s="89"/>
    </row>
    <row r="152" customFormat="false" ht="15.75" hidden="false" customHeight="true" outlineLevel="0" collapsed="false">
      <c r="C152" s="89"/>
      <c r="D152" s="69"/>
      <c r="F152" s="69"/>
      <c r="J152" s="89"/>
    </row>
    <row r="153" customFormat="false" ht="15.75" hidden="false" customHeight="true" outlineLevel="0" collapsed="false">
      <c r="C153" s="89"/>
      <c r="D153" s="69"/>
      <c r="F153" s="69"/>
      <c r="J153" s="89"/>
    </row>
    <row r="154" customFormat="false" ht="15.75" hidden="false" customHeight="true" outlineLevel="0" collapsed="false">
      <c r="C154" s="89"/>
      <c r="D154" s="69"/>
      <c r="F154" s="69"/>
      <c r="J154" s="89"/>
    </row>
    <row r="155" customFormat="false" ht="15.75" hidden="false" customHeight="true" outlineLevel="0" collapsed="false">
      <c r="C155" s="89"/>
      <c r="D155" s="69"/>
      <c r="F155" s="69"/>
      <c r="J155" s="89"/>
    </row>
    <row r="156" customFormat="false" ht="15.75" hidden="false" customHeight="true" outlineLevel="0" collapsed="false">
      <c r="C156" s="89"/>
      <c r="D156" s="69"/>
      <c r="F156" s="69"/>
      <c r="J156" s="89"/>
    </row>
    <row r="157" customFormat="false" ht="15.75" hidden="false" customHeight="true" outlineLevel="0" collapsed="false">
      <c r="C157" s="89"/>
      <c r="D157" s="69"/>
      <c r="F157" s="69"/>
      <c r="J157" s="89"/>
    </row>
    <row r="158" customFormat="false" ht="15.75" hidden="false" customHeight="true" outlineLevel="0" collapsed="false">
      <c r="C158" s="89"/>
      <c r="D158" s="69"/>
      <c r="F158" s="69"/>
      <c r="J158" s="89"/>
    </row>
    <row r="159" customFormat="false" ht="15.75" hidden="false" customHeight="true" outlineLevel="0" collapsed="false">
      <c r="C159" s="89"/>
      <c r="D159" s="69"/>
      <c r="F159" s="69"/>
      <c r="J159" s="89"/>
    </row>
    <row r="160" customFormat="false" ht="15.75" hidden="false" customHeight="true" outlineLevel="0" collapsed="false">
      <c r="C160" s="89"/>
      <c r="D160" s="69"/>
      <c r="F160" s="69"/>
      <c r="J160" s="89"/>
    </row>
    <row r="161" customFormat="false" ht="15.75" hidden="false" customHeight="true" outlineLevel="0" collapsed="false">
      <c r="C161" s="89"/>
      <c r="D161" s="69"/>
      <c r="F161" s="69"/>
      <c r="J161" s="89"/>
    </row>
    <row r="162" customFormat="false" ht="15.75" hidden="false" customHeight="true" outlineLevel="0" collapsed="false">
      <c r="C162" s="89"/>
      <c r="D162" s="69"/>
      <c r="F162" s="69"/>
      <c r="J162" s="89"/>
    </row>
    <row r="163" customFormat="false" ht="15.75" hidden="false" customHeight="true" outlineLevel="0" collapsed="false">
      <c r="C163" s="89"/>
      <c r="D163" s="69"/>
      <c r="F163" s="69"/>
      <c r="J163" s="89"/>
    </row>
    <row r="164" customFormat="false" ht="15.75" hidden="false" customHeight="true" outlineLevel="0" collapsed="false">
      <c r="C164" s="89"/>
      <c r="D164" s="69"/>
      <c r="F164" s="69"/>
      <c r="J164" s="89"/>
    </row>
    <row r="165" customFormat="false" ht="15.75" hidden="false" customHeight="true" outlineLevel="0" collapsed="false">
      <c r="C165" s="89"/>
      <c r="D165" s="69"/>
      <c r="F165" s="69"/>
      <c r="J165" s="89"/>
    </row>
    <row r="166" customFormat="false" ht="15.75" hidden="false" customHeight="true" outlineLevel="0" collapsed="false">
      <c r="C166" s="89"/>
      <c r="D166" s="69"/>
      <c r="F166" s="69"/>
      <c r="J166" s="89"/>
    </row>
    <row r="167" customFormat="false" ht="15.75" hidden="false" customHeight="true" outlineLevel="0" collapsed="false">
      <c r="C167" s="89"/>
      <c r="D167" s="69"/>
      <c r="F167" s="69"/>
      <c r="J167" s="89"/>
    </row>
    <row r="168" customFormat="false" ht="15.75" hidden="false" customHeight="true" outlineLevel="0" collapsed="false">
      <c r="C168" s="89"/>
      <c r="D168" s="69"/>
      <c r="F168" s="69"/>
      <c r="J168" s="89"/>
    </row>
    <row r="169" customFormat="false" ht="15.75" hidden="false" customHeight="true" outlineLevel="0" collapsed="false">
      <c r="C169" s="89"/>
      <c r="D169" s="69"/>
      <c r="F169" s="69"/>
      <c r="J169" s="89"/>
    </row>
    <row r="170" customFormat="false" ht="15.75" hidden="false" customHeight="true" outlineLevel="0" collapsed="false">
      <c r="C170" s="89"/>
      <c r="D170" s="69"/>
      <c r="F170" s="69"/>
      <c r="J170" s="89"/>
    </row>
    <row r="171" customFormat="false" ht="15.75" hidden="false" customHeight="true" outlineLevel="0" collapsed="false">
      <c r="C171" s="89"/>
      <c r="D171" s="69"/>
      <c r="F171" s="69"/>
      <c r="J171" s="89"/>
    </row>
    <row r="172" customFormat="false" ht="15.75" hidden="false" customHeight="true" outlineLevel="0" collapsed="false">
      <c r="C172" s="89"/>
      <c r="D172" s="69"/>
      <c r="F172" s="69"/>
      <c r="J172" s="89"/>
    </row>
    <row r="173" customFormat="false" ht="15.75" hidden="false" customHeight="true" outlineLevel="0" collapsed="false">
      <c r="C173" s="89"/>
      <c r="D173" s="69"/>
      <c r="F173" s="69"/>
      <c r="J173" s="89"/>
    </row>
    <row r="174" customFormat="false" ht="15.75" hidden="false" customHeight="true" outlineLevel="0" collapsed="false">
      <c r="C174" s="89"/>
      <c r="D174" s="69"/>
      <c r="F174" s="69"/>
      <c r="J174" s="89"/>
    </row>
    <row r="175" customFormat="false" ht="15.75" hidden="false" customHeight="true" outlineLevel="0" collapsed="false">
      <c r="C175" s="89"/>
      <c r="D175" s="69"/>
      <c r="F175" s="69"/>
      <c r="J175" s="89"/>
    </row>
    <row r="176" customFormat="false" ht="15.75" hidden="false" customHeight="true" outlineLevel="0" collapsed="false">
      <c r="C176" s="89"/>
      <c r="D176" s="69"/>
      <c r="F176" s="69"/>
      <c r="J176" s="89"/>
    </row>
    <row r="177" customFormat="false" ht="15.75" hidden="false" customHeight="true" outlineLevel="0" collapsed="false">
      <c r="C177" s="89"/>
      <c r="D177" s="69"/>
      <c r="F177" s="69"/>
      <c r="J177" s="89"/>
    </row>
    <row r="178" customFormat="false" ht="15.75" hidden="false" customHeight="true" outlineLevel="0" collapsed="false">
      <c r="C178" s="89"/>
      <c r="D178" s="69"/>
      <c r="F178" s="69"/>
      <c r="J178" s="89"/>
    </row>
    <row r="179" customFormat="false" ht="15.75" hidden="false" customHeight="true" outlineLevel="0" collapsed="false">
      <c r="C179" s="89"/>
      <c r="D179" s="69"/>
      <c r="F179" s="69"/>
      <c r="J179" s="89"/>
    </row>
    <row r="180" customFormat="false" ht="15.75" hidden="false" customHeight="true" outlineLevel="0" collapsed="false">
      <c r="C180" s="89"/>
      <c r="D180" s="69"/>
      <c r="F180" s="69"/>
      <c r="J180" s="89"/>
    </row>
    <row r="181" customFormat="false" ht="15.75" hidden="false" customHeight="true" outlineLevel="0" collapsed="false">
      <c r="C181" s="89"/>
      <c r="D181" s="69"/>
      <c r="F181" s="69"/>
      <c r="J181" s="89"/>
    </row>
    <row r="182" customFormat="false" ht="15.75" hidden="false" customHeight="true" outlineLevel="0" collapsed="false">
      <c r="C182" s="89"/>
      <c r="D182" s="69"/>
      <c r="F182" s="69"/>
      <c r="J182" s="89"/>
    </row>
    <row r="183" customFormat="false" ht="15.75" hidden="false" customHeight="true" outlineLevel="0" collapsed="false">
      <c r="C183" s="89"/>
      <c r="D183" s="69"/>
      <c r="F183" s="69"/>
      <c r="J183" s="89"/>
    </row>
    <row r="184" customFormat="false" ht="15.75" hidden="false" customHeight="true" outlineLevel="0" collapsed="false">
      <c r="C184" s="89"/>
      <c r="D184" s="69"/>
      <c r="F184" s="69"/>
      <c r="J184" s="89"/>
    </row>
    <row r="185" customFormat="false" ht="15.75" hidden="false" customHeight="true" outlineLevel="0" collapsed="false">
      <c r="C185" s="89"/>
      <c r="D185" s="69"/>
      <c r="F185" s="69"/>
      <c r="J185" s="89"/>
    </row>
    <row r="186" customFormat="false" ht="15.75" hidden="false" customHeight="true" outlineLevel="0" collapsed="false">
      <c r="C186" s="89"/>
      <c r="D186" s="69"/>
      <c r="F186" s="69"/>
      <c r="J186" s="89"/>
    </row>
    <row r="187" customFormat="false" ht="15.75" hidden="false" customHeight="true" outlineLevel="0" collapsed="false">
      <c r="C187" s="89"/>
      <c r="D187" s="69"/>
      <c r="F187" s="69"/>
      <c r="J187" s="89"/>
    </row>
    <row r="188" customFormat="false" ht="15.75" hidden="false" customHeight="true" outlineLevel="0" collapsed="false">
      <c r="C188" s="89"/>
      <c r="D188" s="69"/>
      <c r="F188" s="69"/>
      <c r="J188" s="89"/>
    </row>
    <row r="189" customFormat="false" ht="15.75" hidden="false" customHeight="true" outlineLevel="0" collapsed="false">
      <c r="C189" s="89"/>
      <c r="D189" s="69"/>
      <c r="F189" s="69"/>
      <c r="J189" s="89"/>
    </row>
    <row r="190" customFormat="false" ht="15.75" hidden="false" customHeight="true" outlineLevel="0" collapsed="false">
      <c r="C190" s="89"/>
      <c r="D190" s="69"/>
      <c r="F190" s="69"/>
      <c r="J190" s="89"/>
    </row>
    <row r="191" customFormat="false" ht="15.75" hidden="false" customHeight="true" outlineLevel="0" collapsed="false">
      <c r="C191" s="89"/>
      <c r="D191" s="69"/>
      <c r="F191" s="69"/>
      <c r="J191" s="89"/>
    </row>
    <row r="192" customFormat="false" ht="15.75" hidden="false" customHeight="true" outlineLevel="0" collapsed="false">
      <c r="C192" s="89"/>
      <c r="D192" s="69"/>
      <c r="F192" s="69"/>
      <c r="J192" s="89"/>
    </row>
    <row r="193" customFormat="false" ht="15.75" hidden="false" customHeight="true" outlineLevel="0" collapsed="false">
      <c r="C193" s="89"/>
      <c r="D193" s="69"/>
      <c r="F193" s="69"/>
      <c r="J193" s="89"/>
    </row>
    <row r="194" customFormat="false" ht="15.75" hidden="false" customHeight="true" outlineLevel="0" collapsed="false">
      <c r="C194" s="89"/>
      <c r="D194" s="69"/>
      <c r="F194" s="69"/>
      <c r="J194" s="89"/>
    </row>
    <row r="195" customFormat="false" ht="15.75" hidden="false" customHeight="true" outlineLevel="0" collapsed="false">
      <c r="C195" s="89"/>
      <c r="D195" s="69"/>
      <c r="F195" s="69"/>
      <c r="J195" s="89"/>
    </row>
    <row r="196" customFormat="false" ht="15.75" hidden="false" customHeight="true" outlineLevel="0" collapsed="false">
      <c r="C196" s="89"/>
      <c r="D196" s="69"/>
      <c r="F196" s="69"/>
      <c r="J196" s="89"/>
    </row>
    <row r="197" customFormat="false" ht="15.75" hidden="false" customHeight="true" outlineLevel="0" collapsed="false">
      <c r="C197" s="89"/>
      <c r="D197" s="69"/>
      <c r="F197" s="69"/>
      <c r="J197" s="89"/>
    </row>
    <row r="198" customFormat="false" ht="15.75" hidden="false" customHeight="true" outlineLevel="0" collapsed="false">
      <c r="C198" s="89"/>
      <c r="D198" s="69"/>
      <c r="F198" s="69"/>
      <c r="J198" s="89"/>
    </row>
    <row r="199" customFormat="false" ht="15.75" hidden="false" customHeight="true" outlineLevel="0" collapsed="false">
      <c r="C199" s="89"/>
      <c r="D199" s="69"/>
      <c r="F199" s="69"/>
      <c r="J199" s="89"/>
    </row>
    <row r="200" customFormat="false" ht="15.75" hidden="false" customHeight="true" outlineLevel="0" collapsed="false">
      <c r="C200" s="89"/>
      <c r="D200" s="69"/>
      <c r="F200" s="69"/>
      <c r="J200" s="89"/>
    </row>
    <row r="201" customFormat="false" ht="15.75" hidden="false" customHeight="true" outlineLevel="0" collapsed="false">
      <c r="C201" s="89"/>
      <c r="D201" s="69"/>
      <c r="F201" s="69"/>
      <c r="J201" s="89"/>
    </row>
    <row r="202" customFormat="false" ht="15.75" hidden="false" customHeight="true" outlineLevel="0" collapsed="false">
      <c r="C202" s="89"/>
      <c r="D202" s="69"/>
      <c r="F202" s="69"/>
      <c r="J202" s="89"/>
    </row>
    <row r="203" customFormat="false" ht="15.75" hidden="false" customHeight="true" outlineLevel="0" collapsed="false">
      <c r="C203" s="89"/>
      <c r="D203" s="69"/>
      <c r="F203" s="69"/>
      <c r="J203" s="89"/>
    </row>
    <row r="204" customFormat="false" ht="15.75" hidden="false" customHeight="true" outlineLevel="0" collapsed="false">
      <c r="C204" s="89"/>
      <c r="D204" s="69"/>
      <c r="F204" s="69"/>
      <c r="J204" s="89"/>
    </row>
    <row r="205" customFormat="false" ht="15.75" hidden="false" customHeight="true" outlineLevel="0" collapsed="false">
      <c r="C205" s="89"/>
      <c r="D205" s="69"/>
      <c r="F205" s="69"/>
      <c r="J205" s="89"/>
    </row>
    <row r="206" customFormat="false" ht="15.75" hidden="false" customHeight="true" outlineLevel="0" collapsed="false">
      <c r="C206" s="89"/>
      <c r="D206" s="69"/>
      <c r="F206" s="69"/>
      <c r="J206" s="89"/>
    </row>
    <row r="207" customFormat="false" ht="15.75" hidden="false" customHeight="true" outlineLevel="0" collapsed="false">
      <c r="C207" s="89"/>
      <c r="D207" s="69"/>
      <c r="F207" s="69"/>
      <c r="J207" s="89"/>
    </row>
    <row r="208" customFormat="false" ht="15.75" hidden="false" customHeight="true" outlineLevel="0" collapsed="false">
      <c r="C208" s="89"/>
      <c r="D208" s="69"/>
      <c r="F208" s="69"/>
      <c r="J208" s="89"/>
    </row>
    <row r="209" customFormat="false" ht="15.75" hidden="false" customHeight="true" outlineLevel="0" collapsed="false">
      <c r="C209" s="89"/>
      <c r="D209" s="69"/>
      <c r="F209" s="69"/>
      <c r="J209" s="89"/>
    </row>
    <row r="210" customFormat="false" ht="15.75" hidden="false" customHeight="true" outlineLevel="0" collapsed="false">
      <c r="C210" s="89"/>
      <c r="D210" s="69"/>
      <c r="F210" s="69"/>
      <c r="J210" s="89"/>
    </row>
    <row r="211" customFormat="false" ht="15.75" hidden="false" customHeight="true" outlineLevel="0" collapsed="false">
      <c r="C211" s="89"/>
      <c r="D211" s="69"/>
      <c r="F211" s="69"/>
      <c r="J211" s="89"/>
    </row>
    <row r="212" customFormat="false" ht="15.75" hidden="false" customHeight="true" outlineLevel="0" collapsed="false">
      <c r="C212" s="89"/>
      <c r="D212" s="69"/>
      <c r="F212" s="69"/>
      <c r="J212" s="89"/>
    </row>
    <row r="213" customFormat="false" ht="15.75" hidden="false" customHeight="true" outlineLevel="0" collapsed="false">
      <c r="C213" s="89"/>
      <c r="D213" s="69"/>
      <c r="F213" s="69"/>
      <c r="J213" s="89"/>
    </row>
    <row r="214" customFormat="false" ht="15.75" hidden="false" customHeight="true" outlineLevel="0" collapsed="false">
      <c r="C214" s="89"/>
      <c r="D214" s="69"/>
      <c r="F214" s="69"/>
      <c r="J214" s="89"/>
    </row>
    <row r="215" customFormat="false" ht="15.75" hidden="false" customHeight="true" outlineLevel="0" collapsed="false">
      <c r="C215" s="89"/>
      <c r="D215" s="69"/>
      <c r="F215" s="69"/>
      <c r="J215" s="89"/>
    </row>
    <row r="216" customFormat="false" ht="15.75" hidden="false" customHeight="true" outlineLevel="0" collapsed="false">
      <c r="C216" s="89"/>
      <c r="D216" s="69"/>
      <c r="F216" s="69"/>
      <c r="J216" s="89"/>
    </row>
    <row r="217" customFormat="false" ht="15.75" hidden="false" customHeight="true" outlineLevel="0" collapsed="false">
      <c r="C217" s="89"/>
      <c r="D217" s="69"/>
      <c r="F217" s="69"/>
      <c r="J217" s="89"/>
    </row>
    <row r="218" customFormat="false" ht="15.75" hidden="false" customHeight="true" outlineLevel="0" collapsed="false">
      <c r="C218" s="89"/>
      <c r="D218" s="69"/>
      <c r="F218" s="69"/>
      <c r="J218" s="89"/>
    </row>
    <row r="219" customFormat="false" ht="15.75" hidden="false" customHeight="true" outlineLevel="0" collapsed="false">
      <c r="C219" s="89"/>
      <c r="D219" s="69"/>
      <c r="F219" s="69"/>
      <c r="J219" s="89"/>
    </row>
    <row r="220" customFormat="false" ht="15.75" hidden="false" customHeight="true" outlineLevel="0" collapsed="false">
      <c r="C220" s="89"/>
      <c r="D220" s="69"/>
      <c r="F220" s="69"/>
      <c r="J220" s="89"/>
    </row>
    <row r="221" customFormat="false" ht="15.75" hidden="false" customHeight="true" outlineLevel="0" collapsed="false">
      <c r="C221" s="89"/>
      <c r="D221" s="69"/>
      <c r="F221" s="69"/>
      <c r="J221" s="89"/>
    </row>
    <row r="222" customFormat="false" ht="15.75" hidden="false" customHeight="true" outlineLevel="0" collapsed="false">
      <c r="C222" s="89"/>
      <c r="D222" s="69"/>
      <c r="F222" s="69"/>
      <c r="J222" s="89"/>
    </row>
    <row r="223" customFormat="false" ht="15.75" hidden="false" customHeight="true" outlineLevel="0" collapsed="false">
      <c r="C223" s="89"/>
      <c r="D223" s="69"/>
      <c r="F223" s="69"/>
      <c r="J223" s="89"/>
    </row>
    <row r="224" customFormat="false" ht="15.75" hidden="false" customHeight="true" outlineLevel="0" collapsed="false">
      <c r="C224" s="89"/>
      <c r="D224" s="69"/>
      <c r="F224" s="69"/>
      <c r="J224" s="89"/>
    </row>
    <row r="225" customFormat="false" ht="15.75" hidden="false" customHeight="true" outlineLevel="0" collapsed="false">
      <c r="C225" s="89"/>
      <c r="D225" s="69"/>
      <c r="F225" s="69"/>
      <c r="J225" s="89"/>
    </row>
    <row r="226" customFormat="false" ht="15.75" hidden="false" customHeight="true" outlineLevel="0" collapsed="false">
      <c r="C226" s="89"/>
      <c r="D226" s="69"/>
      <c r="F226" s="69"/>
      <c r="J226" s="89"/>
    </row>
    <row r="227" customFormat="false" ht="15.75" hidden="false" customHeight="true" outlineLevel="0" collapsed="false">
      <c r="C227" s="89"/>
      <c r="D227" s="69"/>
      <c r="F227" s="69"/>
      <c r="J227" s="89"/>
    </row>
    <row r="228" customFormat="false" ht="15.75" hidden="false" customHeight="true" outlineLevel="0" collapsed="false">
      <c r="C228" s="89"/>
      <c r="D228" s="69"/>
      <c r="F228" s="69"/>
      <c r="J228" s="89"/>
    </row>
    <row r="229" customFormat="false" ht="15.75" hidden="false" customHeight="true" outlineLevel="0" collapsed="false">
      <c r="C229" s="89"/>
      <c r="D229" s="69"/>
      <c r="F229" s="69"/>
      <c r="J229" s="89"/>
    </row>
    <row r="230" customFormat="false" ht="15.75" hidden="false" customHeight="true" outlineLevel="0" collapsed="false">
      <c r="C230" s="89"/>
      <c r="D230" s="69"/>
      <c r="F230" s="69"/>
      <c r="J230" s="89"/>
    </row>
    <row r="231" customFormat="false" ht="15.75" hidden="false" customHeight="true" outlineLevel="0" collapsed="false">
      <c r="C231" s="89"/>
      <c r="D231" s="69"/>
      <c r="F231" s="69"/>
      <c r="J231" s="89"/>
    </row>
    <row r="232" customFormat="false" ht="15.75" hidden="false" customHeight="true" outlineLevel="0" collapsed="false">
      <c r="C232" s="89"/>
      <c r="D232" s="69"/>
      <c r="F232" s="69"/>
      <c r="J232" s="89"/>
    </row>
    <row r="233" customFormat="false" ht="15.75" hidden="false" customHeight="true" outlineLevel="0" collapsed="false">
      <c r="C233" s="89"/>
      <c r="D233" s="69"/>
      <c r="F233" s="69"/>
      <c r="J233" s="89"/>
    </row>
    <row r="234" customFormat="false" ht="15.75" hidden="false" customHeight="true" outlineLevel="0" collapsed="false">
      <c r="C234" s="89"/>
      <c r="D234" s="69"/>
      <c r="F234" s="69"/>
      <c r="J234" s="89"/>
    </row>
    <row r="235" customFormat="false" ht="15.75" hidden="false" customHeight="true" outlineLevel="0" collapsed="false">
      <c r="C235" s="89"/>
      <c r="D235" s="69"/>
      <c r="F235" s="69"/>
      <c r="J235" s="89"/>
    </row>
    <row r="236" customFormat="false" ht="15.75" hidden="false" customHeight="true" outlineLevel="0" collapsed="false">
      <c r="C236" s="89"/>
      <c r="D236" s="69"/>
      <c r="F236" s="69"/>
      <c r="J236" s="89"/>
    </row>
    <row r="237" customFormat="false" ht="15.75" hidden="false" customHeight="true" outlineLevel="0" collapsed="false">
      <c r="C237" s="89"/>
      <c r="D237" s="69"/>
      <c r="F237" s="69"/>
      <c r="J237" s="89"/>
    </row>
    <row r="238" customFormat="false" ht="15.75" hidden="false" customHeight="true" outlineLevel="0" collapsed="false">
      <c r="C238" s="89"/>
      <c r="D238" s="69"/>
      <c r="F238" s="69"/>
      <c r="J238" s="89"/>
    </row>
    <row r="239" customFormat="false" ht="15.75" hidden="false" customHeight="true" outlineLevel="0" collapsed="false">
      <c r="C239" s="89"/>
      <c r="D239" s="69"/>
      <c r="F239" s="69"/>
      <c r="J239" s="89"/>
    </row>
    <row r="240" customFormat="false" ht="15.75" hidden="false" customHeight="true" outlineLevel="0" collapsed="false">
      <c r="C240" s="89"/>
      <c r="D240" s="69"/>
      <c r="F240" s="69"/>
      <c r="J240" s="89"/>
    </row>
    <row r="241" customFormat="false" ht="15.75" hidden="false" customHeight="true" outlineLevel="0" collapsed="false">
      <c r="C241" s="89"/>
      <c r="D241" s="69"/>
      <c r="F241" s="69"/>
      <c r="J241" s="89"/>
    </row>
    <row r="242" customFormat="false" ht="15.75" hidden="false" customHeight="true" outlineLevel="0" collapsed="false">
      <c r="C242" s="89"/>
      <c r="D242" s="69"/>
      <c r="F242" s="69"/>
      <c r="J242" s="89"/>
    </row>
    <row r="243" customFormat="false" ht="15.75" hidden="false" customHeight="true" outlineLevel="0" collapsed="false">
      <c r="C243" s="89"/>
      <c r="D243" s="69"/>
      <c r="F243" s="69"/>
      <c r="J243" s="89"/>
    </row>
    <row r="244" customFormat="false" ht="15.75" hidden="false" customHeight="true" outlineLevel="0" collapsed="false">
      <c r="C244" s="89"/>
      <c r="D244" s="69"/>
      <c r="F244" s="69"/>
      <c r="J244" s="89"/>
    </row>
    <row r="245" customFormat="false" ht="15.75" hidden="false" customHeight="true" outlineLevel="0" collapsed="false">
      <c r="C245" s="89"/>
      <c r="D245" s="69"/>
      <c r="F245" s="69"/>
      <c r="J245" s="89"/>
    </row>
    <row r="246" customFormat="false" ht="15.75" hidden="false" customHeight="true" outlineLevel="0" collapsed="false">
      <c r="C246" s="89"/>
      <c r="D246" s="69"/>
      <c r="F246" s="69"/>
      <c r="J246" s="89"/>
    </row>
    <row r="247" customFormat="false" ht="15.75" hidden="false" customHeight="true" outlineLevel="0" collapsed="false">
      <c r="C247" s="89"/>
      <c r="D247" s="69"/>
      <c r="F247" s="69"/>
      <c r="J247" s="89"/>
    </row>
    <row r="248" customFormat="false" ht="15.75" hidden="false" customHeight="true" outlineLevel="0" collapsed="false">
      <c r="C248" s="89"/>
      <c r="D248" s="69"/>
      <c r="F248" s="69"/>
      <c r="J248" s="89"/>
    </row>
    <row r="249" customFormat="false" ht="15.75" hidden="false" customHeight="true" outlineLevel="0" collapsed="false">
      <c r="C249" s="89"/>
      <c r="D249" s="69"/>
      <c r="F249" s="69"/>
      <c r="J249" s="89"/>
    </row>
    <row r="250" customFormat="false" ht="15.75" hidden="false" customHeight="true" outlineLevel="0" collapsed="false">
      <c r="C250" s="89"/>
      <c r="D250" s="69"/>
      <c r="F250" s="69"/>
      <c r="J250" s="89"/>
    </row>
    <row r="251" customFormat="false" ht="15.75" hidden="false" customHeight="true" outlineLevel="0" collapsed="false">
      <c r="C251" s="89"/>
      <c r="D251" s="69"/>
      <c r="F251" s="69"/>
      <c r="J251" s="89"/>
    </row>
    <row r="252" customFormat="false" ht="15.75" hidden="false" customHeight="true" outlineLevel="0" collapsed="false">
      <c r="C252" s="89"/>
      <c r="D252" s="69"/>
      <c r="F252" s="69"/>
      <c r="J252" s="89"/>
    </row>
    <row r="253" customFormat="false" ht="15.75" hidden="false" customHeight="true" outlineLevel="0" collapsed="false">
      <c r="C253" s="89"/>
      <c r="D253" s="69"/>
      <c r="F253" s="69"/>
      <c r="J253" s="89"/>
    </row>
    <row r="254" customFormat="false" ht="15.75" hidden="false" customHeight="true" outlineLevel="0" collapsed="false">
      <c r="C254" s="89"/>
      <c r="D254" s="69"/>
      <c r="F254" s="69"/>
      <c r="J254" s="89"/>
    </row>
    <row r="255" customFormat="false" ht="15.75" hidden="false" customHeight="true" outlineLevel="0" collapsed="false">
      <c r="C255" s="89"/>
      <c r="D255" s="69"/>
      <c r="F255" s="69"/>
      <c r="J255" s="89"/>
    </row>
    <row r="256" customFormat="false" ht="15.75" hidden="false" customHeight="true" outlineLevel="0" collapsed="false">
      <c r="C256" s="89"/>
      <c r="D256" s="69"/>
      <c r="F256" s="69"/>
      <c r="J256" s="89"/>
    </row>
    <row r="257" customFormat="false" ht="15.75" hidden="false" customHeight="true" outlineLevel="0" collapsed="false">
      <c r="C257" s="89"/>
      <c r="D257" s="69"/>
      <c r="F257" s="69"/>
      <c r="J257" s="89"/>
    </row>
    <row r="258" customFormat="false" ht="15.75" hidden="false" customHeight="true" outlineLevel="0" collapsed="false">
      <c r="C258" s="89"/>
      <c r="D258" s="69"/>
      <c r="F258" s="69"/>
      <c r="J258" s="89"/>
    </row>
    <row r="259" customFormat="false" ht="15.75" hidden="false" customHeight="true" outlineLevel="0" collapsed="false">
      <c r="C259" s="89"/>
      <c r="D259" s="69"/>
      <c r="F259" s="69"/>
      <c r="J259" s="89"/>
    </row>
    <row r="260" customFormat="false" ht="15.75" hidden="false" customHeight="true" outlineLevel="0" collapsed="false">
      <c r="C260" s="89"/>
      <c r="D260" s="69"/>
      <c r="F260" s="69"/>
      <c r="J260" s="89"/>
    </row>
    <row r="261" customFormat="false" ht="15.75" hidden="false" customHeight="true" outlineLevel="0" collapsed="false">
      <c r="C261" s="89"/>
      <c r="D261" s="69"/>
      <c r="F261" s="69"/>
      <c r="J261" s="89"/>
    </row>
    <row r="262" customFormat="false" ht="15.75" hidden="false" customHeight="true" outlineLevel="0" collapsed="false">
      <c r="C262" s="89"/>
      <c r="D262" s="69"/>
      <c r="F262" s="69"/>
      <c r="J262" s="89"/>
    </row>
    <row r="263" customFormat="false" ht="15.75" hidden="false" customHeight="true" outlineLevel="0" collapsed="false">
      <c r="C263" s="89"/>
      <c r="D263" s="69"/>
      <c r="F263" s="69"/>
      <c r="J263" s="89"/>
    </row>
    <row r="264" customFormat="false" ht="15.75" hidden="false" customHeight="true" outlineLevel="0" collapsed="false">
      <c r="C264" s="89"/>
      <c r="D264" s="69"/>
      <c r="F264" s="69"/>
      <c r="J264" s="89"/>
    </row>
    <row r="265" customFormat="false" ht="15.75" hidden="false" customHeight="true" outlineLevel="0" collapsed="false">
      <c r="C265" s="89"/>
      <c r="D265" s="69"/>
      <c r="F265" s="69"/>
      <c r="J265" s="89"/>
    </row>
    <row r="266" customFormat="false" ht="15.75" hidden="false" customHeight="true" outlineLevel="0" collapsed="false">
      <c r="C266" s="89"/>
      <c r="D266" s="69"/>
      <c r="F266" s="69"/>
      <c r="J266" s="89"/>
    </row>
    <row r="267" customFormat="false" ht="15.75" hidden="false" customHeight="true" outlineLevel="0" collapsed="false">
      <c r="C267" s="89"/>
      <c r="D267" s="69"/>
      <c r="F267" s="69"/>
      <c r="J267" s="89"/>
    </row>
    <row r="268" customFormat="false" ht="15.75" hidden="false" customHeight="true" outlineLevel="0" collapsed="false">
      <c r="C268" s="89"/>
      <c r="D268" s="69"/>
      <c r="F268" s="69"/>
      <c r="J268" s="89"/>
    </row>
    <row r="269" customFormat="false" ht="15.75" hidden="false" customHeight="true" outlineLevel="0" collapsed="false">
      <c r="C269" s="89"/>
      <c r="D269" s="69"/>
      <c r="F269" s="69"/>
      <c r="J269" s="89"/>
    </row>
    <row r="270" customFormat="false" ht="15.75" hidden="false" customHeight="true" outlineLevel="0" collapsed="false">
      <c r="C270" s="89"/>
      <c r="D270" s="69"/>
      <c r="F270" s="69"/>
      <c r="J270" s="89"/>
    </row>
    <row r="271" customFormat="false" ht="15.75" hidden="false" customHeight="true" outlineLevel="0" collapsed="false">
      <c r="C271" s="89"/>
      <c r="D271" s="69"/>
      <c r="F271" s="69"/>
      <c r="J271" s="89"/>
    </row>
    <row r="272" customFormat="false" ht="15.75" hidden="false" customHeight="true" outlineLevel="0" collapsed="false">
      <c r="C272" s="89"/>
      <c r="D272" s="69"/>
      <c r="F272" s="69"/>
      <c r="J272" s="89"/>
    </row>
    <row r="273" customFormat="false" ht="15.75" hidden="false" customHeight="true" outlineLevel="0" collapsed="false">
      <c r="C273" s="89"/>
      <c r="D273" s="69"/>
      <c r="F273" s="69"/>
      <c r="J273" s="89"/>
    </row>
    <row r="274" customFormat="false" ht="15.75" hidden="false" customHeight="true" outlineLevel="0" collapsed="false">
      <c r="C274" s="89"/>
      <c r="D274" s="69"/>
      <c r="F274" s="69"/>
      <c r="J274" s="89"/>
    </row>
    <row r="275" customFormat="false" ht="15.75" hidden="false" customHeight="true" outlineLevel="0" collapsed="false">
      <c r="C275" s="89"/>
      <c r="D275" s="69"/>
      <c r="F275" s="69"/>
      <c r="J275" s="89"/>
    </row>
    <row r="276" customFormat="false" ht="15.75" hidden="false" customHeight="true" outlineLevel="0" collapsed="false">
      <c r="C276" s="89"/>
      <c r="D276" s="69"/>
      <c r="F276" s="69"/>
      <c r="J276" s="89"/>
    </row>
    <row r="277" customFormat="false" ht="15.75" hidden="false" customHeight="true" outlineLevel="0" collapsed="false">
      <c r="C277" s="89"/>
      <c r="D277" s="69"/>
      <c r="F277" s="69"/>
      <c r="J277" s="89"/>
    </row>
    <row r="278" customFormat="false" ht="15.75" hidden="false" customHeight="true" outlineLevel="0" collapsed="false">
      <c r="C278" s="89"/>
      <c r="D278" s="69"/>
      <c r="F278" s="69"/>
      <c r="J278" s="89"/>
    </row>
    <row r="279" customFormat="false" ht="15.75" hidden="false" customHeight="true" outlineLevel="0" collapsed="false">
      <c r="C279" s="89"/>
      <c r="D279" s="69"/>
      <c r="F279" s="69"/>
      <c r="J279" s="89"/>
    </row>
    <row r="280" customFormat="false" ht="15.75" hidden="false" customHeight="true" outlineLevel="0" collapsed="false">
      <c r="C280" s="89"/>
      <c r="D280" s="69"/>
      <c r="F280" s="69"/>
      <c r="J280" s="89"/>
    </row>
    <row r="281" customFormat="false" ht="15.75" hidden="false" customHeight="true" outlineLevel="0" collapsed="false">
      <c r="C281" s="89"/>
      <c r="D281" s="69"/>
      <c r="F281" s="69"/>
      <c r="J281" s="89"/>
    </row>
    <row r="282" customFormat="false" ht="15.75" hidden="false" customHeight="true" outlineLevel="0" collapsed="false">
      <c r="C282" s="89"/>
      <c r="D282" s="69"/>
      <c r="F282" s="69"/>
      <c r="J282" s="89"/>
    </row>
    <row r="283" customFormat="false" ht="15.75" hidden="false" customHeight="true" outlineLevel="0" collapsed="false">
      <c r="C283" s="89"/>
      <c r="D283" s="69"/>
      <c r="F283" s="69"/>
      <c r="J283" s="89"/>
    </row>
    <row r="284" customFormat="false" ht="15.75" hidden="false" customHeight="true" outlineLevel="0" collapsed="false">
      <c r="C284" s="89"/>
      <c r="D284" s="69"/>
      <c r="F284" s="69"/>
      <c r="J284" s="89"/>
    </row>
    <row r="285" customFormat="false" ht="15.75" hidden="false" customHeight="true" outlineLevel="0" collapsed="false">
      <c r="C285" s="89"/>
      <c r="D285" s="69"/>
      <c r="F285" s="69"/>
      <c r="J285" s="89"/>
    </row>
    <row r="286" customFormat="false" ht="15.75" hidden="false" customHeight="true" outlineLevel="0" collapsed="false">
      <c r="C286" s="89"/>
      <c r="D286" s="69"/>
      <c r="F286" s="69"/>
      <c r="J286" s="89"/>
    </row>
    <row r="287" customFormat="false" ht="15.75" hidden="false" customHeight="true" outlineLevel="0" collapsed="false">
      <c r="C287" s="89"/>
      <c r="D287" s="69"/>
      <c r="F287" s="69"/>
      <c r="J287" s="89"/>
    </row>
    <row r="288" customFormat="false" ht="15.75" hidden="false" customHeight="true" outlineLevel="0" collapsed="false">
      <c r="C288" s="89"/>
      <c r="D288" s="69"/>
      <c r="F288" s="69"/>
      <c r="J288" s="89"/>
    </row>
    <row r="289" customFormat="false" ht="15.75" hidden="false" customHeight="true" outlineLevel="0" collapsed="false">
      <c r="C289" s="89"/>
      <c r="D289" s="69"/>
      <c r="F289" s="69"/>
      <c r="J289" s="89"/>
    </row>
    <row r="290" customFormat="false" ht="15.75" hidden="false" customHeight="true" outlineLevel="0" collapsed="false">
      <c r="C290" s="89"/>
      <c r="D290" s="69"/>
      <c r="F290" s="69"/>
      <c r="J290" s="89"/>
    </row>
    <row r="291" customFormat="false" ht="15.75" hidden="false" customHeight="true" outlineLevel="0" collapsed="false">
      <c r="C291" s="89"/>
      <c r="D291" s="69"/>
      <c r="F291" s="69"/>
      <c r="J291" s="89"/>
    </row>
    <row r="292" customFormat="false" ht="15.75" hidden="false" customHeight="true" outlineLevel="0" collapsed="false">
      <c r="C292" s="89"/>
      <c r="D292" s="69"/>
      <c r="F292" s="69"/>
      <c r="J292" s="89"/>
    </row>
    <row r="293" customFormat="false" ht="15.75" hidden="false" customHeight="true" outlineLevel="0" collapsed="false">
      <c r="C293" s="89"/>
      <c r="D293" s="69"/>
      <c r="F293" s="69"/>
      <c r="J293" s="89"/>
    </row>
    <row r="294" customFormat="false" ht="15.75" hidden="false" customHeight="true" outlineLevel="0" collapsed="false">
      <c r="C294" s="89"/>
      <c r="D294" s="69"/>
      <c r="F294" s="69"/>
      <c r="J294" s="89"/>
    </row>
    <row r="295" customFormat="false" ht="15.75" hidden="false" customHeight="true" outlineLevel="0" collapsed="false">
      <c r="C295" s="89"/>
      <c r="D295" s="69"/>
      <c r="F295" s="69"/>
      <c r="J295" s="89"/>
    </row>
    <row r="296" customFormat="false" ht="15.75" hidden="false" customHeight="true" outlineLevel="0" collapsed="false">
      <c r="C296" s="89"/>
      <c r="D296" s="69"/>
      <c r="F296" s="69"/>
      <c r="J296" s="89"/>
    </row>
    <row r="297" customFormat="false" ht="15.75" hidden="false" customHeight="true" outlineLevel="0" collapsed="false">
      <c r="C297" s="89"/>
      <c r="D297" s="69"/>
      <c r="F297" s="69"/>
      <c r="J297" s="89"/>
    </row>
    <row r="298" customFormat="false" ht="15.75" hidden="false" customHeight="true" outlineLevel="0" collapsed="false">
      <c r="C298" s="89"/>
      <c r="D298" s="69"/>
      <c r="F298" s="69"/>
      <c r="J298" s="89"/>
    </row>
    <row r="299" customFormat="false" ht="15.75" hidden="false" customHeight="true" outlineLevel="0" collapsed="false">
      <c r="C299" s="89"/>
      <c r="D299" s="69"/>
      <c r="F299" s="69"/>
      <c r="J299" s="89"/>
    </row>
    <row r="300" customFormat="false" ht="15.75" hidden="false" customHeight="true" outlineLevel="0" collapsed="false">
      <c r="C300" s="89"/>
      <c r="D300" s="69"/>
      <c r="F300" s="69"/>
      <c r="J300" s="89"/>
    </row>
    <row r="301" customFormat="false" ht="15.75" hidden="false" customHeight="true" outlineLevel="0" collapsed="false">
      <c r="C301" s="89"/>
      <c r="D301" s="69"/>
      <c r="F301" s="69"/>
      <c r="J301" s="89"/>
    </row>
    <row r="302" customFormat="false" ht="15.75" hidden="false" customHeight="true" outlineLevel="0" collapsed="false">
      <c r="C302" s="89"/>
      <c r="D302" s="69"/>
      <c r="F302" s="69"/>
      <c r="J302" s="89"/>
    </row>
    <row r="303" customFormat="false" ht="15.75" hidden="false" customHeight="true" outlineLevel="0" collapsed="false">
      <c r="C303" s="89"/>
      <c r="D303" s="69"/>
      <c r="F303" s="69"/>
      <c r="J303" s="89"/>
    </row>
    <row r="304" customFormat="false" ht="15.75" hidden="false" customHeight="true" outlineLevel="0" collapsed="false">
      <c r="C304" s="89"/>
      <c r="D304" s="69"/>
      <c r="F304" s="69"/>
      <c r="J304" s="89"/>
    </row>
    <row r="305" customFormat="false" ht="15.75" hidden="false" customHeight="true" outlineLevel="0" collapsed="false">
      <c r="C305" s="89"/>
      <c r="D305" s="69"/>
      <c r="F305" s="69"/>
      <c r="J305" s="89"/>
    </row>
    <row r="306" customFormat="false" ht="15.75" hidden="false" customHeight="true" outlineLevel="0" collapsed="false">
      <c r="C306" s="89"/>
      <c r="D306" s="69"/>
      <c r="F306" s="69"/>
      <c r="J306" s="89"/>
    </row>
    <row r="307" customFormat="false" ht="15.75" hidden="false" customHeight="true" outlineLevel="0" collapsed="false">
      <c r="C307" s="89"/>
      <c r="D307" s="69"/>
      <c r="F307" s="69"/>
      <c r="J307" s="89"/>
    </row>
    <row r="308" customFormat="false" ht="15.75" hidden="false" customHeight="true" outlineLevel="0" collapsed="false">
      <c r="C308" s="89"/>
      <c r="D308" s="69"/>
      <c r="F308" s="69"/>
      <c r="J308" s="89"/>
    </row>
    <row r="309" customFormat="false" ht="15.75" hidden="false" customHeight="true" outlineLevel="0" collapsed="false">
      <c r="C309" s="89"/>
      <c r="D309" s="69"/>
      <c r="F309" s="69"/>
      <c r="J309" s="89"/>
    </row>
    <row r="310" customFormat="false" ht="15.75" hidden="false" customHeight="true" outlineLevel="0" collapsed="false">
      <c r="C310" s="89"/>
      <c r="D310" s="69"/>
      <c r="F310" s="69"/>
      <c r="J310" s="89"/>
    </row>
    <row r="311" customFormat="false" ht="15.75" hidden="false" customHeight="true" outlineLevel="0" collapsed="false">
      <c r="C311" s="89"/>
      <c r="D311" s="69"/>
      <c r="F311" s="69"/>
      <c r="J311" s="89"/>
    </row>
    <row r="312" customFormat="false" ht="15.75" hidden="false" customHeight="true" outlineLevel="0" collapsed="false">
      <c r="C312" s="89"/>
      <c r="D312" s="69"/>
      <c r="F312" s="69"/>
      <c r="J312" s="89"/>
    </row>
    <row r="313" customFormat="false" ht="15.75" hidden="false" customHeight="true" outlineLevel="0" collapsed="false">
      <c r="C313" s="89"/>
      <c r="D313" s="69"/>
      <c r="F313" s="69"/>
      <c r="J313" s="89"/>
    </row>
    <row r="314" customFormat="false" ht="15.75" hidden="false" customHeight="true" outlineLevel="0" collapsed="false">
      <c r="C314" s="89"/>
      <c r="D314" s="69"/>
      <c r="F314" s="69"/>
      <c r="J314" s="89"/>
    </row>
    <row r="315" customFormat="false" ht="15.75" hidden="false" customHeight="true" outlineLevel="0" collapsed="false">
      <c r="C315" s="89"/>
      <c r="D315" s="69"/>
      <c r="F315" s="69"/>
      <c r="J315" s="89"/>
    </row>
    <row r="316" customFormat="false" ht="15.75" hidden="false" customHeight="true" outlineLevel="0" collapsed="false">
      <c r="C316" s="89"/>
      <c r="D316" s="69"/>
      <c r="F316" s="69"/>
      <c r="J316" s="89"/>
    </row>
    <row r="317" customFormat="false" ht="15.75" hidden="false" customHeight="true" outlineLevel="0" collapsed="false">
      <c r="C317" s="89"/>
      <c r="D317" s="69"/>
      <c r="F317" s="69"/>
      <c r="J317" s="89"/>
    </row>
    <row r="318" customFormat="false" ht="15.75" hidden="false" customHeight="true" outlineLevel="0" collapsed="false">
      <c r="C318" s="89"/>
      <c r="D318" s="69"/>
      <c r="F318" s="69"/>
      <c r="J318" s="89"/>
    </row>
    <row r="319" customFormat="false" ht="15.75" hidden="false" customHeight="true" outlineLevel="0" collapsed="false">
      <c r="C319" s="89"/>
      <c r="D319" s="69"/>
      <c r="F319" s="69"/>
      <c r="J319" s="89"/>
    </row>
    <row r="320" customFormat="false" ht="15.75" hidden="false" customHeight="true" outlineLevel="0" collapsed="false">
      <c r="C320" s="89"/>
      <c r="D320" s="69"/>
      <c r="F320" s="69"/>
      <c r="J320" s="89"/>
    </row>
    <row r="321" customFormat="false" ht="15.75" hidden="false" customHeight="true" outlineLevel="0" collapsed="false">
      <c r="C321" s="89"/>
      <c r="D321" s="69"/>
      <c r="F321" s="69"/>
      <c r="J321" s="89"/>
    </row>
    <row r="322" customFormat="false" ht="15.75" hidden="false" customHeight="true" outlineLevel="0" collapsed="false">
      <c r="C322" s="89"/>
      <c r="D322" s="69"/>
      <c r="F322" s="69"/>
      <c r="J322" s="89"/>
    </row>
    <row r="323" customFormat="false" ht="15.75" hidden="false" customHeight="true" outlineLevel="0" collapsed="false">
      <c r="C323" s="89"/>
      <c r="D323" s="69"/>
      <c r="F323" s="69"/>
      <c r="J323" s="89"/>
    </row>
    <row r="324" customFormat="false" ht="15.75" hidden="false" customHeight="true" outlineLevel="0" collapsed="false">
      <c r="C324" s="89"/>
      <c r="D324" s="69"/>
      <c r="F324" s="69"/>
      <c r="J324" s="89"/>
    </row>
    <row r="325" customFormat="false" ht="15.75" hidden="false" customHeight="true" outlineLevel="0" collapsed="false">
      <c r="C325" s="89"/>
      <c r="D325" s="69"/>
      <c r="F325" s="69"/>
      <c r="J325" s="89"/>
    </row>
    <row r="326" customFormat="false" ht="15.75" hidden="false" customHeight="true" outlineLevel="0" collapsed="false">
      <c r="C326" s="89"/>
      <c r="D326" s="69"/>
      <c r="F326" s="69"/>
      <c r="J326" s="89"/>
    </row>
    <row r="327" customFormat="false" ht="15.75" hidden="false" customHeight="true" outlineLevel="0" collapsed="false">
      <c r="C327" s="89"/>
      <c r="D327" s="69"/>
      <c r="F327" s="69"/>
      <c r="J327" s="89"/>
    </row>
    <row r="328" customFormat="false" ht="15.75" hidden="false" customHeight="true" outlineLevel="0" collapsed="false">
      <c r="C328" s="89"/>
      <c r="D328" s="69"/>
      <c r="F328" s="69"/>
      <c r="J328" s="89"/>
    </row>
    <row r="329" customFormat="false" ht="15.75" hidden="false" customHeight="true" outlineLevel="0" collapsed="false">
      <c r="C329" s="89"/>
      <c r="D329" s="69"/>
      <c r="F329" s="69"/>
      <c r="J329" s="89"/>
    </row>
    <row r="330" customFormat="false" ht="15.75" hidden="false" customHeight="true" outlineLevel="0" collapsed="false">
      <c r="C330" s="89"/>
      <c r="D330" s="69"/>
      <c r="F330" s="69"/>
      <c r="J330" s="89"/>
    </row>
    <row r="331" customFormat="false" ht="15.75" hidden="false" customHeight="true" outlineLevel="0" collapsed="false">
      <c r="C331" s="89"/>
      <c r="D331" s="69"/>
      <c r="F331" s="69"/>
      <c r="J331" s="89"/>
    </row>
    <row r="332" customFormat="false" ht="15.75" hidden="false" customHeight="true" outlineLevel="0" collapsed="false">
      <c r="C332" s="89"/>
      <c r="D332" s="69"/>
      <c r="F332" s="69"/>
      <c r="J332" s="89"/>
    </row>
    <row r="333" customFormat="false" ht="15.75" hidden="false" customHeight="true" outlineLevel="0" collapsed="false">
      <c r="C333" s="89"/>
      <c r="D333" s="69"/>
      <c r="F333" s="69"/>
      <c r="J333" s="89"/>
    </row>
    <row r="334" customFormat="false" ht="15.75" hidden="false" customHeight="true" outlineLevel="0" collapsed="false">
      <c r="C334" s="89"/>
      <c r="D334" s="69"/>
      <c r="F334" s="69"/>
      <c r="J334" s="89"/>
    </row>
    <row r="335" customFormat="false" ht="15.75" hidden="false" customHeight="true" outlineLevel="0" collapsed="false">
      <c r="C335" s="89"/>
      <c r="D335" s="69"/>
      <c r="F335" s="69"/>
      <c r="J335" s="89"/>
    </row>
    <row r="336" customFormat="false" ht="15.75" hidden="false" customHeight="true" outlineLevel="0" collapsed="false">
      <c r="C336" s="89"/>
      <c r="D336" s="69"/>
      <c r="F336" s="69"/>
      <c r="J336" s="89"/>
    </row>
    <row r="337" customFormat="false" ht="15.75" hidden="false" customHeight="true" outlineLevel="0" collapsed="false">
      <c r="C337" s="89"/>
      <c r="D337" s="69"/>
      <c r="F337" s="69"/>
      <c r="J337" s="89"/>
    </row>
    <row r="338" customFormat="false" ht="15.75" hidden="false" customHeight="true" outlineLevel="0" collapsed="false">
      <c r="C338" s="89"/>
      <c r="D338" s="69"/>
      <c r="F338" s="69"/>
      <c r="J338" s="89"/>
    </row>
    <row r="339" customFormat="false" ht="15.75" hidden="false" customHeight="true" outlineLevel="0" collapsed="false">
      <c r="C339" s="89"/>
      <c r="D339" s="69"/>
      <c r="F339" s="69"/>
      <c r="J339" s="89"/>
    </row>
    <row r="340" customFormat="false" ht="15.75" hidden="false" customHeight="true" outlineLevel="0" collapsed="false">
      <c r="C340" s="89"/>
      <c r="D340" s="69"/>
      <c r="F340" s="69"/>
      <c r="J340" s="89"/>
    </row>
    <row r="341" customFormat="false" ht="15.75" hidden="false" customHeight="true" outlineLevel="0" collapsed="false">
      <c r="C341" s="89"/>
      <c r="D341" s="69"/>
      <c r="F341" s="69"/>
      <c r="J341" s="89"/>
    </row>
    <row r="342" customFormat="false" ht="15.75" hidden="false" customHeight="true" outlineLevel="0" collapsed="false">
      <c r="C342" s="89"/>
      <c r="D342" s="69"/>
      <c r="F342" s="69"/>
      <c r="J342" s="89"/>
    </row>
    <row r="343" customFormat="false" ht="15.75" hidden="false" customHeight="true" outlineLevel="0" collapsed="false">
      <c r="C343" s="89"/>
      <c r="D343" s="69"/>
      <c r="F343" s="69"/>
      <c r="J343" s="89"/>
    </row>
    <row r="344" customFormat="false" ht="15.75" hidden="false" customHeight="true" outlineLevel="0" collapsed="false">
      <c r="C344" s="89"/>
      <c r="D344" s="69"/>
      <c r="F344" s="69"/>
      <c r="J344" s="89"/>
    </row>
    <row r="345" customFormat="false" ht="15.75" hidden="false" customHeight="true" outlineLevel="0" collapsed="false">
      <c r="C345" s="89"/>
      <c r="D345" s="69"/>
      <c r="F345" s="69"/>
      <c r="J345" s="89"/>
    </row>
    <row r="346" customFormat="false" ht="15.75" hidden="false" customHeight="true" outlineLevel="0" collapsed="false">
      <c r="C346" s="89"/>
      <c r="D346" s="69"/>
      <c r="F346" s="69"/>
      <c r="J346" s="89"/>
    </row>
    <row r="347" customFormat="false" ht="15.75" hidden="false" customHeight="true" outlineLevel="0" collapsed="false">
      <c r="C347" s="89"/>
      <c r="D347" s="69"/>
      <c r="F347" s="69"/>
      <c r="J347" s="89"/>
    </row>
    <row r="348" customFormat="false" ht="15.75" hidden="false" customHeight="true" outlineLevel="0" collapsed="false">
      <c r="C348" s="89"/>
      <c r="D348" s="69"/>
      <c r="F348" s="69"/>
      <c r="J348" s="89"/>
    </row>
    <row r="349" customFormat="false" ht="15.75" hidden="false" customHeight="true" outlineLevel="0" collapsed="false">
      <c r="C349" s="89"/>
      <c r="D349" s="69"/>
      <c r="F349" s="69"/>
      <c r="J349" s="89"/>
    </row>
    <row r="350" customFormat="false" ht="15.75" hidden="false" customHeight="true" outlineLevel="0" collapsed="false">
      <c r="C350" s="89"/>
      <c r="D350" s="69"/>
      <c r="F350" s="69"/>
      <c r="J350" s="89"/>
    </row>
    <row r="351" customFormat="false" ht="15.75" hidden="false" customHeight="true" outlineLevel="0" collapsed="false">
      <c r="C351" s="89"/>
      <c r="D351" s="69"/>
      <c r="F351" s="69"/>
      <c r="J351" s="89"/>
    </row>
    <row r="352" customFormat="false" ht="15.75" hidden="false" customHeight="true" outlineLevel="0" collapsed="false">
      <c r="C352" s="89"/>
      <c r="D352" s="69"/>
      <c r="F352" s="69"/>
      <c r="J352" s="89"/>
    </row>
    <row r="353" customFormat="false" ht="15.75" hidden="false" customHeight="true" outlineLevel="0" collapsed="false">
      <c r="C353" s="89"/>
      <c r="D353" s="69"/>
      <c r="F353" s="69"/>
      <c r="J353" s="89"/>
    </row>
    <row r="354" customFormat="false" ht="15.75" hidden="false" customHeight="true" outlineLevel="0" collapsed="false">
      <c r="C354" s="89"/>
      <c r="D354" s="69"/>
      <c r="F354" s="69"/>
      <c r="J354" s="89"/>
    </row>
    <row r="355" customFormat="false" ht="15.75" hidden="false" customHeight="true" outlineLevel="0" collapsed="false">
      <c r="C355" s="89"/>
      <c r="D355" s="69"/>
      <c r="F355" s="69"/>
      <c r="J355" s="89"/>
    </row>
    <row r="356" customFormat="false" ht="15.75" hidden="false" customHeight="true" outlineLevel="0" collapsed="false">
      <c r="C356" s="89"/>
      <c r="D356" s="69"/>
      <c r="F356" s="69"/>
      <c r="J356" s="89"/>
    </row>
    <row r="357" customFormat="false" ht="15.75" hidden="false" customHeight="true" outlineLevel="0" collapsed="false">
      <c r="C357" s="89"/>
      <c r="D357" s="69"/>
      <c r="F357" s="69"/>
      <c r="J357" s="89"/>
    </row>
    <row r="358" customFormat="false" ht="15.75" hidden="false" customHeight="true" outlineLevel="0" collapsed="false">
      <c r="C358" s="89"/>
      <c r="D358" s="69"/>
      <c r="F358" s="69"/>
      <c r="J358" s="89"/>
    </row>
    <row r="359" customFormat="false" ht="15.75" hidden="false" customHeight="true" outlineLevel="0" collapsed="false">
      <c r="C359" s="89"/>
      <c r="D359" s="69"/>
      <c r="F359" s="69"/>
      <c r="J359" s="89"/>
    </row>
    <row r="360" customFormat="false" ht="15.75" hidden="false" customHeight="true" outlineLevel="0" collapsed="false">
      <c r="C360" s="89"/>
      <c r="D360" s="69"/>
      <c r="F360" s="69"/>
      <c r="J360" s="89"/>
    </row>
    <row r="361" customFormat="false" ht="15.75" hidden="false" customHeight="true" outlineLevel="0" collapsed="false">
      <c r="C361" s="89"/>
      <c r="D361" s="69"/>
      <c r="F361" s="69"/>
      <c r="J361" s="89"/>
    </row>
    <row r="362" customFormat="false" ht="15.75" hidden="false" customHeight="true" outlineLevel="0" collapsed="false">
      <c r="C362" s="89"/>
      <c r="D362" s="69"/>
      <c r="F362" s="69"/>
      <c r="J362" s="89"/>
    </row>
    <row r="363" customFormat="false" ht="15.75" hidden="false" customHeight="true" outlineLevel="0" collapsed="false">
      <c r="C363" s="89"/>
      <c r="D363" s="69"/>
      <c r="F363" s="69"/>
      <c r="J363" s="89"/>
    </row>
    <row r="364" customFormat="false" ht="15.75" hidden="false" customHeight="true" outlineLevel="0" collapsed="false">
      <c r="C364" s="89"/>
      <c r="D364" s="69"/>
      <c r="F364" s="69"/>
      <c r="J364" s="89"/>
    </row>
    <row r="365" customFormat="false" ht="15.75" hidden="false" customHeight="true" outlineLevel="0" collapsed="false">
      <c r="C365" s="89"/>
      <c r="D365" s="69"/>
      <c r="F365" s="69"/>
      <c r="J365" s="89"/>
    </row>
    <row r="366" customFormat="false" ht="15.75" hidden="false" customHeight="true" outlineLevel="0" collapsed="false">
      <c r="C366" s="89"/>
      <c r="D366" s="69"/>
      <c r="F366" s="69"/>
      <c r="J366" s="89"/>
    </row>
    <row r="367" customFormat="false" ht="15.75" hidden="false" customHeight="true" outlineLevel="0" collapsed="false">
      <c r="C367" s="89"/>
      <c r="D367" s="69"/>
      <c r="F367" s="69"/>
      <c r="J367" s="89"/>
    </row>
    <row r="368" customFormat="false" ht="15.75" hidden="false" customHeight="true" outlineLevel="0" collapsed="false">
      <c r="C368" s="89"/>
      <c r="D368" s="69"/>
      <c r="F368" s="69"/>
      <c r="J368" s="89"/>
    </row>
    <row r="369" customFormat="false" ht="15.75" hidden="false" customHeight="true" outlineLevel="0" collapsed="false">
      <c r="C369" s="89"/>
      <c r="D369" s="69"/>
      <c r="F369" s="69"/>
      <c r="J369" s="89"/>
    </row>
    <row r="370" customFormat="false" ht="15.75" hidden="false" customHeight="true" outlineLevel="0" collapsed="false">
      <c r="C370" s="89"/>
      <c r="D370" s="69"/>
      <c r="F370" s="69"/>
      <c r="J370" s="89"/>
    </row>
    <row r="371" customFormat="false" ht="15.75" hidden="false" customHeight="true" outlineLevel="0" collapsed="false">
      <c r="C371" s="89"/>
      <c r="D371" s="69"/>
      <c r="F371" s="69"/>
      <c r="J371" s="89"/>
    </row>
    <row r="372" customFormat="false" ht="15.75" hidden="false" customHeight="true" outlineLevel="0" collapsed="false">
      <c r="C372" s="89"/>
      <c r="D372" s="69"/>
      <c r="F372" s="69"/>
      <c r="J372" s="89"/>
    </row>
    <row r="373" customFormat="false" ht="15.75" hidden="false" customHeight="true" outlineLevel="0" collapsed="false">
      <c r="C373" s="89"/>
      <c r="D373" s="69"/>
      <c r="F373" s="69"/>
      <c r="J373" s="89"/>
    </row>
    <row r="374" customFormat="false" ht="15.75" hidden="false" customHeight="true" outlineLevel="0" collapsed="false">
      <c r="C374" s="89"/>
      <c r="D374" s="69"/>
      <c r="F374" s="69"/>
      <c r="J374" s="89"/>
    </row>
    <row r="375" customFormat="false" ht="15.75" hidden="false" customHeight="true" outlineLevel="0" collapsed="false">
      <c r="C375" s="89"/>
      <c r="D375" s="69"/>
      <c r="F375" s="69"/>
      <c r="J375" s="89"/>
    </row>
    <row r="376" customFormat="false" ht="15.75" hidden="false" customHeight="true" outlineLevel="0" collapsed="false">
      <c r="C376" s="89"/>
      <c r="D376" s="69"/>
      <c r="F376" s="69"/>
      <c r="J376" s="89"/>
    </row>
    <row r="377" customFormat="false" ht="15.75" hidden="false" customHeight="true" outlineLevel="0" collapsed="false">
      <c r="C377" s="89"/>
      <c r="D377" s="69"/>
      <c r="F377" s="69"/>
      <c r="J377" s="89"/>
    </row>
    <row r="378" customFormat="false" ht="15.75" hidden="false" customHeight="true" outlineLevel="0" collapsed="false">
      <c r="C378" s="89"/>
      <c r="D378" s="69"/>
      <c r="F378" s="69"/>
      <c r="J378" s="89"/>
    </row>
    <row r="379" customFormat="false" ht="15.75" hidden="false" customHeight="true" outlineLevel="0" collapsed="false">
      <c r="C379" s="89"/>
      <c r="D379" s="69"/>
      <c r="F379" s="69"/>
      <c r="J379" s="89"/>
    </row>
    <row r="380" customFormat="false" ht="15.75" hidden="false" customHeight="true" outlineLevel="0" collapsed="false">
      <c r="C380" s="89"/>
      <c r="D380" s="69"/>
      <c r="F380" s="69"/>
      <c r="J380" s="89"/>
    </row>
    <row r="381" customFormat="false" ht="15.75" hidden="false" customHeight="true" outlineLevel="0" collapsed="false">
      <c r="C381" s="89"/>
      <c r="D381" s="69"/>
      <c r="F381" s="69"/>
      <c r="J381" s="89"/>
    </row>
    <row r="382" customFormat="false" ht="15.75" hidden="false" customHeight="true" outlineLevel="0" collapsed="false">
      <c r="C382" s="89"/>
      <c r="D382" s="69"/>
      <c r="F382" s="69"/>
      <c r="J382" s="89"/>
    </row>
    <row r="383" customFormat="false" ht="15.75" hidden="false" customHeight="true" outlineLevel="0" collapsed="false">
      <c r="C383" s="89"/>
      <c r="D383" s="69"/>
      <c r="F383" s="69"/>
      <c r="J383" s="89"/>
    </row>
    <row r="384" customFormat="false" ht="15.75" hidden="false" customHeight="true" outlineLevel="0" collapsed="false">
      <c r="C384" s="89"/>
      <c r="D384" s="69"/>
      <c r="F384" s="69"/>
      <c r="J384" s="89"/>
    </row>
    <row r="385" customFormat="false" ht="15.75" hidden="false" customHeight="true" outlineLevel="0" collapsed="false">
      <c r="C385" s="89"/>
      <c r="D385" s="69"/>
      <c r="F385" s="69"/>
      <c r="J385" s="89"/>
    </row>
    <row r="386" customFormat="false" ht="15.75" hidden="false" customHeight="true" outlineLevel="0" collapsed="false">
      <c r="C386" s="89"/>
      <c r="D386" s="69"/>
      <c r="F386" s="69"/>
      <c r="J386" s="89"/>
    </row>
    <row r="387" customFormat="false" ht="15.75" hidden="false" customHeight="true" outlineLevel="0" collapsed="false">
      <c r="C387" s="89"/>
      <c r="D387" s="69"/>
      <c r="F387" s="69"/>
      <c r="J387" s="89"/>
    </row>
    <row r="388" customFormat="false" ht="15.75" hidden="false" customHeight="true" outlineLevel="0" collapsed="false">
      <c r="C388" s="89"/>
      <c r="D388" s="69"/>
      <c r="F388" s="69"/>
      <c r="J388" s="89"/>
    </row>
    <row r="389" customFormat="false" ht="15.75" hidden="false" customHeight="true" outlineLevel="0" collapsed="false">
      <c r="C389" s="89"/>
      <c r="D389" s="69"/>
      <c r="F389" s="69"/>
      <c r="J389" s="89"/>
    </row>
    <row r="390" customFormat="false" ht="15.75" hidden="false" customHeight="true" outlineLevel="0" collapsed="false">
      <c r="C390" s="89"/>
      <c r="D390" s="69"/>
      <c r="F390" s="69"/>
      <c r="J390" s="89"/>
    </row>
    <row r="391" customFormat="false" ht="15.75" hidden="false" customHeight="true" outlineLevel="0" collapsed="false">
      <c r="C391" s="89"/>
      <c r="D391" s="69"/>
      <c r="F391" s="69"/>
      <c r="J391" s="89"/>
    </row>
    <row r="392" customFormat="false" ht="15.75" hidden="false" customHeight="true" outlineLevel="0" collapsed="false">
      <c r="C392" s="89"/>
      <c r="D392" s="69"/>
      <c r="F392" s="69"/>
      <c r="J392" s="89"/>
    </row>
    <row r="393" customFormat="false" ht="15.75" hidden="false" customHeight="true" outlineLevel="0" collapsed="false">
      <c r="C393" s="89"/>
      <c r="D393" s="69"/>
      <c r="F393" s="69"/>
      <c r="J393" s="89"/>
    </row>
    <row r="394" customFormat="false" ht="15.75" hidden="false" customHeight="true" outlineLevel="0" collapsed="false">
      <c r="C394" s="89"/>
      <c r="D394" s="69"/>
      <c r="F394" s="69"/>
      <c r="J394" s="89"/>
    </row>
    <row r="395" customFormat="false" ht="15.75" hidden="false" customHeight="true" outlineLevel="0" collapsed="false">
      <c r="C395" s="89"/>
      <c r="D395" s="69"/>
      <c r="F395" s="69"/>
      <c r="J395" s="89"/>
    </row>
    <row r="396" customFormat="false" ht="15.75" hidden="false" customHeight="true" outlineLevel="0" collapsed="false">
      <c r="C396" s="89"/>
      <c r="D396" s="69"/>
      <c r="F396" s="69"/>
      <c r="J396" s="89"/>
    </row>
    <row r="397" customFormat="false" ht="15.75" hidden="false" customHeight="true" outlineLevel="0" collapsed="false">
      <c r="C397" s="89"/>
      <c r="D397" s="69"/>
      <c r="F397" s="69"/>
      <c r="J397" s="89"/>
    </row>
    <row r="398" customFormat="false" ht="15.75" hidden="false" customHeight="true" outlineLevel="0" collapsed="false">
      <c r="C398" s="89"/>
      <c r="D398" s="69"/>
      <c r="F398" s="69"/>
      <c r="J398" s="89"/>
    </row>
    <row r="399" customFormat="false" ht="15.75" hidden="false" customHeight="true" outlineLevel="0" collapsed="false">
      <c r="C399" s="89"/>
      <c r="D399" s="69"/>
      <c r="F399" s="69"/>
      <c r="J399" s="89"/>
    </row>
    <row r="400" customFormat="false" ht="15.75" hidden="false" customHeight="true" outlineLevel="0" collapsed="false">
      <c r="C400" s="89"/>
      <c r="D400" s="69"/>
      <c r="F400" s="69"/>
      <c r="J400" s="89"/>
    </row>
    <row r="401" customFormat="false" ht="15.75" hidden="false" customHeight="true" outlineLevel="0" collapsed="false">
      <c r="C401" s="89"/>
      <c r="D401" s="69"/>
      <c r="F401" s="69"/>
      <c r="J401" s="89"/>
    </row>
    <row r="402" customFormat="false" ht="15.75" hidden="false" customHeight="true" outlineLevel="0" collapsed="false">
      <c r="C402" s="89"/>
      <c r="D402" s="69"/>
      <c r="F402" s="69"/>
      <c r="J402" s="89"/>
    </row>
    <row r="403" customFormat="false" ht="15.75" hidden="false" customHeight="true" outlineLevel="0" collapsed="false">
      <c r="C403" s="89"/>
      <c r="D403" s="69"/>
      <c r="F403" s="69"/>
      <c r="J403" s="89"/>
    </row>
    <row r="404" customFormat="false" ht="15.75" hidden="false" customHeight="true" outlineLevel="0" collapsed="false">
      <c r="C404" s="89"/>
      <c r="D404" s="69"/>
      <c r="F404" s="69"/>
      <c r="J404" s="89"/>
    </row>
    <row r="405" customFormat="false" ht="15.75" hidden="false" customHeight="true" outlineLevel="0" collapsed="false">
      <c r="C405" s="89"/>
      <c r="D405" s="69"/>
      <c r="F405" s="69"/>
      <c r="J405" s="89"/>
    </row>
    <row r="406" customFormat="false" ht="15.75" hidden="false" customHeight="true" outlineLevel="0" collapsed="false">
      <c r="C406" s="89"/>
      <c r="D406" s="69"/>
      <c r="F406" s="69"/>
      <c r="J406" s="89"/>
    </row>
    <row r="407" customFormat="false" ht="15.75" hidden="false" customHeight="true" outlineLevel="0" collapsed="false">
      <c r="C407" s="89"/>
      <c r="D407" s="69"/>
      <c r="F407" s="69"/>
      <c r="J407" s="89"/>
    </row>
    <row r="408" customFormat="false" ht="15.75" hidden="false" customHeight="true" outlineLevel="0" collapsed="false">
      <c r="C408" s="89"/>
      <c r="D408" s="69"/>
      <c r="F408" s="69"/>
      <c r="J408" s="89"/>
    </row>
    <row r="409" customFormat="false" ht="15.75" hidden="false" customHeight="true" outlineLevel="0" collapsed="false">
      <c r="C409" s="89"/>
      <c r="D409" s="69"/>
      <c r="F409" s="69"/>
      <c r="J409" s="89"/>
    </row>
    <row r="410" customFormat="false" ht="15.75" hidden="false" customHeight="true" outlineLevel="0" collapsed="false">
      <c r="C410" s="89"/>
      <c r="D410" s="69"/>
      <c r="F410" s="69"/>
      <c r="J410" s="89"/>
    </row>
    <row r="411" customFormat="false" ht="15.75" hidden="false" customHeight="true" outlineLevel="0" collapsed="false">
      <c r="C411" s="89"/>
      <c r="D411" s="69"/>
      <c r="F411" s="69"/>
      <c r="J411" s="89"/>
    </row>
    <row r="412" customFormat="false" ht="15.75" hidden="false" customHeight="true" outlineLevel="0" collapsed="false">
      <c r="C412" s="89"/>
      <c r="D412" s="69"/>
      <c r="F412" s="69"/>
      <c r="J412" s="89"/>
    </row>
    <row r="413" customFormat="false" ht="15.75" hidden="false" customHeight="true" outlineLevel="0" collapsed="false">
      <c r="C413" s="89"/>
      <c r="D413" s="69"/>
      <c r="F413" s="69"/>
      <c r="J413" s="89"/>
    </row>
    <row r="414" customFormat="false" ht="15.75" hidden="false" customHeight="true" outlineLevel="0" collapsed="false">
      <c r="C414" s="89"/>
      <c r="D414" s="69"/>
      <c r="F414" s="69"/>
      <c r="J414" s="89"/>
    </row>
    <row r="415" customFormat="false" ht="15.75" hidden="false" customHeight="true" outlineLevel="0" collapsed="false">
      <c r="C415" s="89"/>
      <c r="D415" s="69"/>
      <c r="F415" s="69"/>
      <c r="J415" s="89"/>
    </row>
    <row r="416" customFormat="false" ht="15.75" hidden="false" customHeight="true" outlineLevel="0" collapsed="false">
      <c r="C416" s="89"/>
      <c r="D416" s="69"/>
      <c r="F416" s="69"/>
      <c r="J416" s="89"/>
    </row>
    <row r="417" customFormat="false" ht="15.75" hidden="false" customHeight="true" outlineLevel="0" collapsed="false">
      <c r="C417" s="89"/>
      <c r="D417" s="69"/>
      <c r="F417" s="69"/>
      <c r="J417" s="89"/>
    </row>
    <row r="418" customFormat="false" ht="15.75" hidden="false" customHeight="true" outlineLevel="0" collapsed="false">
      <c r="C418" s="89"/>
      <c r="D418" s="69"/>
      <c r="F418" s="69"/>
      <c r="J418" s="89"/>
    </row>
    <row r="419" customFormat="false" ht="15.75" hidden="false" customHeight="true" outlineLevel="0" collapsed="false">
      <c r="C419" s="89"/>
      <c r="D419" s="69"/>
      <c r="F419" s="69"/>
      <c r="J419" s="89"/>
    </row>
    <row r="420" customFormat="false" ht="15.75" hidden="false" customHeight="true" outlineLevel="0" collapsed="false">
      <c r="C420" s="89"/>
      <c r="D420" s="69"/>
      <c r="F420" s="69"/>
      <c r="J420" s="89"/>
    </row>
    <row r="421" customFormat="false" ht="15.75" hidden="false" customHeight="true" outlineLevel="0" collapsed="false">
      <c r="C421" s="89"/>
      <c r="D421" s="69"/>
      <c r="F421" s="69"/>
      <c r="J421" s="89"/>
    </row>
    <row r="422" customFormat="false" ht="15.75" hidden="false" customHeight="true" outlineLevel="0" collapsed="false">
      <c r="C422" s="89"/>
      <c r="D422" s="69"/>
      <c r="F422" s="69"/>
      <c r="J422" s="89"/>
    </row>
    <row r="423" customFormat="false" ht="15.75" hidden="false" customHeight="true" outlineLevel="0" collapsed="false">
      <c r="C423" s="89"/>
      <c r="D423" s="69"/>
      <c r="F423" s="69"/>
      <c r="J423" s="89"/>
    </row>
    <row r="424" customFormat="false" ht="15.75" hidden="false" customHeight="true" outlineLevel="0" collapsed="false">
      <c r="C424" s="89"/>
      <c r="D424" s="69"/>
      <c r="F424" s="69"/>
      <c r="J424" s="89"/>
    </row>
    <row r="425" customFormat="false" ht="15.75" hidden="false" customHeight="true" outlineLevel="0" collapsed="false">
      <c r="C425" s="89"/>
      <c r="D425" s="69"/>
      <c r="F425" s="69"/>
      <c r="J425" s="89"/>
    </row>
    <row r="426" customFormat="false" ht="15.75" hidden="false" customHeight="true" outlineLevel="0" collapsed="false">
      <c r="C426" s="89"/>
      <c r="D426" s="69"/>
      <c r="F426" s="69"/>
      <c r="J426" s="89"/>
    </row>
    <row r="427" customFormat="false" ht="15.75" hidden="false" customHeight="true" outlineLevel="0" collapsed="false">
      <c r="C427" s="89"/>
      <c r="D427" s="69"/>
      <c r="F427" s="69"/>
      <c r="J427" s="89"/>
    </row>
    <row r="428" customFormat="false" ht="15.75" hidden="false" customHeight="true" outlineLevel="0" collapsed="false">
      <c r="C428" s="89"/>
      <c r="D428" s="69"/>
      <c r="F428" s="69"/>
      <c r="J428" s="89"/>
    </row>
    <row r="429" customFormat="false" ht="15.75" hidden="false" customHeight="true" outlineLevel="0" collapsed="false">
      <c r="C429" s="89"/>
      <c r="D429" s="69"/>
      <c r="F429" s="69"/>
      <c r="J429" s="89"/>
    </row>
    <row r="430" customFormat="false" ht="15.75" hidden="false" customHeight="true" outlineLevel="0" collapsed="false">
      <c r="C430" s="89"/>
      <c r="D430" s="69"/>
      <c r="F430" s="69"/>
      <c r="J430" s="89"/>
    </row>
    <row r="431" customFormat="false" ht="15.75" hidden="false" customHeight="true" outlineLevel="0" collapsed="false">
      <c r="C431" s="89"/>
      <c r="D431" s="69"/>
      <c r="F431" s="69"/>
      <c r="J431" s="89"/>
    </row>
    <row r="432" customFormat="false" ht="15.75" hidden="false" customHeight="true" outlineLevel="0" collapsed="false">
      <c r="C432" s="89"/>
      <c r="D432" s="69"/>
      <c r="F432" s="69"/>
      <c r="J432" s="89"/>
    </row>
    <row r="433" customFormat="false" ht="15.75" hidden="false" customHeight="true" outlineLevel="0" collapsed="false">
      <c r="C433" s="89"/>
      <c r="D433" s="69"/>
      <c r="F433" s="69"/>
      <c r="J433" s="89"/>
    </row>
    <row r="434" customFormat="false" ht="15.75" hidden="false" customHeight="true" outlineLevel="0" collapsed="false">
      <c r="C434" s="89"/>
      <c r="D434" s="69"/>
      <c r="F434" s="69"/>
      <c r="J434" s="89"/>
    </row>
    <row r="435" customFormat="false" ht="15.75" hidden="false" customHeight="true" outlineLevel="0" collapsed="false">
      <c r="C435" s="89"/>
      <c r="D435" s="69"/>
      <c r="F435" s="69"/>
      <c r="J435" s="89"/>
    </row>
    <row r="436" customFormat="false" ht="15.75" hidden="false" customHeight="true" outlineLevel="0" collapsed="false">
      <c r="C436" s="89"/>
      <c r="D436" s="69"/>
      <c r="F436" s="69"/>
      <c r="J436" s="89"/>
    </row>
    <row r="437" customFormat="false" ht="15.75" hidden="false" customHeight="true" outlineLevel="0" collapsed="false">
      <c r="C437" s="89"/>
      <c r="D437" s="69"/>
      <c r="F437" s="69"/>
      <c r="J437" s="89"/>
    </row>
    <row r="438" customFormat="false" ht="15.75" hidden="false" customHeight="true" outlineLevel="0" collapsed="false">
      <c r="C438" s="89"/>
      <c r="D438" s="69"/>
      <c r="F438" s="69"/>
      <c r="J438" s="89"/>
    </row>
    <row r="439" customFormat="false" ht="15.75" hidden="false" customHeight="true" outlineLevel="0" collapsed="false">
      <c r="C439" s="89"/>
      <c r="D439" s="69"/>
      <c r="F439" s="69"/>
      <c r="J439" s="89"/>
    </row>
    <row r="440" customFormat="false" ht="15.75" hidden="false" customHeight="true" outlineLevel="0" collapsed="false">
      <c r="C440" s="89"/>
      <c r="D440" s="69"/>
      <c r="F440" s="69"/>
      <c r="J440" s="89"/>
    </row>
    <row r="441" customFormat="false" ht="15.75" hidden="false" customHeight="true" outlineLevel="0" collapsed="false">
      <c r="C441" s="89"/>
      <c r="D441" s="69"/>
      <c r="F441" s="69"/>
      <c r="J441" s="89"/>
    </row>
    <row r="442" customFormat="false" ht="15.75" hidden="false" customHeight="true" outlineLevel="0" collapsed="false">
      <c r="C442" s="89"/>
      <c r="D442" s="69"/>
      <c r="F442" s="69"/>
      <c r="J442" s="89"/>
    </row>
    <row r="443" customFormat="false" ht="15.75" hidden="false" customHeight="true" outlineLevel="0" collapsed="false">
      <c r="C443" s="89"/>
      <c r="D443" s="69"/>
      <c r="F443" s="69"/>
      <c r="J443" s="89"/>
    </row>
    <row r="444" customFormat="false" ht="15.75" hidden="false" customHeight="true" outlineLevel="0" collapsed="false">
      <c r="C444" s="89"/>
      <c r="D444" s="69"/>
      <c r="F444" s="69"/>
      <c r="J444" s="89"/>
    </row>
    <row r="445" customFormat="false" ht="15.75" hidden="false" customHeight="true" outlineLevel="0" collapsed="false">
      <c r="C445" s="89"/>
      <c r="D445" s="69"/>
      <c r="F445" s="69"/>
      <c r="J445" s="89"/>
    </row>
    <row r="446" customFormat="false" ht="15.75" hidden="false" customHeight="true" outlineLevel="0" collapsed="false">
      <c r="C446" s="89"/>
      <c r="D446" s="69"/>
      <c r="F446" s="69"/>
      <c r="J446" s="89"/>
    </row>
    <row r="447" customFormat="false" ht="15.75" hidden="false" customHeight="true" outlineLevel="0" collapsed="false">
      <c r="C447" s="89"/>
      <c r="D447" s="69"/>
      <c r="F447" s="69"/>
      <c r="J447" s="89"/>
    </row>
    <row r="448" customFormat="false" ht="15.75" hidden="false" customHeight="true" outlineLevel="0" collapsed="false">
      <c r="C448" s="89"/>
      <c r="D448" s="69"/>
      <c r="F448" s="69"/>
      <c r="J448" s="89"/>
    </row>
    <row r="449" customFormat="false" ht="15.75" hidden="false" customHeight="true" outlineLevel="0" collapsed="false">
      <c r="C449" s="89"/>
      <c r="D449" s="69"/>
      <c r="F449" s="69"/>
      <c r="J449" s="89"/>
    </row>
    <row r="450" customFormat="false" ht="15.75" hidden="false" customHeight="true" outlineLevel="0" collapsed="false">
      <c r="C450" s="89"/>
      <c r="D450" s="69"/>
      <c r="F450" s="69"/>
      <c r="J450" s="89"/>
    </row>
    <row r="451" customFormat="false" ht="15.75" hidden="false" customHeight="true" outlineLevel="0" collapsed="false">
      <c r="C451" s="89"/>
      <c r="D451" s="69"/>
      <c r="F451" s="69"/>
      <c r="J451" s="89"/>
    </row>
    <row r="452" customFormat="false" ht="15.75" hidden="false" customHeight="true" outlineLevel="0" collapsed="false">
      <c r="C452" s="89"/>
      <c r="D452" s="69"/>
      <c r="F452" s="69"/>
      <c r="J452" s="89"/>
    </row>
    <row r="453" customFormat="false" ht="15.75" hidden="false" customHeight="true" outlineLevel="0" collapsed="false">
      <c r="C453" s="89"/>
      <c r="D453" s="69"/>
      <c r="F453" s="69"/>
      <c r="J453" s="89"/>
    </row>
    <row r="454" customFormat="false" ht="15.75" hidden="false" customHeight="true" outlineLevel="0" collapsed="false">
      <c r="C454" s="89"/>
      <c r="D454" s="69"/>
      <c r="F454" s="69"/>
      <c r="J454" s="89"/>
    </row>
    <row r="455" customFormat="false" ht="15.75" hidden="false" customHeight="true" outlineLevel="0" collapsed="false">
      <c r="C455" s="89"/>
      <c r="D455" s="69"/>
      <c r="F455" s="69"/>
      <c r="J455" s="89"/>
    </row>
    <row r="456" customFormat="false" ht="15.75" hidden="false" customHeight="true" outlineLevel="0" collapsed="false">
      <c r="C456" s="89"/>
      <c r="D456" s="69"/>
      <c r="F456" s="69"/>
      <c r="J456" s="89"/>
    </row>
    <row r="457" customFormat="false" ht="15.75" hidden="false" customHeight="true" outlineLevel="0" collapsed="false">
      <c r="C457" s="89"/>
      <c r="D457" s="69"/>
      <c r="F457" s="69"/>
      <c r="J457" s="89"/>
    </row>
    <row r="458" customFormat="false" ht="15.75" hidden="false" customHeight="true" outlineLevel="0" collapsed="false">
      <c r="C458" s="89"/>
      <c r="D458" s="69"/>
      <c r="F458" s="69"/>
      <c r="J458" s="89"/>
    </row>
    <row r="459" customFormat="false" ht="15.75" hidden="false" customHeight="true" outlineLevel="0" collapsed="false">
      <c r="C459" s="89"/>
      <c r="D459" s="69"/>
      <c r="F459" s="69"/>
      <c r="J459" s="89"/>
    </row>
    <row r="460" customFormat="false" ht="15.75" hidden="false" customHeight="true" outlineLevel="0" collapsed="false">
      <c r="C460" s="89"/>
      <c r="D460" s="69"/>
      <c r="F460" s="69"/>
      <c r="J460" s="89"/>
    </row>
    <row r="461" customFormat="false" ht="15.75" hidden="false" customHeight="true" outlineLevel="0" collapsed="false">
      <c r="C461" s="89"/>
      <c r="D461" s="69"/>
      <c r="F461" s="69"/>
      <c r="J461" s="89"/>
    </row>
    <row r="462" customFormat="false" ht="15.75" hidden="false" customHeight="true" outlineLevel="0" collapsed="false">
      <c r="C462" s="89"/>
      <c r="D462" s="69"/>
      <c r="F462" s="69"/>
      <c r="J462" s="89"/>
    </row>
    <row r="463" customFormat="false" ht="15.75" hidden="false" customHeight="true" outlineLevel="0" collapsed="false">
      <c r="C463" s="89"/>
      <c r="D463" s="69"/>
      <c r="F463" s="69"/>
      <c r="J463" s="89"/>
    </row>
    <row r="464" customFormat="false" ht="15.75" hidden="false" customHeight="true" outlineLevel="0" collapsed="false">
      <c r="C464" s="89"/>
      <c r="D464" s="69"/>
      <c r="F464" s="69"/>
      <c r="J464" s="89"/>
    </row>
    <row r="465" customFormat="false" ht="15.75" hidden="false" customHeight="true" outlineLevel="0" collapsed="false">
      <c r="C465" s="89"/>
      <c r="D465" s="69"/>
      <c r="F465" s="69"/>
      <c r="J465" s="89"/>
    </row>
    <row r="466" customFormat="false" ht="15.75" hidden="false" customHeight="true" outlineLevel="0" collapsed="false">
      <c r="C466" s="89"/>
      <c r="D466" s="69"/>
      <c r="F466" s="69"/>
      <c r="J466" s="89"/>
    </row>
    <row r="467" customFormat="false" ht="15.75" hidden="false" customHeight="true" outlineLevel="0" collapsed="false">
      <c r="C467" s="89"/>
      <c r="D467" s="69"/>
      <c r="F467" s="69"/>
      <c r="J467" s="89"/>
    </row>
    <row r="468" customFormat="false" ht="15.75" hidden="false" customHeight="true" outlineLevel="0" collapsed="false">
      <c r="C468" s="89"/>
      <c r="D468" s="69"/>
      <c r="F468" s="69"/>
      <c r="J468" s="89"/>
    </row>
    <row r="469" customFormat="false" ht="15.75" hidden="false" customHeight="true" outlineLevel="0" collapsed="false">
      <c r="C469" s="89"/>
      <c r="D469" s="69"/>
      <c r="F469" s="69"/>
      <c r="J469" s="89"/>
    </row>
    <row r="470" customFormat="false" ht="15.75" hidden="false" customHeight="true" outlineLevel="0" collapsed="false">
      <c r="C470" s="89"/>
      <c r="D470" s="69"/>
      <c r="F470" s="69"/>
      <c r="J470" s="89"/>
    </row>
    <row r="471" customFormat="false" ht="15.75" hidden="false" customHeight="true" outlineLevel="0" collapsed="false">
      <c r="C471" s="89"/>
      <c r="D471" s="69"/>
      <c r="F471" s="69"/>
      <c r="J471" s="89"/>
    </row>
    <row r="472" customFormat="false" ht="15.75" hidden="false" customHeight="true" outlineLevel="0" collapsed="false">
      <c r="C472" s="89"/>
      <c r="D472" s="69"/>
      <c r="F472" s="69"/>
      <c r="J472" s="89"/>
    </row>
    <row r="473" customFormat="false" ht="15.75" hidden="false" customHeight="true" outlineLevel="0" collapsed="false">
      <c r="C473" s="89"/>
      <c r="D473" s="69"/>
      <c r="F473" s="69"/>
      <c r="J473" s="89"/>
    </row>
    <row r="474" customFormat="false" ht="15.75" hidden="false" customHeight="true" outlineLevel="0" collapsed="false">
      <c r="C474" s="89"/>
      <c r="D474" s="69"/>
      <c r="F474" s="69"/>
      <c r="J474" s="89"/>
    </row>
    <row r="475" customFormat="false" ht="15.75" hidden="false" customHeight="true" outlineLevel="0" collapsed="false">
      <c r="C475" s="89"/>
      <c r="D475" s="69"/>
      <c r="F475" s="69"/>
      <c r="J475" s="89"/>
    </row>
    <row r="476" customFormat="false" ht="15.75" hidden="false" customHeight="true" outlineLevel="0" collapsed="false">
      <c r="C476" s="89"/>
      <c r="D476" s="69"/>
      <c r="F476" s="69"/>
      <c r="J476" s="89"/>
    </row>
    <row r="477" customFormat="false" ht="15.75" hidden="false" customHeight="true" outlineLevel="0" collapsed="false">
      <c r="C477" s="89"/>
      <c r="D477" s="69"/>
      <c r="F477" s="69"/>
      <c r="J477" s="89"/>
    </row>
    <row r="478" customFormat="false" ht="15.75" hidden="false" customHeight="true" outlineLevel="0" collapsed="false">
      <c r="C478" s="89"/>
      <c r="D478" s="69"/>
      <c r="F478" s="69"/>
      <c r="J478" s="89"/>
    </row>
    <row r="479" customFormat="false" ht="15.75" hidden="false" customHeight="true" outlineLevel="0" collapsed="false">
      <c r="C479" s="89"/>
      <c r="D479" s="69"/>
      <c r="F479" s="69"/>
      <c r="J479" s="89"/>
    </row>
    <row r="480" customFormat="false" ht="15.75" hidden="false" customHeight="true" outlineLevel="0" collapsed="false">
      <c r="C480" s="89"/>
      <c r="D480" s="69"/>
      <c r="F480" s="69"/>
      <c r="J480" s="89"/>
    </row>
    <row r="481" customFormat="false" ht="15.75" hidden="false" customHeight="true" outlineLevel="0" collapsed="false">
      <c r="C481" s="89"/>
      <c r="D481" s="69"/>
      <c r="F481" s="69"/>
      <c r="J481" s="89"/>
    </row>
    <row r="482" customFormat="false" ht="15.75" hidden="false" customHeight="true" outlineLevel="0" collapsed="false">
      <c r="C482" s="89"/>
      <c r="D482" s="69"/>
      <c r="F482" s="69"/>
      <c r="J482" s="89"/>
    </row>
    <row r="483" customFormat="false" ht="15.75" hidden="false" customHeight="true" outlineLevel="0" collapsed="false">
      <c r="C483" s="89"/>
      <c r="D483" s="69"/>
      <c r="F483" s="69"/>
      <c r="J483" s="89"/>
    </row>
    <row r="484" customFormat="false" ht="15.75" hidden="false" customHeight="true" outlineLevel="0" collapsed="false">
      <c r="C484" s="89"/>
      <c r="D484" s="69"/>
      <c r="F484" s="69"/>
      <c r="J484" s="89"/>
    </row>
    <row r="485" customFormat="false" ht="15.75" hidden="false" customHeight="true" outlineLevel="0" collapsed="false">
      <c r="C485" s="89"/>
      <c r="D485" s="69"/>
      <c r="F485" s="69"/>
      <c r="J485" s="89"/>
    </row>
    <row r="486" customFormat="false" ht="15.75" hidden="false" customHeight="true" outlineLevel="0" collapsed="false">
      <c r="C486" s="89"/>
      <c r="D486" s="69"/>
      <c r="F486" s="69"/>
      <c r="J486" s="89"/>
    </row>
    <row r="487" customFormat="false" ht="15.75" hidden="false" customHeight="true" outlineLevel="0" collapsed="false">
      <c r="C487" s="89"/>
      <c r="D487" s="69"/>
      <c r="F487" s="69"/>
      <c r="J487" s="89"/>
    </row>
    <row r="488" customFormat="false" ht="15.75" hidden="false" customHeight="true" outlineLevel="0" collapsed="false">
      <c r="C488" s="89"/>
      <c r="D488" s="69"/>
      <c r="F488" s="69"/>
      <c r="J488" s="89"/>
    </row>
    <row r="489" customFormat="false" ht="15.75" hidden="false" customHeight="true" outlineLevel="0" collapsed="false">
      <c r="C489" s="89"/>
      <c r="D489" s="69"/>
      <c r="F489" s="69"/>
      <c r="J489" s="89"/>
    </row>
    <row r="490" customFormat="false" ht="15.75" hidden="false" customHeight="true" outlineLevel="0" collapsed="false">
      <c r="C490" s="89"/>
      <c r="D490" s="69"/>
      <c r="F490" s="69"/>
      <c r="J490" s="89"/>
    </row>
    <row r="491" customFormat="false" ht="15.75" hidden="false" customHeight="true" outlineLevel="0" collapsed="false">
      <c r="C491" s="89"/>
      <c r="D491" s="69"/>
      <c r="F491" s="69"/>
      <c r="J491" s="89"/>
    </row>
    <row r="492" customFormat="false" ht="15.75" hidden="false" customHeight="true" outlineLevel="0" collapsed="false">
      <c r="C492" s="89"/>
      <c r="D492" s="69"/>
      <c r="F492" s="69"/>
      <c r="J492" s="89"/>
    </row>
    <row r="493" customFormat="false" ht="15.75" hidden="false" customHeight="true" outlineLevel="0" collapsed="false">
      <c r="C493" s="89"/>
      <c r="D493" s="69"/>
      <c r="F493" s="69"/>
      <c r="J493" s="89"/>
    </row>
    <row r="494" customFormat="false" ht="15.75" hidden="false" customHeight="true" outlineLevel="0" collapsed="false">
      <c r="C494" s="89"/>
      <c r="D494" s="69"/>
      <c r="F494" s="69"/>
      <c r="J494" s="89"/>
    </row>
    <row r="495" customFormat="false" ht="15.75" hidden="false" customHeight="true" outlineLevel="0" collapsed="false">
      <c r="C495" s="89"/>
      <c r="D495" s="69"/>
      <c r="F495" s="69"/>
      <c r="J495" s="89"/>
    </row>
    <row r="496" customFormat="false" ht="15.75" hidden="false" customHeight="true" outlineLevel="0" collapsed="false">
      <c r="C496" s="89"/>
      <c r="D496" s="69"/>
      <c r="F496" s="69"/>
      <c r="J496" s="89"/>
    </row>
    <row r="497" customFormat="false" ht="15.75" hidden="false" customHeight="true" outlineLevel="0" collapsed="false">
      <c r="C497" s="89"/>
      <c r="D497" s="69"/>
      <c r="F497" s="69"/>
      <c r="J497" s="89"/>
    </row>
    <row r="498" customFormat="false" ht="15.75" hidden="false" customHeight="true" outlineLevel="0" collapsed="false">
      <c r="C498" s="89"/>
      <c r="D498" s="69"/>
      <c r="F498" s="69"/>
      <c r="J498" s="89"/>
    </row>
    <row r="499" customFormat="false" ht="15.75" hidden="false" customHeight="true" outlineLevel="0" collapsed="false">
      <c r="C499" s="89"/>
      <c r="D499" s="69"/>
      <c r="F499" s="69"/>
      <c r="J499" s="89"/>
    </row>
    <row r="500" customFormat="false" ht="15.75" hidden="false" customHeight="true" outlineLevel="0" collapsed="false">
      <c r="C500" s="89"/>
      <c r="D500" s="69"/>
      <c r="F500" s="69"/>
      <c r="J500" s="89"/>
    </row>
    <row r="501" customFormat="false" ht="15.75" hidden="false" customHeight="true" outlineLevel="0" collapsed="false">
      <c r="C501" s="89"/>
      <c r="D501" s="69"/>
      <c r="F501" s="69"/>
      <c r="J501" s="89"/>
    </row>
    <row r="502" customFormat="false" ht="15.75" hidden="false" customHeight="true" outlineLevel="0" collapsed="false">
      <c r="C502" s="89"/>
      <c r="D502" s="69"/>
      <c r="F502" s="69"/>
      <c r="J502" s="89"/>
    </row>
    <row r="503" customFormat="false" ht="15.75" hidden="false" customHeight="true" outlineLevel="0" collapsed="false">
      <c r="C503" s="89"/>
      <c r="D503" s="69"/>
      <c r="F503" s="69"/>
      <c r="J503" s="89"/>
    </row>
    <row r="504" customFormat="false" ht="15.75" hidden="false" customHeight="true" outlineLevel="0" collapsed="false">
      <c r="C504" s="89"/>
      <c r="D504" s="69"/>
      <c r="F504" s="69"/>
      <c r="J504" s="89"/>
    </row>
    <row r="505" customFormat="false" ht="15.75" hidden="false" customHeight="true" outlineLevel="0" collapsed="false">
      <c r="C505" s="89"/>
      <c r="D505" s="69"/>
      <c r="F505" s="69"/>
      <c r="J505" s="89"/>
    </row>
    <row r="506" customFormat="false" ht="15.75" hidden="false" customHeight="true" outlineLevel="0" collapsed="false">
      <c r="C506" s="89"/>
      <c r="D506" s="69"/>
      <c r="F506" s="69"/>
      <c r="J506" s="89"/>
    </row>
    <row r="507" customFormat="false" ht="15.75" hidden="false" customHeight="true" outlineLevel="0" collapsed="false">
      <c r="C507" s="89"/>
      <c r="D507" s="69"/>
      <c r="F507" s="69"/>
      <c r="J507" s="89"/>
    </row>
    <row r="508" customFormat="false" ht="15.75" hidden="false" customHeight="true" outlineLevel="0" collapsed="false">
      <c r="C508" s="89"/>
      <c r="D508" s="69"/>
      <c r="F508" s="69"/>
      <c r="J508" s="89"/>
    </row>
    <row r="509" customFormat="false" ht="15.75" hidden="false" customHeight="true" outlineLevel="0" collapsed="false">
      <c r="C509" s="89"/>
      <c r="D509" s="69"/>
      <c r="F509" s="69"/>
      <c r="J509" s="89"/>
    </row>
    <row r="510" customFormat="false" ht="15.75" hidden="false" customHeight="true" outlineLevel="0" collapsed="false">
      <c r="C510" s="89"/>
      <c r="D510" s="69"/>
      <c r="F510" s="69"/>
      <c r="J510" s="89"/>
    </row>
    <row r="511" customFormat="false" ht="15.75" hidden="false" customHeight="true" outlineLevel="0" collapsed="false">
      <c r="C511" s="89"/>
      <c r="D511" s="69"/>
      <c r="F511" s="69"/>
      <c r="J511" s="89"/>
    </row>
    <row r="512" customFormat="false" ht="15.75" hidden="false" customHeight="true" outlineLevel="0" collapsed="false">
      <c r="C512" s="89"/>
      <c r="D512" s="69"/>
      <c r="F512" s="69"/>
      <c r="J512" s="89"/>
    </row>
    <row r="513" customFormat="false" ht="15.75" hidden="false" customHeight="true" outlineLevel="0" collapsed="false">
      <c r="C513" s="89"/>
      <c r="D513" s="69"/>
      <c r="F513" s="69"/>
      <c r="J513" s="89"/>
    </row>
    <row r="514" customFormat="false" ht="15.75" hidden="false" customHeight="true" outlineLevel="0" collapsed="false">
      <c r="C514" s="89"/>
      <c r="D514" s="69"/>
      <c r="F514" s="69"/>
      <c r="J514" s="89"/>
    </row>
    <row r="515" customFormat="false" ht="15.75" hidden="false" customHeight="true" outlineLevel="0" collapsed="false">
      <c r="C515" s="89"/>
      <c r="D515" s="69"/>
      <c r="F515" s="69"/>
      <c r="J515" s="89"/>
    </row>
    <row r="516" customFormat="false" ht="15.75" hidden="false" customHeight="true" outlineLevel="0" collapsed="false">
      <c r="C516" s="89"/>
      <c r="D516" s="69"/>
      <c r="F516" s="69"/>
      <c r="J516" s="89"/>
    </row>
    <row r="517" customFormat="false" ht="15.75" hidden="false" customHeight="true" outlineLevel="0" collapsed="false">
      <c r="C517" s="89"/>
      <c r="D517" s="69"/>
      <c r="F517" s="69"/>
      <c r="J517" s="89"/>
    </row>
    <row r="518" customFormat="false" ht="15.75" hidden="false" customHeight="true" outlineLevel="0" collapsed="false">
      <c r="C518" s="89"/>
      <c r="D518" s="69"/>
      <c r="F518" s="69"/>
      <c r="J518" s="89"/>
    </row>
    <row r="519" customFormat="false" ht="15.75" hidden="false" customHeight="true" outlineLevel="0" collapsed="false">
      <c r="C519" s="89"/>
      <c r="D519" s="69"/>
      <c r="F519" s="69"/>
      <c r="J519" s="89"/>
    </row>
    <row r="520" customFormat="false" ht="15.75" hidden="false" customHeight="true" outlineLevel="0" collapsed="false">
      <c r="C520" s="89"/>
      <c r="D520" s="69"/>
      <c r="F520" s="69"/>
      <c r="J520" s="89"/>
    </row>
    <row r="521" customFormat="false" ht="15.75" hidden="false" customHeight="true" outlineLevel="0" collapsed="false">
      <c r="C521" s="89"/>
      <c r="D521" s="69"/>
      <c r="F521" s="69"/>
      <c r="J521" s="89"/>
    </row>
    <row r="522" customFormat="false" ht="15.75" hidden="false" customHeight="true" outlineLevel="0" collapsed="false">
      <c r="C522" s="89"/>
      <c r="D522" s="69"/>
      <c r="F522" s="69"/>
      <c r="J522" s="89"/>
    </row>
    <row r="523" customFormat="false" ht="15.75" hidden="false" customHeight="true" outlineLevel="0" collapsed="false">
      <c r="C523" s="89"/>
      <c r="D523" s="69"/>
      <c r="F523" s="69"/>
      <c r="J523" s="89"/>
    </row>
    <row r="524" customFormat="false" ht="15.75" hidden="false" customHeight="true" outlineLevel="0" collapsed="false">
      <c r="C524" s="89"/>
      <c r="D524" s="69"/>
      <c r="F524" s="69"/>
      <c r="J524" s="89"/>
    </row>
    <row r="525" customFormat="false" ht="15.75" hidden="false" customHeight="true" outlineLevel="0" collapsed="false">
      <c r="C525" s="89"/>
      <c r="D525" s="69"/>
      <c r="F525" s="69"/>
      <c r="J525" s="89"/>
    </row>
    <row r="526" customFormat="false" ht="15.75" hidden="false" customHeight="true" outlineLevel="0" collapsed="false">
      <c r="C526" s="89"/>
      <c r="D526" s="69"/>
      <c r="F526" s="69"/>
      <c r="J526" s="89"/>
    </row>
    <row r="527" customFormat="false" ht="15.75" hidden="false" customHeight="true" outlineLevel="0" collapsed="false">
      <c r="C527" s="89"/>
      <c r="D527" s="69"/>
      <c r="F527" s="69"/>
      <c r="J527" s="89"/>
    </row>
    <row r="528" customFormat="false" ht="15.75" hidden="false" customHeight="true" outlineLevel="0" collapsed="false">
      <c r="C528" s="89"/>
      <c r="D528" s="69"/>
      <c r="F528" s="69"/>
      <c r="J528" s="89"/>
    </row>
    <row r="529" customFormat="false" ht="15.75" hidden="false" customHeight="true" outlineLevel="0" collapsed="false">
      <c r="C529" s="89"/>
      <c r="D529" s="69"/>
      <c r="F529" s="69"/>
      <c r="J529" s="89"/>
    </row>
    <row r="530" customFormat="false" ht="15.75" hidden="false" customHeight="true" outlineLevel="0" collapsed="false">
      <c r="C530" s="89"/>
      <c r="D530" s="69"/>
      <c r="F530" s="69"/>
      <c r="J530" s="89"/>
    </row>
    <row r="531" customFormat="false" ht="15.75" hidden="false" customHeight="true" outlineLevel="0" collapsed="false">
      <c r="C531" s="89"/>
      <c r="D531" s="69"/>
      <c r="F531" s="69"/>
      <c r="J531" s="89"/>
    </row>
    <row r="532" customFormat="false" ht="15.75" hidden="false" customHeight="true" outlineLevel="0" collapsed="false">
      <c r="C532" s="89"/>
      <c r="D532" s="69"/>
      <c r="F532" s="69"/>
      <c r="J532" s="89"/>
    </row>
    <row r="533" customFormat="false" ht="15.75" hidden="false" customHeight="true" outlineLevel="0" collapsed="false">
      <c r="C533" s="89"/>
      <c r="D533" s="69"/>
      <c r="F533" s="69"/>
      <c r="J533" s="89"/>
    </row>
    <row r="534" customFormat="false" ht="15.75" hidden="false" customHeight="true" outlineLevel="0" collapsed="false">
      <c r="C534" s="89"/>
      <c r="D534" s="69"/>
      <c r="F534" s="69"/>
      <c r="J534" s="89"/>
    </row>
    <row r="535" customFormat="false" ht="15.75" hidden="false" customHeight="true" outlineLevel="0" collapsed="false">
      <c r="C535" s="89"/>
      <c r="D535" s="69"/>
      <c r="F535" s="69"/>
      <c r="J535" s="89"/>
    </row>
    <row r="536" customFormat="false" ht="15.75" hidden="false" customHeight="true" outlineLevel="0" collapsed="false">
      <c r="C536" s="89"/>
      <c r="D536" s="69"/>
      <c r="F536" s="69"/>
      <c r="J536" s="89"/>
    </row>
    <row r="537" customFormat="false" ht="15.75" hidden="false" customHeight="true" outlineLevel="0" collapsed="false">
      <c r="C537" s="89"/>
      <c r="D537" s="69"/>
      <c r="F537" s="69"/>
      <c r="J537" s="89"/>
    </row>
    <row r="538" customFormat="false" ht="15.75" hidden="false" customHeight="true" outlineLevel="0" collapsed="false">
      <c r="C538" s="89"/>
      <c r="D538" s="69"/>
      <c r="F538" s="69"/>
      <c r="J538" s="89"/>
    </row>
    <row r="539" customFormat="false" ht="15.75" hidden="false" customHeight="true" outlineLevel="0" collapsed="false">
      <c r="C539" s="89"/>
      <c r="D539" s="69"/>
      <c r="F539" s="69"/>
      <c r="J539" s="89"/>
    </row>
    <row r="540" customFormat="false" ht="15.75" hidden="false" customHeight="true" outlineLevel="0" collapsed="false">
      <c r="C540" s="89"/>
      <c r="D540" s="69"/>
      <c r="F540" s="69"/>
      <c r="J540" s="89"/>
    </row>
    <row r="541" customFormat="false" ht="15.75" hidden="false" customHeight="true" outlineLevel="0" collapsed="false">
      <c r="C541" s="89"/>
      <c r="D541" s="69"/>
      <c r="F541" s="69"/>
      <c r="J541" s="89"/>
    </row>
    <row r="542" customFormat="false" ht="15.75" hidden="false" customHeight="true" outlineLevel="0" collapsed="false">
      <c r="C542" s="89"/>
      <c r="D542" s="69"/>
      <c r="F542" s="69"/>
      <c r="J542" s="89"/>
    </row>
    <row r="543" customFormat="false" ht="15.75" hidden="false" customHeight="true" outlineLevel="0" collapsed="false">
      <c r="C543" s="89"/>
      <c r="D543" s="69"/>
      <c r="F543" s="69"/>
      <c r="J543" s="89"/>
    </row>
    <row r="544" customFormat="false" ht="15.75" hidden="false" customHeight="true" outlineLevel="0" collapsed="false">
      <c r="C544" s="89"/>
      <c r="D544" s="69"/>
      <c r="F544" s="69"/>
      <c r="J544" s="89"/>
    </row>
    <row r="545" customFormat="false" ht="15.75" hidden="false" customHeight="true" outlineLevel="0" collapsed="false">
      <c r="C545" s="89"/>
      <c r="D545" s="69"/>
      <c r="F545" s="69"/>
      <c r="J545" s="89"/>
    </row>
    <row r="546" customFormat="false" ht="15.75" hidden="false" customHeight="true" outlineLevel="0" collapsed="false">
      <c r="C546" s="89"/>
      <c r="D546" s="69"/>
      <c r="F546" s="69"/>
      <c r="J546" s="89"/>
    </row>
    <row r="547" customFormat="false" ht="15.75" hidden="false" customHeight="true" outlineLevel="0" collapsed="false">
      <c r="C547" s="89"/>
      <c r="D547" s="69"/>
      <c r="F547" s="69"/>
      <c r="J547" s="89"/>
    </row>
    <row r="548" customFormat="false" ht="15.75" hidden="false" customHeight="true" outlineLevel="0" collapsed="false">
      <c r="C548" s="89"/>
      <c r="D548" s="69"/>
      <c r="F548" s="69"/>
      <c r="J548" s="89"/>
    </row>
    <row r="549" customFormat="false" ht="15.75" hidden="false" customHeight="true" outlineLevel="0" collapsed="false">
      <c r="C549" s="89"/>
      <c r="D549" s="69"/>
      <c r="F549" s="69"/>
      <c r="J549" s="89"/>
    </row>
    <row r="550" customFormat="false" ht="15.75" hidden="false" customHeight="true" outlineLevel="0" collapsed="false">
      <c r="C550" s="89"/>
      <c r="D550" s="69"/>
      <c r="F550" s="69"/>
      <c r="J550" s="89"/>
    </row>
    <row r="551" customFormat="false" ht="15.75" hidden="false" customHeight="true" outlineLevel="0" collapsed="false">
      <c r="C551" s="89"/>
      <c r="D551" s="69"/>
      <c r="F551" s="69"/>
      <c r="J551" s="89"/>
    </row>
    <row r="552" customFormat="false" ht="15.75" hidden="false" customHeight="true" outlineLevel="0" collapsed="false">
      <c r="C552" s="89"/>
      <c r="D552" s="69"/>
      <c r="F552" s="69"/>
      <c r="J552" s="89"/>
    </row>
    <row r="553" customFormat="false" ht="15.75" hidden="false" customHeight="true" outlineLevel="0" collapsed="false">
      <c r="C553" s="89"/>
      <c r="D553" s="69"/>
      <c r="F553" s="69"/>
      <c r="J553" s="89"/>
    </row>
    <row r="554" customFormat="false" ht="15.75" hidden="false" customHeight="true" outlineLevel="0" collapsed="false">
      <c r="C554" s="89"/>
      <c r="D554" s="69"/>
      <c r="F554" s="69"/>
      <c r="J554" s="89"/>
    </row>
    <row r="555" customFormat="false" ht="15.75" hidden="false" customHeight="true" outlineLevel="0" collapsed="false">
      <c r="C555" s="89"/>
      <c r="D555" s="69"/>
      <c r="F555" s="69"/>
      <c r="J555" s="89"/>
    </row>
    <row r="556" customFormat="false" ht="15.75" hidden="false" customHeight="true" outlineLevel="0" collapsed="false">
      <c r="C556" s="89"/>
      <c r="D556" s="69"/>
      <c r="F556" s="69"/>
      <c r="J556" s="89"/>
    </row>
    <row r="557" customFormat="false" ht="15.75" hidden="false" customHeight="true" outlineLevel="0" collapsed="false">
      <c r="C557" s="89"/>
      <c r="D557" s="69"/>
      <c r="F557" s="69"/>
      <c r="J557" s="89"/>
    </row>
    <row r="558" customFormat="false" ht="15.75" hidden="false" customHeight="true" outlineLevel="0" collapsed="false">
      <c r="C558" s="89"/>
      <c r="D558" s="69"/>
      <c r="F558" s="69"/>
      <c r="J558" s="89"/>
    </row>
    <row r="559" customFormat="false" ht="15.75" hidden="false" customHeight="true" outlineLevel="0" collapsed="false">
      <c r="C559" s="89"/>
      <c r="D559" s="69"/>
      <c r="F559" s="69"/>
      <c r="J559" s="89"/>
    </row>
    <row r="560" customFormat="false" ht="15.75" hidden="false" customHeight="true" outlineLevel="0" collapsed="false">
      <c r="C560" s="89"/>
      <c r="D560" s="69"/>
      <c r="F560" s="69"/>
      <c r="J560" s="89"/>
    </row>
    <row r="561" customFormat="false" ht="15.75" hidden="false" customHeight="true" outlineLevel="0" collapsed="false">
      <c r="C561" s="89"/>
      <c r="D561" s="69"/>
      <c r="F561" s="69"/>
      <c r="J561" s="89"/>
    </row>
    <row r="562" customFormat="false" ht="15.75" hidden="false" customHeight="true" outlineLevel="0" collapsed="false">
      <c r="C562" s="89"/>
      <c r="D562" s="69"/>
      <c r="F562" s="69"/>
      <c r="J562" s="89"/>
    </row>
    <row r="563" customFormat="false" ht="15.75" hidden="false" customHeight="true" outlineLevel="0" collapsed="false">
      <c r="C563" s="89"/>
      <c r="D563" s="69"/>
      <c r="F563" s="69"/>
      <c r="J563" s="89"/>
    </row>
    <row r="564" customFormat="false" ht="15.75" hidden="false" customHeight="true" outlineLevel="0" collapsed="false">
      <c r="C564" s="89"/>
      <c r="D564" s="69"/>
      <c r="F564" s="69"/>
      <c r="J564" s="89"/>
    </row>
    <row r="565" customFormat="false" ht="15.75" hidden="false" customHeight="true" outlineLevel="0" collapsed="false">
      <c r="C565" s="89"/>
      <c r="D565" s="69"/>
      <c r="F565" s="69"/>
      <c r="J565" s="89"/>
    </row>
    <row r="566" customFormat="false" ht="15.75" hidden="false" customHeight="true" outlineLevel="0" collapsed="false">
      <c r="C566" s="89"/>
      <c r="D566" s="69"/>
      <c r="F566" s="69"/>
      <c r="J566" s="89"/>
    </row>
    <row r="567" customFormat="false" ht="15.75" hidden="false" customHeight="true" outlineLevel="0" collapsed="false">
      <c r="C567" s="89"/>
      <c r="D567" s="69"/>
      <c r="F567" s="69"/>
      <c r="J567" s="89"/>
    </row>
    <row r="568" customFormat="false" ht="15.75" hidden="false" customHeight="true" outlineLevel="0" collapsed="false">
      <c r="C568" s="89"/>
      <c r="D568" s="69"/>
      <c r="F568" s="69"/>
      <c r="J568" s="89"/>
    </row>
    <row r="569" customFormat="false" ht="15.75" hidden="false" customHeight="true" outlineLevel="0" collapsed="false">
      <c r="C569" s="89"/>
      <c r="D569" s="69"/>
      <c r="F569" s="69"/>
      <c r="J569" s="89"/>
    </row>
    <row r="570" customFormat="false" ht="15.75" hidden="false" customHeight="true" outlineLevel="0" collapsed="false">
      <c r="C570" s="89"/>
      <c r="D570" s="69"/>
      <c r="F570" s="69"/>
      <c r="J570" s="89"/>
    </row>
    <row r="571" customFormat="false" ht="15.75" hidden="false" customHeight="true" outlineLevel="0" collapsed="false">
      <c r="C571" s="89"/>
      <c r="D571" s="69"/>
      <c r="F571" s="69"/>
      <c r="J571" s="89"/>
    </row>
    <row r="572" customFormat="false" ht="15.75" hidden="false" customHeight="true" outlineLevel="0" collapsed="false">
      <c r="C572" s="89"/>
      <c r="D572" s="69"/>
      <c r="F572" s="69"/>
      <c r="J572" s="89"/>
    </row>
    <row r="573" customFormat="false" ht="15.75" hidden="false" customHeight="true" outlineLevel="0" collapsed="false">
      <c r="C573" s="89"/>
      <c r="D573" s="69"/>
      <c r="F573" s="69"/>
      <c r="J573" s="89"/>
    </row>
    <row r="574" customFormat="false" ht="15.75" hidden="false" customHeight="true" outlineLevel="0" collapsed="false">
      <c r="C574" s="89"/>
      <c r="D574" s="69"/>
      <c r="F574" s="69"/>
      <c r="J574" s="89"/>
    </row>
    <row r="575" customFormat="false" ht="15.75" hidden="false" customHeight="true" outlineLevel="0" collapsed="false">
      <c r="C575" s="89"/>
      <c r="D575" s="69"/>
      <c r="F575" s="69"/>
      <c r="J575" s="89"/>
    </row>
    <row r="576" customFormat="false" ht="15.75" hidden="false" customHeight="true" outlineLevel="0" collapsed="false">
      <c r="C576" s="89"/>
      <c r="D576" s="69"/>
      <c r="F576" s="69"/>
      <c r="J576" s="89"/>
    </row>
    <row r="577" customFormat="false" ht="15.75" hidden="false" customHeight="true" outlineLevel="0" collapsed="false">
      <c r="C577" s="89"/>
      <c r="D577" s="69"/>
      <c r="F577" s="69"/>
      <c r="J577" s="89"/>
    </row>
    <row r="578" customFormat="false" ht="15.75" hidden="false" customHeight="true" outlineLevel="0" collapsed="false">
      <c r="C578" s="89"/>
      <c r="D578" s="69"/>
      <c r="F578" s="69"/>
      <c r="J578" s="89"/>
    </row>
    <row r="579" customFormat="false" ht="15.75" hidden="false" customHeight="true" outlineLevel="0" collapsed="false">
      <c r="C579" s="89"/>
      <c r="D579" s="69"/>
      <c r="F579" s="69"/>
      <c r="J579" s="89"/>
    </row>
    <row r="580" customFormat="false" ht="15.75" hidden="false" customHeight="true" outlineLevel="0" collapsed="false">
      <c r="C580" s="89"/>
      <c r="D580" s="69"/>
      <c r="F580" s="69"/>
      <c r="J580" s="89"/>
    </row>
    <row r="581" customFormat="false" ht="15.75" hidden="false" customHeight="true" outlineLevel="0" collapsed="false">
      <c r="C581" s="89"/>
      <c r="D581" s="69"/>
      <c r="F581" s="69"/>
      <c r="J581" s="89"/>
    </row>
    <row r="582" customFormat="false" ht="15.75" hidden="false" customHeight="true" outlineLevel="0" collapsed="false">
      <c r="C582" s="89"/>
      <c r="D582" s="69"/>
      <c r="F582" s="69"/>
      <c r="J582" s="89"/>
    </row>
    <row r="583" customFormat="false" ht="15.75" hidden="false" customHeight="true" outlineLevel="0" collapsed="false">
      <c r="C583" s="89"/>
      <c r="D583" s="69"/>
      <c r="F583" s="69"/>
      <c r="J583" s="89"/>
    </row>
    <row r="584" customFormat="false" ht="15.75" hidden="false" customHeight="true" outlineLevel="0" collapsed="false">
      <c r="C584" s="89"/>
      <c r="D584" s="69"/>
      <c r="F584" s="69"/>
      <c r="J584" s="89"/>
    </row>
    <row r="585" customFormat="false" ht="15.75" hidden="false" customHeight="true" outlineLevel="0" collapsed="false">
      <c r="C585" s="89"/>
      <c r="D585" s="69"/>
      <c r="F585" s="69"/>
      <c r="J585" s="89"/>
    </row>
    <row r="586" customFormat="false" ht="15.75" hidden="false" customHeight="true" outlineLevel="0" collapsed="false">
      <c r="C586" s="89"/>
      <c r="D586" s="69"/>
      <c r="F586" s="69"/>
      <c r="J586" s="89"/>
    </row>
    <row r="587" customFormat="false" ht="15.75" hidden="false" customHeight="true" outlineLevel="0" collapsed="false">
      <c r="C587" s="89"/>
      <c r="D587" s="69"/>
      <c r="F587" s="69"/>
      <c r="J587" s="89"/>
    </row>
    <row r="588" customFormat="false" ht="15.75" hidden="false" customHeight="true" outlineLevel="0" collapsed="false">
      <c r="C588" s="89"/>
      <c r="D588" s="69"/>
      <c r="F588" s="69"/>
      <c r="J588" s="89"/>
    </row>
    <row r="589" customFormat="false" ht="15.75" hidden="false" customHeight="true" outlineLevel="0" collapsed="false">
      <c r="C589" s="89"/>
      <c r="D589" s="69"/>
      <c r="F589" s="69"/>
      <c r="J589" s="89"/>
    </row>
    <row r="590" customFormat="false" ht="15.75" hidden="false" customHeight="true" outlineLevel="0" collapsed="false">
      <c r="C590" s="89"/>
      <c r="D590" s="69"/>
      <c r="F590" s="69"/>
      <c r="J590" s="89"/>
    </row>
    <row r="591" customFormat="false" ht="15.75" hidden="false" customHeight="true" outlineLevel="0" collapsed="false">
      <c r="C591" s="89"/>
      <c r="D591" s="69"/>
      <c r="F591" s="69"/>
      <c r="J591" s="89"/>
    </row>
    <row r="592" customFormat="false" ht="15.75" hidden="false" customHeight="true" outlineLevel="0" collapsed="false">
      <c r="C592" s="89"/>
      <c r="D592" s="69"/>
      <c r="F592" s="69"/>
      <c r="J592" s="89"/>
    </row>
    <row r="593" customFormat="false" ht="15.75" hidden="false" customHeight="true" outlineLevel="0" collapsed="false">
      <c r="C593" s="89"/>
      <c r="D593" s="69"/>
      <c r="F593" s="69"/>
      <c r="J593" s="89"/>
    </row>
    <row r="594" customFormat="false" ht="15.75" hidden="false" customHeight="true" outlineLevel="0" collapsed="false">
      <c r="C594" s="89"/>
      <c r="D594" s="69"/>
      <c r="F594" s="69"/>
      <c r="J594" s="89"/>
    </row>
    <row r="595" customFormat="false" ht="15.75" hidden="false" customHeight="true" outlineLevel="0" collapsed="false">
      <c r="C595" s="89"/>
      <c r="D595" s="69"/>
      <c r="F595" s="69"/>
      <c r="J595" s="89"/>
    </row>
    <row r="596" customFormat="false" ht="15.75" hidden="false" customHeight="true" outlineLevel="0" collapsed="false">
      <c r="C596" s="89"/>
      <c r="D596" s="69"/>
      <c r="F596" s="69"/>
      <c r="J596" s="89"/>
    </row>
    <row r="597" customFormat="false" ht="15.75" hidden="false" customHeight="true" outlineLevel="0" collapsed="false">
      <c r="C597" s="89"/>
      <c r="D597" s="69"/>
      <c r="F597" s="69"/>
      <c r="J597" s="89"/>
    </row>
    <row r="598" customFormat="false" ht="15.75" hidden="false" customHeight="true" outlineLevel="0" collapsed="false">
      <c r="C598" s="89"/>
      <c r="D598" s="69"/>
      <c r="F598" s="69"/>
      <c r="J598" s="89"/>
    </row>
    <row r="599" customFormat="false" ht="15.75" hidden="false" customHeight="true" outlineLevel="0" collapsed="false">
      <c r="C599" s="89"/>
      <c r="D599" s="69"/>
      <c r="F599" s="69"/>
      <c r="J599" s="89"/>
    </row>
    <row r="600" customFormat="false" ht="15.75" hidden="false" customHeight="true" outlineLevel="0" collapsed="false">
      <c r="C600" s="89"/>
      <c r="D600" s="69"/>
      <c r="F600" s="69"/>
      <c r="J600" s="89"/>
    </row>
    <row r="601" customFormat="false" ht="15.75" hidden="false" customHeight="true" outlineLevel="0" collapsed="false">
      <c r="C601" s="89"/>
      <c r="D601" s="69"/>
      <c r="F601" s="69"/>
      <c r="J601" s="89"/>
    </row>
    <row r="602" customFormat="false" ht="15.75" hidden="false" customHeight="true" outlineLevel="0" collapsed="false">
      <c r="C602" s="89"/>
      <c r="D602" s="69"/>
      <c r="F602" s="69"/>
      <c r="J602" s="89"/>
    </row>
    <row r="603" customFormat="false" ht="15.75" hidden="false" customHeight="true" outlineLevel="0" collapsed="false">
      <c r="C603" s="89"/>
      <c r="D603" s="69"/>
      <c r="F603" s="69"/>
      <c r="J603" s="89"/>
    </row>
    <row r="604" customFormat="false" ht="15.75" hidden="false" customHeight="true" outlineLevel="0" collapsed="false">
      <c r="C604" s="89"/>
      <c r="D604" s="69"/>
      <c r="F604" s="69"/>
      <c r="J604" s="89"/>
    </row>
    <row r="605" customFormat="false" ht="15.75" hidden="false" customHeight="true" outlineLevel="0" collapsed="false">
      <c r="C605" s="89"/>
      <c r="D605" s="69"/>
      <c r="F605" s="69"/>
      <c r="J605" s="89"/>
    </row>
    <row r="606" customFormat="false" ht="15.75" hidden="false" customHeight="true" outlineLevel="0" collapsed="false">
      <c r="C606" s="89"/>
      <c r="D606" s="69"/>
      <c r="F606" s="69"/>
      <c r="J606" s="89"/>
    </row>
    <row r="607" customFormat="false" ht="15.75" hidden="false" customHeight="true" outlineLevel="0" collapsed="false">
      <c r="C607" s="89"/>
      <c r="D607" s="69"/>
      <c r="F607" s="69"/>
      <c r="J607" s="89"/>
    </row>
    <row r="608" customFormat="false" ht="15.75" hidden="false" customHeight="true" outlineLevel="0" collapsed="false">
      <c r="C608" s="89"/>
      <c r="D608" s="69"/>
      <c r="F608" s="69"/>
      <c r="J608" s="89"/>
    </row>
    <row r="609" customFormat="false" ht="15.75" hidden="false" customHeight="true" outlineLevel="0" collapsed="false">
      <c r="C609" s="89"/>
      <c r="D609" s="69"/>
      <c r="F609" s="69"/>
      <c r="J609" s="89"/>
    </row>
    <row r="610" customFormat="false" ht="15.75" hidden="false" customHeight="true" outlineLevel="0" collapsed="false">
      <c r="C610" s="89"/>
      <c r="D610" s="69"/>
      <c r="F610" s="69"/>
      <c r="J610" s="89"/>
    </row>
    <row r="611" customFormat="false" ht="15.75" hidden="false" customHeight="true" outlineLevel="0" collapsed="false">
      <c r="C611" s="89"/>
      <c r="D611" s="69"/>
      <c r="F611" s="69"/>
      <c r="J611" s="89"/>
    </row>
    <row r="612" customFormat="false" ht="15.75" hidden="false" customHeight="true" outlineLevel="0" collapsed="false">
      <c r="C612" s="89"/>
      <c r="D612" s="69"/>
      <c r="F612" s="69"/>
      <c r="J612" s="89"/>
    </row>
    <row r="613" customFormat="false" ht="15.75" hidden="false" customHeight="true" outlineLevel="0" collapsed="false">
      <c r="C613" s="89"/>
      <c r="D613" s="69"/>
      <c r="F613" s="69"/>
      <c r="J613" s="89"/>
    </row>
    <row r="614" customFormat="false" ht="15.75" hidden="false" customHeight="true" outlineLevel="0" collapsed="false">
      <c r="C614" s="89"/>
      <c r="D614" s="69"/>
      <c r="F614" s="69"/>
      <c r="J614" s="89"/>
    </row>
    <row r="615" customFormat="false" ht="15.75" hidden="false" customHeight="true" outlineLevel="0" collapsed="false">
      <c r="C615" s="89"/>
      <c r="D615" s="69"/>
      <c r="F615" s="69"/>
      <c r="J615" s="89"/>
    </row>
    <row r="616" customFormat="false" ht="15.75" hidden="false" customHeight="true" outlineLevel="0" collapsed="false">
      <c r="C616" s="89"/>
      <c r="D616" s="69"/>
      <c r="F616" s="69"/>
      <c r="J616" s="89"/>
    </row>
    <row r="617" customFormat="false" ht="15.75" hidden="false" customHeight="true" outlineLevel="0" collapsed="false">
      <c r="C617" s="89"/>
      <c r="D617" s="69"/>
      <c r="F617" s="69"/>
      <c r="J617" s="89"/>
    </row>
    <row r="618" customFormat="false" ht="15.75" hidden="false" customHeight="true" outlineLevel="0" collapsed="false">
      <c r="C618" s="89"/>
      <c r="D618" s="69"/>
      <c r="F618" s="69"/>
      <c r="J618" s="89"/>
    </row>
    <row r="619" customFormat="false" ht="15.75" hidden="false" customHeight="true" outlineLevel="0" collapsed="false">
      <c r="C619" s="89"/>
      <c r="D619" s="69"/>
      <c r="F619" s="69"/>
      <c r="J619" s="89"/>
    </row>
    <row r="620" customFormat="false" ht="15.75" hidden="false" customHeight="true" outlineLevel="0" collapsed="false">
      <c r="C620" s="89"/>
      <c r="D620" s="69"/>
      <c r="F620" s="69"/>
      <c r="J620" s="89"/>
    </row>
    <row r="621" customFormat="false" ht="15.75" hidden="false" customHeight="true" outlineLevel="0" collapsed="false">
      <c r="C621" s="89"/>
      <c r="D621" s="69"/>
      <c r="F621" s="69"/>
      <c r="J621" s="89"/>
    </row>
    <row r="622" customFormat="false" ht="15.75" hidden="false" customHeight="true" outlineLevel="0" collapsed="false">
      <c r="C622" s="89"/>
      <c r="D622" s="69"/>
      <c r="F622" s="69"/>
      <c r="J622" s="89"/>
    </row>
    <row r="623" customFormat="false" ht="15.75" hidden="false" customHeight="true" outlineLevel="0" collapsed="false">
      <c r="C623" s="89"/>
      <c r="D623" s="69"/>
      <c r="F623" s="69"/>
      <c r="J623" s="89"/>
    </row>
    <row r="624" customFormat="false" ht="15.75" hidden="false" customHeight="true" outlineLevel="0" collapsed="false">
      <c r="C624" s="89"/>
      <c r="D624" s="69"/>
      <c r="F624" s="69"/>
      <c r="J624" s="89"/>
    </row>
    <row r="625" customFormat="false" ht="15.75" hidden="false" customHeight="true" outlineLevel="0" collapsed="false">
      <c r="C625" s="89"/>
      <c r="D625" s="69"/>
      <c r="F625" s="69"/>
      <c r="J625" s="89"/>
    </row>
    <row r="626" customFormat="false" ht="15.75" hidden="false" customHeight="true" outlineLevel="0" collapsed="false">
      <c r="C626" s="89"/>
      <c r="D626" s="69"/>
      <c r="F626" s="69"/>
      <c r="J626" s="89"/>
    </row>
    <row r="627" customFormat="false" ht="15.75" hidden="false" customHeight="true" outlineLevel="0" collapsed="false">
      <c r="C627" s="89"/>
      <c r="D627" s="69"/>
      <c r="F627" s="69"/>
      <c r="J627" s="89"/>
    </row>
    <row r="628" customFormat="false" ht="15.75" hidden="false" customHeight="true" outlineLevel="0" collapsed="false">
      <c r="C628" s="89"/>
      <c r="D628" s="69"/>
      <c r="F628" s="69"/>
      <c r="J628" s="89"/>
    </row>
    <row r="629" customFormat="false" ht="15.75" hidden="false" customHeight="true" outlineLevel="0" collapsed="false">
      <c r="C629" s="89"/>
      <c r="D629" s="69"/>
      <c r="F629" s="69"/>
      <c r="J629" s="89"/>
    </row>
    <row r="630" customFormat="false" ht="15.75" hidden="false" customHeight="true" outlineLevel="0" collapsed="false">
      <c r="C630" s="89"/>
      <c r="D630" s="69"/>
      <c r="F630" s="69"/>
      <c r="J630" s="89"/>
    </row>
    <row r="631" customFormat="false" ht="15.75" hidden="false" customHeight="true" outlineLevel="0" collapsed="false">
      <c r="C631" s="89"/>
      <c r="D631" s="69"/>
      <c r="F631" s="69"/>
      <c r="J631" s="89"/>
    </row>
    <row r="632" customFormat="false" ht="15.75" hidden="false" customHeight="true" outlineLevel="0" collapsed="false">
      <c r="C632" s="89"/>
      <c r="D632" s="69"/>
      <c r="F632" s="69"/>
      <c r="J632" s="89"/>
    </row>
    <row r="633" customFormat="false" ht="15.75" hidden="false" customHeight="true" outlineLevel="0" collapsed="false">
      <c r="C633" s="89"/>
      <c r="D633" s="69"/>
      <c r="F633" s="69"/>
      <c r="J633" s="89"/>
    </row>
    <row r="634" customFormat="false" ht="15.75" hidden="false" customHeight="true" outlineLevel="0" collapsed="false">
      <c r="C634" s="89"/>
      <c r="D634" s="69"/>
      <c r="F634" s="69"/>
      <c r="J634" s="89"/>
    </row>
    <row r="635" customFormat="false" ht="15.75" hidden="false" customHeight="true" outlineLevel="0" collapsed="false">
      <c r="C635" s="89"/>
      <c r="D635" s="69"/>
      <c r="F635" s="69"/>
      <c r="J635" s="89"/>
    </row>
    <row r="636" customFormat="false" ht="15.75" hidden="false" customHeight="true" outlineLevel="0" collapsed="false">
      <c r="C636" s="89"/>
      <c r="D636" s="69"/>
      <c r="F636" s="69"/>
      <c r="J636" s="89"/>
    </row>
    <row r="637" customFormat="false" ht="15.75" hidden="false" customHeight="true" outlineLevel="0" collapsed="false">
      <c r="C637" s="89"/>
      <c r="D637" s="69"/>
      <c r="F637" s="69"/>
      <c r="J637" s="89"/>
    </row>
    <row r="638" customFormat="false" ht="15.75" hidden="false" customHeight="true" outlineLevel="0" collapsed="false">
      <c r="C638" s="89"/>
      <c r="D638" s="69"/>
      <c r="F638" s="69"/>
      <c r="J638" s="89"/>
    </row>
    <row r="639" customFormat="false" ht="15.75" hidden="false" customHeight="true" outlineLevel="0" collapsed="false">
      <c r="C639" s="89"/>
      <c r="D639" s="69"/>
      <c r="F639" s="69"/>
      <c r="J639" s="89"/>
    </row>
    <row r="640" customFormat="false" ht="15.75" hidden="false" customHeight="true" outlineLevel="0" collapsed="false">
      <c r="C640" s="89"/>
      <c r="D640" s="69"/>
      <c r="F640" s="69"/>
      <c r="J640" s="89"/>
    </row>
    <row r="641" customFormat="false" ht="15.75" hidden="false" customHeight="true" outlineLevel="0" collapsed="false">
      <c r="C641" s="89"/>
      <c r="D641" s="69"/>
      <c r="F641" s="69"/>
      <c r="J641" s="89"/>
    </row>
    <row r="642" customFormat="false" ht="15.75" hidden="false" customHeight="true" outlineLevel="0" collapsed="false">
      <c r="C642" s="89"/>
      <c r="D642" s="69"/>
      <c r="F642" s="69"/>
      <c r="J642" s="89"/>
    </row>
    <row r="643" customFormat="false" ht="15.75" hidden="false" customHeight="true" outlineLevel="0" collapsed="false">
      <c r="C643" s="89"/>
      <c r="D643" s="69"/>
      <c r="F643" s="69"/>
      <c r="J643" s="89"/>
    </row>
    <row r="644" customFormat="false" ht="15.75" hidden="false" customHeight="true" outlineLevel="0" collapsed="false">
      <c r="C644" s="89"/>
      <c r="D644" s="69"/>
      <c r="F644" s="69"/>
      <c r="J644" s="89"/>
    </row>
    <row r="645" customFormat="false" ht="15.75" hidden="false" customHeight="true" outlineLevel="0" collapsed="false">
      <c r="C645" s="89"/>
      <c r="D645" s="69"/>
      <c r="F645" s="69"/>
      <c r="J645" s="89"/>
    </row>
    <row r="646" customFormat="false" ht="15.75" hidden="false" customHeight="true" outlineLevel="0" collapsed="false">
      <c r="C646" s="89"/>
      <c r="D646" s="69"/>
      <c r="F646" s="69"/>
      <c r="J646" s="89"/>
    </row>
    <row r="647" customFormat="false" ht="15.75" hidden="false" customHeight="true" outlineLevel="0" collapsed="false">
      <c r="C647" s="89"/>
      <c r="D647" s="69"/>
      <c r="F647" s="69"/>
      <c r="J647" s="89"/>
    </row>
    <row r="648" customFormat="false" ht="15.75" hidden="false" customHeight="true" outlineLevel="0" collapsed="false">
      <c r="C648" s="89"/>
      <c r="D648" s="69"/>
      <c r="F648" s="69"/>
      <c r="J648" s="89"/>
    </row>
    <row r="649" customFormat="false" ht="15.75" hidden="false" customHeight="true" outlineLevel="0" collapsed="false">
      <c r="C649" s="89"/>
      <c r="D649" s="69"/>
      <c r="F649" s="69"/>
      <c r="J649" s="89"/>
    </row>
    <row r="650" customFormat="false" ht="15.75" hidden="false" customHeight="true" outlineLevel="0" collapsed="false">
      <c r="C650" s="89"/>
      <c r="D650" s="69"/>
      <c r="F650" s="69"/>
      <c r="J650" s="89"/>
    </row>
    <row r="651" customFormat="false" ht="15.75" hidden="false" customHeight="true" outlineLevel="0" collapsed="false">
      <c r="C651" s="89"/>
      <c r="D651" s="69"/>
      <c r="F651" s="69"/>
      <c r="J651" s="89"/>
    </row>
    <row r="652" customFormat="false" ht="15.75" hidden="false" customHeight="true" outlineLevel="0" collapsed="false">
      <c r="C652" s="89"/>
      <c r="D652" s="69"/>
      <c r="F652" s="69"/>
      <c r="J652" s="89"/>
    </row>
    <row r="653" customFormat="false" ht="15.75" hidden="false" customHeight="true" outlineLevel="0" collapsed="false">
      <c r="C653" s="89"/>
      <c r="D653" s="69"/>
      <c r="F653" s="69"/>
      <c r="J653" s="89"/>
    </row>
    <row r="654" customFormat="false" ht="15.75" hidden="false" customHeight="true" outlineLevel="0" collapsed="false">
      <c r="C654" s="89"/>
      <c r="D654" s="69"/>
      <c r="F654" s="69"/>
      <c r="J654" s="89"/>
    </row>
    <row r="655" customFormat="false" ht="15.75" hidden="false" customHeight="true" outlineLevel="0" collapsed="false">
      <c r="C655" s="89"/>
      <c r="D655" s="69"/>
      <c r="F655" s="69"/>
      <c r="J655" s="89"/>
    </row>
    <row r="656" customFormat="false" ht="15.75" hidden="false" customHeight="true" outlineLevel="0" collapsed="false">
      <c r="C656" s="89"/>
      <c r="D656" s="69"/>
      <c r="F656" s="69"/>
      <c r="J656" s="89"/>
    </row>
    <row r="657" customFormat="false" ht="15.75" hidden="false" customHeight="true" outlineLevel="0" collapsed="false">
      <c r="C657" s="89"/>
      <c r="D657" s="69"/>
      <c r="F657" s="69"/>
      <c r="J657" s="89"/>
    </row>
    <row r="658" customFormat="false" ht="15.75" hidden="false" customHeight="true" outlineLevel="0" collapsed="false">
      <c r="C658" s="89"/>
      <c r="D658" s="69"/>
      <c r="F658" s="69"/>
      <c r="J658" s="89"/>
    </row>
    <row r="659" customFormat="false" ht="15.75" hidden="false" customHeight="true" outlineLevel="0" collapsed="false">
      <c r="C659" s="89"/>
      <c r="D659" s="69"/>
      <c r="F659" s="69"/>
      <c r="J659" s="89"/>
    </row>
    <row r="660" customFormat="false" ht="15.75" hidden="false" customHeight="true" outlineLevel="0" collapsed="false">
      <c r="C660" s="89"/>
      <c r="D660" s="69"/>
      <c r="F660" s="69"/>
      <c r="J660" s="89"/>
    </row>
    <row r="661" customFormat="false" ht="15.75" hidden="false" customHeight="true" outlineLevel="0" collapsed="false">
      <c r="C661" s="89"/>
      <c r="D661" s="69"/>
      <c r="F661" s="69"/>
      <c r="J661" s="89"/>
    </row>
    <row r="662" customFormat="false" ht="15.75" hidden="false" customHeight="true" outlineLevel="0" collapsed="false">
      <c r="C662" s="89"/>
      <c r="D662" s="69"/>
      <c r="F662" s="69"/>
      <c r="J662" s="89"/>
    </row>
    <row r="663" customFormat="false" ht="15.75" hidden="false" customHeight="true" outlineLevel="0" collapsed="false">
      <c r="C663" s="89"/>
      <c r="D663" s="69"/>
      <c r="F663" s="69"/>
      <c r="J663" s="89"/>
    </row>
    <row r="664" customFormat="false" ht="15.75" hidden="false" customHeight="true" outlineLevel="0" collapsed="false">
      <c r="C664" s="89"/>
      <c r="D664" s="69"/>
      <c r="F664" s="69"/>
      <c r="J664" s="89"/>
    </row>
    <row r="665" customFormat="false" ht="15.75" hidden="false" customHeight="true" outlineLevel="0" collapsed="false">
      <c r="C665" s="89"/>
      <c r="D665" s="69"/>
      <c r="F665" s="69"/>
      <c r="J665" s="89"/>
    </row>
    <row r="666" customFormat="false" ht="15.75" hidden="false" customHeight="true" outlineLevel="0" collapsed="false">
      <c r="C666" s="89"/>
      <c r="D666" s="69"/>
      <c r="F666" s="69"/>
      <c r="J666" s="89"/>
    </row>
    <row r="667" customFormat="false" ht="15.75" hidden="false" customHeight="true" outlineLevel="0" collapsed="false">
      <c r="C667" s="89"/>
      <c r="D667" s="69"/>
      <c r="F667" s="69"/>
      <c r="J667" s="89"/>
    </row>
    <row r="668" customFormat="false" ht="15.75" hidden="false" customHeight="true" outlineLevel="0" collapsed="false">
      <c r="C668" s="89"/>
      <c r="D668" s="69"/>
      <c r="F668" s="69"/>
      <c r="J668" s="89"/>
    </row>
    <row r="669" customFormat="false" ht="15.75" hidden="false" customHeight="true" outlineLevel="0" collapsed="false">
      <c r="C669" s="89"/>
      <c r="D669" s="69"/>
      <c r="F669" s="69"/>
      <c r="J669" s="89"/>
    </row>
    <row r="670" customFormat="false" ht="15.75" hidden="false" customHeight="true" outlineLevel="0" collapsed="false">
      <c r="C670" s="89"/>
      <c r="D670" s="69"/>
      <c r="F670" s="69"/>
      <c r="J670" s="89"/>
    </row>
    <row r="671" customFormat="false" ht="15.75" hidden="false" customHeight="true" outlineLevel="0" collapsed="false">
      <c r="C671" s="89"/>
      <c r="D671" s="69"/>
      <c r="F671" s="69"/>
      <c r="J671" s="89"/>
    </row>
    <row r="672" customFormat="false" ht="15.75" hidden="false" customHeight="true" outlineLevel="0" collapsed="false">
      <c r="C672" s="89"/>
      <c r="D672" s="69"/>
      <c r="F672" s="69"/>
      <c r="J672" s="89"/>
    </row>
    <row r="673" customFormat="false" ht="15.75" hidden="false" customHeight="true" outlineLevel="0" collapsed="false">
      <c r="C673" s="89"/>
      <c r="D673" s="69"/>
      <c r="F673" s="69"/>
      <c r="J673" s="89"/>
    </row>
    <row r="674" customFormat="false" ht="15.75" hidden="false" customHeight="true" outlineLevel="0" collapsed="false">
      <c r="C674" s="89"/>
      <c r="D674" s="69"/>
      <c r="F674" s="69"/>
      <c r="J674" s="89"/>
    </row>
    <row r="675" customFormat="false" ht="15.75" hidden="false" customHeight="true" outlineLevel="0" collapsed="false">
      <c r="C675" s="89"/>
      <c r="D675" s="69"/>
      <c r="F675" s="69"/>
      <c r="J675" s="89"/>
    </row>
    <row r="676" customFormat="false" ht="15.75" hidden="false" customHeight="true" outlineLevel="0" collapsed="false">
      <c r="C676" s="89"/>
      <c r="D676" s="69"/>
      <c r="F676" s="69"/>
      <c r="J676" s="89"/>
    </row>
    <row r="677" customFormat="false" ht="15.75" hidden="false" customHeight="true" outlineLevel="0" collapsed="false">
      <c r="C677" s="89"/>
      <c r="D677" s="69"/>
      <c r="F677" s="69"/>
      <c r="J677" s="89"/>
    </row>
    <row r="678" customFormat="false" ht="15.75" hidden="false" customHeight="true" outlineLevel="0" collapsed="false">
      <c r="C678" s="89"/>
      <c r="D678" s="69"/>
      <c r="F678" s="69"/>
      <c r="J678" s="89"/>
    </row>
    <row r="679" customFormat="false" ht="15.75" hidden="false" customHeight="true" outlineLevel="0" collapsed="false">
      <c r="C679" s="89"/>
      <c r="D679" s="69"/>
      <c r="F679" s="69"/>
      <c r="J679" s="89"/>
    </row>
    <row r="680" customFormat="false" ht="15.75" hidden="false" customHeight="true" outlineLevel="0" collapsed="false">
      <c r="C680" s="89"/>
      <c r="D680" s="69"/>
      <c r="F680" s="69"/>
      <c r="J680" s="89"/>
    </row>
    <row r="681" customFormat="false" ht="15.75" hidden="false" customHeight="true" outlineLevel="0" collapsed="false">
      <c r="C681" s="89"/>
      <c r="D681" s="69"/>
      <c r="F681" s="69"/>
      <c r="J681" s="89"/>
    </row>
    <row r="682" customFormat="false" ht="15.75" hidden="false" customHeight="true" outlineLevel="0" collapsed="false">
      <c r="C682" s="89"/>
      <c r="D682" s="69"/>
      <c r="F682" s="69"/>
      <c r="J682" s="89"/>
    </row>
    <row r="683" customFormat="false" ht="15.75" hidden="false" customHeight="true" outlineLevel="0" collapsed="false">
      <c r="C683" s="89"/>
      <c r="D683" s="69"/>
      <c r="F683" s="69"/>
      <c r="J683" s="89"/>
    </row>
    <row r="684" customFormat="false" ht="15.75" hidden="false" customHeight="true" outlineLevel="0" collapsed="false">
      <c r="C684" s="89"/>
      <c r="D684" s="69"/>
      <c r="F684" s="69"/>
      <c r="J684" s="89"/>
    </row>
    <row r="685" customFormat="false" ht="15.75" hidden="false" customHeight="true" outlineLevel="0" collapsed="false">
      <c r="C685" s="89"/>
      <c r="D685" s="69"/>
      <c r="F685" s="69"/>
      <c r="J685" s="89"/>
    </row>
    <row r="686" customFormat="false" ht="15.75" hidden="false" customHeight="true" outlineLevel="0" collapsed="false">
      <c r="C686" s="89"/>
      <c r="D686" s="69"/>
      <c r="F686" s="69"/>
      <c r="J686" s="89"/>
    </row>
    <row r="687" customFormat="false" ht="15.75" hidden="false" customHeight="true" outlineLevel="0" collapsed="false">
      <c r="C687" s="89"/>
      <c r="D687" s="69"/>
      <c r="F687" s="69"/>
      <c r="J687" s="89"/>
    </row>
    <row r="688" customFormat="false" ht="15.75" hidden="false" customHeight="true" outlineLevel="0" collapsed="false">
      <c r="C688" s="89"/>
      <c r="D688" s="69"/>
      <c r="F688" s="69"/>
      <c r="J688" s="89"/>
    </row>
    <row r="689" customFormat="false" ht="15.75" hidden="false" customHeight="true" outlineLevel="0" collapsed="false">
      <c r="C689" s="89"/>
      <c r="D689" s="69"/>
      <c r="F689" s="69"/>
      <c r="J689" s="89"/>
    </row>
    <row r="690" customFormat="false" ht="15.75" hidden="false" customHeight="true" outlineLevel="0" collapsed="false">
      <c r="C690" s="89"/>
      <c r="D690" s="69"/>
      <c r="F690" s="69"/>
      <c r="J690" s="89"/>
    </row>
    <row r="691" customFormat="false" ht="15.75" hidden="false" customHeight="true" outlineLevel="0" collapsed="false">
      <c r="C691" s="89"/>
      <c r="D691" s="69"/>
      <c r="F691" s="69"/>
      <c r="J691" s="89"/>
    </row>
    <row r="692" customFormat="false" ht="15.75" hidden="false" customHeight="true" outlineLevel="0" collapsed="false">
      <c r="C692" s="89"/>
      <c r="D692" s="69"/>
      <c r="F692" s="69"/>
      <c r="J692" s="89"/>
    </row>
    <row r="693" customFormat="false" ht="15.75" hidden="false" customHeight="true" outlineLevel="0" collapsed="false">
      <c r="C693" s="89"/>
      <c r="D693" s="69"/>
      <c r="F693" s="69"/>
      <c r="J693" s="89"/>
    </row>
    <row r="694" customFormat="false" ht="15.75" hidden="false" customHeight="true" outlineLevel="0" collapsed="false">
      <c r="C694" s="89"/>
      <c r="D694" s="69"/>
      <c r="F694" s="69"/>
      <c r="J694" s="89"/>
    </row>
    <row r="695" customFormat="false" ht="15.75" hidden="false" customHeight="true" outlineLevel="0" collapsed="false">
      <c r="C695" s="89"/>
      <c r="D695" s="69"/>
      <c r="F695" s="69"/>
      <c r="J695" s="89"/>
    </row>
    <row r="696" customFormat="false" ht="15.75" hidden="false" customHeight="true" outlineLevel="0" collapsed="false">
      <c r="C696" s="89"/>
      <c r="D696" s="69"/>
      <c r="F696" s="69"/>
      <c r="J696" s="89"/>
    </row>
    <row r="697" customFormat="false" ht="15.75" hidden="false" customHeight="true" outlineLevel="0" collapsed="false">
      <c r="C697" s="89"/>
      <c r="D697" s="69"/>
      <c r="F697" s="69"/>
      <c r="J697" s="89"/>
    </row>
    <row r="698" customFormat="false" ht="15.75" hidden="false" customHeight="true" outlineLevel="0" collapsed="false">
      <c r="C698" s="89"/>
      <c r="D698" s="69"/>
      <c r="F698" s="69"/>
      <c r="J698" s="89"/>
    </row>
    <row r="699" customFormat="false" ht="15.75" hidden="false" customHeight="true" outlineLevel="0" collapsed="false">
      <c r="C699" s="89"/>
      <c r="D699" s="69"/>
      <c r="F699" s="69"/>
      <c r="J699" s="89"/>
    </row>
    <row r="700" customFormat="false" ht="15.75" hidden="false" customHeight="true" outlineLevel="0" collapsed="false">
      <c r="C700" s="89"/>
      <c r="D700" s="69"/>
      <c r="F700" s="69"/>
      <c r="J700" s="89"/>
    </row>
    <row r="701" customFormat="false" ht="15.75" hidden="false" customHeight="true" outlineLevel="0" collapsed="false">
      <c r="C701" s="89"/>
      <c r="D701" s="69"/>
      <c r="F701" s="69"/>
      <c r="J701" s="89"/>
    </row>
    <row r="702" customFormat="false" ht="15.75" hidden="false" customHeight="true" outlineLevel="0" collapsed="false">
      <c r="C702" s="89"/>
      <c r="D702" s="69"/>
      <c r="F702" s="69"/>
      <c r="J702" s="89"/>
    </row>
    <row r="703" customFormat="false" ht="15.75" hidden="false" customHeight="true" outlineLevel="0" collapsed="false">
      <c r="C703" s="89"/>
      <c r="D703" s="69"/>
      <c r="F703" s="69"/>
      <c r="J703" s="89"/>
    </row>
    <row r="704" customFormat="false" ht="15.75" hidden="false" customHeight="true" outlineLevel="0" collapsed="false">
      <c r="C704" s="89"/>
      <c r="D704" s="69"/>
      <c r="F704" s="69"/>
      <c r="J704" s="89"/>
    </row>
    <row r="705" customFormat="false" ht="15.75" hidden="false" customHeight="true" outlineLevel="0" collapsed="false">
      <c r="C705" s="89"/>
      <c r="D705" s="69"/>
      <c r="F705" s="69"/>
      <c r="J705" s="89"/>
    </row>
    <row r="706" customFormat="false" ht="15.75" hidden="false" customHeight="true" outlineLevel="0" collapsed="false">
      <c r="C706" s="89"/>
      <c r="D706" s="69"/>
      <c r="F706" s="69"/>
      <c r="J706" s="89"/>
    </row>
    <row r="707" customFormat="false" ht="15.75" hidden="false" customHeight="true" outlineLevel="0" collapsed="false">
      <c r="C707" s="89"/>
      <c r="D707" s="69"/>
      <c r="F707" s="69"/>
      <c r="J707" s="89"/>
    </row>
    <row r="708" customFormat="false" ht="15.75" hidden="false" customHeight="true" outlineLevel="0" collapsed="false">
      <c r="C708" s="89"/>
      <c r="D708" s="69"/>
      <c r="F708" s="69"/>
      <c r="J708" s="89"/>
    </row>
    <row r="709" customFormat="false" ht="15.75" hidden="false" customHeight="true" outlineLevel="0" collapsed="false">
      <c r="C709" s="89"/>
      <c r="D709" s="69"/>
      <c r="F709" s="69"/>
      <c r="J709" s="89"/>
    </row>
    <row r="710" customFormat="false" ht="15.75" hidden="false" customHeight="true" outlineLevel="0" collapsed="false">
      <c r="C710" s="89"/>
      <c r="D710" s="69"/>
      <c r="F710" s="69"/>
      <c r="J710" s="89"/>
    </row>
    <row r="711" customFormat="false" ht="15.75" hidden="false" customHeight="true" outlineLevel="0" collapsed="false">
      <c r="C711" s="89"/>
      <c r="D711" s="69"/>
      <c r="F711" s="69"/>
      <c r="J711" s="89"/>
    </row>
    <row r="712" customFormat="false" ht="15.75" hidden="false" customHeight="true" outlineLevel="0" collapsed="false">
      <c r="C712" s="89"/>
      <c r="D712" s="69"/>
      <c r="F712" s="69"/>
      <c r="J712" s="89"/>
    </row>
    <row r="713" customFormat="false" ht="15.75" hidden="false" customHeight="true" outlineLevel="0" collapsed="false">
      <c r="C713" s="89"/>
      <c r="D713" s="69"/>
      <c r="F713" s="69"/>
      <c r="J713" s="89"/>
    </row>
    <row r="714" customFormat="false" ht="15.75" hidden="false" customHeight="true" outlineLevel="0" collapsed="false">
      <c r="C714" s="89"/>
      <c r="D714" s="69"/>
      <c r="F714" s="69"/>
      <c r="J714" s="89"/>
    </row>
    <row r="715" customFormat="false" ht="15.75" hidden="false" customHeight="true" outlineLevel="0" collapsed="false">
      <c r="C715" s="89"/>
      <c r="D715" s="69"/>
      <c r="F715" s="69"/>
      <c r="J715" s="89"/>
    </row>
    <row r="716" customFormat="false" ht="15.75" hidden="false" customHeight="true" outlineLevel="0" collapsed="false">
      <c r="C716" s="89"/>
      <c r="D716" s="69"/>
      <c r="F716" s="69"/>
      <c r="J716" s="89"/>
    </row>
    <row r="717" customFormat="false" ht="15.75" hidden="false" customHeight="true" outlineLevel="0" collapsed="false">
      <c r="C717" s="89"/>
      <c r="D717" s="69"/>
      <c r="F717" s="69"/>
      <c r="J717" s="89"/>
    </row>
    <row r="718" customFormat="false" ht="15.75" hidden="false" customHeight="true" outlineLevel="0" collapsed="false">
      <c r="C718" s="89"/>
      <c r="D718" s="69"/>
      <c r="F718" s="69"/>
      <c r="J718" s="89"/>
    </row>
    <row r="719" customFormat="false" ht="15.75" hidden="false" customHeight="true" outlineLevel="0" collapsed="false">
      <c r="C719" s="89"/>
      <c r="D719" s="69"/>
      <c r="F719" s="69"/>
      <c r="J719" s="89"/>
    </row>
    <row r="720" customFormat="false" ht="15.75" hidden="false" customHeight="true" outlineLevel="0" collapsed="false">
      <c r="C720" s="89"/>
      <c r="D720" s="69"/>
      <c r="F720" s="69"/>
      <c r="J720" s="89"/>
    </row>
    <row r="721" customFormat="false" ht="15.75" hidden="false" customHeight="true" outlineLevel="0" collapsed="false">
      <c r="C721" s="89"/>
      <c r="D721" s="69"/>
      <c r="F721" s="69"/>
      <c r="J721" s="89"/>
    </row>
    <row r="722" customFormat="false" ht="15.75" hidden="false" customHeight="true" outlineLevel="0" collapsed="false">
      <c r="C722" s="89"/>
      <c r="D722" s="69"/>
      <c r="F722" s="69"/>
      <c r="J722" s="89"/>
    </row>
    <row r="723" customFormat="false" ht="15.75" hidden="false" customHeight="true" outlineLevel="0" collapsed="false">
      <c r="C723" s="89"/>
      <c r="D723" s="69"/>
      <c r="F723" s="69"/>
      <c r="J723" s="89"/>
    </row>
    <row r="724" customFormat="false" ht="15.75" hidden="false" customHeight="true" outlineLevel="0" collapsed="false">
      <c r="C724" s="89"/>
      <c r="D724" s="69"/>
      <c r="F724" s="69"/>
      <c r="J724" s="89"/>
    </row>
    <row r="725" customFormat="false" ht="15.75" hidden="false" customHeight="true" outlineLevel="0" collapsed="false">
      <c r="C725" s="89"/>
      <c r="D725" s="69"/>
      <c r="F725" s="69"/>
      <c r="J725" s="89"/>
    </row>
    <row r="726" customFormat="false" ht="15.75" hidden="false" customHeight="true" outlineLevel="0" collapsed="false">
      <c r="C726" s="89"/>
      <c r="D726" s="69"/>
      <c r="F726" s="69"/>
      <c r="J726" s="89"/>
    </row>
    <row r="727" customFormat="false" ht="15.75" hidden="false" customHeight="true" outlineLevel="0" collapsed="false">
      <c r="C727" s="89"/>
      <c r="D727" s="69"/>
      <c r="F727" s="69"/>
      <c r="J727" s="89"/>
    </row>
    <row r="728" customFormat="false" ht="15.75" hidden="false" customHeight="true" outlineLevel="0" collapsed="false">
      <c r="C728" s="89"/>
      <c r="D728" s="69"/>
      <c r="F728" s="69"/>
      <c r="J728" s="89"/>
    </row>
    <row r="729" customFormat="false" ht="15.75" hidden="false" customHeight="true" outlineLevel="0" collapsed="false">
      <c r="C729" s="89"/>
      <c r="D729" s="69"/>
      <c r="F729" s="69"/>
      <c r="J729" s="89"/>
    </row>
    <row r="730" customFormat="false" ht="15.75" hidden="false" customHeight="true" outlineLevel="0" collapsed="false">
      <c r="C730" s="89"/>
      <c r="D730" s="69"/>
      <c r="F730" s="69"/>
      <c r="J730" s="89"/>
    </row>
    <row r="731" customFormat="false" ht="15.75" hidden="false" customHeight="true" outlineLevel="0" collapsed="false">
      <c r="C731" s="89"/>
      <c r="D731" s="69"/>
      <c r="F731" s="69"/>
      <c r="J731" s="89"/>
    </row>
    <row r="732" customFormat="false" ht="15.75" hidden="false" customHeight="true" outlineLevel="0" collapsed="false">
      <c r="C732" s="89"/>
      <c r="D732" s="69"/>
      <c r="F732" s="69"/>
      <c r="J732" s="89"/>
    </row>
    <row r="733" customFormat="false" ht="15.75" hidden="false" customHeight="true" outlineLevel="0" collapsed="false">
      <c r="C733" s="89"/>
      <c r="D733" s="69"/>
      <c r="F733" s="69"/>
      <c r="J733" s="89"/>
    </row>
    <row r="734" customFormat="false" ht="15.75" hidden="false" customHeight="true" outlineLevel="0" collapsed="false">
      <c r="C734" s="89"/>
      <c r="D734" s="69"/>
      <c r="F734" s="69"/>
      <c r="J734" s="89"/>
    </row>
    <row r="735" customFormat="false" ht="15.75" hidden="false" customHeight="true" outlineLevel="0" collapsed="false">
      <c r="C735" s="89"/>
      <c r="D735" s="69"/>
      <c r="F735" s="69"/>
      <c r="J735" s="89"/>
    </row>
    <row r="736" customFormat="false" ht="15.75" hidden="false" customHeight="true" outlineLevel="0" collapsed="false">
      <c r="C736" s="89"/>
      <c r="D736" s="69"/>
      <c r="F736" s="69"/>
      <c r="J736" s="89"/>
    </row>
    <row r="737" customFormat="false" ht="15.75" hidden="false" customHeight="true" outlineLevel="0" collapsed="false">
      <c r="C737" s="89"/>
      <c r="D737" s="69"/>
      <c r="F737" s="69"/>
      <c r="J737" s="89"/>
    </row>
    <row r="738" customFormat="false" ht="15.75" hidden="false" customHeight="true" outlineLevel="0" collapsed="false">
      <c r="C738" s="89"/>
      <c r="D738" s="69"/>
      <c r="F738" s="69"/>
      <c r="J738" s="89"/>
    </row>
    <row r="739" customFormat="false" ht="15.75" hidden="false" customHeight="true" outlineLevel="0" collapsed="false">
      <c r="C739" s="89"/>
      <c r="D739" s="69"/>
      <c r="F739" s="69"/>
      <c r="J739" s="89"/>
    </row>
    <row r="740" customFormat="false" ht="15.75" hidden="false" customHeight="true" outlineLevel="0" collapsed="false">
      <c r="C740" s="89"/>
      <c r="D740" s="69"/>
      <c r="F740" s="69"/>
      <c r="J740" s="89"/>
    </row>
    <row r="741" customFormat="false" ht="15.75" hidden="false" customHeight="true" outlineLevel="0" collapsed="false">
      <c r="C741" s="89"/>
      <c r="D741" s="69"/>
      <c r="F741" s="69"/>
      <c r="J741" s="89"/>
    </row>
    <row r="742" customFormat="false" ht="15.75" hidden="false" customHeight="true" outlineLevel="0" collapsed="false">
      <c r="C742" s="89"/>
      <c r="D742" s="69"/>
      <c r="F742" s="69"/>
      <c r="J742" s="89"/>
    </row>
    <row r="743" customFormat="false" ht="15.75" hidden="false" customHeight="true" outlineLevel="0" collapsed="false">
      <c r="C743" s="89"/>
      <c r="D743" s="69"/>
      <c r="F743" s="69"/>
      <c r="J743" s="89"/>
    </row>
    <row r="744" customFormat="false" ht="15.75" hidden="false" customHeight="true" outlineLevel="0" collapsed="false">
      <c r="C744" s="89"/>
      <c r="D744" s="69"/>
      <c r="F744" s="69"/>
      <c r="J744" s="89"/>
    </row>
    <row r="745" customFormat="false" ht="15.75" hidden="false" customHeight="true" outlineLevel="0" collapsed="false">
      <c r="C745" s="89"/>
      <c r="D745" s="69"/>
      <c r="F745" s="69"/>
      <c r="J745" s="89"/>
    </row>
    <row r="746" customFormat="false" ht="15.75" hidden="false" customHeight="true" outlineLevel="0" collapsed="false">
      <c r="C746" s="89"/>
      <c r="D746" s="69"/>
      <c r="F746" s="69"/>
      <c r="J746" s="89"/>
    </row>
    <row r="747" customFormat="false" ht="15.75" hidden="false" customHeight="true" outlineLevel="0" collapsed="false">
      <c r="C747" s="89"/>
      <c r="D747" s="69"/>
      <c r="F747" s="69"/>
      <c r="J747" s="89"/>
    </row>
    <row r="748" customFormat="false" ht="15.75" hidden="false" customHeight="true" outlineLevel="0" collapsed="false">
      <c r="C748" s="89"/>
      <c r="D748" s="69"/>
      <c r="F748" s="69"/>
      <c r="J748" s="89"/>
    </row>
    <row r="749" customFormat="false" ht="15.75" hidden="false" customHeight="true" outlineLevel="0" collapsed="false">
      <c r="C749" s="89"/>
      <c r="D749" s="69"/>
      <c r="F749" s="69"/>
      <c r="J749" s="89"/>
    </row>
    <row r="750" customFormat="false" ht="15.75" hidden="false" customHeight="true" outlineLevel="0" collapsed="false">
      <c r="C750" s="89"/>
      <c r="D750" s="69"/>
      <c r="F750" s="69"/>
      <c r="J750" s="89"/>
    </row>
    <row r="751" customFormat="false" ht="15.75" hidden="false" customHeight="true" outlineLevel="0" collapsed="false">
      <c r="C751" s="89"/>
      <c r="D751" s="69"/>
      <c r="F751" s="69"/>
      <c r="J751" s="89"/>
    </row>
    <row r="752" customFormat="false" ht="15.75" hidden="false" customHeight="true" outlineLevel="0" collapsed="false">
      <c r="C752" s="89"/>
      <c r="D752" s="69"/>
      <c r="F752" s="69"/>
      <c r="J752" s="89"/>
    </row>
    <row r="753" customFormat="false" ht="15.75" hidden="false" customHeight="true" outlineLevel="0" collapsed="false">
      <c r="C753" s="89"/>
      <c r="D753" s="69"/>
      <c r="F753" s="69"/>
      <c r="J753" s="89"/>
    </row>
    <row r="754" customFormat="false" ht="15.75" hidden="false" customHeight="true" outlineLevel="0" collapsed="false">
      <c r="C754" s="89"/>
      <c r="D754" s="69"/>
      <c r="F754" s="69"/>
      <c r="J754" s="89"/>
    </row>
    <row r="755" customFormat="false" ht="15.75" hidden="false" customHeight="true" outlineLevel="0" collapsed="false">
      <c r="C755" s="89"/>
      <c r="D755" s="69"/>
      <c r="F755" s="69"/>
      <c r="J755" s="89"/>
    </row>
    <row r="756" customFormat="false" ht="15.75" hidden="false" customHeight="true" outlineLevel="0" collapsed="false">
      <c r="C756" s="89"/>
      <c r="D756" s="69"/>
      <c r="F756" s="69"/>
      <c r="J756" s="89"/>
    </row>
    <row r="757" customFormat="false" ht="15.75" hidden="false" customHeight="true" outlineLevel="0" collapsed="false">
      <c r="C757" s="89"/>
      <c r="D757" s="69"/>
      <c r="F757" s="69"/>
      <c r="J757" s="89"/>
    </row>
    <row r="758" customFormat="false" ht="15.75" hidden="false" customHeight="true" outlineLevel="0" collapsed="false">
      <c r="C758" s="89"/>
      <c r="D758" s="69"/>
      <c r="F758" s="69"/>
      <c r="J758" s="89"/>
    </row>
    <row r="759" customFormat="false" ht="15.75" hidden="false" customHeight="true" outlineLevel="0" collapsed="false">
      <c r="C759" s="89"/>
      <c r="D759" s="69"/>
      <c r="F759" s="69"/>
      <c r="J759" s="89"/>
    </row>
    <row r="760" customFormat="false" ht="15.75" hidden="false" customHeight="true" outlineLevel="0" collapsed="false">
      <c r="C760" s="89"/>
      <c r="D760" s="69"/>
      <c r="F760" s="69"/>
      <c r="J760" s="89"/>
    </row>
    <row r="761" customFormat="false" ht="15.75" hidden="false" customHeight="true" outlineLevel="0" collapsed="false">
      <c r="C761" s="89"/>
      <c r="D761" s="69"/>
      <c r="F761" s="69"/>
      <c r="J761" s="89"/>
    </row>
    <row r="762" customFormat="false" ht="15.75" hidden="false" customHeight="true" outlineLevel="0" collapsed="false">
      <c r="C762" s="89"/>
      <c r="D762" s="69"/>
      <c r="F762" s="69"/>
      <c r="J762" s="89"/>
    </row>
    <row r="763" customFormat="false" ht="15.75" hidden="false" customHeight="true" outlineLevel="0" collapsed="false">
      <c r="C763" s="89"/>
      <c r="D763" s="69"/>
      <c r="F763" s="69"/>
      <c r="J763" s="89"/>
    </row>
    <row r="764" customFormat="false" ht="15.75" hidden="false" customHeight="true" outlineLevel="0" collapsed="false">
      <c r="C764" s="89"/>
      <c r="D764" s="69"/>
      <c r="F764" s="69"/>
      <c r="J764" s="89"/>
    </row>
    <row r="765" customFormat="false" ht="15.75" hidden="false" customHeight="true" outlineLevel="0" collapsed="false">
      <c r="C765" s="89"/>
      <c r="D765" s="69"/>
      <c r="F765" s="69"/>
      <c r="J765" s="89"/>
    </row>
    <row r="766" customFormat="false" ht="15.75" hidden="false" customHeight="true" outlineLevel="0" collapsed="false">
      <c r="C766" s="89"/>
      <c r="D766" s="69"/>
      <c r="F766" s="69"/>
      <c r="J766" s="89"/>
    </row>
    <row r="767" customFormat="false" ht="15.75" hidden="false" customHeight="true" outlineLevel="0" collapsed="false">
      <c r="C767" s="89"/>
      <c r="D767" s="69"/>
      <c r="F767" s="69"/>
      <c r="J767" s="89"/>
    </row>
    <row r="768" customFormat="false" ht="15.75" hidden="false" customHeight="true" outlineLevel="0" collapsed="false">
      <c r="C768" s="89"/>
      <c r="D768" s="69"/>
      <c r="F768" s="69"/>
      <c r="J768" s="89"/>
    </row>
    <row r="769" customFormat="false" ht="15.75" hidden="false" customHeight="true" outlineLevel="0" collapsed="false">
      <c r="C769" s="89"/>
      <c r="D769" s="69"/>
      <c r="F769" s="69"/>
      <c r="J769" s="89"/>
    </row>
    <row r="770" customFormat="false" ht="15.75" hidden="false" customHeight="true" outlineLevel="0" collapsed="false">
      <c r="C770" s="89"/>
      <c r="D770" s="69"/>
      <c r="F770" s="69"/>
      <c r="J770" s="89"/>
    </row>
    <row r="771" customFormat="false" ht="15.75" hidden="false" customHeight="true" outlineLevel="0" collapsed="false">
      <c r="C771" s="89"/>
      <c r="D771" s="69"/>
      <c r="F771" s="69"/>
      <c r="J771" s="89"/>
    </row>
    <row r="772" customFormat="false" ht="15.75" hidden="false" customHeight="true" outlineLevel="0" collapsed="false">
      <c r="C772" s="89"/>
      <c r="D772" s="69"/>
      <c r="F772" s="69"/>
      <c r="J772" s="89"/>
    </row>
    <row r="773" customFormat="false" ht="15.75" hidden="false" customHeight="true" outlineLevel="0" collapsed="false">
      <c r="C773" s="89"/>
      <c r="D773" s="69"/>
      <c r="F773" s="69"/>
      <c r="J773" s="89"/>
    </row>
    <row r="774" customFormat="false" ht="15.75" hidden="false" customHeight="true" outlineLevel="0" collapsed="false">
      <c r="C774" s="89"/>
      <c r="D774" s="69"/>
      <c r="F774" s="69"/>
      <c r="J774" s="89"/>
    </row>
    <row r="775" customFormat="false" ht="15.75" hidden="false" customHeight="true" outlineLevel="0" collapsed="false">
      <c r="C775" s="89"/>
      <c r="D775" s="69"/>
      <c r="F775" s="69"/>
      <c r="J775" s="89"/>
    </row>
    <row r="776" customFormat="false" ht="15.75" hidden="false" customHeight="true" outlineLevel="0" collapsed="false">
      <c r="C776" s="89"/>
      <c r="D776" s="69"/>
      <c r="F776" s="69"/>
      <c r="J776" s="89"/>
    </row>
    <row r="777" customFormat="false" ht="15.75" hidden="false" customHeight="true" outlineLevel="0" collapsed="false">
      <c r="C777" s="89"/>
      <c r="D777" s="69"/>
      <c r="F777" s="69"/>
      <c r="J777" s="89"/>
    </row>
    <row r="778" customFormat="false" ht="15.75" hidden="false" customHeight="true" outlineLevel="0" collapsed="false">
      <c r="C778" s="89"/>
      <c r="D778" s="69"/>
      <c r="F778" s="69"/>
      <c r="J778" s="89"/>
    </row>
    <row r="779" customFormat="false" ht="15.75" hidden="false" customHeight="true" outlineLevel="0" collapsed="false">
      <c r="C779" s="89"/>
      <c r="D779" s="69"/>
      <c r="F779" s="69"/>
      <c r="J779" s="89"/>
    </row>
    <row r="780" customFormat="false" ht="15.75" hidden="false" customHeight="true" outlineLevel="0" collapsed="false">
      <c r="C780" s="89"/>
      <c r="D780" s="69"/>
      <c r="F780" s="69"/>
      <c r="J780" s="89"/>
    </row>
    <row r="781" customFormat="false" ht="15.75" hidden="false" customHeight="true" outlineLevel="0" collapsed="false">
      <c r="C781" s="89"/>
      <c r="D781" s="69"/>
      <c r="F781" s="69"/>
      <c r="J781" s="89"/>
    </row>
    <row r="782" customFormat="false" ht="15.75" hidden="false" customHeight="true" outlineLevel="0" collapsed="false">
      <c r="C782" s="89"/>
      <c r="D782" s="69"/>
      <c r="F782" s="69"/>
      <c r="J782" s="89"/>
    </row>
    <row r="783" customFormat="false" ht="15.75" hidden="false" customHeight="true" outlineLevel="0" collapsed="false">
      <c r="C783" s="89"/>
      <c r="D783" s="69"/>
      <c r="F783" s="69"/>
      <c r="J783" s="89"/>
    </row>
    <row r="784" customFormat="false" ht="15.75" hidden="false" customHeight="true" outlineLevel="0" collapsed="false">
      <c r="C784" s="89"/>
      <c r="D784" s="69"/>
      <c r="F784" s="69"/>
      <c r="J784" s="89"/>
    </row>
    <row r="785" customFormat="false" ht="15.75" hidden="false" customHeight="true" outlineLevel="0" collapsed="false">
      <c r="C785" s="89"/>
      <c r="D785" s="69"/>
      <c r="F785" s="69"/>
      <c r="J785" s="89"/>
    </row>
    <row r="786" customFormat="false" ht="15.75" hidden="false" customHeight="true" outlineLevel="0" collapsed="false">
      <c r="C786" s="89"/>
      <c r="D786" s="69"/>
      <c r="F786" s="69"/>
      <c r="J786" s="89"/>
    </row>
    <row r="787" customFormat="false" ht="15.75" hidden="false" customHeight="true" outlineLevel="0" collapsed="false">
      <c r="C787" s="89"/>
      <c r="D787" s="69"/>
      <c r="F787" s="69"/>
      <c r="J787" s="89"/>
    </row>
    <row r="788" customFormat="false" ht="15.75" hidden="false" customHeight="true" outlineLevel="0" collapsed="false">
      <c r="C788" s="89"/>
      <c r="D788" s="69"/>
      <c r="F788" s="69"/>
      <c r="J788" s="89"/>
    </row>
    <row r="789" customFormat="false" ht="15.75" hidden="false" customHeight="true" outlineLevel="0" collapsed="false">
      <c r="C789" s="89"/>
      <c r="D789" s="69"/>
      <c r="F789" s="69"/>
      <c r="J789" s="89"/>
    </row>
    <row r="790" customFormat="false" ht="15.75" hidden="false" customHeight="true" outlineLevel="0" collapsed="false">
      <c r="C790" s="89"/>
      <c r="D790" s="69"/>
      <c r="F790" s="69"/>
      <c r="J790" s="89"/>
    </row>
    <row r="791" customFormat="false" ht="15.75" hidden="false" customHeight="true" outlineLevel="0" collapsed="false">
      <c r="C791" s="89"/>
      <c r="D791" s="69"/>
      <c r="F791" s="69"/>
      <c r="J791" s="89"/>
    </row>
    <row r="792" customFormat="false" ht="15.75" hidden="false" customHeight="true" outlineLevel="0" collapsed="false">
      <c r="C792" s="89"/>
      <c r="D792" s="69"/>
      <c r="F792" s="69"/>
      <c r="J792" s="89"/>
    </row>
    <row r="793" customFormat="false" ht="15.75" hidden="false" customHeight="true" outlineLevel="0" collapsed="false">
      <c r="C793" s="89"/>
      <c r="D793" s="69"/>
      <c r="F793" s="69"/>
      <c r="J793" s="89"/>
    </row>
    <row r="794" customFormat="false" ht="15.75" hidden="false" customHeight="true" outlineLevel="0" collapsed="false">
      <c r="C794" s="89"/>
      <c r="D794" s="69"/>
      <c r="F794" s="69"/>
      <c r="J794" s="89"/>
    </row>
    <row r="795" customFormat="false" ht="15.75" hidden="false" customHeight="true" outlineLevel="0" collapsed="false">
      <c r="C795" s="89"/>
      <c r="D795" s="69"/>
      <c r="F795" s="69"/>
      <c r="J795" s="89"/>
    </row>
    <row r="796" customFormat="false" ht="15.75" hidden="false" customHeight="true" outlineLevel="0" collapsed="false">
      <c r="C796" s="89"/>
      <c r="D796" s="69"/>
      <c r="F796" s="69"/>
      <c r="J796" s="89"/>
    </row>
    <row r="797" customFormat="false" ht="15.75" hidden="false" customHeight="true" outlineLevel="0" collapsed="false">
      <c r="C797" s="89"/>
      <c r="D797" s="69"/>
      <c r="F797" s="69"/>
      <c r="J797" s="89"/>
    </row>
    <row r="798" customFormat="false" ht="15.75" hidden="false" customHeight="true" outlineLevel="0" collapsed="false">
      <c r="C798" s="89"/>
      <c r="D798" s="69"/>
      <c r="F798" s="69"/>
      <c r="J798" s="89"/>
    </row>
    <row r="799" customFormat="false" ht="15.75" hidden="false" customHeight="true" outlineLevel="0" collapsed="false">
      <c r="C799" s="89"/>
      <c r="D799" s="69"/>
      <c r="F799" s="69"/>
      <c r="J799" s="89"/>
    </row>
    <row r="800" customFormat="false" ht="15.75" hidden="false" customHeight="true" outlineLevel="0" collapsed="false">
      <c r="C800" s="89"/>
      <c r="D800" s="69"/>
      <c r="F800" s="69"/>
      <c r="J800" s="89"/>
    </row>
    <row r="801" customFormat="false" ht="15.75" hidden="false" customHeight="true" outlineLevel="0" collapsed="false">
      <c r="C801" s="89"/>
      <c r="D801" s="69"/>
      <c r="F801" s="69"/>
      <c r="J801" s="89"/>
    </row>
    <row r="802" customFormat="false" ht="15.75" hidden="false" customHeight="true" outlineLevel="0" collapsed="false">
      <c r="C802" s="89"/>
      <c r="D802" s="69"/>
      <c r="F802" s="69"/>
      <c r="J802" s="89"/>
    </row>
    <row r="803" customFormat="false" ht="15.75" hidden="false" customHeight="true" outlineLevel="0" collapsed="false">
      <c r="C803" s="89"/>
      <c r="D803" s="69"/>
      <c r="F803" s="69"/>
      <c r="J803" s="89"/>
    </row>
    <row r="804" customFormat="false" ht="15.75" hidden="false" customHeight="true" outlineLevel="0" collapsed="false">
      <c r="C804" s="89"/>
      <c r="D804" s="69"/>
      <c r="F804" s="69"/>
      <c r="J804" s="89"/>
    </row>
    <row r="805" customFormat="false" ht="15.75" hidden="false" customHeight="true" outlineLevel="0" collapsed="false">
      <c r="C805" s="89"/>
      <c r="D805" s="69"/>
      <c r="F805" s="69"/>
      <c r="J805" s="89"/>
    </row>
    <row r="806" customFormat="false" ht="15.75" hidden="false" customHeight="true" outlineLevel="0" collapsed="false">
      <c r="C806" s="89"/>
      <c r="D806" s="69"/>
      <c r="F806" s="69"/>
      <c r="J806" s="89"/>
    </row>
    <row r="807" customFormat="false" ht="15.75" hidden="false" customHeight="true" outlineLevel="0" collapsed="false">
      <c r="C807" s="89"/>
      <c r="D807" s="69"/>
      <c r="F807" s="69"/>
      <c r="J807" s="89"/>
    </row>
    <row r="808" customFormat="false" ht="15.75" hidden="false" customHeight="true" outlineLevel="0" collapsed="false">
      <c r="C808" s="89"/>
      <c r="D808" s="69"/>
      <c r="F808" s="69"/>
      <c r="J808" s="89"/>
    </row>
    <row r="809" customFormat="false" ht="15.75" hidden="false" customHeight="true" outlineLevel="0" collapsed="false">
      <c r="C809" s="89"/>
      <c r="D809" s="69"/>
      <c r="F809" s="69"/>
      <c r="J809" s="89"/>
    </row>
    <row r="810" customFormat="false" ht="15.75" hidden="false" customHeight="true" outlineLevel="0" collapsed="false">
      <c r="C810" s="89"/>
      <c r="D810" s="69"/>
      <c r="F810" s="69"/>
      <c r="J810" s="89"/>
    </row>
    <row r="811" customFormat="false" ht="15.75" hidden="false" customHeight="true" outlineLevel="0" collapsed="false">
      <c r="C811" s="89"/>
      <c r="D811" s="69"/>
      <c r="F811" s="69"/>
      <c r="J811" s="89"/>
    </row>
    <row r="812" customFormat="false" ht="15.75" hidden="false" customHeight="true" outlineLevel="0" collapsed="false">
      <c r="C812" s="89"/>
      <c r="D812" s="69"/>
      <c r="F812" s="69"/>
      <c r="J812" s="89"/>
    </row>
    <row r="813" customFormat="false" ht="15.75" hidden="false" customHeight="true" outlineLevel="0" collapsed="false">
      <c r="C813" s="89"/>
      <c r="D813" s="69"/>
      <c r="F813" s="69"/>
      <c r="J813" s="89"/>
    </row>
    <row r="814" customFormat="false" ht="15.75" hidden="false" customHeight="true" outlineLevel="0" collapsed="false">
      <c r="C814" s="89"/>
      <c r="D814" s="69"/>
      <c r="F814" s="69"/>
      <c r="J814" s="89"/>
    </row>
    <row r="815" customFormat="false" ht="15.75" hidden="false" customHeight="true" outlineLevel="0" collapsed="false">
      <c r="C815" s="89"/>
      <c r="D815" s="69"/>
      <c r="F815" s="69"/>
      <c r="J815" s="89"/>
    </row>
    <row r="816" customFormat="false" ht="15.75" hidden="false" customHeight="true" outlineLevel="0" collapsed="false">
      <c r="C816" s="89"/>
      <c r="D816" s="69"/>
      <c r="F816" s="69"/>
      <c r="J816" s="89"/>
    </row>
    <row r="817" customFormat="false" ht="15.75" hidden="false" customHeight="true" outlineLevel="0" collapsed="false">
      <c r="C817" s="89"/>
      <c r="D817" s="69"/>
      <c r="F817" s="69"/>
      <c r="J817" s="89"/>
    </row>
    <row r="818" customFormat="false" ht="15.75" hidden="false" customHeight="true" outlineLevel="0" collapsed="false">
      <c r="C818" s="89"/>
      <c r="D818" s="69"/>
      <c r="F818" s="69"/>
      <c r="J818" s="89"/>
    </row>
    <row r="819" customFormat="false" ht="15.75" hidden="false" customHeight="true" outlineLevel="0" collapsed="false">
      <c r="C819" s="89"/>
      <c r="D819" s="69"/>
      <c r="F819" s="69"/>
      <c r="J819" s="89"/>
    </row>
    <row r="820" customFormat="false" ht="15.75" hidden="false" customHeight="true" outlineLevel="0" collapsed="false">
      <c r="C820" s="89"/>
      <c r="D820" s="69"/>
      <c r="F820" s="69"/>
      <c r="J820" s="89"/>
    </row>
    <row r="821" customFormat="false" ht="15.75" hidden="false" customHeight="true" outlineLevel="0" collapsed="false">
      <c r="C821" s="89"/>
      <c r="D821" s="69"/>
      <c r="F821" s="69"/>
      <c r="J821" s="89"/>
    </row>
    <row r="822" customFormat="false" ht="15.75" hidden="false" customHeight="true" outlineLevel="0" collapsed="false">
      <c r="C822" s="89"/>
      <c r="D822" s="69"/>
      <c r="F822" s="69"/>
      <c r="J822" s="89"/>
    </row>
    <row r="823" customFormat="false" ht="15.75" hidden="false" customHeight="true" outlineLevel="0" collapsed="false">
      <c r="C823" s="89"/>
      <c r="D823" s="69"/>
      <c r="F823" s="69"/>
      <c r="J823" s="89"/>
    </row>
    <row r="824" customFormat="false" ht="15.75" hidden="false" customHeight="true" outlineLevel="0" collapsed="false">
      <c r="C824" s="89"/>
      <c r="D824" s="69"/>
      <c r="F824" s="69"/>
      <c r="J824" s="89"/>
    </row>
    <row r="825" customFormat="false" ht="15.75" hidden="false" customHeight="true" outlineLevel="0" collapsed="false">
      <c r="C825" s="89"/>
      <c r="D825" s="69"/>
      <c r="F825" s="69"/>
      <c r="J825" s="89"/>
    </row>
    <row r="826" customFormat="false" ht="15.75" hidden="false" customHeight="true" outlineLevel="0" collapsed="false">
      <c r="C826" s="89"/>
      <c r="D826" s="69"/>
      <c r="F826" s="69"/>
      <c r="J826" s="89"/>
    </row>
    <row r="827" customFormat="false" ht="15.75" hidden="false" customHeight="true" outlineLevel="0" collapsed="false">
      <c r="C827" s="89"/>
      <c r="D827" s="69"/>
      <c r="F827" s="69"/>
      <c r="J827" s="89"/>
    </row>
    <row r="828" customFormat="false" ht="15.75" hidden="false" customHeight="true" outlineLevel="0" collapsed="false">
      <c r="C828" s="89"/>
      <c r="D828" s="69"/>
      <c r="F828" s="69"/>
      <c r="J828" s="89"/>
    </row>
    <row r="829" customFormat="false" ht="15.75" hidden="false" customHeight="true" outlineLevel="0" collapsed="false">
      <c r="C829" s="89"/>
      <c r="D829" s="69"/>
      <c r="F829" s="69"/>
      <c r="J829" s="89"/>
    </row>
    <row r="830" customFormat="false" ht="15.75" hidden="false" customHeight="true" outlineLevel="0" collapsed="false">
      <c r="C830" s="89"/>
      <c r="D830" s="69"/>
      <c r="F830" s="69"/>
      <c r="J830" s="89"/>
    </row>
    <row r="831" customFormat="false" ht="15.75" hidden="false" customHeight="true" outlineLevel="0" collapsed="false">
      <c r="C831" s="89"/>
      <c r="D831" s="69"/>
      <c r="F831" s="69"/>
      <c r="J831" s="89"/>
    </row>
    <row r="832" customFormat="false" ht="15.75" hidden="false" customHeight="true" outlineLevel="0" collapsed="false">
      <c r="C832" s="89"/>
      <c r="D832" s="69"/>
      <c r="F832" s="69"/>
      <c r="J832" s="89"/>
    </row>
    <row r="833" customFormat="false" ht="15.75" hidden="false" customHeight="true" outlineLevel="0" collapsed="false">
      <c r="C833" s="89"/>
      <c r="D833" s="69"/>
      <c r="F833" s="69"/>
      <c r="J833" s="89"/>
    </row>
    <row r="834" customFormat="false" ht="15.75" hidden="false" customHeight="true" outlineLevel="0" collapsed="false">
      <c r="C834" s="89"/>
      <c r="D834" s="69"/>
      <c r="F834" s="69"/>
      <c r="J834" s="89"/>
    </row>
    <row r="835" customFormat="false" ht="15.75" hidden="false" customHeight="true" outlineLevel="0" collapsed="false">
      <c r="C835" s="89"/>
      <c r="D835" s="69"/>
      <c r="F835" s="69"/>
      <c r="J835" s="89"/>
    </row>
    <row r="836" customFormat="false" ht="15.75" hidden="false" customHeight="true" outlineLevel="0" collapsed="false">
      <c r="C836" s="89"/>
      <c r="D836" s="69"/>
      <c r="F836" s="69"/>
      <c r="J836" s="89"/>
    </row>
    <row r="837" customFormat="false" ht="15.75" hidden="false" customHeight="true" outlineLevel="0" collapsed="false">
      <c r="C837" s="89"/>
      <c r="D837" s="69"/>
      <c r="F837" s="69"/>
      <c r="J837" s="89"/>
    </row>
    <row r="838" customFormat="false" ht="15.75" hidden="false" customHeight="true" outlineLevel="0" collapsed="false">
      <c r="C838" s="89"/>
      <c r="D838" s="69"/>
      <c r="F838" s="69"/>
      <c r="J838" s="89"/>
    </row>
    <row r="839" customFormat="false" ht="15.75" hidden="false" customHeight="true" outlineLevel="0" collapsed="false">
      <c r="C839" s="89"/>
      <c r="D839" s="69"/>
      <c r="F839" s="69"/>
      <c r="J839" s="89"/>
    </row>
    <row r="840" customFormat="false" ht="15.75" hidden="false" customHeight="true" outlineLevel="0" collapsed="false">
      <c r="C840" s="89"/>
      <c r="D840" s="69"/>
      <c r="F840" s="69"/>
      <c r="J840" s="89"/>
    </row>
    <row r="841" customFormat="false" ht="15.75" hidden="false" customHeight="true" outlineLevel="0" collapsed="false">
      <c r="C841" s="89"/>
      <c r="D841" s="69"/>
      <c r="F841" s="69"/>
      <c r="J841" s="89"/>
    </row>
    <row r="842" customFormat="false" ht="15.75" hidden="false" customHeight="true" outlineLevel="0" collapsed="false">
      <c r="C842" s="89"/>
      <c r="D842" s="69"/>
      <c r="F842" s="69"/>
      <c r="J842" s="89"/>
    </row>
    <row r="843" customFormat="false" ht="15.75" hidden="false" customHeight="true" outlineLevel="0" collapsed="false">
      <c r="C843" s="89"/>
      <c r="D843" s="69"/>
      <c r="F843" s="69"/>
      <c r="J843" s="89"/>
    </row>
    <row r="844" customFormat="false" ht="15.75" hidden="false" customHeight="true" outlineLevel="0" collapsed="false">
      <c r="C844" s="89"/>
      <c r="D844" s="69"/>
      <c r="F844" s="69"/>
      <c r="J844" s="89"/>
    </row>
    <row r="845" customFormat="false" ht="15.75" hidden="false" customHeight="true" outlineLevel="0" collapsed="false">
      <c r="C845" s="89"/>
      <c r="D845" s="69"/>
      <c r="F845" s="69"/>
      <c r="J845" s="89"/>
    </row>
    <row r="846" customFormat="false" ht="15.75" hidden="false" customHeight="true" outlineLevel="0" collapsed="false">
      <c r="C846" s="89"/>
      <c r="D846" s="69"/>
      <c r="F846" s="69"/>
      <c r="J846" s="89"/>
    </row>
    <row r="847" customFormat="false" ht="15.75" hidden="false" customHeight="true" outlineLevel="0" collapsed="false">
      <c r="C847" s="89"/>
      <c r="D847" s="69"/>
      <c r="F847" s="69"/>
      <c r="J847" s="89"/>
    </row>
    <row r="848" customFormat="false" ht="15.75" hidden="false" customHeight="true" outlineLevel="0" collapsed="false">
      <c r="C848" s="89"/>
      <c r="D848" s="69"/>
      <c r="F848" s="69"/>
      <c r="J848" s="89"/>
    </row>
    <row r="849" customFormat="false" ht="15.75" hidden="false" customHeight="true" outlineLevel="0" collapsed="false">
      <c r="C849" s="89"/>
      <c r="D849" s="69"/>
      <c r="F849" s="69"/>
      <c r="J849" s="89"/>
    </row>
    <row r="850" customFormat="false" ht="15.75" hidden="false" customHeight="true" outlineLevel="0" collapsed="false">
      <c r="C850" s="89"/>
      <c r="D850" s="69"/>
      <c r="F850" s="69"/>
      <c r="J850" s="89"/>
    </row>
    <row r="851" customFormat="false" ht="15.75" hidden="false" customHeight="true" outlineLevel="0" collapsed="false">
      <c r="C851" s="89"/>
      <c r="D851" s="69"/>
      <c r="F851" s="69"/>
      <c r="J851" s="89"/>
    </row>
    <row r="852" customFormat="false" ht="15.75" hidden="false" customHeight="true" outlineLevel="0" collapsed="false">
      <c r="C852" s="89"/>
      <c r="D852" s="69"/>
      <c r="F852" s="69"/>
      <c r="J852" s="89"/>
    </row>
    <row r="853" customFormat="false" ht="15.75" hidden="false" customHeight="true" outlineLevel="0" collapsed="false">
      <c r="C853" s="89"/>
      <c r="D853" s="69"/>
      <c r="F853" s="69"/>
      <c r="J853" s="89"/>
    </row>
    <row r="854" customFormat="false" ht="15.75" hidden="false" customHeight="true" outlineLevel="0" collapsed="false">
      <c r="C854" s="89"/>
      <c r="D854" s="69"/>
      <c r="F854" s="69"/>
      <c r="J854" s="89"/>
    </row>
    <row r="855" customFormat="false" ht="15.75" hidden="false" customHeight="true" outlineLevel="0" collapsed="false">
      <c r="C855" s="89"/>
      <c r="D855" s="69"/>
      <c r="F855" s="69"/>
      <c r="J855" s="89"/>
    </row>
    <row r="856" customFormat="false" ht="15.75" hidden="false" customHeight="true" outlineLevel="0" collapsed="false">
      <c r="C856" s="89"/>
      <c r="D856" s="69"/>
      <c r="F856" s="69"/>
      <c r="J856" s="89"/>
    </row>
    <row r="857" customFormat="false" ht="15.75" hidden="false" customHeight="true" outlineLevel="0" collapsed="false">
      <c r="C857" s="89"/>
      <c r="D857" s="69"/>
      <c r="F857" s="69"/>
      <c r="J857" s="89"/>
    </row>
    <row r="858" customFormat="false" ht="15.75" hidden="false" customHeight="true" outlineLevel="0" collapsed="false">
      <c r="C858" s="89"/>
      <c r="D858" s="69"/>
      <c r="F858" s="69"/>
      <c r="J858" s="89"/>
    </row>
    <row r="859" customFormat="false" ht="15.75" hidden="false" customHeight="true" outlineLevel="0" collapsed="false">
      <c r="C859" s="89"/>
      <c r="D859" s="69"/>
      <c r="F859" s="69"/>
      <c r="J859" s="89"/>
    </row>
    <row r="860" customFormat="false" ht="15.75" hidden="false" customHeight="true" outlineLevel="0" collapsed="false">
      <c r="C860" s="89"/>
      <c r="D860" s="69"/>
      <c r="F860" s="69"/>
      <c r="J860" s="89"/>
    </row>
    <row r="861" customFormat="false" ht="15.75" hidden="false" customHeight="true" outlineLevel="0" collapsed="false">
      <c r="C861" s="89"/>
      <c r="D861" s="69"/>
      <c r="F861" s="69"/>
      <c r="J861" s="89"/>
    </row>
    <row r="862" customFormat="false" ht="15.75" hidden="false" customHeight="true" outlineLevel="0" collapsed="false">
      <c r="C862" s="89"/>
      <c r="D862" s="69"/>
      <c r="F862" s="69"/>
      <c r="J862" s="89"/>
    </row>
    <row r="863" customFormat="false" ht="15.75" hidden="false" customHeight="true" outlineLevel="0" collapsed="false">
      <c r="C863" s="89"/>
      <c r="D863" s="69"/>
      <c r="F863" s="69"/>
      <c r="J863" s="89"/>
    </row>
    <row r="864" customFormat="false" ht="15.75" hidden="false" customHeight="true" outlineLevel="0" collapsed="false">
      <c r="C864" s="89"/>
      <c r="D864" s="69"/>
      <c r="F864" s="69"/>
      <c r="J864" s="89"/>
    </row>
    <row r="865" customFormat="false" ht="15.75" hidden="false" customHeight="true" outlineLevel="0" collapsed="false">
      <c r="C865" s="89"/>
      <c r="D865" s="69"/>
      <c r="F865" s="69"/>
      <c r="J865" s="89"/>
    </row>
    <row r="866" customFormat="false" ht="15.75" hidden="false" customHeight="true" outlineLevel="0" collapsed="false">
      <c r="C866" s="89"/>
      <c r="D866" s="69"/>
      <c r="F866" s="69"/>
      <c r="J866" s="89"/>
    </row>
    <row r="867" customFormat="false" ht="15.75" hidden="false" customHeight="true" outlineLevel="0" collapsed="false">
      <c r="C867" s="89"/>
      <c r="D867" s="69"/>
      <c r="F867" s="69"/>
      <c r="J867" s="89"/>
    </row>
    <row r="868" customFormat="false" ht="15.75" hidden="false" customHeight="true" outlineLevel="0" collapsed="false">
      <c r="C868" s="89"/>
      <c r="D868" s="69"/>
      <c r="F868" s="69"/>
      <c r="J868" s="89"/>
    </row>
    <row r="869" customFormat="false" ht="15.75" hidden="false" customHeight="true" outlineLevel="0" collapsed="false">
      <c r="C869" s="89"/>
      <c r="D869" s="69"/>
      <c r="F869" s="69"/>
      <c r="J869" s="89"/>
    </row>
    <row r="870" customFormat="false" ht="15.75" hidden="false" customHeight="true" outlineLevel="0" collapsed="false">
      <c r="C870" s="89"/>
      <c r="D870" s="69"/>
      <c r="F870" s="69"/>
      <c r="J870" s="89"/>
    </row>
    <row r="871" customFormat="false" ht="15.75" hidden="false" customHeight="true" outlineLevel="0" collapsed="false">
      <c r="C871" s="89"/>
      <c r="D871" s="69"/>
      <c r="F871" s="69"/>
      <c r="J871" s="89"/>
    </row>
    <row r="872" customFormat="false" ht="15.75" hidden="false" customHeight="true" outlineLevel="0" collapsed="false">
      <c r="C872" s="89"/>
      <c r="D872" s="69"/>
      <c r="F872" s="69"/>
      <c r="J872" s="89"/>
    </row>
    <row r="873" customFormat="false" ht="15.75" hidden="false" customHeight="true" outlineLevel="0" collapsed="false">
      <c r="C873" s="89"/>
      <c r="D873" s="69"/>
      <c r="F873" s="69"/>
      <c r="J873" s="89"/>
    </row>
    <row r="874" customFormat="false" ht="15.75" hidden="false" customHeight="true" outlineLevel="0" collapsed="false">
      <c r="C874" s="89"/>
      <c r="D874" s="69"/>
      <c r="F874" s="69"/>
      <c r="J874" s="89"/>
    </row>
    <row r="875" customFormat="false" ht="15.75" hidden="false" customHeight="true" outlineLevel="0" collapsed="false">
      <c r="C875" s="89"/>
      <c r="D875" s="69"/>
      <c r="F875" s="69"/>
      <c r="J875" s="89"/>
    </row>
    <row r="876" customFormat="false" ht="15.75" hidden="false" customHeight="true" outlineLevel="0" collapsed="false">
      <c r="C876" s="89"/>
      <c r="D876" s="69"/>
      <c r="F876" s="69"/>
      <c r="J876" s="89"/>
    </row>
    <row r="877" customFormat="false" ht="15.75" hidden="false" customHeight="true" outlineLevel="0" collapsed="false">
      <c r="C877" s="89"/>
      <c r="D877" s="69"/>
      <c r="F877" s="69"/>
      <c r="J877" s="89"/>
    </row>
    <row r="878" customFormat="false" ht="15.75" hidden="false" customHeight="true" outlineLevel="0" collapsed="false">
      <c r="C878" s="89"/>
      <c r="D878" s="69"/>
      <c r="F878" s="69"/>
      <c r="J878" s="89"/>
    </row>
    <row r="879" customFormat="false" ht="15.75" hidden="false" customHeight="true" outlineLevel="0" collapsed="false">
      <c r="C879" s="89"/>
      <c r="D879" s="69"/>
      <c r="F879" s="69"/>
      <c r="J879" s="89"/>
    </row>
    <row r="880" customFormat="false" ht="15.75" hidden="false" customHeight="true" outlineLevel="0" collapsed="false">
      <c r="C880" s="89"/>
      <c r="D880" s="69"/>
      <c r="F880" s="69"/>
      <c r="J880" s="89"/>
    </row>
    <row r="881" customFormat="false" ht="15.75" hidden="false" customHeight="true" outlineLevel="0" collapsed="false">
      <c r="C881" s="89"/>
      <c r="D881" s="69"/>
      <c r="F881" s="69"/>
      <c r="J881" s="89"/>
    </row>
    <row r="882" customFormat="false" ht="15.75" hidden="false" customHeight="true" outlineLevel="0" collapsed="false">
      <c r="C882" s="89"/>
      <c r="D882" s="69"/>
      <c r="F882" s="69"/>
      <c r="J882" s="89"/>
    </row>
    <row r="883" customFormat="false" ht="15.75" hidden="false" customHeight="true" outlineLevel="0" collapsed="false">
      <c r="C883" s="89"/>
      <c r="D883" s="69"/>
      <c r="F883" s="69"/>
      <c r="J883" s="89"/>
    </row>
    <row r="884" customFormat="false" ht="15.75" hidden="false" customHeight="true" outlineLevel="0" collapsed="false">
      <c r="C884" s="89"/>
      <c r="D884" s="69"/>
      <c r="F884" s="69"/>
      <c r="J884" s="89"/>
    </row>
    <row r="885" customFormat="false" ht="15.75" hidden="false" customHeight="true" outlineLevel="0" collapsed="false">
      <c r="C885" s="89"/>
      <c r="D885" s="69"/>
      <c r="F885" s="69"/>
      <c r="J885" s="89"/>
    </row>
    <row r="886" customFormat="false" ht="15.75" hidden="false" customHeight="true" outlineLevel="0" collapsed="false">
      <c r="C886" s="89"/>
      <c r="D886" s="69"/>
      <c r="F886" s="69"/>
      <c r="J886" s="89"/>
    </row>
    <row r="887" customFormat="false" ht="15.75" hidden="false" customHeight="true" outlineLevel="0" collapsed="false">
      <c r="C887" s="89"/>
      <c r="D887" s="69"/>
      <c r="F887" s="69"/>
      <c r="J887" s="89"/>
    </row>
    <row r="888" customFormat="false" ht="15.75" hidden="false" customHeight="true" outlineLevel="0" collapsed="false">
      <c r="C888" s="89"/>
      <c r="D888" s="69"/>
      <c r="F888" s="69"/>
      <c r="J888" s="89"/>
    </row>
    <row r="889" customFormat="false" ht="15.75" hidden="false" customHeight="true" outlineLevel="0" collapsed="false">
      <c r="C889" s="89"/>
      <c r="D889" s="69"/>
      <c r="F889" s="69"/>
      <c r="J889" s="89"/>
    </row>
    <row r="890" customFormat="false" ht="15.75" hidden="false" customHeight="true" outlineLevel="0" collapsed="false">
      <c r="C890" s="89"/>
      <c r="D890" s="69"/>
      <c r="F890" s="69"/>
      <c r="J890" s="89"/>
    </row>
    <row r="891" customFormat="false" ht="15.75" hidden="false" customHeight="true" outlineLevel="0" collapsed="false">
      <c r="C891" s="89"/>
      <c r="D891" s="69"/>
      <c r="F891" s="69"/>
      <c r="J891" s="89"/>
    </row>
    <row r="892" customFormat="false" ht="15.75" hidden="false" customHeight="true" outlineLevel="0" collapsed="false">
      <c r="C892" s="89"/>
      <c r="D892" s="69"/>
      <c r="F892" s="69"/>
      <c r="J892" s="89"/>
    </row>
    <row r="893" customFormat="false" ht="15.75" hidden="false" customHeight="true" outlineLevel="0" collapsed="false">
      <c r="C893" s="89"/>
      <c r="D893" s="69"/>
      <c r="F893" s="69"/>
      <c r="J893" s="89"/>
    </row>
    <row r="894" customFormat="false" ht="15.75" hidden="false" customHeight="true" outlineLevel="0" collapsed="false">
      <c r="C894" s="89"/>
      <c r="D894" s="69"/>
      <c r="F894" s="69"/>
      <c r="J894" s="89"/>
    </row>
    <row r="895" customFormat="false" ht="15.75" hidden="false" customHeight="true" outlineLevel="0" collapsed="false">
      <c r="C895" s="89"/>
      <c r="D895" s="69"/>
      <c r="F895" s="69"/>
      <c r="J895" s="89"/>
    </row>
    <row r="896" customFormat="false" ht="15.75" hidden="false" customHeight="true" outlineLevel="0" collapsed="false">
      <c r="C896" s="89"/>
      <c r="D896" s="69"/>
      <c r="F896" s="69"/>
      <c r="J896" s="89"/>
    </row>
    <row r="897" customFormat="false" ht="15.75" hidden="false" customHeight="true" outlineLevel="0" collapsed="false">
      <c r="C897" s="89"/>
      <c r="D897" s="69"/>
      <c r="F897" s="69"/>
      <c r="J897" s="89"/>
    </row>
    <row r="898" customFormat="false" ht="15.75" hidden="false" customHeight="true" outlineLevel="0" collapsed="false">
      <c r="C898" s="89"/>
      <c r="D898" s="69"/>
      <c r="F898" s="69"/>
      <c r="J898" s="89"/>
    </row>
    <row r="899" customFormat="false" ht="15.75" hidden="false" customHeight="true" outlineLevel="0" collapsed="false">
      <c r="C899" s="89"/>
      <c r="D899" s="69"/>
      <c r="F899" s="69"/>
      <c r="J899" s="89"/>
    </row>
    <row r="900" customFormat="false" ht="15.75" hidden="false" customHeight="true" outlineLevel="0" collapsed="false">
      <c r="C900" s="89"/>
      <c r="D900" s="69"/>
      <c r="F900" s="69"/>
      <c r="J900" s="89"/>
    </row>
    <row r="901" customFormat="false" ht="15.75" hidden="false" customHeight="true" outlineLevel="0" collapsed="false">
      <c r="C901" s="89"/>
      <c r="D901" s="69"/>
      <c r="F901" s="69"/>
      <c r="J901" s="89"/>
    </row>
    <row r="902" customFormat="false" ht="15.75" hidden="false" customHeight="true" outlineLevel="0" collapsed="false">
      <c r="C902" s="89"/>
      <c r="D902" s="69"/>
      <c r="F902" s="69"/>
      <c r="J902" s="89"/>
    </row>
    <row r="903" customFormat="false" ht="15.75" hidden="false" customHeight="true" outlineLevel="0" collapsed="false">
      <c r="C903" s="89"/>
      <c r="D903" s="69"/>
      <c r="F903" s="69"/>
      <c r="J903" s="89"/>
    </row>
    <row r="904" customFormat="false" ht="15.75" hidden="false" customHeight="true" outlineLevel="0" collapsed="false">
      <c r="C904" s="89"/>
      <c r="D904" s="69"/>
      <c r="F904" s="69"/>
      <c r="J904" s="89"/>
    </row>
    <row r="905" customFormat="false" ht="15.75" hidden="false" customHeight="true" outlineLevel="0" collapsed="false">
      <c r="C905" s="89"/>
      <c r="D905" s="69"/>
      <c r="F905" s="69"/>
      <c r="J905" s="89"/>
    </row>
    <row r="906" customFormat="false" ht="15.75" hidden="false" customHeight="true" outlineLevel="0" collapsed="false">
      <c r="C906" s="89"/>
      <c r="D906" s="69"/>
      <c r="F906" s="69"/>
      <c r="J906" s="89"/>
    </row>
    <row r="907" customFormat="false" ht="15.75" hidden="false" customHeight="true" outlineLevel="0" collapsed="false">
      <c r="C907" s="89"/>
      <c r="D907" s="69"/>
      <c r="F907" s="69"/>
      <c r="J907" s="89"/>
    </row>
    <row r="908" customFormat="false" ht="15.75" hidden="false" customHeight="true" outlineLevel="0" collapsed="false">
      <c r="C908" s="89"/>
      <c r="D908" s="69"/>
      <c r="F908" s="69"/>
      <c r="J908" s="89"/>
    </row>
    <row r="909" customFormat="false" ht="15.75" hidden="false" customHeight="true" outlineLevel="0" collapsed="false">
      <c r="C909" s="89"/>
      <c r="D909" s="69"/>
      <c r="F909" s="69"/>
      <c r="J909" s="89"/>
    </row>
    <row r="910" customFormat="false" ht="15.75" hidden="false" customHeight="true" outlineLevel="0" collapsed="false">
      <c r="C910" s="89"/>
      <c r="D910" s="69"/>
      <c r="F910" s="69"/>
      <c r="J910" s="89"/>
    </row>
    <row r="911" customFormat="false" ht="15.75" hidden="false" customHeight="true" outlineLevel="0" collapsed="false">
      <c r="C911" s="89"/>
      <c r="D911" s="69"/>
      <c r="F911" s="69"/>
      <c r="J911" s="89"/>
    </row>
    <row r="912" customFormat="false" ht="15.75" hidden="false" customHeight="true" outlineLevel="0" collapsed="false">
      <c r="C912" s="89"/>
      <c r="D912" s="69"/>
      <c r="F912" s="69"/>
      <c r="J912" s="89"/>
    </row>
    <row r="913" customFormat="false" ht="15.75" hidden="false" customHeight="true" outlineLevel="0" collapsed="false">
      <c r="C913" s="89"/>
      <c r="D913" s="69"/>
      <c r="F913" s="69"/>
      <c r="J913" s="89"/>
    </row>
    <row r="914" customFormat="false" ht="15.75" hidden="false" customHeight="true" outlineLevel="0" collapsed="false">
      <c r="C914" s="89"/>
      <c r="D914" s="69"/>
      <c r="F914" s="69"/>
      <c r="J914" s="89"/>
    </row>
    <row r="915" customFormat="false" ht="15.75" hidden="false" customHeight="true" outlineLevel="0" collapsed="false">
      <c r="C915" s="89"/>
      <c r="D915" s="69"/>
      <c r="F915" s="69"/>
      <c r="J915" s="89"/>
    </row>
    <row r="916" customFormat="false" ht="15.75" hidden="false" customHeight="true" outlineLevel="0" collapsed="false">
      <c r="C916" s="89"/>
      <c r="D916" s="69"/>
      <c r="F916" s="69"/>
      <c r="J916" s="89"/>
    </row>
    <row r="917" customFormat="false" ht="15.75" hidden="false" customHeight="true" outlineLevel="0" collapsed="false">
      <c r="C917" s="89"/>
      <c r="D917" s="69"/>
      <c r="F917" s="69"/>
      <c r="J917" s="89"/>
    </row>
    <row r="918" customFormat="false" ht="15.75" hidden="false" customHeight="true" outlineLevel="0" collapsed="false">
      <c r="C918" s="89"/>
      <c r="D918" s="69"/>
      <c r="F918" s="69"/>
      <c r="J918" s="89"/>
    </row>
    <row r="919" customFormat="false" ht="15.75" hidden="false" customHeight="true" outlineLevel="0" collapsed="false">
      <c r="C919" s="89"/>
      <c r="D919" s="69"/>
      <c r="F919" s="69"/>
      <c r="J919" s="89"/>
    </row>
    <row r="920" customFormat="false" ht="15.75" hidden="false" customHeight="true" outlineLevel="0" collapsed="false">
      <c r="C920" s="89"/>
      <c r="D920" s="69"/>
      <c r="F920" s="69"/>
      <c r="J920" s="89"/>
    </row>
    <row r="921" customFormat="false" ht="15.75" hidden="false" customHeight="true" outlineLevel="0" collapsed="false">
      <c r="C921" s="89"/>
      <c r="D921" s="69"/>
      <c r="F921" s="69"/>
      <c r="J921" s="89"/>
    </row>
    <row r="922" customFormat="false" ht="15.75" hidden="false" customHeight="true" outlineLevel="0" collapsed="false">
      <c r="C922" s="89"/>
      <c r="D922" s="69"/>
      <c r="F922" s="69"/>
      <c r="J922" s="89"/>
    </row>
    <row r="923" customFormat="false" ht="15.75" hidden="false" customHeight="true" outlineLevel="0" collapsed="false">
      <c r="C923" s="89"/>
      <c r="D923" s="69"/>
      <c r="F923" s="69"/>
      <c r="J923" s="89"/>
    </row>
    <row r="924" customFormat="false" ht="15.75" hidden="false" customHeight="true" outlineLevel="0" collapsed="false">
      <c r="C924" s="89"/>
      <c r="D924" s="69"/>
      <c r="F924" s="69"/>
      <c r="J924" s="89"/>
    </row>
    <row r="925" customFormat="false" ht="15.75" hidden="false" customHeight="true" outlineLevel="0" collapsed="false">
      <c r="C925" s="89"/>
      <c r="D925" s="69"/>
      <c r="F925" s="69"/>
      <c r="J925" s="89"/>
    </row>
    <row r="926" customFormat="false" ht="15.75" hidden="false" customHeight="true" outlineLevel="0" collapsed="false">
      <c r="C926" s="89"/>
      <c r="D926" s="69"/>
      <c r="F926" s="69"/>
      <c r="J926" s="89"/>
    </row>
    <row r="927" customFormat="false" ht="15.75" hidden="false" customHeight="true" outlineLevel="0" collapsed="false">
      <c r="C927" s="89"/>
      <c r="D927" s="69"/>
      <c r="F927" s="69"/>
      <c r="J927" s="89"/>
    </row>
    <row r="928" customFormat="false" ht="15.75" hidden="false" customHeight="true" outlineLevel="0" collapsed="false">
      <c r="C928" s="89"/>
      <c r="D928" s="69"/>
      <c r="F928" s="69"/>
      <c r="J928" s="89"/>
    </row>
    <row r="929" customFormat="false" ht="15.75" hidden="false" customHeight="true" outlineLevel="0" collapsed="false">
      <c r="C929" s="89"/>
      <c r="D929" s="69"/>
      <c r="F929" s="69"/>
      <c r="J929" s="89"/>
    </row>
    <row r="930" customFormat="false" ht="15.75" hidden="false" customHeight="true" outlineLevel="0" collapsed="false">
      <c r="C930" s="89"/>
      <c r="D930" s="69"/>
      <c r="F930" s="69"/>
      <c r="J930" s="89"/>
    </row>
    <row r="931" customFormat="false" ht="15.75" hidden="false" customHeight="true" outlineLevel="0" collapsed="false">
      <c r="C931" s="89"/>
      <c r="D931" s="69"/>
      <c r="F931" s="69"/>
      <c r="J931" s="89"/>
    </row>
    <row r="932" customFormat="false" ht="15.75" hidden="false" customHeight="true" outlineLevel="0" collapsed="false">
      <c r="C932" s="89"/>
      <c r="D932" s="69"/>
      <c r="F932" s="69"/>
      <c r="J932" s="89"/>
    </row>
    <row r="933" customFormat="false" ht="15.75" hidden="false" customHeight="true" outlineLevel="0" collapsed="false">
      <c r="C933" s="89"/>
      <c r="D933" s="69"/>
      <c r="F933" s="69"/>
      <c r="J933" s="89"/>
    </row>
    <row r="934" customFormat="false" ht="15.75" hidden="false" customHeight="true" outlineLevel="0" collapsed="false">
      <c r="C934" s="89"/>
      <c r="D934" s="69"/>
      <c r="F934" s="69"/>
      <c r="J934" s="89"/>
    </row>
    <row r="935" customFormat="false" ht="15.75" hidden="false" customHeight="true" outlineLevel="0" collapsed="false">
      <c r="C935" s="89"/>
      <c r="D935" s="69"/>
      <c r="F935" s="69"/>
      <c r="J935" s="89"/>
    </row>
    <row r="936" customFormat="false" ht="15.75" hidden="false" customHeight="true" outlineLevel="0" collapsed="false">
      <c r="C936" s="89"/>
      <c r="D936" s="69"/>
      <c r="F936" s="69"/>
      <c r="J936" s="89"/>
    </row>
    <row r="937" customFormat="false" ht="15.75" hidden="false" customHeight="true" outlineLevel="0" collapsed="false">
      <c r="C937" s="89"/>
      <c r="D937" s="69"/>
      <c r="F937" s="69"/>
      <c r="J937" s="89"/>
    </row>
    <row r="938" customFormat="false" ht="15.75" hidden="false" customHeight="true" outlineLevel="0" collapsed="false">
      <c r="C938" s="89"/>
      <c r="D938" s="69"/>
      <c r="F938" s="69"/>
      <c r="J938" s="89"/>
    </row>
    <row r="939" customFormat="false" ht="15.75" hidden="false" customHeight="true" outlineLevel="0" collapsed="false">
      <c r="C939" s="89"/>
      <c r="D939" s="69"/>
      <c r="F939" s="69"/>
      <c r="J939" s="89"/>
    </row>
    <row r="940" customFormat="false" ht="15.75" hidden="false" customHeight="true" outlineLevel="0" collapsed="false">
      <c r="C940" s="89"/>
      <c r="D940" s="69"/>
      <c r="F940" s="69"/>
      <c r="J940" s="89"/>
    </row>
    <row r="941" customFormat="false" ht="15.75" hidden="false" customHeight="true" outlineLevel="0" collapsed="false">
      <c r="C941" s="89"/>
      <c r="D941" s="69"/>
      <c r="F941" s="69"/>
      <c r="J941" s="89"/>
    </row>
    <row r="942" customFormat="false" ht="15.75" hidden="false" customHeight="true" outlineLevel="0" collapsed="false">
      <c r="C942" s="89"/>
      <c r="D942" s="69"/>
      <c r="F942" s="69"/>
      <c r="J942" s="89"/>
    </row>
    <row r="943" customFormat="false" ht="15.75" hidden="false" customHeight="true" outlineLevel="0" collapsed="false">
      <c r="C943" s="89"/>
      <c r="D943" s="69"/>
      <c r="F943" s="69"/>
      <c r="J943" s="89"/>
    </row>
    <row r="944" customFormat="false" ht="15.75" hidden="false" customHeight="true" outlineLevel="0" collapsed="false">
      <c r="C944" s="89"/>
      <c r="D944" s="69"/>
      <c r="F944" s="69"/>
      <c r="J944" s="89"/>
    </row>
    <row r="945" customFormat="false" ht="15.75" hidden="false" customHeight="true" outlineLevel="0" collapsed="false">
      <c r="C945" s="89"/>
      <c r="D945" s="69"/>
      <c r="F945" s="69"/>
      <c r="J945" s="89"/>
    </row>
    <row r="946" customFormat="false" ht="15.75" hidden="false" customHeight="true" outlineLevel="0" collapsed="false">
      <c r="C946" s="89"/>
      <c r="D946" s="69"/>
      <c r="F946" s="69"/>
      <c r="J946" s="89"/>
    </row>
    <row r="947" customFormat="false" ht="15.75" hidden="false" customHeight="true" outlineLevel="0" collapsed="false">
      <c r="C947" s="89"/>
      <c r="D947" s="69"/>
      <c r="F947" s="69"/>
      <c r="J947" s="89"/>
    </row>
    <row r="948" customFormat="false" ht="15.75" hidden="false" customHeight="true" outlineLevel="0" collapsed="false">
      <c r="C948" s="89"/>
      <c r="D948" s="69"/>
      <c r="F948" s="69"/>
      <c r="J948" s="89"/>
    </row>
    <row r="949" customFormat="false" ht="15.75" hidden="false" customHeight="true" outlineLevel="0" collapsed="false">
      <c r="C949" s="89"/>
      <c r="D949" s="69"/>
      <c r="F949" s="69"/>
      <c r="J949" s="89"/>
    </row>
    <row r="950" customFormat="false" ht="15.75" hidden="false" customHeight="true" outlineLevel="0" collapsed="false">
      <c r="C950" s="89"/>
      <c r="D950" s="69"/>
      <c r="F950" s="69"/>
      <c r="J950" s="89"/>
    </row>
    <row r="951" customFormat="false" ht="15.75" hidden="false" customHeight="true" outlineLevel="0" collapsed="false">
      <c r="C951" s="89"/>
      <c r="D951" s="69"/>
      <c r="F951" s="69"/>
      <c r="J951" s="89"/>
    </row>
    <row r="952" customFormat="false" ht="15.75" hidden="false" customHeight="true" outlineLevel="0" collapsed="false">
      <c r="C952" s="89"/>
      <c r="D952" s="69"/>
      <c r="F952" s="69"/>
      <c r="J952" s="89"/>
    </row>
    <row r="953" customFormat="false" ht="15.75" hidden="false" customHeight="true" outlineLevel="0" collapsed="false">
      <c r="C953" s="89"/>
      <c r="D953" s="69"/>
      <c r="F953" s="69"/>
      <c r="J953" s="89"/>
    </row>
    <row r="954" customFormat="false" ht="15.75" hidden="false" customHeight="true" outlineLevel="0" collapsed="false">
      <c r="C954" s="89"/>
      <c r="D954" s="69"/>
      <c r="F954" s="69"/>
      <c r="J954" s="89"/>
    </row>
    <row r="955" customFormat="false" ht="15.75" hidden="false" customHeight="true" outlineLevel="0" collapsed="false">
      <c r="C955" s="89"/>
      <c r="D955" s="69"/>
      <c r="F955" s="69"/>
      <c r="J955" s="89"/>
    </row>
    <row r="956" customFormat="false" ht="15.75" hidden="false" customHeight="true" outlineLevel="0" collapsed="false">
      <c r="C956" s="89"/>
      <c r="D956" s="69"/>
      <c r="F956" s="69"/>
      <c r="J956" s="89"/>
    </row>
    <row r="957" customFormat="false" ht="15.75" hidden="false" customHeight="true" outlineLevel="0" collapsed="false">
      <c r="C957" s="89"/>
      <c r="D957" s="69"/>
      <c r="F957" s="69"/>
      <c r="J957" s="89"/>
    </row>
    <row r="958" customFormat="false" ht="15.75" hidden="false" customHeight="true" outlineLevel="0" collapsed="false">
      <c r="C958" s="89"/>
      <c r="D958" s="69"/>
      <c r="F958" s="69"/>
      <c r="J958" s="89"/>
    </row>
    <row r="959" customFormat="false" ht="15.75" hidden="false" customHeight="true" outlineLevel="0" collapsed="false">
      <c r="C959" s="89"/>
      <c r="D959" s="69"/>
      <c r="F959" s="69"/>
      <c r="J959" s="89"/>
    </row>
    <row r="960" customFormat="false" ht="15.75" hidden="false" customHeight="true" outlineLevel="0" collapsed="false">
      <c r="C960" s="89"/>
      <c r="D960" s="69"/>
      <c r="F960" s="69"/>
      <c r="J960" s="89"/>
    </row>
    <row r="961" customFormat="false" ht="15.75" hidden="false" customHeight="true" outlineLevel="0" collapsed="false">
      <c r="C961" s="89"/>
      <c r="D961" s="69"/>
      <c r="F961" s="69"/>
      <c r="J961" s="89"/>
    </row>
    <row r="962" customFormat="false" ht="15.75" hidden="false" customHeight="true" outlineLevel="0" collapsed="false">
      <c r="C962" s="89"/>
      <c r="D962" s="69"/>
      <c r="F962" s="69"/>
      <c r="J962" s="89"/>
    </row>
    <row r="963" customFormat="false" ht="15.75" hidden="false" customHeight="true" outlineLevel="0" collapsed="false">
      <c r="C963" s="89"/>
      <c r="D963" s="69"/>
      <c r="F963" s="69"/>
      <c r="J963" s="89"/>
    </row>
    <row r="964" customFormat="false" ht="15.75" hidden="false" customHeight="true" outlineLevel="0" collapsed="false">
      <c r="C964" s="89"/>
      <c r="D964" s="69"/>
      <c r="F964" s="69"/>
      <c r="J964" s="89"/>
    </row>
    <row r="965" customFormat="false" ht="15.75" hidden="false" customHeight="true" outlineLevel="0" collapsed="false">
      <c r="C965" s="89"/>
      <c r="D965" s="69"/>
      <c r="F965" s="69"/>
      <c r="J965" s="89"/>
    </row>
    <row r="966" customFormat="false" ht="15.75" hidden="false" customHeight="true" outlineLevel="0" collapsed="false">
      <c r="C966" s="89"/>
      <c r="D966" s="69"/>
      <c r="F966" s="69"/>
      <c r="J966" s="89"/>
    </row>
    <row r="967" customFormat="false" ht="15.75" hidden="false" customHeight="true" outlineLevel="0" collapsed="false">
      <c r="C967" s="89"/>
      <c r="D967" s="69"/>
      <c r="F967" s="69"/>
      <c r="J967" s="89"/>
    </row>
    <row r="968" customFormat="false" ht="15.75" hidden="false" customHeight="true" outlineLevel="0" collapsed="false">
      <c r="C968" s="89"/>
      <c r="D968" s="69"/>
      <c r="F968" s="69"/>
      <c r="J968" s="89"/>
    </row>
    <row r="969" customFormat="false" ht="15.75" hidden="false" customHeight="true" outlineLevel="0" collapsed="false">
      <c r="C969" s="89"/>
      <c r="D969" s="69"/>
      <c r="F969" s="69"/>
      <c r="J969" s="89"/>
    </row>
    <row r="970" customFormat="false" ht="15.75" hidden="false" customHeight="true" outlineLevel="0" collapsed="false">
      <c r="C970" s="89"/>
      <c r="D970" s="69"/>
      <c r="F970" s="69"/>
      <c r="J970" s="89"/>
    </row>
    <row r="971" customFormat="false" ht="15.75" hidden="false" customHeight="true" outlineLevel="0" collapsed="false">
      <c r="C971" s="89"/>
      <c r="D971" s="69"/>
      <c r="F971" s="69"/>
      <c r="J971" s="89"/>
    </row>
    <row r="972" customFormat="false" ht="15.75" hidden="false" customHeight="true" outlineLevel="0" collapsed="false">
      <c r="C972" s="89"/>
      <c r="D972" s="69"/>
      <c r="F972" s="69"/>
      <c r="J972" s="89"/>
    </row>
    <row r="973" customFormat="false" ht="15.75" hidden="false" customHeight="true" outlineLevel="0" collapsed="false">
      <c r="C973" s="89"/>
      <c r="D973" s="69"/>
      <c r="F973" s="69"/>
      <c r="J973" s="89"/>
    </row>
    <row r="974" customFormat="false" ht="15.75" hidden="false" customHeight="true" outlineLevel="0" collapsed="false">
      <c r="C974" s="89"/>
      <c r="D974" s="69"/>
      <c r="F974" s="69"/>
      <c r="J974" s="89"/>
    </row>
    <row r="975" customFormat="false" ht="15.75" hidden="false" customHeight="true" outlineLevel="0" collapsed="false">
      <c r="C975" s="89"/>
      <c r="D975" s="69"/>
      <c r="F975" s="69"/>
      <c r="J975" s="89"/>
    </row>
    <row r="976" customFormat="false" ht="15.75" hidden="false" customHeight="true" outlineLevel="0" collapsed="false">
      <c r="C976" s="89"/>
      <c r="D976" s="69"/>
      <c r="F976" s="69"/>
      <c r="J976" s="89"/>
    </row>
    <row r="977" customFormat="false" ht="15.75" hidden="false" customHeight="true" outlineLevel="0" collapsed="false">
      <c r="C977" s="89"/>
      <c r="D977" s="69"/>
      <c r="F977" s="69"/>
      <c r="J977" s="89"/>
    </row>
    <row r="978" customFormat="false" ht="15.75" hidden="false" customHeight="true" outlineLevel="0" collapsed="false">
      <c r="C978" s="89"/>
      <c r="D978" s="69"/>
      <c r="F978" s="69"/>
      <c r="J978" s="89"/>
    </row>
    <row r="979" customFormat="false" ht="15.75" hidden="false" customHeight="true" outlineLevel="0" collapsed="false">
      <c r="C979" s="89"/>
      <c r="D979" s="69"/>
      <c r="F979" s="69"/>
      <c r="J979" s="89"/>
    </row>
    <row r="980" customFormat="false" ht="15.75" hidden="false" customHeight="true" outlineLevel="0" collapsed="false">
      <c r="C980" s="89"/>
      <c r="D980" s="69"/>
      <c r="F980" s="69"/>
      <c r="J980" s="89"/>
    </row>
    <row r="981" customFormat="false" ht="15.75" hidden="false" customHeight="true" outlineLevel="0" collapsed="false">
      <c r="C981" s="89"/>
      <c r="D981" s="69"/>
      <c r="F981" s="69"/>
      <c r="J981" s="89"/>
    </row>
    <row r="982" customFormat="false" ht="15.75" hidden="false" customHeight="true" outlineLevel="0" collapsed="false">
      <c r="C982" s="89"/>
      <c r="D982" s="69"/>
      <c r="F982" s="69"/>
      <c r="J982" s="89"/>
    </row>
    <row r="983" customFormat="false" ht="15.75" hidden="false" customHeight="true" outlineLevel="0" collapsed="false">
      <c r="C983" s="89"/>
      <c r="D983" s="69"/>
      <c r="F983" s="69"/>
      <c r="J983" s="89"/>
    </row>
    <row r="984" customFormat="false" ht="15.75" hidden="false" customHeight="true" outlineLevel="0" collapsed="false">
      <c r="C984" s="89"/>
      <c r="D984" s="69"/>
      <c r="F984" s="69"/>
      <c r="J984" s="89"/>
    </row>
    <row r="985" customFormat="false" ht="15.75" hidden="false" customHeight="true" outlineLevel="0" collapsed="false">
      <c r="C985" s="89"/>
      <c r="D985" s="69"/>
      <c r="F985" s="69"/>
      <c r="J985" s="89"/>
    </row>
    <row r="986" customFormat="false" ht="15.75" hidden="false" customHeight="true" outlineLevel="0" collapsed="false">
      <c r="C986" s="89"/>
      <c r="D986" s="69"/>
      <c r="F986" s="69"/>
      <c r="J986" s="89"/>
    </row>
    <row r="987" customFormat="false" ht="15.75" hidden="false" customHeight="true" outlineLevel="0" collapsed="false">
      <c r="C987" s="89"/>
      <c r="D987" s="69"/>
      <c r="F987" s="69"/>
      <c r="J987" s="89"/>
    </row>
    <row r="988" customFormat="false" ht="15.75" hidden="false" customHeight="true" outlineLevel="0" collapsed="false">
      <c r="C988" s="89"/>
      <c r="D988" s="69"/>
      <c r="F988" s="69"/>
      <c r="J988" s="89"/>
    </row>
    <row r="989" customFormat="false" ht="15.75" hidden="false" customHeight="true" outlineLevel="0" collapsed="false">
      <c r="C989" s="89"/>
      <c r="D989" s="69"/>
      <c r="F989" s="69"/>
      <c r="J989" s="89"/>
    </row>
    <row r="990" customFormat="false" ht="15.75" hidden="false" customHeight="true" outlineLevel="0" collapsed="false">
      <c r="C990" s="89"/>
      <c r="D990" s="69"/>
      <c r="F990" s="69"/>
      <c r="J990" s="89"/>
    </row>
    <row r="991" customFormat="false" ht="15.75" hidden="false" customHeight="true" outlineLevel="0" collapsed="false">
      <c r="C991" s="89"/>
      <c r="D991" s="69"/>
      <c r="F991" s="69"/>
      <c r="J991" s="89"/>
    </row>
    <row r="992" customFormat="false" ht="15.75" hidden="false" customHeight="true" outlineLevel="0" collapsed="false">
      <c r="C992" s="89"/>
      <c r="D992" s="69"/>
      <c r="F992" s="69"/>
      <c r="J992" s="89"/>
    </row>
    <row r="993" customFormat="false" ht="15.75" hidden="false" customHeight="true" outlineLevel="0" collapsed="false">
      <c r="C993" s="89"/>
      <c r="D993" s="69"/>
      <c r="F993" s="69"/>
      <c r="J993" s="89"/>
    </row>
    <row r="994" customFormat="false" ht="15.75" hidden="false" customHeight="true" outlineLevel="0" collapsed="false">
      <c r="C994" s="89"/>
      <c r="D994" s="69"/>
      <c r="F994" s="69"/>
      <c r="J994" s="89"/>
    </row>
    <row r="995" customFormat="false" ht="15.75" hidden="false" customHeight="true" outlineLevel="0" collapsed="false">
      <c r="C995" s="89"/>
      <c r="D995" s="69"/>
      <c r="F995" s="69"/>
      <c r="J995" s="89"/>
    </row>
    <row r="996" customFormat="false" ht="15.75" hidden="false" customHeight="true" outlineLevel="0" collapsed="false">
      <c r="C996" s="89"/>
      <c r="D996" s="69"/>
      <c r="F996" s="69"/>
      <c r="J996" s="89"/>
    </row>
    <row r="997" customFormat="false" ht="15.75" hidden="false" customHeight="true" outlineLevel="0" collapsed="false">
      <c r="C997" s="89"/>
      <c r="D997" s="69"/>
      <c r="F997" s="69"/>
      <c r="J997" s="89"/>
    </row>
    <row r="998" customFormat="false" ht="15.75" hidden="false" customHeight="true" outlineLevel="0" collapsed="false">
      <c r="C998" s="89"/>
      <c r="D998" s="69"/>
      <c r="F998" s="69"/>
      <c r="J998" s="89"/>
    </row>
    <row r="999" customFormat="false" ht="15.75" hidden="false" customHeight="true" outlineLevel="0" collapsed="false">
      <c r="C999" s="89"/>
      <c r="D999" s="69"/>
      <c r="F999" s="69"/>
      <c r="J999" s="89"/>
    </row>
    <row r="1000" customFormat="false" ht="15.75" hidden="false" customHeight="true" outlineLevel="0" collapsed="false">
      <c r="C1000" s="89"/>
      <c r="D1000" s="69"/>
      <c r="F1000" s="69"/>
      <c r="J1000" s="89"/>
    </row>
  </sheetData>
  <mergeCells count="3">
    <mergeCell ref="A1:J1"/>
    <mergeCell ref="A2:J2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A5FA"/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8" min="6" style="1" width="14"/>
    <col collapsed="false" customWidth="true" hidden="false" outlineLevel="0" max="9" min="9" style="1" width="12"/>
    <col collapsed="false" customWidth="true" hidden="false" outlineLevel="0" max="10" min="10" style="1" width="16"/>
  </cols>
  <sheetData>
    <row r="1" customFormat="false" ht="30" hidden="false" customHeight="true" outlineLevel="0" collapsed="false">
      <c r="A1" s="70" t="s">
        <v>101</v>
      </c>
      <c r="B1" s="70"/>
      <c r="C1" s="70"/>
      <c r="D1" s="70"/>
      <c r="E1" s="70"/>
      <c r="F1" s="70"/>
      <c r="G1" s="70"/>
      <c r="H1" s="70"/>
      <c r="I1" s="70"/>
      <c r="J1" s="70"/>
    </row>
    <row r="2" customFormat="false" ht="15.75" hidden="false" customHeight="true" outlineLevel="0" collapsed="false">
      <c r="A2" s="71" t="s">
        <v>102</v>
      </c>
      <c r="B2" s="71"/>
      <c r="C2" s="71"/>
      <c r="D2" s="71"/>
      <c r="E2" s="71"/>
      <c r="F2" s="71"/>
      <c r="G2" s="71"/>
      <c r="H2" s="71"/>
      <c r="I2" s="71"/>
      <c r="J2" s="71"/>
    </row>
    <row r="3" customFormat="false" ht="15.75" hidden="false" customHeight="true" outlineLevel="0" collapsed="false">
      <c r="A3" s="72" t="s">
        <v>20</v>
      </c>
      <c r="B3" s="72" t="s">
        <v>21</v>
      </c>
      <c r="C3" s="72" t="s">
        <v>103</v>
      </c>
      <c r="D3" s="72" t="s">
        <v>97</v>
      </c>
      <c r="E3" s="72" t="s">
        <v>98</v>
      </c>
      <c r="F3" s="72" t="s">
        <v>26</v>
      </c>
      <c r="G3" s="72" t="s">
        <v>22</v>
      </c>
      <c r="H3" s="72" t="s">
        <v>23</v>
      </c>
      <c r="I3" s="72" t="s">
        <v>24</v>
      </c>
      <c r="J3" s="72" t="s">
        <v>99</v>
      </c>
    </row>
    <row r="4" customFormat="false" ht="15.75" hidden="false" customHeight="true" outlineLevel="0" collapsed="false">
      <c r="A4" s="75" t="n">
        <f aca="false">'BRIDGE CLEAN'!A11+1</f>
        <v>2038</v>
      </c>
      <c r="B4" s="75" t="n">
        <f aca="false">INPUTS!B24</f>
        <v>59.5</v>
      </c>
      <c r="C4" s="77" t="n">
        <f aca="false">'BRIDGE CLEAN'!G11</f>
        <v>0</v>
      </c>
      <c r="D4" s="77" t="n">
        <f aca="false">'BRIDGE CLEAN'!H11</f>
        <v>835403.403909632</v>
      </c>
      <c r="E4" s="77" t="n">
        <f aca="false">'BRIDGE CLEAN'!I11</f>
        <v>0</v>
      </c>
      <c r="F4" s="90" t="n">
        <f aca="false">MAX(0,'BRIDGE CLEAN'!F11*(1+INPUTS!B19)^(A4-'BRIDGE CLEAN'!A11)-IF(B4&gt;=INPUTS!B7,INPUTS!B9*(1+INPUTS!B19)^(A4-INPUTS!B8),0))</f>
        <v>48736.1159003967</v>
      </c>
      <c r="G4" s="77" t="n">
        <f aca="false">C4*(1+INPUTS!B18)</f>
        <v>0</v>
      </c>
      <c r="H4" s="77" t="n">
        <f aca="false">MAX(0,D4-F4)*(1+INPUTS!B18)</f>
        <v>826000.652409697</v>
      </c>
      <c r="I4" s="77" t="n">
        <f aca="false">MAX(0,E4-MAX(0,F4-D4))*(1+INPUTS!B18)</f>
        <v>0</v>
      </c>
      <c r="J4" s="79" t="n">
        <f aca="false">IF(B4&gt;INPUTS!B6,"—",G4+H4+I4)</f>
        <v>826000.652409697</v>
      </c>
    </row>
    <row r="5" customFormat="false" ht="15.75" hidden="false" customHeight="true" outlineLevel="0" collapsed="false">
      <c r="A5" s="80" t="n">
        <f aca="false">A4+1</f>
        <v>2039</v>
      </c>
      <c r="B5" s="80" t="n">
        <f aca="false">B4+1</f>
        <v>60.5</v>
      </c>
      <c r="C5" s="82" t="n">
        <f aca="false">G4</f>
        <v>0</v>
      </c>
      <c r="D5" s="82" t="n">
        <f aca="false">H4</f>
        <v>826000.652409697</v>
      </c>
      <c r="E5" s="82" t="n">
        <f aca="false">I4</f>
        <v>0</v>
      </c>
      <c r="F5" s="90" t="n">
        <f aca="false">MAX(0,'BRIDGE CLEAN'!F11*(1+INPUTS!B19)^(A5-'BRIDGE CLEAN'!A11)-IF(B5&gt;=INPUTS!B7,INPUTS!B9*(1+INPUTS!B19)^(A5-INPUTS!B8),0))</f>
        <v>49954.5187979066</v>
      </c>
      <c r="G5" s="82" t="n">
        <f aca="false">C5*(1+INPUTS!B18)</f>
        <v>0</v>
      </c>
      <c r="H5" s="82" t="n">
        <f aca="false">MAX(0,D5-F5)*(1+INPUTS!B18)</f>
        <v>814848.44029238</v>
      </c>
      <c r="I5" s="82" t="n">
        <f aca="false">MAX(0,E5-MAX(0,F5-D5))*(1+INPUTS!B18)</f>
        <v>0</v>
      </c>
      <c r="J5" s="83" t="n">
        <f aca="false">IF(B5&gt;INPUTS!B6,"—",G5+H5+I5)</f>
        <v>814848.44029238</v>
      </c>
    </row>
    <row r="6" customFormat="false" ht="15.75" hidden="false" customHeight="true" outlineLevel="0" collapsed="false">
      <c r="A6" s="75" t="n">
        <f aca="false">A5+1</f>
        <v>2040</v>
      </c>
      <c r="B6" s="75" t="n">
        <f aca="false">B5+1</f>
        <v>61.5</v>
      </c>
      <c r="C6" s="77" t="n">
        <f aca="false">G5</f>
        <v>0</v>
      </c>
      <c r="D6" s="77" t="n">
        <f aca="false">H5</f>
        <v>814848.44029238</v>
      </c>
      <c r="E6" s="77" t="n">
        <f aca="false">I5</f>
        <v>0</v>
      </c>
      <c r="F6" s="90" t="n">
        <f aca="false">MAX(0,'BRIDGE CLEAN'!F11*(1+INPUTS!B19)^(A6-'BRIDGE CLEAN'!A11)-IF(B6&gt;=INPUTS!B7,INPUTS!B9*(1+INPUTS!B19)^(A6-INPUTS!B8),0))</f>
        <v>51203.3817678543</v>
      </c>
      <c r="G6" s="77" t="n">
        <f aca="false">C6*(1+INPUTS!B18)</f>
        <v>0</v>
      </c>
      <c r="H6" s="77" t="n">
        <f aca="false">MAX(0,D6-F6)*(1+INPUTS!B18)</f>
        <v>801827.311450752</v>
      </c>
      <c r="I6" s="77" t="n">
        <f aca="false">MAX(0,E6-MAX(0,F6-D6))*(1+INPUTS!B18)</f>
        <v>0</v>
      </c>
      <c r="J6" s="79" t="n">
        <f aca="false">IF(B6&gt;INPUTS!B6,"—",G6+H6+I6)</f>
        <v>801827.311450752</v>
      </c>
    </row>
    <row r="7" customFormat="false" ht="15.75" hidden="false" customHeight="true" outlineLevel="0" collapsed="false">
      <c r="A7" s="80" t="n">
        <f aca="false">A6+1</f>
        <v>2041</v>
      </c>
      <c r="B7" s="80" t="n">
        <f aca="false">B6+1</f>
        <v>62.5</v>
      </c>
      <c r="C7" s="82" t="n">
        <f aca="false">G6</f>
        <v>0</v>
      </c>
      <c r="D7" s="82" t="n">
        <f aca="false">H6</f>
        <v>801827.311450752</v>
      </c>
      <c r="E7" s="82" t="n">
        <f aca="false">I6</f>
        <v>0</v>
      </c>
      <c r="F7" s="90" t="n">
        <f aca="false">MAX(0,'BRIDGE CLEAN'!F11*(1+INPUTS!B19)^(A7-'BRIDGE CLEAN'!A11)-IF(B7&gt;=INPUTS!B7,INPUTS!B9*(1+INPUTS!B19)^(A7-INPUTS!B8),0))</f>
        <v>52483.4663120506</v>
      </c>
      <c r="G7" s="82" t="n">
        <f aca="false">C7*(1+INPUTS!B18)</f>
        <v>0</v>
      </c>
      <c r="H7" s="82" t="n">
        <f aca="false">MAX(0,D7-F7)*(1+INPUTS!B18)</f>
        <v>786811.037395636</v>
      </c>
      <c r="I7" s="82" t="n">
        <f aca="false">MAX(0,E7-MAX(0,F7-D7))*(1+INPUTS!B18)</f>
        <v>0</v>
      </c>
      <c r="J7" s="83" t="n">
        <f aca="false">IF(B7&gt;INPUTS!B6,"—",G7+H7+I7)</f>
        <v>786811.037395636</v>
      </c>
    </row>
    <row r="8" customFormat="false" ht="15.75" hidden="false" customHeight="true" outlineLevel="0" collapsed="false">
      <c r="A8" s="75" t="n">
        <f aca="false">A7+1</f>
        <v>2042</v>
      </c>
      <c r="B8" s="75" t="n">
        <f aca="false">B7+1</f>
        <v>63.5</v>
      </c>
      <c r="C8" s="77" t="n">
        <f aca="false">G7</f>
        <v>0</v>
      </c>
      <c r="D8" s="77" t="n">
        <f aca="false">H7</f>
        <v>786811.037395636</v>
      </c>
      <c r="E8" s="77" t="n">
        <f aca="false">I7</f>
        <v>0</v>
      </c>
      <c r="F8" s="90" t="n">
        <f aca="false">MAX(0,'BRIDGE CLEAN'!F11*(1+INPUTS!B19)^(A8-'BRIDGE CLEAN'!A11)-IF(B8&gt;=INPUTS!B7,INPUTS!B9*(1+INPUTS!B19)^(A8-INPUTS!B8),0))</f>
        <v>53795.5529698519</v>
      </c>
      <c r="G8" s="77" t="n">
        <f aca="false">C8*(1+INPUTS!B18)</f>
        <v>0</v>
      </c>
      <c r="H8" s="77" t="n">
        <f aca="false">MAX(0,D8-F8)*(1+INPUTS!B18)</f>
        <v>769666.258647074</v>
      </c>
      <c r="I8" s="77" t="n">
        <f aca="false">MAX(0,E8-MAX(0,F8-D8))*(1+INPUTS!B18)</f>
        <v>0</v>
      </c>
      <c r="J8" s="79" t="n">
        <f aca="false">IF(B8&gt;INPUTS!B6,"—",G8+H8+I8)</f>
        <v>769666.258647074</v>
      </c>
    </row>
    <row r="9" customFormat="false" ht="15.75" hidden="false" customHeight="true" outlineLevel="0" collapsed="false">
      <c r="A9" s="80" t="n">
        <f aca="false">A8+1</f>
        <v>2043</v>
      </c>
      <c r="B9" s="80" t="n">
        <f aca="false">B8+1</f>
        <v>64.5</v>
      </c>
      <c r="C9" s="82" t="n">
        <f aca="false">G8</f>
        <v>0</v>
      </c>
      <c r="D9" s="82" t="n">
        <f aca="false">H8</f>
        <v>769666.258647074</v>
      </c>
      <c r="E9" s="82" t="n">
        <f aca="false">I8</f>
        <v>0</v>
      </c>
      <c r="F9" s="90" t="n">
        <f aca="false">MAX(0,'BRIDGE CLEAN'!F11*(1+INPUTS!B19)^(A9-'BRIDGE CLEAN'!A11)-IF(B9&gt;=INPUTS!B7,INPUTS!B9*(1+INPUTS!B19)^(A9-INPUTS!B8),0))</f>
        <v>55140.4417940982</v>
      </c>
      <c r="G9" s="82" t="n">
        <f aca="false">C9*(1+INPUTS!B18)</f>
        <v>0</v>
      </c>
      <c r="H9" s="82" t="n">
        <f aca="false">MAX(0,D9-F9)*(1+INPUTS!B18)</f>
        <v>750252.107695624</v>
      </c>
      <c r="I9" s="82" t="n">
        <f aca="false">MAX(0,E9-MAX(0,F9-D9))*(1+INPUTS!B18)</f>
        <v>0</v>
      </c>
      <c r="J9" s="83" t="n">
        <f aca="false">IF(B9&gt;INPUTS!B6,"—",G9+H9+I9)</f>
        <v>750252.107695624</v>
      </c>
    </row>
    <row r="10" customFormat="false" ht="15.75" hidden="false" customHeight="true" outlineLevel="0" collapsed="false">
      <c r="A10" s="75" t="n">
        <f aca="false">A9+1</f>
        <v>2044</v>
      </c>
      <c r="B10" s="75" t="n">
        <f aca="false">B9+1</f>
        <v>65.5</v>
      </c>
      <c r="C10" s="77" t="n">
        <f aca="false">G9</f>
        <v>0</v>
      </c>
      <c r="D10" s="77" t="n">
        <f aca="false">H9</f>
        <v>750252.107695624</v>
      </c>
      <c r="E10" s="77" t="n">
        <f aca="false">I9</f>
        <v>0</v>
      </c>
      <c r="F10" s="90" t="n">
        <f aca="false">MAX(0,'BRIDGE CLEAN'!F11*(1+INPUTS!B19)^(A10-'BRIDGE CLEAN'!A11)-IF(B10&gt;=INPUTS!B7,INPUTS!B9*(1+INPUTS!B19)^(A10-INPUTS!B8),0))</f>
        <v>56518.9528389506</v>
      </c>
      <c r="G10" s="77" t="n">
        <f aca="false">C10*(1+INPUTS!B18)</f>
        <v>0</v>
      </c>
      <c r="H10" s="77" t="n">
        <f aca="false">MAX(0,D10-F10)*(1+INPUTS!B18)</f>
        <v>728419.812599507</v>
      </c>
      <c r="I10" s="77" t="n">
        <f aca="false">MAX(0,E10-MAX(0,F10-D10))*(1+INPUTS!B18)</f>
        <v>0</v>
      </c>
      <c r="J10" s="79" t="n">
        <f aca="false">IF(B10&gt;INPUTS!B6,"—",G10+H10+I10)</f>
        <v>728419.812599507</v>
      </c>
    </row>
    <row r="11" customFormat="false" ht="15.75" hidden="false" customHeight="true" outlineLevel="0" collapsed="false">
      <c r="A11" s="80" t="n">
        <f aca="false">A10+1</f>
        <v>2045</v>
      </c>
      <c r="B11" s="80" t="n">
        <f aca="false">B10+1</f>
        <v>66.5</v>
      </c>
      <c r="C11" s="82" t="n">
        <f aca="false">G10</f>
        <v>0</v>
      </c>
      <c r="D11" s="82" t="n">
        <f aca="false">H10</f>
        <v>728419.812599507</v>
      </c>
      <c r="E11" s="82" t="n">
        <f aca="false">I10</f>
        <v>0</v>
      </c>
      <c r="F11" s="90" t="n">
        <f aca="false">MAX(0,'BRIDGE CLEAN'!F11*(1+INPUTS!B19)^(A11-'BRIDGE CLEAN'!A11)-IF(B11&gt;=INPUTS!B7,INPUTS!B9*(1+INPUTS!B19)^(A11-INPUTS!B8),0))</f>
        <v>57931.9266599244</v>
      </c>
      <c r="G11" s="82" t="n">
        <f aca="false">C11*(1+INPUTS!B18)</f>
        <v>0</v>
      </c>
      <c r="H11" s="82" t="n">
        <f aca="false">MAX(0,D11-F11)*(1+INPUTS!B18)</f>
        <v>704012.280236562</v>
      </c>
      <c r="I11" s="82" t="n">
        <f aca="false">MAX(0,E11-MAX(0,F11-D11))*(1+INPUTS!B18)</f>
        <v>0</v>
      </c>
      <c r="J11" s="83" t="n">
        <f aca="false">IF(B11&gt;INPUTS!B6,"—",G11+H11+I11)</f>
        <v>704012.280236562</v>
      </c>
    </row>
    <row r="12" customFormat="false" ht="15.75" hidden="false" customHeight="true" outlineLevel="0" collapsed="false">
      <c r="A12" s="75" t="n">
        <f aca="false">A11+1</f>
        <v>2046</v>
      </c>
      <c r="B12" s="75" t="n">
        <f aca="false">B11+1</f>
        <v>67.5</v>
      </c>
      <c r="C12" s="77" t="n">
        <f aca="false">G11</f>
        <v>0</v>
      </c>
      <c r="D12" s="77" t="n">
        <f aca="false">H11</f>
        <v>704012.280236562</v>
      </c>
      <c r="E12" s="77" t="n">
        <f aca="false">I11</f>
        <v>0</v>
      </c>
      <c r="F12" s="90" t="n">
        <f aca="false">MAX(0,'BRIDGE CLEAN'!F11*(1+INPUTS!B19)^(A12-'BRIDGE CLEAN'!A11)-IF(B12&gt;=INPUTS!B7,INPUTS!B9*(1+INPUTS!B19)^(A12-INPUTS!B8),0))</f>
        <v>20053.430259453</v>
      </c>
      <c r="G12" s="77" t="n">
        <f aca="false">C12*(1+INPUTS!B18)</f>
        <v>0</v>
      </c>
      <c r="H12" s="77" t="n">
        <f aca="false">MAX(0,D12-F12)*(1+INPUTS!B18)</f>
        <v>718156.792475965</v>
      </c>
      <c r="I12" s="77" t="n">
        <f aca="false">MAX(0,E12-MAX(0,F12-D12))*(1+INPUTS!B18)</f>
        <v>0</v>
      </c>
      <c r="J12" s="79" t="n">
        <f aca="false">IF(B12&gt;INPUTS!B6,"—",G12+H12+I12)</f>
        <v>718156.792475965</v>
      </c>
    </row>
    <row r="13" customFormat="false" ht="15.75" hidden="false" customHeight="true" outlineLevel="0" collapsed="false">
      <c r="A13" s="80" t="n">
        <f aca="false">A12+1</f>
        <v>2047</v>
      </c>
      <c r="B13" s="80" t="n">
        <f aca="false">B12+1</f>
        <v>68.5</v>
      </c>
      <c r="C13" s="82" t="n">
        <f aca="false">G12</f>
        <v>0</v>
      </c>
      <c r="D13" s="82" t="n">
        <f aca="false">H12</f>
        <v>718156.792475965</v>
      </c>
      <c r="E13" s="82" t="n">
        <f aca="false">I12</f>
        <v>0</v>
      </c>
      <c r="F13" s="90" t="n">
        <f aca="false">MAX(0,'BRIDGE CLEAN'!F11*(1+INPUTS!B19)^(A13-'BRIDGE CLEAN'!A11)-IF(B13&gt;=INPUTS!B7,INPUTS!B9*(1+INPUTS!B19)^(A13-INPUTS!B8),0))</f>
        <v>20554.7660159393</v>
      </c>
      <c r="G13" s="82" t="n">
        <f aca="false">C13*(1+INPUTS!B18)</f>
        <v>0</v>
      </c>
      <c r="H13" s="82" t="n">
        <f aca="false">MAX(0,D13-F13)*(1+INPUTS!B18)</f>
        <v>732482.127783027</v>
      </c>
      <c r="I13" s="82" t="n">
        <f aca="false">MAX(0,E13-MAX(0,F13-D13))*(1+INPUTS!B18)</f>
        <v>0</v>
      </c>
      <c r="J13" s="83" t="n">
        <f aca="false">IF(B13&gt;INPUTS!B6,"—",G13+H13+I13)</f>
        <v>732482.127783027</v>
      </c>
    </row>
    <row r="14" customFormat="false" ht="15.75" hidden="false" customHeight="true" outlineLevel="0" collapsed="false">
      <c r="A14" s="75" t="n">
        <f aca="false">A13+1</f>
        <v>2048</v>
      </c>
      <c r="B14" s="75" t="n">
        <f aca="false">B13+1</f>
        <v>69.5</v>
      </c>
      <c r="C14" s="77" t="n">
        <f aca="false">G13</f>
        <v>0</v>
      </c>
      <c r="D14" s="77" t="n">
        <f aca="false">H13</f>
        <v>732482.127783027</v>
      </c>
      <c r="E14" s="77" t="n">
        <f aca="false">I13</f>
        <v>0</v>
      </c>
      <c r="F14" s="90" t="n">
        <f aca="false">MAX(0,'BRIDGE CLEAN'!F11*(1+INPUTS!B19)^(A14-'BRIDGE CLEAN'!A11)-IF(B14&gt;=INPUTS!B7,INPUTS!B9*(1+INPUTS!B19)^(A14-INPUTS!B8),0))</f>
        <v>21068.6351663378</v>
      </c>
      <c r="G14" s="77" t="n">
        <f aca="false">C14*(1+INPUTS!B18)</f>
        <v>0</v>
      </c>
      <c r="H14" s="77" t="n">
        <f aca="false">MAX(0,D14-F14)*(1+INPUTS!B18)</f>
        <v>746984.167247523</v>
      </c>
      <c r="I14" s="77" t="n">
        <f aca="false">MAX(0,E14-MAX(0,F14-D14))*(1+INPUTS!B18)</f>
        <v>0</v>
      </c>
      <c r="J14" s="79" t="n">
        <f aca="false">IF(B14&gt;INPUTS!B6,"—",G14+H14+I14)</f>
        <v>746984.167247523</v>
      </c>
    </row>
    <row r="15" customFormat="false" ht="15.75" hidden="false" customHeight="true" outlineLevel="0" collapsed="false">
      <c r="A15" s="80" t="n">
        <f aca="false">A14+1</f>
        <v>2049</v>
      </c>
      <c r="B15" s="80" t="n">
        <f aca="false">B14+1</f>
        <v>70.5</v>
      </c>
      <c r="C15" s="82" t="n">
        <f aca="false">G14</f>
        <v>0</v>
      </c>
      <c r="D15" s="82" t="n">
        <f aca="false">H14</f>
        <v>746984.167247523</v>
      </c>
      <c r="E15" s="82" t="n">
        <f aca="false">I14</f>
        <v>0</v>
      </c>
      <c r="F15" s="90" t="n">
        <f aca="false">MAX(0,'BRIDGE CLEAN'!F11*(1+INPUTS!B19)^(A15-'BRIDGE CLEAN'!A11)-IF(B15&gt;=INPUTS!B7,INPUTS!B9*(1+INPUTS!B19)^(A15-INPUTS!B8),0))</f>
        <v>21595.3510454963</v>
      </c>
      <c r="G15" s="82" t="n">
        <f aca="false">C15*(1+INPUTS!B18)</f>
        <v>0</v>
      </c>
      <c r="H15" s="82" t="n">
        <f aca="false">MAX(0,D15-F15)*(1+INPUTS!B18)</f>
        <v>761658.257012129</v>
      </c>
      <c r="I15" s="82" t="n">
        <f aca="false">MAX(0,E15-MAX(0,F15-D15))*(1+INPUTS!B18)</f>
        <v>0</v>
      </c>
      <c r="J15" s="83" t="n">
        <f aca="false">IF(B15&gt;INPUTS!B6,"—",G15+H15+I15)</f>
        <v>761658.257012129</v>
      </c>
    </row>
    <row r="16" customFormat="false" ht="15.75" hidden="false" customHeight="true" outlineLevel="0" collapsed="false">
      <c r="A16" s="75" t="n">
        <f aca="false">A15+1</f>
        <v>2050</v>
      </c>
      <c r="B16" s="75" t="n">
        <f aca="false">B15+1</f>
        <v>71.5</v>
      </c>
      <c r="C16" s="77" t="n">
        <f aca="false">G15</f>
        <v>0</v>
      </c>
      <c r="D16" s="77" t="n">
        <f aca="false">H15</f>
        <v>761658.257012129</v>
      </c>
      <c r="E16" s="77" t="n">
        <f aca="false">I15</f>
        <v>0</v>
      </c>
      <c r="F16" s="90" t="n">
        <f aca="false">MAX(0,'BRIDGE CLEAN'!F11*(1+INPUTS!B19)^(A16-'BRIDGE CLEAN'!A11)-IF(B16&gt;=INPUTS!B7,INPUTS!B9*(1+INPUTS!B19)^(A16-INPUTS!B8),0))</f>
        <v>22135.2348216337</v>
      </c>
      <c r="G16" s="77" t="n">
        <f aca="false">C16*(1+INPUTS!B18)</f>
        <v>0</v>
      </c>
      <c r="H16" s="77" t="n">
        <f aca="false">MAX(0,D16-F16)*(1+INPUTS!B18)</f>
        <v>776499.17330002</v>
      </c>
      <c r="I16" s="77" t="n">
        <f aca="false">MAX(0,E16-MAX(0,F16-D16))*(1+INPUTS!B18)</f>
        <v>0</v>
      </c>
      <c r="J16" s="79" t="n">
        <f aca="false">IF(B16&gt;INPUTS!B6,"—",G16+H16+I16)</f>
        <v>776499.17330002</v>
      </c>
    </row>
    <row r="17" customFormat="false" ht="15.75" hidden="false" customHeight="true" outlineLevel="0" collapsed="false">
      <c r="A17" s="80" t="n">
        <f aca="false">A16+1</f>
        <v>2051</v>
      </c>
      <c r="B17" s="80" t="n">
        <f aca="false">B16+1</f>
        <v>72.5</v>
      </c>
      <c r="C17" s="82" t="n">
        <f aca="false">G16</f>
        <v>0</v>
      </c>
      <c r="D17" s="82" t="n">
        <f aca="false">H16</f>
        <v>776499.17330002</v>
      </c>
      <c r="E17" s="82" t="n">
        <f aca="false">I16</f>
        <v>0</v>
      </c>
      <c r="F17" s="90" t="n">
        <f aca="false">MAX(0,'BRIDGE CLEAN'!F11*(1+INPUTS!B19)^(A17-'BRIDGE CLEAN'!A11)-IF(B17&gt;=INPUTS!B7,INPUTS!B9*(1+INPUTS!B19)^(A17-INPUTS!B8),0))</f>
        <v>22688.6156921745</v>
      </c>
      <c r="G17" s="82" t="n">
        <f aca="false">C17*(1+INPUTS!B18)</f>
        <v>0</v>
      </c>
      <c r="H17" s="82" t="n">
        <f aca="false">MAX(0,D17-F17)*(1+INPUTS!B18)</f>
        <v>791501.085488237</v>
      </c>
      <c r="I17" s="82" t="n">
        <f aca="false">MAX(0,E17-MAX(0,F17-D17))*(1+INPUTS!B18)</f>
        <v>0</v>
      </c>
      <c r="J17" s="83" t="n">
        <f aca="false">IF(B17&gt;INPUTS!B6,"—",G17+H17+I17)</f>
        <v>791501.085488237</v>
      </c>
    </row>
    <row r="18" customFormat="false" ht="15.75" hidden="false" customHeight="true" outlineLevel="0" collapsed="false">
      <c r="A18" s="75" t="n">
        <f aca="false">A17+1</f>
        <v>2052</v>
      </c>
      <c r="B18" s="75" t="n">
        <f aca="false">B17+1</f>
        <v>73.5</v>
      </c>
      <c r="C18" s="77" t="n">
        <f aca="false">G17</f>
        <v>0</v>
      </c>
      <c r="D18" s="77" t="n">
        <f aca="false">H17</f>
        <v>791501.085488237</v>
      </c>
      <c r="E18" s="77" t="n">
        <f aca="false">I17</f>
        <v>0</v>
      </c>
      <c r="F18" s="90" t="n">
        <f aca="false">MAX(0,'BRIDGE CLEAN'!F11*(1+INPUTS!B19)^(A18-'BRIDGE CLEAN'!A11)-IF(B18&gt;=INPUTS!B7,INPUTS!B9*(1+INPUTS!B19)^(A18-INPUTS!B8),0))</f>
        <v>23255.8310844789</v>
      </c>
      <c r="G18" s="77" t="n">
        <f aca="false">C18*(1+INPUTS!B18)</f>
        <v>0</v>
      </c>
      <c r="H18" s="77" t="n">
        <f aca="false">MAX(0,D18-F18)*(1+INPUTS!B18)</f>
        <v>806657.517123947</v>
      </c>
      <c r="I18" s="77" t="n">
        <f aca="false">MAX(0,E18-MAX(0,F18-D18))*(1+INPUTS!B18)</f>
        <v>0</v>
      </c>
      <c r="J18" s="79" t="n">
        <f aca="false">IF(B18&gt;INPUTS!B6,"—",G18+H18+I18)</f>
        <v>806657.517123947</v>
      </c>
    </row>
    <row r="19" customFormat="false" ht="15.75" hidden="false" customHeight="true" outlineLevel="0" collapsed="false">
      <c r="A19" s="80" t="n">
        <f aca="false">A18+1</f>
        <v>2053</v>
      </c>
      <c r="B19" s="80" t="n">
        <f aca="false">B18+1</f>
        <v>74.5</v>
      </c>
      <c r="C19" s="82" t="n">
        <f aca="false">G18</f>
        <v>0</v>
      </c>
      <c r="D19" s="82" t="n">
        <f aca="false">H18</f>
        <v>806657.517123947</v>
      </c>
      <c r="E19" s="82" t="n">
        <f aca="false">I18</f>
        <v>0</v>
      </c>
      <c r="F19" s="90" t="n">
        <f aca="false">MAX(0,'BRIDGE CLEAN'!F11*(1+INPUTS!B19)^(A19-'BRIDGE CLEAN'!A11)-IF(B19&gt;=INPUTS!B7,INPUTS!B9*(1+INPUTS!B19)^(A19-INPUTS!B8),0))</f>
        <v>23837.2268615908</v>
      </c>
      <c r="G19" s="82" t="n">
        <f aca="false">C19*(1+INPUTS!B18)</f>
        <v>0</v>
      </c>
      <c r="H19" s="82" t="n">
        <f aca="false">MAX(0,D19-F19)*(1+INPUTS!B18)</f>
        <v>821961.304775473</v>
      </c>
      <c r="I19" s="82" t="n">
        <f aca="false">MAX(0,E19-MAX(0,F19-D19))*(1+INPUTS!B18)</f>
        <v>0</v>
      </c>
      <c r="J19" s="83" t="n">
        <f aca="false">IF(B19&gt;INPUTS!B6,"—",G19+H19+I19)</f>
        <v>821961.304775473</v>
      </c>
    </row>
    <row r="20" customFormat="false" ht="15.75" hidden="false" customHeight="true" outlineLevel="0" collapsed="false">
      <c r="A20" s="75" t="n">
        <f aca="false">A19+1</f>
        <v>2054</v>
      </c>
      <c r="B20" s="75" t="n">
        <f aca="false">B19+1</f>
        <v>75.5</v>
      </c>
      <c r="C20" s="77" t="n">
        <f aca="false">G19</f>
        <v>0</v>
      </c>
      <c r="D20" s="77" t="n">
        <f aca="false">H19</f>
        <v>821961.304775473</v>
      </c>
      <c r="E20" s="77" t="n">
        <f aca="false">I19</f>
        <v>0</v>
      </c>
      <c r="F20" s="90" t="n">
        <f aca="false">MAX(0,'BRIDGE CLEAN'!F11*(1+INPUTS!B19)^(A20-'BRIDGE CLEAN'!A11)-IF(B20&gt;=INPUTS!B7,INPUTS!B9*(1+INPUTS!B19)^(A20-INPUTS!B8),0))</f>
        <v>24433.1575331306</v>
      </c>
      <c r="G20" s="77" t="n">
        <f aca="false">C20*(1+INPUTS!B18)</f>
        <v>0</v>
      </c>
      <c r="H20" s="77" t="n">
        <f aca="false">MAX(0,D20-F20)*(1+INPUTS!B18)</f>
        <v>837404.55460446</v>
      </c>
      <c r="I20" s="77" t="n">
        <f aca="false">MAX(0,E20-MAX(0,F20-D20))*(1+INPUTS!B18)</f>
        <v>0</v>
      </c>
      <c r="J20" s="79" t="n">
        <f aca="false">IF(B20&gt;INPUTS!B6,"—",G20+H20+I20)</f>
        <v>837404.55460446</v>
      </c>
    </row>
    <row r="21" customFormat="false" ht="15.75" hidden="false" customHeight="true" outlineLevel="0" collapsed="false">
      <c r="A21" s="80" t="n">
        <f aca="false">A20+1</f>
        <v>2055</v>
      </c>
      <c r="B21" s="80" t="n">
        <f aca="false">B20+1</f>
        <v>76.5</v>
      </c>
      <c r="C21" s="82" t="n">
        <f aca="false">G20</f>
        <v>0</v>
      </c>
      <c r="D21" s="82" t="n">
        <f aca="false">H20</f>
        <v>837404.55460446</v>
      </c>
      <c r="E21" s="82" t="n">
        <f aca="false">I20</f>
        <v>0</v>
      </c>
      <c r="F21" s="90" t="n">
        <f aca="false">MAX(0,'BRIDGE CLEAN'!F11*(1+INPUTS!B19)^(A21-'BRIDGE CLEAN'!A11)-IF(B21&gt;=INPUTS!B7,INPUTS!B9*(1+INPUTS!B19)^(A21-INPUTS!B8),0))</f>
        <v>25043.9864714589</v>
      </c>
      <c r="G21" s="82" t="n">
        <f aca="false">C21*(1+INPUTS!B18)</f>
        <v>0</v>
      </c>
      <c r="H21" s="82" t="n">
        <f aca="false">MAX(0,D21-F21)*(1+INPUTS!B18)</f>
        <v>852978.596539651</v>
      </c>
      <c r="I21" s="82" t="n">
        <f aca="false">MAX(0,E21-MAX(0,F21-D21))*(1+INPUTS!B18)</f>
        <v>0</v>
      </c>
      <c r="J21" s="83" t="n">
        <f aca="false">IF(B21&gt;INPUTS!B6,"—",G21+H21+I21)</f>
        <v>852978.596539651</v>
      </c>
    </row>
    <row r="22" customFormat="false" ht="15.75" hidden="false" customHeight="true" outlineLevel="0" collapsed="false">
      <c r="A22" s="75" t="n">
        <f aca="false">A21+1</f>
        <v>2056</v>
      </c>
      <c r="B22" s="75" t="n">
        <f aca="false">B21+1</f>
        <v>77.5</v>
      </c>
      <c r="C22" s="77" t="n">
        <f aca="false">G21</f>
        <v>0</v>
      </c>
      <c r="D22" s="77" t="n">
        <f aca="false">H21</f>
        <v>852978.596539651</v>
      </c>
      <c r="E22" s="77" t="n">
        <f aca="false">I21</f>
        <v>0</v>
      </c>
      <c r="F22" s="90" t="n">
        <f aca="false">MAX(0,'BRIDGE CLEAN'!F11*(1+INPUTS!B19)^(A22-'BRIDGE CLEAN'!A11)-IF(B22&gt;=INPUTS!B7,INPUTS!B9*(1+INPUTS!B19)^(A22-INPUTS!B8),0))</f>
        <v>25670.0861332454</v>
      </c>
      <c r="G22" s="77" t="n">
        <f aca="false">C22*(1+INPUTS!B18)</f>
        <v>0</v>
      </c>
      <c r="H22" s="77" t="n">
        <f aca="false">MAX(0,D22-F22)*(1+INPUTS!B18)</f>
        <v>868673.935926726</v>
      </c>
      <c r="I22" s="77" t="n">
        <f aca="false">MAX(0,E22-MAX(0,F22-D22))*(1+INPUTS!B18)</f>
        <v>0</v>
      </c>
      <c r="J22" s="79" t="n">
        <f aca="false">IF(B22&gt;INPUTS!B6,"—",G22+H22+I22)</f>
        <v>868673.935926726</v>
      </c>
    </row>
    <row r="23" customFormat="false" ht="15.75" hidden="false" customHeight="true" outlineLevel="0" collapsed="false">
      <c r="A23" s="80" t="n">
        <f aca="false">A22+1</f>
        <v>2057</v>
      </c>
      <c r="B23" s="80" t="n">
        <f aca="false">B22+1</f>
        <v>78.5</v>
      </c>
      <c r="C23" s="82" t="n">
        <f aca="false">G22</f>
        <v>0</v>
      </c>
      <c r="D23" s="82" t="n">
        <f aca="false">H22</f>
        <v>868673.935926726</v>
      </c>
      <c r="E23" s="82" t="n">
        <f aca="false">I22</f>
        <v>0</v>
      </c>
      <c r="F23" s="90" t="n">
        <f aca="false">MAX(0,'BRIDGE CLEAN'!F11*(1+INPUTS!B19)^(A23-'BRIDGE CLEAN'!A11)-IF(B23&gt;=INPUTS!B7,INPUTS!B9*(1+INPUTS!B19)^(A23-INPUTS!B8),0))</f>
        <v>26311.8382865765</v>
      </c>
      <c r="G23" s="82" t="n">
        <f aca="false">C23*(1+INPUTS!B18)</f>
        <v>0</v>
      </c>
      <c r="H23" s="82" t="n">
        <f aca="false">MAX(0,D23-F23)*(1+INPUTS!B18)</f>
        <v>884480.202522157</v>
      </c>
      <c r="I23" s="82" t="n">
        <f aca="false">MAX(0,E23-MAX(0,F23-D23))*(1+INPUTS!B18)</f>
        <v>0</v>
      </c>
      <c r="J23" s="83" t="n">
        <f aca="false">IF(B23&gt;INPUTS!B6,"—",G23+H23+I23)</f>
        <v>884480.202522157</v>
      </c>
    </row>
    <row r="24" customFormat="false" ht="15.75" hidden="false" customHeight="true" outlineLevel="0" collapsed="false">
      <c r="A24" s="75" t="n">
        <f aca="false">A23+1</f>
        <v>2058</v>
      </c>
      <c r="B24" s="75" t="n">
        <f aca="false">B23+1</f>
        <v>79.5</v>
      </c>
      <c r="C24" s="77" t="n">
        <f aca="false">G23</f>
        <v>0</v>
      </c>
      <c r="D24" s="77" t="n">
        <f aca="false">H23</f>
        <v>884480.202522157</v>
      </c>
      <c r="E24" s="77" t="n">
        <f aca="false">I23</f>
        <v>0</v>
      </c>
      <c r="F24" s="90" t="n">
        <f aca="false">MAX(0,'BRIDGE CLEAN'!F11*(1+INPUTS!B19)^(A24-'BRIDGE CLEAN'!A11)-IF(B24&gt;=INPUTS!B7,INPUTS!B9*(1+INPUTS!B19)^(A24-INPUTS!B8),0))</f>
        <v>26969.6342437409</v>
      </c>
      <c r="G24" s="77" t="n">
        <f aca="false">C24*(1+INPUTS!B18)</f>
        <v>0</v>
      </c>
      <c r="H24" s="77" t="n">
        <f aca="false">MAX(0,D24-F24)*(1+INPUTS!B18)</f>
        <v>900386.096692337</v>
      </c>
      <c r="I24" s="77" t="n">
        <f aca="false">MAX(0,E24-MAX(0,F24-D24))*(1+INPUTS!B18)</f>
        <v>0</v>
      </c>
      <c r="J24" s="79" t="n">
        <f aca="false">IF(B24&gt;INPUTS!B6,"—",G24+H24+I24)</f>
        <v>900386.096692337</v>
      </c>
    </row>
    <row r="25" customFormat="false" ht="15.75" hidden="false" customHeight="true" outlineLevel="0" collapsed="false">
      <c r="A25" s="80" t="n">
        <f aca="false">A24+1</f>
        <v>2059</v>
      </c>
      <c r="B25" s="80" t="n">
        <f aca="false">B24+1</f>
        <v>80.5</v>
      </c>
      <c r="C25" s="82" t="n">
        <f aca="false">G24</f>
        <v>0</v>
      </c>
      <c r="D25" s="82" t="n">
        <f aca="false">H24</f>
        <v>900386.096692337</v>
      </c>
      <c r="E25" s="82" t="n">
        <f aca="false">I24</f>
        <v>0</v>
      </c>
      <c r="F25" s="90" t="n">
        <f aca="false">MAX(0,'BRIDGE CLEAN'!F11*(1+INPUTS!B19)^(A25-'BRIDGE CLEAN'!A11)-IF(B25&gt;=INPUTS!B7,INPUTS!B9*(1+INPUTS!B19)^(A25-INPUTS!B8),0))</f>
        <v>27643.8750998344</v>
      </c>
      <c r="G25" s="82" t="n">
        <f aca="false">C25*(1+INPUTS!B18)</f>
        <v>0</v>
      </c>
      <c r="H25" s="82" t="n">
        <f aca="false">MAX(0,D25-F25)*(1+INPUTS!B18)</f>
        <v>916379.332672128</v>
      </c>
      <c r="I25" s="82" t="n">
        <f aca="false">MAX(0,E25-MAX(0,F25-D25))*(1+INPUTS!B18)</f>
        <v>0</v>
      </c>
      <c r="J25" s="83" t="n">
        <f aca="false">IF(B25&gt;INPUTS!B6,"—",G25+H25+I25)</f>
        <v>916379.332672128</v>
      </c>
    </row>
    <row r="26" customFormat="false" ht="15.75" hidden="false" customHeight="true" outlineLevel="0" collapsed="false">
      <c r="A26" s="75" t="n">
        <f aca="false">A25+1</f>
        <v>2060</v>
      </c>
      <c r="B26" s="75" t="n">
        <f aca="false">B25+1</f>
        <v>81.5</v>
      </c>
      <c r="C26" s="77" t="n">
        <f aca="false">G25</f>
        <v>0</v>
      </c>
      <c r="D26" s="77" t="n">
        <f aca="false">H25</f>
        <v>916379.332672128</v>
      </c>
      <c r="E26" s="77" t="n">
        <f aca="false">I25</f>
        <v>0</v>
      </c>
      <c r="F26" s="90" t="n">
        <f aca="false">MAX(0,'BRIDGE CLEAN'!F11*(1+INPUTS!B19)^(A26-'BRIDGE CLEAN'!A11)-IF(B26&gt;=INPUTS!B7,INPUTS!B9*(1+INPUTS!B19)^(A26-INPUTS!B8),0))</f>
        <v>28334.9719773303</v>
      </c>
      <c r="G26" s="77" t="n">
        <f aca="false">C26*(1+INPUTS!B18)</f>
        <v>0</v>
      </c>
      <c r="H26" s="77" t="n">
        <f aca="false">MAX(0,D26-F26)*(1+INPUTS!B18)</f>
        <v>932446.578729538</v>
      </c>
      <c r="I26" s="77" t="n">
        <f aca="false">MAX(0,E26-MAX(0,F26-D26))*(1+INPUTS!B18)</f>
        <v>0</v>
      </c>
      <c r="J26" s="79" t="n">
        <f aca="false">IF(B26&gt;INPUTS!B6,"—",G26+H26+I26)</f>
        <v>932446.578729538</v>
      </c>
    </row>
    <row r="27" customFormat="false" ht="15.75" hidden="false" customHeight="true" outlineLevel="0" collapsed="false">
      <c r="A27" s="80" t="n">
        <f aca="false">A26+1</f>
        <v>2061</v>
      </c>
      <c r="B27" s="80" t="n">
        <f aca="false">B26+1</f>
        <v>82.5</v>
      </c>
      <c r="C27" s="82" t="n">
        <f aca="false">G26</f>
        <v>0</v>
      </c>
      <c r="D27" s="82" t="n">
        <f aca="false">H26</f>
        <v>932446.578729538</v>
      </c>
      <c r="E27" s="82" t="n">
        <f aca="false">I26</f>
        <v>0</v>
      </c>
      <c r="F27" s="90" t="n">
        <f aca="false">MAX(0,'BRIDGE CLEAN'!F11*(1+INPUTS!B19)^(A27-'BRIDGE CLEAN'!A11)-IF(B27&gt;=INPUTS!B7,INPUTS!B9*(1+INPUTS!B19)^(A27-INPUTS!B8),0))</f>
        <v>29043.3462767635</v>
      </c>
      <c r="G27" s="82" t="n">
        <f aca="false">C27*(1+INPUTS!B18)</f>
        <v>0</v>
      </c>
      <c r="H27" s="82" t="n">
        <f aca="false">MAX(0,D27-F27)*(1+INPUTS!B18)</f>
        <v>948573.394075413</v>
      </c>
      <c r="I27" s="82" t="n">
        <f aca="false">MAX(0,E27-MAX(0,F27-D27))*(1+INPUTS!B18)</f>
        <v>0</v>
      </c>
      <c r="J27" s="83" t="n">
        <f aca="false">IF(B27&gt;INPUTS!B6,"—",G27+H27+I27)</f>
        <v>948573.394075413</v>
      </c>
    </row>
    <row r="28" customFormat="false" ht="15.75" hidden="false" customHeight="true" outlineLevel="0" collapsed="false">
      <c r="A28" s="75" t="n">
        <f aca="false">A27+1</f>
        <v>2062</v>
      </c>
      <c r="B28" s="75" t="n">
        <f aca="false">B27+1</f>
        <v>83.5</v>
      </c>
      <c r="C28" s="77" t="n">
        <f aca="false">G27</f>
        <v>0</v>
      </c>
      <c r="D28" s="77" t="n">
        <f aca="false">H27</f>
        <v>948573.394075413</v>
      </c>
      <c r="E28" s="77" t="n">
        <f aca="false">I27</f>
        <v>0</v>
      </c>
      <c r="F28" s="90" t="n">
        <f aca="false">MAX(0,'BRIDGE CLEAN'!F11*(1+INPUTS!B19)^(A28-'BRIDGE CLEAN'!A11)-IF(B28&gt;=INPUTS!B7,INPUTS!B9*(1+INPUTS!B19)^(A28-INPUTS!B8),0))</f>
        <v>29769.4299336826</v>
      </c>
      <c r="G28" s="77" t="n">
        <f aca="false">C28*(1+INPUTS!B18)</f>
        <v>0</v>
      </c>
      <c r="H28" s="77" t="n">
        <f aca="false">MAX(0,D28-F28)*(1+INPUTS!B18)</f>
        <v>964744.162348817</v>
      </c>
      <c r="I28" s="77" t="n">
        <f aca="false">MAX(0,E28-MAX(0,F28-D28))*(1+INPUTS!B18)</f>
        <v>0</v>
      </c>
      <c r="J28" s="79" t="n">
        <f aca="false">IF(B28&gt;INPUTS!B6,"—",G28+H28+I28)</f>
        <v>964744.162348817</v>
      </c>
    </row>
    <row r="29" customFormat="false" ht="15.75" hidden="false" customHeight="true" outlineLevel="0" collapsed="false">
      <c r="A29" s="80" t="n">
        <f aca="false">A28+1</f>
        <v>2063</v>
      </c>
      <c r="B29" s="80" t="n">
        <f aca="false">B28+1</f>
        <v>84.5</v>
      </c>
      <c r="C29" s="82" t="n">
        <f aca="false">G28</f>
        <v>0</v>
      </c>
      <c r="D29" s="82" t="n">
        <f aca="false">H28</f>
        <v>964744.162348817</v>
      </c>
      <c r="E29" s="82" t="n">
        <f aca="false">I28</f>
        <v>0</v>
      </c>
      <c r="F29" s="90" t="n">
        <f aca="false">MAX(0,'BRIDGE CLEAN'!F11*(1+INPUTS!B19)^(A29-'BRIDGE CLEAN'!A11)-IF(B29&gt;=INPUTS!B7,INPUTS!B9*(1+INPUTS!B19)^(A29-INPUTS!B8),0))</f>
        <v>30513.6656820247</v>
      </c>
      <c r="G29" s="82" t="n">
        <f aca="false">C29*(1+INPUTS!B18)</f>
        <v>0</v>
      </c>
      <c r="H29" s="82" t="n">
        <f aca="false">MAX(0,D29-F29)*(1+INPUTS!B18)</f>
        <v>980942.021500132</v>
      </c>
      <c r="I29" s="82" t="n">
        <f aca="false">MAX(0,E29-MAX(0,F29-D29))*(1+INPUTS!B18)</f>
        <v>0</v>
      </c>
      <c r="J29" s="83" t="n">
        <f aca="false">IF(B29&gt;INPUTS!B6,"—",G29+H29+I29)</f>
        <v>980942.021500132</v>
      </c>
    </row>
    <row r="30" customFormat="false" ht="15.75" hidden="false" customHeight="true" outlineLevel="0" collapsed="false">
      <c r="A30" s="75" t="n">
        <f aca="false">A29+1</f>
        <v>2064</v>
      </c>
      <c r="B30" s="75" t="n">
        <f aca="false">B29+1</f>
        <v>85.5</v>
      </c>
      <c r="C30" s="77" t="n">
        <f aca="false">G29</f>
        <v>0</v>
      </c>
      <c r="D30" s="77" t="n">
        <f aca="false">H29</f>
        <v>980942.021500132</v>
      </c>
      <c r="E30" s="77" t="n">
        <f aca="false">I29</f>
        <v>0</v>
      </c>
      <c r="F30" s="90" t="n">
        <f aca="false">MAX(0,'BRIDGE CLEAN'!F11*(1+INPUTS!B19)^(A30-'BRIDGE CLEAN'!A11)-IF(B30&gt;=INPUTS!B7,INPUTS!B9*(1+INPUTS!B19)^(A30-INPUTS!B8),0))</f>
        <v>31276.5073240753</v>
      </c>
      <c r="G30" s="77" t="n">
        <f aca="false">C30*(1+INPUTS!B18)</f>
        <v>0</v>
      </c>
      <c r="H30" s="77" t="n">
        <f aca="false">MAX(0,D30-F30)*(1+INPUTS!B18)</f>
        <v>997148.789884859</v>
      </c>
      <c r="I30" s="77" t="n">
        <f aca="false">MAX(0,E30-MAX(0,F30-D30))*(1+INPUTS!B18)</f>
        <v>0</v>
      </c>
      <c r="J30" s="79" t="n">
        <f aca="false">IF(B30&gt;INPUTS!B6,"—",G30+H30+I30)</f>
        <v>997148.789884859</v>
      </c>
    </row>
    <row r="31" customFormat="false" ht="15.75" hidden="false" customHeight="true" outlineLevel="0" collapsed="false">
      <c r="A31" s="80" t="n">
        <f aca="false">A30+1</f>
        <v>2065</v>
      </c>
      <c r="B31" s="80" t="n">
        <f aca="false">B30+1</f>
        <v>86.5</v>
      </c>
      <c r="C31" s="82" t="n">
        <f aca="false">G30</f>
        <v>0</v>
      </c>
      <c r="D31" s="82" t="n">
        <f aca="false">H30</f>
        <v>997148.789884859</v>
      </c>
      <c r="E31" s="82" t="n">
        <f aca="false">I30</f>
        <v>0</v>
      </c>
      <c r="F31" s="90" t="n">
        <f aca="false">MAX(0,'BRIDGE CLEAN'!F11*(1+INPUTS!B19)^(A31-'BRIDGE CLEAN'!A11)-IF(B31&gt;=INPUTS!B7,INPUTS!B9*(1+INPUTS!B19)^(A31-INPUTS!B8),0))</f>
        <v>32058.4200071772</v>
      </c>
      <c r="G31" s="82" t="n">
        <f aca="false">C31*(1+INPUTS!B18)</f>
        <v>0</v>
      </c>
      <c r="H31" s="82" t="n">
        <f aca="false">MAX(0,D31-F31)*(1+INPUTS!B18)</f>
        <v>1013344.88837157</v>
      </c>
      <c r="I31" s="82" t="n">
        <f aca="false">MAX(0,E31-MAX(0,F31-D31))*(1+INPUTS!B18)</f>
        <v>0</v>
      </c>
      <c r="J31" s="83" t="n">
        <f aca="false">IF(B31&gt;INPUTS!B6,"—",G31+H31+I31)</f>
        <v>1013344.88837157</v>
      </c>
    </row>
    <row r="32" customFormat="false" ht="15.75" hidden="false" customHeight="true" outlineLevel="0" collapsed="false">
      <c r="A32" s="75" t="n">
        <f aca="false">A31+1</f>
        <v>2066</v>
      </c>
      <c r="B32" s="75" t="n">
        <f aca="false">B31+1</f>
        <v>87.5</v>
      </c>
      <c r="C32" s="77" t="n">
        <f aca="false">G31</f>
        <v>0</v>
      </c>
      <c r="D32" s="77" t="n">
        <f aca="false">H31</f>
        <v>1013344.88837157</v>
      </c>
      <c r="E32" s="77" t="n">
        <f aca="false">I31</f>
        <v>0</v>
      </c>
      <c r="F32" s="90" t="n">
        <f aca="false">MAX(0,'BRIDGE CLEAN'!F11*(1+INPUTS!B19)^(A32-'BRIDGE CLEAN'!A11)-IF(B32&gt;=INPUTS!B7,INPUTS!B9*(1+INPUTS!B19)^(A32-INPUTS!B8),0))</f>
        <v>32859.8805073566</v>
      </c>
      <c r="G32" s="77" t="n">
        <f aca="false">C32*(1+INPUTS!B18)</f>
        <v>0</v>
      </c>
      <c r="H32" s="77" t="n">
        <f aca="false">MAX(0,D32-F32)*(1+INPUTS!B18)</f>
        <v>1029509.25825742</v>
      </c>
      <c r="I32" s="77" t="n">
        <f aca="false">MAX(0,E32-MAX(0,F32-D32))*(1+INPUTS!B18)</f>
        <v>0</v>
      </c>
      <c r="J32" s="79" t="n">
        <f aca="false">IF(B32&gt;INPUTS!B6,"—",G32+H32+I32)</f>
        <v>1029509.25825742</v>
      </c>
    </row>
    <row r="33" customFormat="false" ht="15.75" hidden="false" customHeight="true" outlineLevel="0" collapsed="false">
      <c r="A33" s="80" t="n">
        <f aca="false">A32+1</f>
        <v>2067</v>
      </c>
      <c r="B33" s="80" t="n">
        <f aca="false">B32+1</f>
        <v>88.5</v>
      </c>
      <c r="C33" s="82" t="n">
        <f aca="false">G32</f>
        <v>0</v>
      </c>
      <c r="D33" s="82" t="n">
        <f aca="false">H32</f>
        <v>1029509.25825742</v>
      </c>
      <c r="E33" s="82" t="n">
        <f aca="false">I32</f>
        <v>0</v>
      </c>
      <c r="F33" s="90" t="n">
        <f aca="false">MAX(0,'BRIDGE CLEAN'!F11*(1+INPUTS!B19)^(A33-'BRIDGE CLEAN'!A11)-IF(B33&gt;=INPUTS!B7,INPUTS!B9*(1+INPUTS!B19)^(A33-INPUTS!B8),0))</f>
        <v>33681.3775200405</v>
      </c>
      <c r="G33" s="82" t="n">
        <f aca="false">C33*(1+INPUTS!B18)</f>
        <v>0</v>
      </c>
      <c r="H33" s="82" t="n">
        <f aca="false">MAX(0,D33-F33)*(1+INPUTS!B18)</f>
        <v>1045619.27477425</v>
      </c>
      <c r="I33" s="82" t="n">
        <f aca="false">MAX(0,E33-MAX(0,F33-D33))*(1+INPUTS!B18)</f>
        <v>0</v>
      </c>
      <c r="J33" s="83" t="n">
        <f aca="false">IF(B33&gt;INPUTS!B6,"—",G33+H33+I33)</f>
        <v>1045619.27477425</v>
      </c>
    </row>
    <row r="34" customFormat="false" ht="15.75" hidden="false" customHeight="true" outlineLevel="0" collapsed="false">
      <c r="A34" s="75" t="n">
        <f aca="false">A33+1</f>
        <v>2068</v>
      </c>
      <c r="B34" s="75" t="n">
        <f aca="false">B33+1</f>
        <v>89.5</v>
      </c>
      <c r="C34" s="77" t="n">
        <f aca="false">G33</f>
        <v>0</v>
      </c>
      <c r="D34" s="77" t="n">
        <f aca="false">H33</f>
        <v>1045619.27477425</v>
      </c>
      <c r="E34" s="77" t="n">
        <f aca="false">I33</f>
        <v>0</v>
      </c>
      <c r="F34" s="90" t="n">
        <f aca="false">MAX(0,'BRIDGE CLEAN'!F11*(1+INPUTS!B19)^(A34-'BRIDGE CLEAN'!A11)-IF(B34&gt;=INPUTS!B7,INPUTS!B9*(1+INPUTS!B19)^(A34-INPUTS!B8),0))</f>
        <v>34523.4119580415</v>
      </c>
      <c r="G34" s="77" t="n">
        <f aca="false">C34*(1+INPUTS!B18)</f>
        <v>0</v>
      </c>
      <c r="H34" s="77" t="n">
        <f aca="false">MAX(0,D34-F34)*(1+INPUTS!B18)</f>
        <v>1061650.65595702</v>
      </c>
      <c r="I34" s="77" t="n">
        <f aca="false">MAX(0,E34-MAX(0,F34-D34))*(1+INPUTS!B18)</f>
        <v>0</v>
      </c>
      <c r="J34" s="79" t="n">
        <f aca="false">IF(B34&gt;INPUTS!B6,"—",G34+H34+I34)</f>
        <v>1061650.65595702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78BFA"/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4" min="3" style="1" width="18"/>
    <col collapsed="false" customWidth="true" hidden="false" outlineLevel="0" max="5" min="5" style="1" width="20"/>
  </cols>
  <sheetData>
    <row r="1" customFormat="false" ht="30" hidden="false" customHeight="true" outlineLevel="0" collapsed="false">
      <c r="A1" s="70" t="s">
        <v>104</v>
      </c>
      <c r="B1" s="70"/>
      <c r="C1" s="70"/>
      <c r="D1" s="70"/>
      <c r="E1" s="70"/>
    </row>
    <row r="2" customFormat="false" ht="15.75" hidden="false" customHeight="true" outlineLevel="0" collapsed="false">
      <c r="A2" s="72" t="s">
        <v>20</v>
      </c>
      <c r="B2" s="72" t="s">
        <v>21</v>
      </c>
      <c r="C2" s="72" t="s">
        <v>77</v>
      </c>
      <c r="D2" s="72" t="s">
        <v>105</v>
      </c>
      <c r="E2" s="72" t="s">
        <v>27</v>
      </c>
    </row>
    <row r="3" customFormat="false" ht="15.75" hidden="false" customHeight="true" outlineLevel="0" collapsed="false">
      <c r="A3" s="80" t="n">
        <f aca="false">'BRIDGE CLEAN'!A4</f>
        <v>2030</v>
      </c>
      <c r="B3" s="80" t="n">
        <f aca="false">'BRIDGE CLEAN'!B4</f>
        <v>52</v>
      </c>
      <c r="C3" s="82" t="n">
        <f aca="false">'BRIDGE CLEAN'!J4</f>
        <v>861000</v>
      </c>
      <c r="D3" s="82" t="n">
        <f aca="false">'BRIDGE CLEAN'!F4</f>
        <v>40000</v>
      </c>
      <c r="E3" s="91" t="s">
        <v>106</v>
      </c>
    </row>
    <row r="4" customFormat="false" ht="15.75" hidden="false" customHeight="true" outlineLevel="0" collapsed="false">
      <c r="A4" s="75" t="n">
        <f aca="false">'BRIDGE CLEAN'!A5</f>
        <v>2031</v>
      </c>
      <c r="B4" s="75" t="n">
        <f aca="false">'BRIDGE CLEAN'!B5</f>
        <v>53</v>
      </c>
      <c r="C4" s="77" t="n">
        <f aca="false">'BRIDGE CLEAN'!J5</f>
        <v>861000</v>
      </c>
      <c r="D4" s="77" t="n">
        <f aca="false">'BRIDGE CLEAN'!F5</f>
        <v>41000</v>
      </c>
      <c r="E4" s="91" t="s">
        <v>106</v>
      </c>
    </row>
    <row r="5" customFormat="false" ht="15.75" hidden="false" customHeight="true" outlineLevel="0" collapsed="false">
      <c r="A5" s="80" t="n">
        <f aca="false">'BRIDGE CLEAN'!A6</f>
        <v>2032</v>
      </c>
      <c r="B5" s="80" t="n">
        <f aca="false">'BRIDGE CLEAN'!B6</f>
        <v>54</v>
      </c>
      <c r="C5" s="82" t="n">
        <f aca="false">'BRIDGE CLEAN'!J6</f>
        <v>859923.75</v>
      </c>
      <c r="D5" s="82" t="n">
        <f aca="false">'BRIDGE CLEAN'!F6</f>
        <v>42025</v>
      </c>
      <c r="E5" s="91" t="s">
        <v>106</v>
      </c>
    </row>
    <row r="6" customFormat="false" ht="15.75" hidden="false" customHeight="true" outlineLevel="0" collapsed="false">
      <c r="A6" s="75" t="n">
        <f aca="false">'BRIDGE CLEAN'!A7</f>
        <v>2033</v>
      </c>
      <c r="B6" s="75" t="n">
        <f aca="false">'BRIDGE CLEAN'!B7</f>
        <v>55</v>
      </c>
      <c r="C6" s="77" t="n">
        <f aca="false">'BRIDGE CLEAN'!J7</f>
        <v>857690.53125</v>
      </c>
      <c r="D6" s="77" t="n">
        <f aca="false">'BRIDGE CLEAN'!F7</f>
        <v>43075.625</v>
      </c>
      <c r="E6" s="91" t="s">
        <v>106</v>
      </c>
    </row>
    <row r="7" customFormat="false" ht="15.75" hidden="false" customHeight="true" outlineLevel="0" collapsed="false">
      <c r="A7" s="80" t="n">
        <f aca="false">'BRIDGE CLEAN'!A8</f>
        <v>2034</v>
      </c>
      <c r="B7" s="80" t="n">
        <f aca="false">'BRIDGE CLEAN'!B8</f>
        <v>56</v>
      </c>
      <c r="C7" s="82" t="n">
        <f aca="false">'BRIDGE CLEAN'!J8</f>
        <v>854214.91640625</v>
      </c>
      <c r="D7" s="82" t="n">
        <f aca="false">'BRIDGE CLEAN'!F8</f>
        <v>44152.515625</v>
      </c>
      <c r="E7" s="91" t="s">
        <v>106</v>
      </c>
    </row>
    <row r="8" customFormat="false" ht="15.75" hidden="false" customHeight="true" outlineLevel="0" collapsed="false">
      <c r="A8" s="75" t="n">
        <f aca="false">'BRIDGE CLEAN'!A9</f>
        <v>2035</v>
      </c>
      <c r="B8" s="75" t="n">
        <f aca="false">'BRIDGE CLEAN'!B9</f>
        <v>57</v>
      </c>
      <c r="C8" s="77" t="n">
        <f aca="false">'BRIDGE CLEAN'!J9</f>
        <v>849406.517285156</v>
      </c>
      <c r="D8" s="77" t="n">
        <f aca="false">'BRIDGE CLEAN'!F9</f>
        <v>45256.328515625</v>
      </c>
      <c r="E8" s="91" t="s">
        <v>106</v>
      </c>
    </row>
    <row r="9" customFormat="false" ht="15.75" hidden="false" customHeight="true" outlineLevel="0" collapsed="false">
      <c r="A9" s="80" t="n">
        <f aca="false">'BRIDGE CLEAN'!A10</f>
        <v>2036</v>
      </c>
      <c r="B9" s="80" t="n">
        <f aca="false">'BRIDGE CLEAN'!B10</f>
        <v>58</v>
      </c>
      <c r="C9" s="82" t="n">
        <f aca="false">'BRIDGE CLEAN'!J10</f>
        <v>843169.719584473</v>
      </c>
      <c r="D9" s="82" t="n">
        <f aca="false">'BRIDGE CLEAN'!F10</f>
        <v>46387.7367285156</v>
      </c>
      <c r="E9" s="91" t="s">
        <v>106</v>
      </c>
    </row>
    <row r="10" customFormat="false" ht="15.75" hidden="false" customHeight="true" outlineLevel="0" collapsed="false">
      <c r="A10" s="75" t="n">
        <f aca="false">'BRIDGE CLEAN'!A11</f>
        <v>2037</v>
      </c>
      <c r="B10" s="75" t="n">
        <f aca="false">'BRIDGE CLEAN'!B11</f>
        <v>59</v>
      </c>
      <c r="C10" s="77" t="n">
        <f aca="false">'BRIDGE CLEAN'!J11</f>
        <v>835403.403909632</v>
      </c>
      <c r="D10" s="77" t="n">
        <f aca="false">'BRIDGE CLEAN'!F11</f>
        <v>47547.4301467285</v>
      </c>
      <c r="E10" s="91" t="s">
        <v>106</v>
      </c>
    </row>
    <row r="11" customFormat="false" ht="15.75" hidden="false" customHeight="true" outlineLevel="0" collapsed="false">
      <c r="A11" s="80" t="n">
        <f aca="false">'POST-59.5'!A4</f>
        <v>2038</v>
      </c>
      <c r="B11" s="80" t="n">
        <f aca="false">'POST-59.5'!B4</f>
        <v>59.5</v>
      </c>
      <c r="C11" s="82" t="n">
        <f aca="false">'POST-59.5'!J4</f>
        <v>826000.652409697</v>
      </c>
      <c r="D11" s="82" t="n">
        <f aca="false">'POST-59.5'!F4</f>
        <v>48736.1159003967</v>
      </c>
      <c r="E11" s="92" t="str">
        <f aca="false">IF('POST-59.5'!B4&gt;=INPUTS!B7,"Post-SS (401k+)","Post-59½ (401k)")</f>
        <v>Post-59½ (401k)</v>
      </c>
    </row>
    <row r="12" customFormat="false" ht="15.75" hidden="false" customHeight="true" outlineLevel="0" collapsed="false">
      <c r="A12" s="75" t="n">
        <f aca="false">'POST-59.5'!A5</f>
        <v>2039</v>
      </c>
      <c r="B12" s="75" t="n">
        <f aca="false">'POST-59.5'!B5</f>
        <v>60.5</v>
      </c>
      <c r="C12" s="77" t="n">
        <f aca="false">'POST-59.5'!J5</f>
        <v>814848.44029238</v>
      </c>
      <c r="D12" s="77" t="n">
        <f aca="false">'POST-59.5'!F5</f>
        <v>49954.5187979066</v>
      </c>
      <c r="E12" s="92" t="str">
        <f aca="false">IF('POST-59.5'!B5&gt;=INPUTS!B7,"Post-SS (401k+)","Post-59½ (401k)")</f>
        <v>Post-59½ (401k)</v>
      </c>
    </row>
    <row r="13" customFormat="false" ht="15.75" hidden="false" customHeight="true" outlineLevel="0" collapsed="false">
      <c r="A13" s="80" t="n">
        <f aca="false">'POST-59.5'!A6</f>
        <v>2040</v>
      </c>
      <c r="B13" s="80" t="n">
        <f aca="false">'POST-59.5'!B6</f>
        <v>61.5</v>
      </c>
      <c r="C13" s="82" t="n">
        <f aca="false">'POST-59.5'!J6</f>
        <v>801827.311450752</v>
      </c>
      <c r="D13" s="82" t="n">
        <f aca="false">'POST-59.5'!F6</f>
        <v>51203.3817678543</v>
      </c>
      <c r="E13" s="92" t="str">
        <f aca="false">IF('POST-59.5'!B6&gt;=INPUTS!B7,"Post-SS (401k+)","Post-59½ (401k)")</f>
        <v>Post-59½ (401k)</v>
      </c>
    </row>
    <row r="14" customFormat="false" ht="15.75" hidden="false" customHeight="true" outlineLevel="0" collapsed="false">
      <c r="A14" s="75" t="n">
        <f aca="false">'POST-59.5'!A7</f>
        <v>2041</v>
      </c>
      <c r="B14" s="75" t="n">
        <f aca="false">'POST-59.5'!B7</f>
        <v>62.5</v>
      </c>
      <c r="C14" s="77" t="n">
        <f aca="false">'POST-59.5'!J7</f>
        <v>786811.037395636</v>
      </c>
      <c r="D14" s="77" t="n">
        <f aca="false">'POST-59.5'!F7</f>
        <v>52483.4663120506</v>
      </c>
      <c r="E14" s="92" t="str">
        <f aca="false">IF('POST-59.5'!B7&gt;=INPUTS!B7,"Post-SS (401k+)","Post-59½ (401k)")</f>
        <v>Post-59½ (401k)</v>
      </c>
    </row>
    <row r="15" customFormat="false" ht="15.75" hidden="false" customHeight="true" outlineLevel="0" collapsed="false">
      <c r="A15" s="80" t="n">
        <f aca="false">'POST-59.5'!A8</f>
        <v>2042</v>
      </c>
      <c r="B15" s="80" t="n">
        <f aca="false">'POST-59.5'!B8</f>
        <v>63.5</v>
      </c>
      <c r="C15" s="82" t="n">
        <f aca="false">'POST-59.5'!J8</f>
        <v>769666.258647074</v>
      </c>
      <c r="D15" s="82" t="n">
        <f aca="false">'POST-59.5'!F8</f>
        <v>53795.5529698519</v>
      </c>
      <c r="E15" s="92" t="str">
        <f aca="false">IF('POST-59.5'!B8&gt;=INPUTS!B7,"Post-SS (401k+)","Post-59½ (401k)")</f>
        <v>Post-59½ (401k)</v>
      </c>
    </row>
    <row r="16" customFormat="false" ht="15.75" hidden="false" customHeight="true" outlineLevel="0" collapsed="false">
      <c r="A16" s="75" t="n">
        <f aca="false">'POST-59.5'!A9</f>
        <v>2043</v>
      </c>
      <c r="B16" s="75" t="n">
        <f aca="false">'POST-59.5'!B9</f>
        <v>64.5</v>
      </c>
      <c r="C16" s="77" t="n">
        <f aca="false">'POST-59.5'!J9</f>
        <v>750252.107695624</v>
      </c>
      <c r="D16" s="77" t="n">
        <f aca="false">'POST-59.5'!F9</f>
        <v>55140.4417940982</v>
      </c>
      <c r="E16" s="92" t="str">
        <f aca="false">IF('POST-59.5'!B9&gt;=INPUTS!B7,"Post-SS (401k+)","Post-59½ (401k)")</f>
        <v>Post-59½ (401k)</v>
      </c>
    </row>
    <row r="17" customFormat="false" ht="15.75" hidden="false" customHeight="true" outlineLevel="0" collapsed="false">
      <c r="A17" s="80" t="n">
        <f aca="false">'POST-59.5'!A10</f>
        <v>2044</v>
      </c>
      <c r="B17" s="80" t="n">
        <f aca="false">'POST-59.5'!B10</f>
        <v>65.5</v>
      </c>
      <c r="C17" s="82" t="n">
        <f aca="false">'POST-59.5'!J10</f>
        <v>728419.812599507</v>
      </c>
      <c r="D17" s="82" t="n">
        <f aca="false">'POST-59.5'!F10</f>
        <v>56518.9528389506</v>
      </c>
      <c r="E17" s="92" t="str">
        <f aca="false">IF('POST-59.5'!B10&gt;=INPUTS!B7,"Post-SS (401k+)","Post-59½ (401k)")</f>
        <v>Post-59½ (401k)</v>
      </c>
    </row>
    <row r="18" customFormat="false" ht="15.75" hidden="false" customHeight="true" outlineLevel="0" collapsed="false">
      <c r="A18" s="75" t="n">
        <f aca="false">'POST-59.5'!A11</f>
        <v>2045</v>
      </c>
      <c r="B18" s="75" t="n">
        <f aca="false">'POST-59.5'!B11</f>
        <v>66.5</v>
      </c>
      <c r="C18" s="77" t="n">
        <f aca="false">'POST-59.5'!J11</f>
        <v>704012.280236562</v>
      </c>
      <c r="D18" s="77" t="n">
        <f aca="false">'POST-59.5'!F11</f>
        <v>57931.9266599244</v>
      </c>
      <c r="E18" s="92" t="str">
        <f aca="false">IF('POST-59.5'!B11&gt;=INPUTS!B7,"Post-SS (401k+)","Post-59½ (401k)")</f>
        <v>Post-59½ (401k)</v>
      </c>
    </row>
    <row r="19" customFormat="false" ht="15.75" hidden="false" customHeight="true" outlineLevel="0" collapsed="false">
      <c r="A19" s="80" t="n">
        <f aca="false">'POST-59.5'!A12</f>
        <v>2046</v>
      </c>
      <c r="B19" s="80" t="n">
        <f aca="false">'POST-59.5'!B12</f>
        <v>67.5</v>
      </c>
      <c r="C19" s="82" t="n">
        <f aca="false">'POST-59.5'!J12</f>
        <v>718156.792475965</v>
      </c>
      <c r="D19" s="82" t="n">
        <f aca="false">'POST-59.5'!F12</f>
        <v>20053.430259453</v>
      </c>
      <c r="E19" s="92" t="str">
        <f aca="false">IF('POST-59.5'!B12&gt;=INPUTS!B7,"Post-SS (401k+)","Post-59½ (401k)")</f>
        <v>Post-SS (401k+)</v>
      </c>
    </row>
    <row r="20" customFormat="false" ht="15.75" hidden="false" customHeight="true" outlineLevel="0" collapsed="false">
      <c r="A20" s="75" t="n">
        <f aca="false">'POST-59.5'!A13</f>
        <v>2047</v>
      </c>
      <c r="B20" s="75" t="n">
        <f aca="false">'POST-59.5'!B13</f>
        <v>68.5</v>
      </c>
      <c r="C20" s="77" t="n">
        <f aca="false">'POST-59.5'!J13</f>
        <v>732482.127783027</v>
      </c>
      <c r="D20" s="77" t="n">
        <f aca="false">'POST-59.5'!F13</f>
        <v>20554.7660159393</v>
      </c>
      <c r="E20" s="92" t="str">
        <f aca="false">IF('POST-59.5'!B13&gt;=INPUTS!B7,"Post-SS (401k+)","Post-59½ (401k)")</f>
        <v>Post-SS (401k+)</v>
      </c>
    </row>
    <row r="21" customFormat="false" ht="15.75" hidden="false" customHeight="true" outlineLevel="0" collapsed="false">
      <c r="A21" s="80" t="n">
        <f aca="false">'POST-59.5'!A14</f>
        <v>2048</v>
      </c>
      <c r="B21" s="80" t="n">
        <f aca="false">'POST-59.5'!B14</f>
        <v>69.5</v>
      </c>
      <c r="C21" s="82" t="n">
        <f aca="false">'POST-59.5'!J14</f>
        <v>746984.167247523</v>
      </c>
      <c r="D21" s="82" t="n">
        <f aca="false">'POST-59.5'!F14</f>
        <v>21068.6351663378</v>
      </c>
      <c r="E21" s="92" t="str">
        <f aca="false">IF('POST-59.5'!B14&gt;=INPUTS!B7,"Post-SS (401k+)","Post-59½ (401k)")</f>
        <v>Post-SS (401k+)</v>
      </c>
    </row>
    <row r="22" customFormat="false" ht="15.75" hidden="false" customHeight="true" outlineLevel="0" collapsed="false">
      <c r="A22" s="75" t="n">
        <f aca="false">'POST-59.5'!A15</f>
        <v>2049</v>
      </c>
      <c r="B22" s="75" t="n">
        <f aca="false">'POST-59.5'!B15</f>
        <v>70.5</v>
      </c>
      <c r="C22" s="77" t="n">
        <f aca="false">'POST-59.5'!J15</f>
        <v>761658.257012129</v>
      </c>
      <c r="D22" s="77" t="n">
        <f aca="false">'POST-59.5'!F15</f>
        <v>21595.3510454963</v>
      </c>
      <c r="E22" s="92" t="str">
        <f aca="false">IF('POST-59.5'!B15&gt;=INPUTS!B7,"Post-SS (401k+)","Post-59½ (401k)")</f>
        <v>Post-SS (401k+)</v>
      </c>
    </row>
    <row r="23" customFormat="false" ht="15.75" hidden="false" customHeight="true" outlineLevel="0" collapsed="false">
      <c r="A23" s="80" t="n">
        <f aca="false">'POST-59.5'!A16</f>
        <v>2050</v>
      </c>
      <c r="B23" s="80" t="n">
        <f aca="false">'POST-59.5'!B16</f>
        <v>71.5</v>
      </c>
      <c r="C23" s="82" t="n">
        <f aca="false">'POST-59.5'!J16</f>
        <v>776499.17330002</v>
      </c>
      <c r="D23" s="82" t="n">
        <f aca="false">'POST-59.5'!F16</f>
        <v>22135.2348216337</v>
      </c>
      <c r="E23" s="92" t="str">
        <f aca="false">IF('POST-59.5'!B16&gt;=INPUTS!B7,"Post-SS (401k+)","Post-59½ (401k)")</f>
        <v>Post-SS (401k+)</v>
      </c>
    </row>
    <row r="24" customFormat="false" ht="15.75" hidden="false" customHeight="true" outlineLevel="0" collapsed="false">
      <c r="A24" s="75" t="n">
        <f aca="false">'POST-59.5'!A17</f>
        <v>2051</v>
      </c>
      <c r="B24" s="75" t="n">
        <f aca="false">'POST-59.5'!B17</f>
        <v>72.5</v>
      </c>
      <c r="C24" s="77" t="n">
        <f aca="false">'POST-59.5'!J17</f>
        <v>791501.085488237</v>
      </c>
      <c r="D24" s="77" t="n">
        <f aca="false">'POST-59.5'!F17</f>
        <v>22688.6156921745</v>
      </c>
      <c r="E24" s="92" t="str">
        <f aca="false">IF('POST-59.5'!B17&gt;=INPUTS!B7,"Post-SS (401k+)","Post-59½ (401k)")</f>
        <v>Post-SS (401k+)</v>
      </c>
    </row>
    <row r="25" customFormat="false" ht="15.75" hidden="false" customHeight="true" outlineLevel="0" collapsed="false">
      <c r="A25" s="80" t="n">
        <f aca="false">'POST-59.5'!A18</f>
        <v>2052</v>
      </c>
      <c r="B25" s="80" t="n">
        <f aca="false">'POST-59.5'!B18</f>
        <v>73.5</v>
      </c>
      <c r="C25" s="82" t="n">
        <f aca="false">'POST-59.5'!J18</f>
        <v>806657.517123947</v>
      </c>
      <c r="D25" s="82" t="n">
        <f aca="false">'POST-59.5'!F18</f>
        <v>23255.8310844789</v>
      </c>
      <c r="E25" s="92" t="str">
        <f aca="false">IF('POST-59.5'!B18&gt;=INPUTS!B7,"Post-SS (401k+)","Post-59½ (401k)")</f>
        <v>Post-SS (401k+)</v>
      </c>
    </row>
    <row r="26" customFormat="false" ht="15.75" hidden="false" customHeight="true" outlineLevel="0" collapsed="false">
      <c r="A26" s="75" t="n">
        <f aca="false">'POST-59.5'!A19</f>
        <v>2053</v>
      </c>
      <c r="B26" s="75" t="n">
        <f aca="false">'POST-59.5'!B19</f>
        <v>74.5</v>
      </c>
      <c r="C26" s="77" t="n">
        <f aca="false">'POST-59.5'!J19</f>
        <v>821961.304775473</v>
      </c>
      <c r="D26" s="77" t="n">
        <f aca="false">'POST-59.5'!F19</f>
        <v>23837.2268615908</v>
      </c>
      <c r="E26" s="92" t="str">
        <f aca="false">IF('POST-59.5'!B19&gt;=INPUTS!B7,"Post-SS (401k+)","Post-59½ (401k)")</f>
        <v>Post-SS (401k+)</v>
      </c>
    </row>
    <row r="27" customFormat="false" ht="15.75" hidden="false" customHeight="true" outlineLevel="0" collapsed="false">
      <c r="A27" s="80" t="n">
        <f aca="false">'POST-59.5'!A20</f>
        <v>2054</v>
      </c>
      <c r="B27" s="80" t="n">
        <f aca="false">'POST-59.5'!B20</f>
        <v>75.5</v>
      </c>
      <c r="C27" s="82" t="n">
        <f aca="false">'POST-59.5'!J20</f>
        <v>837404.55460446</v>
      </c>
      <c r="D27" s="82" t="n">
        <f aca="false">'POST-59.5'!F20</f>
        <v>24433.1575331306</v>
      </c>
      <c r="E27" s="92" t="str">
        <f aca="false">IF('POST-59.5'!B20&gt;=INPUTS!B7,"Post-SS (401k+)","Post-59½ (401k)")</f>
        <v>Post-SS (401k+)</v>
      </c>
    </row>
    <row r="28" customFormat="false" ht="15.75" hidden="false" customHeight="true" outlineLevel="0" collapsed="false">
      <c r="A28" s="75" t="n">
        <f aca="false">'POST-59.5'!A21</f>
        <v>2055</v>
      </c>
      <c r="B28" s="75" t="n">
        <f aca="false">'POST-59.5'!B21</f>
        <v>76.5</v>
      </c>
      <c r="C28" s="77" t="n">
        <f aca="false">'POST-59.5'!J21</f>
        <v>852978.596539651</v>
      </c>
      <c r="D28" s="77" t="n">
        <f aca="false">'POST-59.5'!F21</f>
        <v>25043.9864714589</v>
      </c>
      <c r="E28" s="92" t="str">
        <f aca="false">IF('POST-59.5'!B21&gt;=INPUTS!B7,"Post-SS (401k+)","Post-59½ (401k)")</f>
        <v>Post-SS (401k+)</v>
      </c>
    </row>
    <row r="29" customFormat="false" ht="15.75" hidden="false" customHeight="true" outlineLevel="0" collapsed="false">
      <c r="A29" s="80" t="n">
        <f aca="false">'POST-59.5'!A22</f>
        <v>2056</v>
      </c>
      <c r="B29" s="80" t="n">
        <f aca="false">'POST-59.5'!B22</f>
        <v>77.5</v>
      </c>
      <c r="C29" s="82" t="n">
        <f aca="false">'POST-59.5'!J22</f>
        <v>868673.935926726</v>
      </c>
      <c r="D29" s="82" t="n">
        <f aca="false">'POST-59.5'!F22</f>
        <v>25670.0861332454</v>
      </c>
      <c r="E29" s="92" t="str">
        <f aca="false">IF('POST-59.5'!B22&gt;=INPUTS!B7,"Post-SS (401k+)","Post-59½ (401k)")</f>
        <v>Post-SS (401k+)</v>
      </c>
    </row>
    <row r="30" customFormat="false" ht="15.75" hidden="false" customHeight="true" outlineLevel="0" collapsed="false">
      <c r="A30" s="75" t="n">
        <f aca="false">'POST-59.5'!A23</f>
        <v>2057</v>
      </c>
      <c r="B30" s="75" t="n">
        <f aca="false">'POST-59.5'!B23</f>
        <v>78.5</v>
      </c>
      <c r="C30" s="77" t="n">
        <f aca="false">'POST-59.5'!J23</f>
        <v>884480.202522157</v>
      </c>
      <c r="D30" s="77" t="n">
        <f aca="false">'POST-59.5'!F23</f>
        <v>26311.8382865765</v>
      </c>
      <c r="E30" s="92" t="str">
        <f aca="false">IF('POST-59.5'!B23&gt;=INPUTS!B7,"Post-SS (401k+)","Post-59½ (401k)")</f>
        <v>Post-SS (401k+)</v>
      </c>
    </row>
    <row r="31" customFormat="false" ht="15.75" hidden="false" customHeight="true" outlineLevel="0" collapsed="false">
      <c r="A31" s="80" t="n">
        <f aca="false">'POST-59.5'!A24</f>
        <v>2058</v>
      </c>
      <c r="B31" s="80" t="n">
        <f aca="false">'POST-59.5'!B24</f>
        <v>79.5</v>
      </c>
      <c r="C31" s="82" t="n">
        <f aca="false">'POST-59.5'!J24</f>
        <v>900386.096692337</v>
      </c>
      <c r="D31" s="82" t="n">
        <f aca="false">'POST-59.5'!F24</f>
        <v>26969.6342437409</v>
      </c>
      <c r="E31" s="92" t="str">
        <f aca="false">IF('POST-59.5'!B24&gt;=INPUTS!B7,"Post-SS (401k+)","Post-59½ (401k)")</f>
        <v>Post-SS (401k+)</v>
      </c>
    </row>
    <row r="32" customFormat="false" ht="15.75" hidden="false" customHeight="true" outlineLevel="0" collapsed="false">
      <c r="A32" s="75" t="n">
        <f aca="false">'POST-59.5'!A25</f>
        <v>2059</v>
      </c>
      <c r="B32" s="75" t="n">
        <f aca="false">'POST-59.5'!B25</f>
        <v>80.5</v>
      </c>
      <c r="C32" s="77" t="n">
        <f aca="false">'POST-59.5'!J25</f>
        <v>916379.332672128</v>
      </c>
      <c r="D32" s="77" t="n">
        <f aca="false">'POST-59.5'!F25</f>
        <v>27643.8750998344</v>
      </c>
      <c r="E32" s="92" t="str">
        <f aca="false">IF('POST-59.5'!B25&gt;=INPUTS!B7,"Post-SS (401k+)","Post-59½ (401k)")</f>
        <v>Post-SS (401k+)</v>
      </c>
    </row>
    <row r="33" customFormat="false" ht="15.75" hidden="false" customHeight="true" outlineLevel="0" collapsed="false">
      <c r="A33" s="80" t="n">
        <f aca="false">'POST-59.5'!A26</f>
        <v>2060</v>
      </c>
      <c r="B33" s="80" t="n">
        <f aca="false">'POST-59.5'!B26</f>
        <v>81.5</v>
      </c>
      <c r="C33" s="82" t="n">
        <f aca="false">'POST-59.5'!J26</f>
        <v>932446.578729538</v>
      </c>
      <c r="D33" s="82" t="n">
        <f aca="false">'POST-59.5'!F26</f>
        <v>28334.9719773303</v>
      </c>
      <c r="E33" s="92" t="str">
        <f aca="false">IF('POST-59.5'!B26&gt;=INPUTS!B7,"Post-SS (401k+)","Post-59½ (401k)")</f>
        <v>Post-SS (401k+)</v>
      </c>
    </row>
    <row r="34" customFormat="false" ht="15.75" hidden="false" customHeight="true" outlineLevel="0" collapsed="false">
      <c r="A34" s="75" t="n">
        <f aca="false">'POST-59.5'!A27</f>
        <v>2061</v>
      </c>
      <c r="B34" s="75" t="n">
        <f aca="false">'POST-59.5'!B27</f>
        <v>82.5</v>
      </c>
      <c r="C34" s="77" t="n">
        <f aca="false">'POST-59.5'!J27</f>
        <v>948573.394075413</v>
      </c>
      <c r="D34" s="77" t="n">
        <f aca="false">'POST-59.5'!F27</f>
        <v>29043.3462767635</v>
      </c>
      <c r="E34" s="92" t="str">
        <f aca="false">IF('POST-59.5'!B27&gt;=INPUTS!B7,"Post-SS (401k+)","Post-59½ (401k)")</f>
        <v>Post-SS (401k+)</v>
      </c>
    </row>
    <row r="35" customFormat="false" ht="15.75" hidden="false" customHeight="true" outlineLevel="0" collapsed="false">
      <c r="A35" s="80" t="n">
        <f aca="false">'POST-59.5'!A28</f>
        <v>2062</v>
      </c>
      <c r="B35" s="80" t="n">
        <f aca="false">'POST-59.5'!B28</f>
        <v>83.5</v>
      </c>
      <c r="C35" s="82" t="n">
        <f aca="false">'POST-59.5'!J28</f>
        <v>964744.162348817</v>
      </c>
      <c r="D35" s="82" t="n">
        <f aca="false">'POST-59.5'!F28</f>
        <v>29769.4299336826</v>
      </c>
      <c r="E35" s="92" t="str">
        <f aca="false">IF('POST-59.5'!B28&gt;=INPUTS!B7,"Post-SS (401k+)","Post-59½ (401k)")</f>
        <v>Post-SS (401k+)</v>
      </c>
    </row>
    <row r="36" customFormat="false" ht="15.75" hidden="false" customHeight="true" outlineLevel="0" collapsed="false">
      <c r="A36" s="75" t="n">
        <f aca="false">'POST-59.5'!A29</f>
        <v>2063</v>
      </c>
      <c r="B36" s="75" t="n">
        <f aca="false">'POST-59.5'!B29</f>
        <v>84.5</v>
      </c>
      <c r="C36" s="77" t="n">
        <f aca="false">'POST-59.5'!J29</f>
        <v>980942.021500132</v>
      </c>
      <c r="D36" s="77" t="n">
        <f aca="false">'POST-59.5'!F29</f>
        <v>30513.6656820247</v>
      </c>
      <c r="E36" s="92" t="str">
        <f aca="false">IF('POST-59.5'!B29&gt;=INPUTS!B7,"Post-SS (401k+)","Post-59½ (401k)")</f>
        <v>Post-SS (401k+)</v>
      </c>
    </row>
    <row r="37" customFormat="false" ht="15.75" hidden="false" customHeight="true" outlineLevel="0" collapsed="false">
      <c r="A37" s="80" t="n">
        <f aca="false">'POST-59.5'!A30</f>
        <v>2064</v>
      </c>
      <c r="B37" s="80" t="n">
        <f aca="false">'POST-59.5'!B30</f>
        <v>85.5</v>
      </c>
      <c r="C37" s="82" t="n">
        <f aca="false">'POST-59.5'!J30</f>
        <v>997148.789884859</v>
      </c>
      <c r="D37" s="82" t="n">
        <f aca="false">'POST-59.5'!F30</f>
        <v>31276.5073240753</v>
      </c>
      <c r="E37" s="92" t="str">
        <f aca="false">IF('POST-59.5'!B30&gt;=INPUTS!B7,"Post-SS (401k+)","Post-59½ (401k)")</f>
        <v>Post-SS (401k+)</v>
      </c>
    </row>
    <row r="38" customFormat="false" ht="15.75" hidden="false" customHeight="true" outlineLevel="0" collapsed="false">
      <c r="A38" s="75" t="n">
        <f aca="false">'POST-59.5'!A31</f>
        <v>2065</v>
      </c>
      <c r="B38" s="75" t="n">
        <f aca="false">'POST-59.5'!B31</f>
        <v>86.5</v>
      </c>
      <c r="C38" s="77" t="n">
        <f aca="false">'POST-59.5'!J31</f>
        <v>1013344.88837157</v>
      </c>
      <c r="D38" s="77" t="n">
        <f aca="false">'POST-59.5'!F31</f>
        <v>32058.4200071772</v>
      </c>
      <c r="E38" s="92" t="str">
        <f aca="false">IF('POST-59.5'!B31&gt;=INPUTS!B7,"Post-SS (401k+)","Post-59½ (401k)")</f>
        <v>Post-SS (401k+)</v>
      </c>
    </row>
    <row r="39" customFormat="false" ht="15.75" hidden="false" customHeight="true" outlineLevel="0" collapsed="false">
      <c r="A39" s="80" t="n">
        <f aca="false">'POST-59.5'!A32</f>
        <v>2066</v>
      </c>
      <c r="B39" s="80" t="n">
        <f aca="false">'POST-59.5'!B32</f>
        <v>87.5</v>
      </c>
      <c r="C39" s="82" t="n">
        <f aca="false">'POST-59.5'!J32</f>
        <v>1029509.25825742</v>
      </c>
      <c r="D39" s="82" t="n">
        <f aca="false">'POST-59.5'!F32</f>
        <v>32859.8805073566</v>
      </c>
      <c r="E39" s="92" t="str">
        <f aca="false">IF('POST-59.5'!B32&gt;=INPUTS!B7,"Post-SS (401k+)","Post-59½ (401k)")</f>
        <v>Post-SS (401k+)</v>
      </c>
    </row>
    <row r="40" customFormat="false" ht="15.75" hidden="false" customHeight="true" outlineLevel="0" collapsed="false">
      <c r="A40" s="75" t="n">
        <f aca="false">'POST-59.5'!A33</f>
        <v>2067</v>
      </c>
      <c r="B40" s="75" t="n">
        <f aca="false">'POST-59.5'!B33</f>
        <v>88.5</v>
      </c>
      <c r="C40" s="77" t="n">
        <f aca="false">'POST-59.5'!J33</f>
        <v>1045619.27477425</v>
      </c>
      <c r="D40" s="77" t="n">
        <f aca="false">'POST-59.5'!F33</f>
        <v>33681.3775200405</v>
      </c>
      <c r="E40" s="92" t="str">
        <f aca="false">IF('POST-59.5'!B33&gt;=INPUTS!B7,"Post-SS (401k+)","Post-59½ (401k)")</f>
        <v>Post-SS (401k+)</v>
      </c>
    </row>
    <row r="41" customFormat="false" ht="15.75" hidden="false" customHeight="true" outlineLevel="0" collapsed="false">
      <c r="A41" s="80" t="n">
        <f aca="false">'POST-59.5'!A34</f>
        <v>2068</v>
      </c>
      <c r="B41" s="80" t="n">
        <f aca="false">'POST-59.5'!B34</f>
        <v>89.5</v>
      </c>
      <c r="C41" s="82" t="n">
        <f aca="false">'POST-59.5'!J34</f>
        <v>1061650.65595702</v>
      </c>
      <c r="D41" s="82" t="n">
        <f aca="false">'POST-59.5'!F34</f>
        <v>34523.4119580415</v>
      </c>
      <c r="E41" s="92" t="str">
        <f aca="false">IF('POST-59.5'!B34&gt;=INPUTS!B7,"Post-SS (401k+)","Post-59½ (401k)")</f>
        <v>Post-SS (401k+)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7171"/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52"/>
  </cols>
  <sheetData>
    <row r="1" customFormat="false" ht="30" hidden="false" customHeight="true" outlineLevel="0" collapsed="false">
      <c r="A1" s="70" t="s">
        <v>107</v>
      </c>
      <c r="B1" s="70"/>
      <c r="C1" s="70"/>
    </row>
    <row r="2" customFormat="false" ht="15.75" hidden="false" customHeight="true" outlineLevel="0" collapsed="false">
      <c r="A2" s="93" t="s">
        <v>108</v>
      </c>
      <c r="B2" s="93" t="s">
        <v>109</v>
      </c>
      <c r="C2" s="93" t="s">
        <v>110</v>
      </c>
    </row>
    <row r="3" customFormat="false" ht="21.75" hidden="false" customHeight="true" outlineLevel="0" collapsed="false">
      <c r="A3" s="44" t="s">
        <v>111</v>
      </c>
      <c r="B3" s="94" t="str">
        <f aca="false">IF('BRIDGE CLEAN'!G11&gt;0,"✅ Fully Funded","⚠️ Gap Exists")</f>
        <v>⚠️ Gap Exists</v>
      </c>
      <c r="C3" s="95" t="str">
        <f aca="false">IF('BRIDGE CLEAN'!G11&gt;0,"Taxable covers all bridge years without touching 401k","Taxable runs out during bridge — Roth and/or 401k needed. See BRIDGE CLEAN for the exact year.")</f>
        <v>Taxable runs out during bridge — Roth and/or 401k needed. See BRIDGE CLEAN for the exact year.</v>
      </c>
    </row>
    <row r="4" customFormat="false" ht="21.75" hidden="false" customHeight="true" outlineLevel="0" collapsed="false">
      <c r="A4" s="48" t="s">
        <v>112</v>
      </c>
      <c r="B4" s="96" t="str">
        <f aca="false">IF(ISNUMBER(PROJECTION!C41),IF(PROJECTION!C41&gt;0,"✅ Solvent","❌ Depleted"),"✅ Solvent")</f>
        <v>✅ Solvent</v>
      </c>
      <c r="C4" s="97" t="str">
        <f aca="false">IF(ISNUMBER(PROJECTION!C41),IF(PROJECTION!C41&gt;0,"Portfolio positive at life expectancy","Portfolio depleted — reduce spending or increase savings"),"Portfolio intact")</f>
        <v>Portfolio positive at life expectancy</v>
      </c>
    </row>
    <row r="5" customFormat="false" ht="21.75" hidden="false" customHeight="true" outlineLevel="0" collapsed="false">
      <c r="A5" s="44" t="s">
        <v>113</v>
      </c>
      <c r="B5" s="94" t="str">
        <f aca="false">IF(INPUTS!B5&gt;INPUTS!B4,"✅ Valid","❌ Fix Ages")</f>
        <v>✅ Valid</v>
      </c>
      <c r="C5" s="95" t="str">
        <f aca="false">IF(INPUTS!B5&gt;INPUTS!B4,"Ages are valid","Error: retirement age must be greater than current age")</f>
        <v>Ages are valid</v>
      </c>
    </row>
    <row r="6" customFormat="false" ht="21.75" hidden="false" customHeight="true" outlineLevel="0" collapsed="false">
      <c r="A6" s="48" t="s">
        <v>15</v>
      </c>
      <c r="B6" s="96" t="str">
        <f aca="false">IF(INPUTS!B17/(INPUTS!B11+INPUTS!B12+INPUTS!B13)&lt;=0.04,"✅ Safe","⚠️ High Rate")</f>
        <v>⚠️ High Rate</v>
      </c>
      <c r="C6" s="97" t="str">
        <f aca="false">IFERROR("Rate: "&amp;TEXT(INPUTS!B17/(INPUTS!B11+INPUTS!B12+INPUTS!B13),"0.0%")&amp;IF(INPUTS!B17/(INPUTS!B11+INPUTS!B12+INPUTS!B13)&lt;=0.04," — within safe range"," — consider reducing spending"),"Check inputs")</f>
        <v>Rate: 4.7% — consider reducing spending</v>
      </c>
    </row>
    <row r="7" customFormat="false" ht="21.75" hidden="false" customHeight="true" outlineLevel="0" collapsed="false">
      <c r="A7" s="44" t="s">
        <v>114</v>
      </c>
      <c r="B7" s="94" t="str">
        <f aca="false">IF('BRIDGE CLEAN'!J11&gt;0,"✅ Covered","⚠️ Review")</f>
        <v>✅ Covered</v>
      </c>
      <c r="C7" s="95" t="str">
        <f aca="false">IF('BRIDGE CLEAN'!J11&gt;0,"Combined accounts cover the bridge period","Bridge period exceeds available funds — see BRIDGE CLEAN")</f>
        <v>Combined accounts cover the bridge period</v>
      </c>
    </row>
    <row r="9" customFormat="false" ht="19.5" hidden="false" customHeight="true" outlineLevel="0" collapsed="false">
      <c r="A9" s="98" t="s">
        <v>115</v>
      </c>
      <c r="B9" s="98"/>
      <c r="C9" s="98"/>
    </row>
    <row r="10" customFormat="false" ht="19.5" hidden="false" customHeight="true" outlineLevel="0" collapsed="false">
      <c r="A10" s="99" t="s">
        <v>116</v>
      </c>
      <c r="B10" s="100" t="s">
        <v>117</v>
      </c>
      <c r="C10" s="101" t="s">
        <v>118</v>
      </c>
    </row>
    <row r="11" customFormat="false" ht="19.5" hidden="false" customHeight="true" outlineLevel="0" collapsed="false">
      <c r="A11" s="99" t="s">
        <v>119</v>
      </c>
      <c r="B11" s="100" t="s">
        <v>117</v>
      </c>
      <c r="C11" s="101" t="s">
        <v>120</v>
      </c>
    </row>
    <row r="12" customFormat="false" ht="19.5" hidden="false" customHeight="true" outlineLevel="0" collapsed="false">
      <c r="A12" s="99" t="s">
        <v>121</v>
      </c>
      <c r="B12" s="100" t="s">
        <v>117</v>
      </c>
      <c r="C12" s="101" t="s">
        <v>122</v>
      </c>
    </row>
  </sheetData>
  <mergeCells count="2">
    <mergeCell ref="A1:C1"/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2026-02-22T15:18:06Z</dcterms:created>
  <dc:creator>openpyxl</dc:creator>
  <dc:description/>
  <dc:language>en-US</dc:language>
  <cp:lastModifiedBy/>
  <dcterms:modified xsi:type="dcterms:W3CDTF">2026-06-10T01:36:05Z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